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queryTables/queryTable2.xml" ContentType="application/vnd.openxmlformats-officedocument.spreadsheetml.queryTable+xml"/>
  <Override PartName="/xl/tables/table8.xml" ContentType="application/vnd.openxmlformats-officedocument.spreadsheetml.table+xml"/>
  <Override PartName="/xl/queryTables/queryTable3.xml" ContentType="application/vnd.openxmlformats-officedocument.spreadsheetml.queryTable+xml"/>
  <Override PartName="/xl/tables/table9.xml" ContentType="application/vnd.openxmlformats-officedocument.spreadsheetml.table+xml"/>
  <Override PartName="/xl/queryTables/queryTable4.xml" ContentType="application/vnd.openxmlformats-officedocument.spreadsheetml.queryTable+xml"/>
  <Override PartName="/xl/tables/table10.xml" ContentType="application/vnd.openxmlformats-officedocument.spreadsheetml.table+xml"/>
  <Override PartName="/xl/queryTables/queryTable5.xml" ContentType="application/vnd.openxmlformats-officedocument.spreadsheetml.queryTable+xml"/>
  <Override PartName="/xl/tables/table11.xml" ContentType="application/vnd.openxmlformats-officedocument.spreadsheetml.table+xml"/>
  <Override PartName="/xl/queryTables/queryTable6.xml" ContentType="application/vnd.openxmlformats-officedocument.spreadsheetml.queryTable+xml"/>
  <Override PartName="/xl/tables/table12.xml" ContentType="application/vnd.openxmlformats-officedocument.spreadsheetml.table+xml"/>
  <Override PartName="/xl/queryTables/queryTable7.xml" ContentType="application/vnd.openxmlformats-officedocument.spreadsheetml.queryTable+xml"/>
  <Override PartName="/xl/tables/table13.xml" ContentType="application/vnd.openxmlformats-officedocument.spreadsheetml.table+xml"/>
  <Override PartName="/xl/queryTables/queryTable8.xml" ContentType="application/vnd.openxmlformats-officedocument.spreadsheetml.queryTable+xml"/>
  <Override PartName="/xl/tables/table14.xml" ContentType="application/vnd.openxmlformats-officedocument.spreadsheetml.table+xml"/>
  <Override PartName="/xl/queryTables/queryTable9.xml" ContentType="application/vnd.openxmlformats-officedocument.spreadsheetml.queryTable+xml"/>
  <Override PartName="/xl/tables/table15.xml" ContentType="application/vnd.openxmlformats-officedocument.spreadsheetml.table+xml"/>
  <Override PartName="/xl/queryTables/queryTable10.xml" ContentType="application/vnd.openxmlformats-officedocument.spreadsheetml.queryTable+xml"/>
  <Override PartName="/xl/tables/table16.xml" ContentType="application/vnd.openxmlformats-officedocument.spreadsheetml.table+xml"/>
  <Override PartName="/xl/queryTables/queryTable11.xml" ContentType="application/vnd.openxmlformats-officedocument.spreadsheetml.queryTable+xml"/>
  <Override PartName="/xl/tables/table17.xml" ContentType="application/vnd.openxmlformats-officedocument.spreadsheetml.table+xml"/>
  <Override PartName="/xl/queryTables/queryTable12.xml" ContentType="application/vnd.openxmlformats-officedocument.spreadsheetml.queryTable+xml"/>
  <Override PartName="/xl/tables/table18.xml" ContentType="application/vnd.openxmlformats-officedocument.spreadsheetml.table+xml"/>
  <Override PartName="/xl/queryTables/queryTable13.xml" ContentType="application/vnd.openxmlformats-officedocument.spreadsheetml.queryTable+xml"/>
  <Override PartName="/xl/tables/table19.xml" ContentType="application/vnd.openxmlformats-officedocument.spreadsheetml.table+xml"/>
  <Override PartName="/xl/tables/table2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codeName="ThisWorkbook"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6BFF219C-285B-486A-BD1E-9AB86482F7F2}" xr6:coauthVersionLast="47" xr6:coauthVersionMax="47" xr10:uidLastSave="{00000000-0000-0000-0000-000000000000}"/>
  <bookViews>
    <workbookView xWindow="-110" yWindow="-110" windowWidth="19420" windowHeight="10420" tabRatio="999" firstSheet="4" activeTab="10" xr2:uid="{0ECFC59D-1319-48D6-A70A-8B53A6277164}"/>
  </bookViews>
  <sheets>
    <sheet name="DATA BASE pastikan sesuai riil" sheetId="1" r:id="rId1"/>
    <sheet name="DBS_BOM" sheetId="83" state="hidden" r:id="rId2"/>
    <sheet name="DBS_TRIALdanSUSUT" sheetId="88" state="hidden" r:id="rId3"/>
    <sheet name="DBS_Waste_Bnp" sheetId="92" state="hidden" r:id="rId4"/>
    <sheet name="Detail1" sheetId="114" r:id="rId5"/>
    <sheet name="AKUMULASI DEVIASI ATAU TOTAL" sheetId="69" r:id="rId6"/>
    <sheet name="CEK DEVIASI HARIAN" sheetId="44" r:id="rId7"/>
    <sheet name="INPUT SO HARIAN" sheetId="27" r:id="rId8"/>
    <sheet name="INPUT BARANG MASUK" sheetId="42" r:id="rId9"/>
    <sheet name="INPUT PENJUALAN 00" sheetId="12" r:id="rId10"/>
    <sheet name="REKAP MENTAH" sheetId="63" r:id="rId11"/>
    <sheet name="WASTE BAHAN dan PACKAGING" sheetId="46" r:id="rId12"/>
    <sheet name="PIVOT HASIL SO (2)" sheetId="70" r:id="rId13"/>
    <sheet name="CEK STATUS INPUT" sheetId="106" r:id="rId14"/>
    <sheet name="STOK AWAL" sheetId="40" r:id="rId15"/>
    <sheet name="_TRACKING" sheetId="104" state="hidden" r:id="rId16"/>
    <sheet name="_PERIODE" sheetId="105" state="hidden" r:id="rId17"/>
    <sheet name="INPUT BARANG KELUAR" sheetId="43" r:id="rId18"/>
    <sheet name="INPUT PROMIX 04" sheetId="29" state="hidden" r:id="rId19"/>
    <sheet name="WASTE DINE IN KARNA HANDLING" sheetId="34" r:id="rId20"/>
    <sheet name="WASTE PORSI CANCELNOTA" sheetId="17" r:id="rId21"/>
    <sheet name="TRIAL BAHAN" sheetId="49" r:id="rId22"/>
    <sheet name="TRIAL PORSI" sheetId="22" r:id="rId23"/>
    <sheet name="SUSUT" sheetId="48" r:id="rId24"/>
    <sheet name="CABE PER RESEP" sheetId="47" state="hidden" r:id="rId25"/>
    <sheet name="DBS_BARANG_TRIAL" sheetId="86" state="hidden" r:id="rId26"/>
    <sheet name="DBS_MENU" sheetId="87" state="hidden" r:id="rId27"/>
  </sheets>
  <definedNames>
    <definedName name="_xlnm._FilterDatabase" localSheetId="24" hidden="1">'CABE PER RESEP'!$A$1:$BW$157</definedName>
    <definedName name="_xlnm._FilterDatabase" localSheetId="0" hidden="1">'DATA BASE pastikan sesuai riil'!#REF!</definedName>
    <definedName name="_xlnm._FilterDatabase" localSheetId="3" hidden="1">DBS_Waste_Bnp!$H$1:$H$321</definedName>
    <definedName name="_xlnm._FilterDatabase" localSheetId="17" hidden="1">'INPUT BARANG KELUAR'!$A$1:$H$340</definedName>
    <definedName name="_xlnm._FilterDatabase" localSheetId="8" hidden="1">'INPUT BARANG MASUK'!$A$1:$AJ$1</definedName>
    <definedName name="_xlnm._FilterDatabase" localSheetId="9" hidden="1">'INPUT PENJUALAN 00'!$A$1:$AF$1</definedName>
    <definedName name="_xlnm._FilterDatabase" localSheetId="7" hidden="1">'INPUT SO HARIAN'!$C$1:$AO$1004</definedName>
    <definedName name="_xlnm._FilterDatabase" localSheetId="21" hidden="1">'TRIAL BAHAN'!$E$1:$AI$83</definedName>
    <definedName name="_xlnm._FilterDatabase" localSheetId="11" hidden="1">'WASTE BAHAN dan PACKAGING'!$A$1:$AJ$485</definedName>
    <definedName name="ExternalData_1" localSheetId="17" hidden="1">'INPUT BARANG KELUAR'!$A$1:$E$328</definedName>
    <definedName name="ExternalData_1" localSheetId="8" hidden="1">'INPUT BARANG MASUK'!$A$1:$E$328</definedName>
    <definedName name="ExternalData_1" localSheetId="9" hidden="1">'INPUT PENJUALAN 00'!$A$1:$A$55</definedName>
    <definedName name="ExternalData_1" localSheetId="18" hidden="1">'INPUT PROMIX 04'!$A$1:$A$55</definedName>
    <definedName name="ExternalData_1" localSheetId="7" hidden="1">'INPUT SO HARIAN'!$A$1:$E$345</definedName>
    <definedName name="ExternalData_1" localSheetId="10" hidden="1">'REKAP MENTAH'!$A$1:$AM$1217</definedName>
    <definedName name="ExternalData_1" localSheetId="14" hidden="1">'STOK AWAL'!$A$1:$B$103</definedName>
    <definedName name="ExternalData_1" localSheetId="21" hidden="1">'TRIAL BAHAN'!$A$1:$D$72</definedName>
    <definedName name="ExternalData_1" localSheetId="11" hidden="1">'WASTE BAHAN dan PACKAGING'!$A$1:$E$485</definedName>
    <definedName name="ExternalData_1" localSheetId="19" hidden="1">'WASTE DINE IN KARNA HANDLING'!$A$1:$A$55</definedName>
    <definedName name="ExternalData_1" localSheetId="20" hidden="1">'WASTE PORSI CANCELNOTA'!$A$1:$A$55</definedName>
    <definedName name="ExternalData_2" localSheetId="23" hidden="1">SUSUT!$A$1:$D$72</definedName>
    <definedName name="ExternalData_2" localSheetId="22" hidden="1">'TRIAL PORSI'!$A$1:$A$62</definedName>
    <definedName name="Tabel_SUSUT_CABE">'CABE PER RESEP'!$A$159:$AG$172</definedName>
    <definedName name="TanggalMulai">_PERIODE!$C$5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43" i="27" l="1"/>
  <c r="R30" i="48"/>
  <c r="R272" i="42"/>
  <c r="K68" i="27" l="1"/>
  <c r="L68" i="27"/>
  <c r="M68" i="27"/>
  <c r="N68" i="27"/>
  <c r="K60" i="27"/>
  <c r="L60" i="27"/>
  <c r="M60" i="27"/>
  <c r="N60" i="27"/>
  <c r="K3" i="27"/>
  <c r="L3" i="27"/>
  <c r="M3" i="27"/>
  <c r="N3" i="27"/>
  <c r="N28" i="27"/>
  <c r="M28" i="27"/>
  <c r="L28" i="27"/>
  <c r="K28" i="27"/>
  <c r="O28" i="27" l="1"/>
  <c r="Q165" i="27"/>
  <c r="Q163" i="27"/>
  <c r="Q161" i="27"/>
  <c r="Q27" i="42" l="1"/>
  <c r="Q28" i="42"/>
  <c r="Q35" i="42"/>
  <c r="Q163" i="42"/>
  <c r="Q65" i="42"/>
  <c r="Q93" i="42"/>
  <c r="Q300" i="42"/>
  <c r="Q61" i="42"/>
  <c r="Q57" i="42"/>
  <c r="Q20" i="42"/>
  <c r="Q16" i="42"/>
  <c r="Q2" i="42"/>
  <c r="P173" i="27"/>
  <c r="P313" i="27"/>
  <c r="P344" i="27"/>
  <c r="P167" i="27"/>
  <c r="O143" i="27"/>
  <c r="O44" i="27"/>
  <c r="O195" i="27"/>
  <c r="N143" i="27" l="1"/>
  <c r="N163" i="42"/>
  <c r="N2" i="42"/>
  <c r="N300" i="42"/>
  <c r="N27" i="42"/>
  <c r="N20" i="42"/>
  <c r="N16" i="42"/>
  <c r="N93" i="42"/>
  <c r="N65" i="42"/>
  <c r="N6" i="42"/>
  <c r="L44" i="27" l="1"/>
  <c r="L319" i="42"/>
  <c r="K6" i="42" l="1"/>
  <c r="J280" i="27"/>
  <c r="H27" i="27" l="1"/>
  <c r="H28" i="27"/>
  <c r="H313" i="27"/>
  <c r="AL4" i="42"/>
  <c r="H207" i="27"/>
  <c r="H273" i="27"/>
  <c r="H105" i="42"/>
  <c r="H93" i="42"/>
  <c r="H325" i="42"/>
  <c r="H296" i="42"/>
  <c r="H88" i="42"/>
  <c r="H205" i="42"/>
  <c r="H251" i="42"/>
  <c r="H133" i="42"/>
  <c r="H42" i="42"/>
  <c r="H35" i="42"/>
  <c r="H31" i="42"/>
  <c r="H100" i="42"/>
  <c r="H190" i="42"/>
  <c r="H310" i="42"/>
  <c r="H221" i="42"/>
  <c r="H45" i="42"/>
  <c r="H124" i="42"/>
  <c r="H115" i="42"/>
  <c r="H307" i="42"/>
  <c r="H313" i="42"/>
  <c r="H163" i="42"/>
  <c r="H300" i="42"/>
  <c r="H62" i="42"/>
  <c r="H57" i="42"/>
  <c r="H28" i="42"/>
  <c r="H21" i="42"/>
  <c r="H17" i="42"/>
  <c r="H65" i="42"/>
  <c r="F20" i="42"/>
  <c r="G356" i="92" l="1"/>
  <c r="G355" i="92"/>
  <c r="G354" i="92"/>
  <c r="G353" i="92"/>
  <c r="E19" i="88" l="1"/>
  <c r="E53" i="1"/>
  <c r="E29" i="88"/>
  <c r="E80" i="1"/>
  <c r="E14" i="88"/>
  <c r="E42" i="1"/>
  <c r="E11" i="88"/>
  <c r="E36" i="1"/>
  <c r="G157" i="92"/>
  <c r="G156" i="92"/>
  <c r="G155" i="92"/>
  <c r="G154" i="92"/>
  <c r="G93" i="92"/>
  <c r="G92" i="92"/>
  <c r="G91" i="92"/>
  <c r="G90" i="92"/>
  <c r="G69" i="92"/>
  <c r="G68" i="92"/>
  <c r="G67" i="92"/>
  <c r="G66" i="92"/>
  <c r="G57" i="92"/>
  <c r="G56" i="92"/>
  <c r="G55" i="92"/>
  <c r="G54" i="92"/>
  <c r="E411" i="1" l="1"/>
  <c r="E416" i="1"/>
  <c r="G419" i="92"/>
  <c r="G418" i="92"/>
  <c r="G417" i="92"/>
  <c r="G416" i="92"/>
  <c r="G408" i="92"/>
  <c r="G407" i="92"/>
  <c r="G406" i="92"/>
  <c r="G405" i="92"/>
  <c r="G237" i="92"/>
  <c r="G236" i="92"/>
  <c r="G235" i="92"/>
  <c r="G234" i="92"/>
  <c r="G229" i="92"/>
  <c r="G228" i="92"/>
  <c r="G227" i="92"/>
  <c r="G226" i="92"/>
  <c r="E132" i="1"/>
  <c r="E41" i="1" l="1"/>
  <c r="E35" i="1"/>
  <c r="E52" i="1"/>
  <c r="E79" i="1"/>
  <c r="E84" i="1"/>
  <c r="G149" i="92" l="1"/>
  <c r="G148" i="92"/>
  <c r="G147" i="92"/>
  <c r="G146" i="92"/>
  <c r="G193" i="92"/>
  <c r="G192" i="92"/>
  <c r="G191" i="92"/>
  <c r="G190" i="92"/>
  <c r="G141" i="92"/>
  <c r="G140" i="92"/>
  <c r="G139" i="92"/>
  <c r="G138" i="92"/>
  <c r="G185" i="92"/>
  <c r="G184" i="92"/>
  <c r="G183" i="92"/>
  <c r="G182" i="92"/>
  <c r="G137" i="92"/>
  <c r="G136" i="92"/>
  <c r="G135" i="92"/>
  <c r="G134" i="92"/>
  <c r="G189" i="92"/>
  <c r="G188" i="92"/>
  <c r="G187" i="92"/>
  <c r="G186" i="92"/>
  <c r="G145" i="92"/>
  <c r="G144" i="92"/>
  <c r="G143" i="92"/>
  <c r="G142" i="92"/>
  <c r="E74" i="1"/>
  <c r="E73" i="1"/>
  <c r="E72" i="1"/>
  <c r="E85" i="1"/>
  <c r="G441" i="92" l="1"/>
  <c r="G440" i="92"/>
  <c r="G439" i="92"/>
  <c r="G438" i="92"/>
  <c r="G305" i="92"/>
  <c r="G304" i="92"/>
  <c r="G303" i="92"/>
  <c r="G302" i="92"/>
  <c r="G415" i="92"/>
  <c r="G414" i="92"/>
  <c r="G413" i="92"/>
  <c r="G412" i="92"/>
  <c r="G404" i="92"/>
  <c r="G403" i="92"/>
  <c r="G402" i="92"/>
  <c r="G401" i="92"/>
  <c r="E438" i="1" l="1"/>
  <c r="AI5" i="104"/>
  <c r="AE5" i="104"/>
  <c r="W5" i="104"/>
  <c r="S5" i="104"/>
  <c r="K5" i="104"/>
  <c r="AK5" i="104"/>
  <c r="AG5" i="104"/>
  <c r="AC5" i="104"/>
  <c r="U5" i="104"/>
  <c r="Q5" i="104"/>
  <c r="M5" i="104"/>
  <c r="I4" i="104"/>
  <c r="J4" i="104"/>
  <c r="K4" i="104"/>
  <c r="L4" i="104"/>
  <c r="M4" i="104"/>
  <c r="N4" i="104"/>
  <c r="O4" i="104"/>
  <c r="P4" i="104"/>
  <c r="Q4" i="104"/>
  <c r="S4" i="104"/>
  <c r="T4" i="104"/>
  <c r="U4" i="104"/>
  <c r="V4" i="104"/>
  <c r="W4" i="104"/>
  <c r="X4" i="104"/>
  <c r="Y4" i="104"/>
  <c r="Z4" i="104"/>
  <c r="AA4" i="104"/>
  <c r="AB4" i="104"/>
  <c r="AC4" i="104"/>
  <c r="AD4" i="104"/>
  <c r="AE4" i="104"/>
  <c r="AF4" i="104"/>
  <c r="AG4" i="104"/>
  <c r="AH4" i="104"/>
  <c r="AI4" i="104"/>
  <c r="AJ4" i="104"/>
  <c r="AK4" i="104"/>
  <c r="AL4" i="104"/>
  <c r="I5" i="104"/>
  <c r="Y5" i="104"/>
  <c r="I6" i="104"/>
  <c r="J6" i="104"/>
  <c r="K6" i="104"/>
  <c r="L6" i="104"/>
  <c r="M6" i="104"/>
  <c r="N6" i="104"/>
  <c r="O6" i="104"/>
  <c r="P6" i="104"/>
  <c r="Q6" i="104"/>
  <c r="R6" i="104"/>
  <c r="S6" i="104"/>
  <c r="T6" i="104"/>
  <c r="U6" i="104"/>
  <c r="V6" i="104"/>
  <c r="W6" i="104"/>
  <c r="X6" i="104"/>
  <c r="Y6" i="104"/>
  <c r="Z6" i="104"/>
  <c r="AA6" i="104"/>
  <c r="AB6" i="104"/>
  <c r="AC6" i="104"/>
  <c r="AD6" i="104"/>
  <c r="AE6" i="104"/>
  <c r="AF6" i="104"/>
  <c r="AG6" i="104"/>
  <c r="AH6" i="104"/>
  <c r="AI6" i="104"/>
  <c r="AJ6" i="104"/>
  <c r="AK6" i="104"/>
  <c r="AL6" i="104"/>
  <c r="I7" i="104"/>
  <c r="J7" i="104"/>
  <c r="K7" i="104"/>
  <c r="L7" i="104"/>
  <c r="M7" i="104"/>
  <c r="N7" i="104"/>
  <c r="O7" i="104"/>
  <c r="P7" i="104"/>
  <c r="Q7" i="104"/>
  <c r="R7" i="104"/>
  <c r="S7" i="104"/>
  <c r="T7" i="104"/>
  <c r="U7" i="104"/>
  <c r="V7" i="104"/>
  <c r="W7" i="104"/>
  <c r="X7" i="104"/>
  <c r="Y7" i="104"/>
  <c r="Z7" i="104"/>
  <c r="AA7" i="104"/>
  <c r="AB7" i="104"/>
  <c r="AC7" i="104"/>
  <c r="AD7" i="104"/>
  <c r="AE7" i="104"/>
  <c r="AF7" i="104"/>
  <c r="AG7" i="104"/>
  <c r="AH7" i="104"/>
  <c r="AI7" i="104"/>
  <c r="AJ7" i="104"/>
  <c r="AK7" i="104"/>
  <c r="AL7" i="104"/>
  <c r="I8" i="104"/>
  <c r="J8" i="104"/>
  <c r="K8" i="104"/>
  <c r="L8" i="104"/>
  <c r="M8" i="104"/>
  <c r="N8" i="104"/>
  <c r="O8" i="104"/>
  <c r="P8" i="104"/>
  <c r="Q8" i="104"/>
  <c r="R8" i="104"/>
  <c r="S8" i="104"/>
  <c r="T8" i="104"/>
  <c r="U8" i="104"/>
  <c r="V8" i="104"/>
  <c r="W8" i="104"/>
  <c r="X8" i="104"/>
  <c r="Y8" i="104"/>
  <c r="Z8" i="104"/>
  <c r="AA8" i="104"/>
  <c r="AB8" i="104"/>
  <c r="AC8" i="104"/>
  <c r="AD8" i="104"/>
  <c r="AE8" i="104"/>
  <c r="AF8" i="104"/>
  <c r="AG8" i="104"/>
  <c r="AH8" i="104"/>
  <c r="AI8" i="104"/>
  <c r="AJ8" i="104"/>
  <c r="AK8" i="104"/>
  <c r="AL8" i="104"/>
  <c r="I9" i="104"/>
  <c r="J9" i="104"/>
  <c r="K9" i="104"/>
  <c r="L9" i="104"/>
  <c r="M9" i="104"/>
  <c r="N9" i="104"/>
  <c r="O9" i="104"/>
  <c r="P9" i="104"/>
  <c r="Q9" i="104"/>
  <c r="R9" i="104"/>
  <c r="S9" i="104"/>
  <c r="T9" i="104"/>
  <c r="U9" i="104"/>
  <c r="V9" i="104"/>
  <c r="W9" i="104"/>
  <c r="X9" i="104"/>
  <c r="Y9" i="104"/>
  <c r="Z9" i="104"/>
  <c r="AA9" i="104"/>
  <c r="AB9" i="104"/>
  <c r="AC9" i="104"/>
  <c r="AD9" i="104"/>
  <c r="AE9" i="104"/>
  <c r="AF9" i="104"/>
  <c r="AG9" i="104"/>
  <c r="AH9" i="104"/>
  <c r="AI9" i="104"/>
  <c r="AJ9" i="104"/>
  <c r="AK9" i="104"/>
  <c r="AL9" i="104"/>
  <c r="I10" i="104"/>
  <c r="J10" i="104"/>
  <c r="K10" i="104"/>
  <c r="L10" i="104"/>
  <c r="M10" i="104"/>
  <c r="N10" i="104"/>
  <c r="O10" i="104"/>
  <c r="P10" i="104"/>
  <c r="Q10" i="104"/>
  <c r="R10" i="104"/>
  <c r="S10" i="104"/>
  <c r="T10" i="104"/>
  <c r="U10" i="104"/>
  <c r="V10" i="104"/>
  <c r="W10" i="104"/>
  <c r="X10" i="104"/>
  <c r="Y10" i="104"/>
  <c r="Z10" i="104"/>
  <c r="AA10" i="104"/>
  <c r="AB10" i="104"/>
  <c r="AC10" i="104"/>
  <c r="AD10" i="104"/>
  <c r="AE10" i="104"/>
  <c r="AF10" i="104"/>
  <c r="AG10" i="104"/>
  <c r="AH10" i="104"/>
  <c r="AI10" i="104"/>
  <c r="AJ10" i="104"/>
  <c r="AK10" i="104"/>
  <c r="AL10" i="104"/>
  <c r="I11" i="104"/>
  <c r="J11" i="104"/>
  <c r="K11" i="104"/>
  <c r="L11" i="104"/>
  <c r="M11" i="104"/>
  <c r="N11" i="104"/>
  <c r="O11" i="104"/>
  <c r="P11" i="104"/>
  <c r="Q11" i="104"/>
  <c r="R11" i="104"/>
  <c r="S11" i="104"/>
  <c r="T11" i="104"/>
  <c r="U11" i="104"/>
  <c r="V11" i="104"/>
  <c r="W11" i="104"/>
  <c r="X11" i="104"/>
  <c r="Y11" i="104"/>
  <c r="Z11" i="104"/>
  <c r="AA11" i="104"/>
  <c r="AB11" i="104"/>
  <c r="AC11" i="104"/>
  <c r="AD11" i="104"/>
  <c r="AE11" i="104"/>
  <c r="AF11" i="104"/>
  <c r="AG11" i="104"/>
  <c r="AH11" i="104"/>
  <c r="AI11" i="104"/>
  <c r="AJ11" i="104"/>
  <c r="AK11" i="104"/>
  <c r="AL11" i="104"/>
  <c r="H4" i="104"/>
  <c r="H6" i="104"/>
  <c r="H7" i="104"/>
  <c r="H8" i="104"/>
  <c r="H9" i="104"/>
  <c r="H10" i="104"/>
  <c r="H11" i="104"/>
  <c r="I12" i="104"/>
  <c r="J12" i="104"/>
  <c r="L12" i="104"/>
  <c r="M12" i="104"/>
  <c r="N12" i="104"/>
  <c r="O12" i="104"/>
  <c r="P12" i="104"/>
  <c r="Q12" i="104"/>
  <c r="R12" i="104"/>
  <c r="S12" i="104"/>
  <c r="T12" i="104"/>
  <c r="U12" i="104"/>
  <c r="V12" i="104"/>
  <c r="W12" i="104"/>
  <c r="X12" i="104"/>
  <c r="Y12" i="104"/>
  <c r="Z12" i="104"/>
  <c r="AA12" i="104"/>
  <c r="AB12" i="104"/>
  <c r="AC12" i="104"/>
  <c r="AD12" i="104"/>
  <c r="AE12" i="104"/>
  <c r="AF12" i="104"/>
  <c r="AG12" i="104"/>
  <c r="AH12" i="104"/>
  <c r="AI12" i="104"/>
  <c r="AJ12" i="104"/>
  <c r="AK12" i="104"/>
  <c r="AL12" i="104"/>
  <c r="H12" i="104"/>
  <c r="I13" i="104"/>
  <c r="J13" i="104"/>
  <c r="K13" i="104"/>
  <c r="L13" i="104"/>
  <c r="M13" i="104"/>
  <c r="N13" i="104"/>
  <c r="O13" i="104"/>
  <c r="P13" i="104"/>
  <c r="Q13" i="104"/>
  <c r="R13" i="104"/>
  <c r="S13" i="104"/>
  <c r="T13" i="104"/>
  <c r="U13" i="104"/>
  <c r="V13" i="104"/>
  <c r="W13" i="104"/>
  <c r="X13" i="104"/>
  <c r="Y13" i="104"/>
  <c r="Z13" i="104"/>
  <c r="AA13" i="104"/>
  <c r="AB13" i="104"/>
  <c r="AC13" i="104"/>
  <c r="AD13" i="104"/>
  <c r="AE13" i="104"/>
  <c r="AF13" i="104"/>
  <c r="AG13" i="104"/>
  <c r="AH13" i="104"/>
  <c r="AI13" i="104"/>
  <c r="AJ13" i="104"/>
  <c r="AK13" i="104"/>
  <c r="AL13" i="104"/>
  <c r="H13" i="104"/>
  <c r="O14" i="104"/>
  <c r="P14" i="104"/>
  <c r="Q14" i="104"/>
  <c r="R14" i="104"/>
  <c r="S14" i="104"/>
  <c r="T14" i="104"/>
  <c r="U14" i="104"/>
  <c r="V14" i="104"/>
  <c r="W14" i="104"/>
  <c r="X14" i="104"/>
  <c r="Y14" i="104"/>
  <c r="Z14" i="104"/>
  <c r="AA14" i="104"/>
  <c r="AB14" i="104"/>
  <c r="AC14" i="104"/>
  <c r="AD14" i="104"/>
  <c r="AE14" i="104"/>
  <c r="AF14" i="104"/>
  <c r="AG14" i="104"/>
  <c r="AH14" i="104"/>
  <c r="AI14" i="104"/>
  <c r="AJ14" i="104"/>
  <c r="AK14" i="104"/>
  <c r="AL14" i="104"/>
  <c r="I14" i="104"/>
  <c r="J14" i="104"/>
  <c r="K14" i="104"/>
  <c r="L14" i="104"/>
  <c r="M14" i="104"/>
  <c r="N14" i="104"/>
  <c r="H14" i="104"/>
  <c r="H15" i="104"/>
  <c r="O5" i="104" l="1"/>
  <c r="J5" i="104"/>
  <c r="N5" i="104"/>
  <c r="R5" i="104"/>
  <c r="V5" i="104"/>
  <c r="Z5" i="104"/>
  <c r="AD5" i="104"/>
  <c r="AH5" i="104"/>
  <c r="AL5" i="104"/>
  <c r="AA5" i="104"/>
  <c r="L5" i="104"/>
  <c r="P5" i="104"/>
  <c r="T5" i="104"/>
  <c r="X5" i="104"/>
  <c r="AB5" i="104"/>
  <c r="AF5" i="104"/>
  <c r="AJ5" i="104"/>
  <c r="H5" i="104"/>
  <c r="B19" i="104" l="1"/>
  <c r="E35" i="88" l="1"/>
  <c r="E34" i="88"/>
  <c r="E33" i="88"/>
  <c r="E16" i="88"/>
  <c r="E17" i="88"/>
  <c r="E46" i="1"/>
  <c r="E20" i="88"/>
  <c r="E30" i="88"/>
  <c r="E15" i="88"/>
  <c r="E12" i="88"/>
  <c r="G181" i="92"/>
  <c r="G180" i="92"/>
  <c r="G179" i="92"/>
  <c r="G178" i="92"/>
  <c r="G177" i="92"/>
  <c r="G176" i="92"/>
  <c r="G175" i="92"/>
  <c r="G174" i="92"/>
  <c r="G173" i="92"/>
  <c r="G172" i="92"/>
  <c r="G171" i="92"/>
  <c r="G170" i="92"/>
  <c r="E87" i="1"/>
  <c r="E86" i="1"/>
  <c r="G161" i="92"/>
  <c r="G160" i="92"/>
  <c r="G159" i="92"/>
  <c r="G158" i="92"/>
  <c r="G97" i="92"/>
  <c r="G96" i="92"/>
  <c r="G95" i="92"/>
  <c r="G94" i="92"/>
  <c r="G73" i="92"/>
  <c r="G72" i="92"/>
  <c r="G71" i="92"/>
  <c r="G70" i="92"/>
  <c r="G61" i="92"/>
  <c r="G60" i="92"/>
  <c r="G59" i="92"/>
  <c r="G58" i="92"/>
  <c r="G85" i="92"/>
  <c r="G84" i="92"/>
  <c r="G83" i="92"/>
  <c r="G82" i="92"/>
  <c r="G81" i="92"/>
  <c r="G80" i="92"/>
  <c r="G79" i="92"/>
  <c r="G78" i="92"/>
  <c r="E47" i="1"/>
  <c r="E15" i="104" l="1"/>
  <c r="D15" i="104" s="1"/>
  <c r="E22" i="106" s="1"/>
  <c r="F15" i="104" l="1" a="1"/>
  <c r="F15" i="104" s="1"/>
  <c r="F11" i="104" a="1"/>
  <c r="F11" i="104" s="1"/>
  <c r="F7" i="104" a="1"/>
  <c r="F7" i="104" s="1"/>
  <c r="E14" i="104"/>
  <c r="D14" i="104" s="1"/>
  <c r="E21" i="106" s="1"/>
  <c r="F14" i="104" a="1"/>
  <c r="F14" i="104" s="1"/>
  <c r="F13" i="104" a="1"/>
  <c r="F13" i="104" s="1"/>
  <c r="E13" i="104"/>
  <c r="D13" i="104" s="1"/>
  <c r="E20" i="106" s="1"/>
  <c r="E11" i="104"/>
  <c r="D11" i="104" s="1"/>
  <c r="E18" i="106" s="1"/>
  <c r="E10" i="104"/>
  <c r="D10" i="104" s="1"/>
  <c r="E17" i="106" s="1"/>
  <c r="E9" i="104"/>
  <c r="D9" i="104" s="1"/>
  <c r="E16" i="106" s="1"/>
  <c r="F9" i="104" a="1"/>
  <c r="F9" i="104" s="1"/>
  <c r="E8" i="104"/>
  <c r="D8" i="104" s="1"/>
  <c r="E15" i="106" s="1"/>
  <c r="E7" i="104"/>
  <c r="D7" i="104" s="1"/>
  <c r="E14" i="106" s="1"/>
  <c r="F8" i="104" a="1"/>
  <c r="F8" i="104" s="1"/>
  <c r="F10" i="104" a="1"/>
  <c r="F10" i="104" s="1"/>
  <c r="C5" i="106" l="1"/>
  <c r="C26" i="106"/>
  <c r="C40" i="105"/>
  <c r="D40" i="105" s="1"/>
  <c r="C39" i="105"/>
  <c r="D39" i="105" s="1"/>
  <c r="C38" i="105"/>
  <c r="D38" i="105" s="1"/>
  <c r="C37" i="105"/>
  <c r="D37" i="105" s="1"/>
  <c r="C36" i="105"/>
  <c r="D36" i="105" s="1"/>
  <c r="C35" i="105"/>
  <c r="D35" i="105" s="1"/>
  <c r="C34" i="105"/>
  <c r="D34" i="105" s="1"/>
  <c r="C33" i="105"/>
  <c r="D33" i="105" s="1"/>
  <c r="C32" i="105"/>
  <c r="D32" i="105" s="1"/>
  <c r="C31" i="105"/>
  <c r="D31" i="105" s="1"/>
  <c r="C30" i="105"/>
  <c r="D30" i="105" s="1"/>
  <c r="C29" i="105"/>
  <c r="D29" i="105" s="1"/>
  <c r="C28" i="105"/>
  <c r="D28" i="105" s="1"/>
  <c r="C27" i="105"/>
  <c r="D27" i="105" s="1"/>
  <c r="C26" i="105"/>
  <c r="D26" i="105" s="1"/>
  <c r="C25" i="105"/>
  <c r="D25" i="105" s="1"/>
  <c r="C24" i="105"/>
  <c r="D24" i="105" s="1"/>
  <c r="C23" i="105"/>
  <c r="D23" i="105" s="1"/>
  <c r="C22" i="105"/>
  <c r="D22" i="105" s="1"/>
  <c r="C21" i="105"/>
  <c r="D21" i="105" s="1"/>
  <c r="C20" i="105"/>
  <c r="D20" i="105" s="1"/>
  <c r="C19" i="105"/>
  <c r="D19" i="105" s="1"/>
  <c r="C18" i="105"/>
  <c r="D18" i="105" s="1"/>
  <c r="C17" i="105"/>
  <c r="D17" i="105" s="1"/>
  <c r="C16" i="105"/>
  <c r="D16" i="105" s="1"/>
  <c r="C15" i="105"/>
  <c r="D15" i="105" s="1"/>
  <c r="C14" i="105"/>
  <c r="D14" i="105" s="1"/>
  <c r="C13" i="105"/>
  <c r="D13" i="105" s="1"/>
  <c r="C12" i="105"/>
  <c r="D12" i="105" s="1"/>
  <c r="C11" i="105"/>
  <c r="D11" i="105" s="1"/>
  <c r="C10" i="105"/>
  <c r="D10" i="105" s="1"/>
  <c r="G15" i="104"/>
  <c r="G22" i="106" s="1"/>
  <c r="G5" i="106" l="1"/>
  <c r="E6" i="104"/>
  <c r="D6" i="104" s="1"/>
  <c r="E13" i="106" s="1"/>
  <c r="F6" i="104" a="1"/>
  <c r="F6" i="104" s="1"/>
  <c r="G6" i="104" s="1"/>
  <c r="G13" i="106" s="1"/>
  <c r="F5" i="104" a="1"/>
  <c r="F5" i="104" s="1"/>
  <c r="G5" i="104" s="1"/>
  <c r="G12" i="106" s="1"/>
  <c r="E5" i="104"/>
  <c r="D5" i="104" s="1"/>
  <c r="E12" i="106" s="1"/>
  <c r="G13" i="104"/>
  <c r="G20" i="106" s="1"/>
  <c r="G9" i="104"/>
  <c r="G16" i="106" s="1"/>
  <c r="G14" i="104"/>
  <c r="G21" i="106" s="1"/>
  <c r="G11" i="104"/>
  <c r="G18" i="106" s="1"/>
  <c r="G10" i="104"/>
  <c r="G17" i="106" s="1"/>
  <c r="G8" i="104"/>
  <c r="G15" i="106" s="1"/>
  <c r="G7" i="104"/>
  <c r="G14" i="106" s="1"/>
  <c r="F21" i="106"/>
  <c r="F12" i="106" l="1"/>
  <c r="F20" i="106"/>
  <c r="F17" i="106"/>
  <c r="F16" i="106"/>
  <c r="F13" i="106"/>
  <c r="F18" i="106"/>
  <c r="F15" i="106"/>
  <c r="F14" i="106"/>
  <c r="F22" i="106"/>
  <c r="E71" i="1" l="1"/>
  <c r="E421" i="1"/>
  <c r="E418" i="1"/>
  <c r="E415" i="1"/>
  <c r="E410" i="1"/>
  <c r="E281" i="1"/>
  <c r="E280" i="1"/>
  <c r="E277" i="1"/>
  <c r="E275" i="1"/>
  <c r="E274" i="1"/>
  <c r="E269" i="1"/>
  <c r="E268" i="1"/>
  <c r="E265" i="1"/>
  <c r="E240" i="1"/>
  <c r="E239" i="1"/>
  <c r="E234" i="1"/>
  <c r="E233" i="1"/>
  <c r="E229" i="1"/>
  <c r="E146" i="1"/>
  <c r="E144" i="1"/>
  <c r="E143" i="1"/>
  <c r="E142" i="1"/>
  <c r="E141" i="1"/>
  <c r="E140" i="1"/>
  <c r="E139" i="1"/>
  <c r="E138" i="1"/>
  <c r="E137" i="1"/>
  <c r="E136" i="1"/>
  <c r="E135" i="1"/>
  <c r="E134" i="1"/>
  <c r="E133" i="1"/>
  <c r="BS154" i="47" l="1"/>
  <c r="BS155" i="47" s="1"/>
  <c r="BQ154" i="47"/>
  <c r="BQ155" i="47" s="1"/>
  <c r="BO154" i="47"/>
  <c r="BO156" i="47" s="1"/>
  <c r="BO157" i="47" s="1"/>
  <c r="BM154" i="47"/>
  <c r="BM156" i="47" s="1"/>
  <c r="BM157" i="47" s="1"/>
  <c r="BK154" i="47"/>
  <c r="BK155" i="47" s="1"/>
  <c r="BI154" i="47"/>
  <c r="BI155" i="47" s="1"/>
  <c r="BG154" i="47"/>
  <c r="BG156" i="47" s="1"/>
  <c r="BG157" i="47" s="1"/>
  <c r="BE154" i="47"/>
  <c r="BE156" i="47" s="1"/>
  <c r="BE157" i="47" s="1"/>
  <c r="BC154" i="47"/>
  <c r="BC155" i="47" s="1"/>
  <c r="BA154" i="47"/>
  <c r="BA155" i="47" s="1"/>
  <c r="BS149" i="47"/>
  <c r="BS150" i="47" s="1"/>
  <c r="BQ149" i="47"/>
  <c r="BQ150" i="47" s="1"/>
  <c r="BO149" i="47"/>
  <c r="BO151" i="47" s="1"/>
  <c r="BO152" i="47" s="1"/>
  <c r="BM149" i="47"/>
  <c r="BM151" i="47" s="1"/>
  <c r="BM152" i="47" s="1"/>
  <c r="BK149" i="47"/>
  <c r="BK150" i="47" s="1"/>
  <c r="BI149" i="47"/>
  <c r="BI150" i="47" s="1"/>
  <c r="BG149" i="47"/>
  <c r="BG151" i="47" s="1"/>
  <c r="BG152" i="47" s="1"/>
  <c r="BE149" i="47"/>
  <c r="BE151" i="47" s="1"/>
  <c r="BE152" i="47" s="1"/>
  <c r="BC149" i="47"/>
  <c r="BC150" i="47" s="1"/>
  <c r="BA149" i="47"/>
  <c r="BA150" i="47" s="1"/>
  <c r="BS144" i="47"/>
  <c r="BS145" i="47" s="1"/>
  <c r="BQ144" i="47"/>
  <c r="BQ145" i="47" s="1"/>
  <c r="BO144" i="47"/>
  <c r="BO146" i="47" s="1"/>
  <c r="BO147" i="47" s="1"/>
  <c r="BM144" i="47"/>
  <c r="BM146" i="47" s="1"/>
  <c r="BM147" i="47" s="1"/>
  <c r="BK144" i="47"/>
  <c r="BK145" i="47" s="1"/>
  <c r="BI144" i="47"/>
  <c r="BI145" i="47" s="1"/>
  <c r="BG144" i="47"/>
  <c r="BG146" i="47" s="1"/>
  <c r="BG147" i="47" s="1"/>
  <c r="BE144" i="47"/>
  <c r="BE146" i="47" s="1"/>
  <c r="BE147" i="47" s="1"/>
  <c r="BC144" i="47"/>
  <c r="BC145" i="47" s="1"/>
  <c r="BA144" i="47"/>
  <c r="BA145" i="47" s="1"/>
  <c r="BS139" i="47"/>
  <c r="BS140" i="47" s="1"/>
  <c r="BQ139" i="47"/>
  <c r="BQ140" i="47" s="1"/>
  <c r="BO139" i="47"/>
  <c r="BO141" i="47" s="1"/>
  <c r="BO142" i="47" s="1"/>
  <c r="BM139" i="47"/>
  <c r="BM141" i="47" s="1"/>
  <c r="BM142" i="47" s="1"/>
  <c r="BK139" i="47"/>
  <c r="BK140" i="47" s="1"/>
  <c r="BI139" i="47"/>
  <c r="BI140" i="47" s="1"/>
  <c r="BG139" i="47"/>
  <c r="BG141" i="47" s="1"/>
  <c r="BG142" i="47" s="1"/>
  <c r="BE139" i="47"/>
  <c r="BE141" i="47" s="1"/>
  <c r="BE142" i="47" s="1"/>
  <c r="BC139" i="47"/>
  <c r="BC140" i="47" s="1"/>
  <c r="BA139" i="47"/>
  <c r="BA140" i="47" s="1"/>
  <c r="BS134" i="47"/>
  <c r="BS135" i="47" s="1"/>
  <c r="BQ134" i="47"/>
  <c r="BQ135" i="47" s="1"/>
  <c r="BO134" i="47"/>
  <c r="BO136" i="47" s="1"/>
  <c r="BO137" i="47" s="1"/>
  <c r="BM134" i="47"/>
  <c r="BM136" i="47" s="1"/>
  <c r="BM137" i="47" s="1"/>
  <c r="BK134" i="47"/>
  <c r="BK135" i="47" s="1"/>
  <c r="BI134" i="47"/>
  <c r="BI135" i="47" s="1"/>
  <c r="BG134" i="47"/>
  <c r="BG136" i="47" s="1"/>
  <c r="BG137" i="47" s="1"/>
  <c r="BE134" i="47"/>
  <c r="BE136" i="47" s="1"/>
  <c r="BE137" i="47" s="1"/>
  <c r="BC134" i="47"/>
  <c r="BC135" i="47" s="1"/>
  <c r="BA134" i="47"/>
  <c r="BA135" i="47" s="1"/>
  <c r="BS129" i="47"/>
  <c r="BS130" i="47" s="1"/>
  <c r="BQ129" i="47"/>
  <c r="BQ130" i="47" s="1"/>
  <c r="BO129" i="47"/>
  <c r="BO131" i="47" s="1"/>
  <c r="BO132" i="47" s="1"/>
  <c r="BM129" i="47"/>
  <c r="BM131" i="47" s="1"/>
  <c r="BM132" i="47" s="1"/>
  <c r="BK129" i="47"/>
  <c r="BK130" i="47" s="1"/>
  <c r="BI129" i="47"/>
  <c r="BI130" i="47" s="1"/>
  <c r="BG129" i="47"/>
  <c r="BG131" i="47" s="1"/>
  <c r="BG132" i="47" s="1"/>
  <c r="BE129" i="47"/>
  <c r="BE131" i="47" s="1"/>
  <c r="BE132" i="47" s="1"/>
  <c r="BC129" i="47"/>
  <c r="BC130" i="47" s="1"/>
  <c r="BA129" i="47"/>
  <c r="BA130" i="47" s="1"/>
  <c r="BS124" i="47"/>
  <c r="BS125" i="47" s="1"/>
  <c r="BQ124" i="47"/>
  <c r="BQ125" i="47" s="1"/>
  <c r="BO124" i="47"/>
  <c r="BO126" i="47" s="1"/>
  <c r="BO127" i="47" s="1"/>
  <c r="BM124" i="47"/>
  <c r="BM126" i="47" s="1"/>
  <c r="BM127" i="47" s="1"/>
  <c r="BK124" i="47"/>
  <c r="BK125" i="47" s="1"/>
  <c r="BI124" i="47"/>
  <c r="BI125" i="47" s="1"/>
  <c r="BG124" i="47"/>
  <c r="BG126" i="47" s="1"/>
  <c r="BG127" i="47" s="1"/>
  <c r="BE124" i="47"/>
  <c r="BE126" i="47" s="1"/>
  <c r="BE127" i="47" s="1"/>
  <c r="BC124" i="47"/>
  <c r="BC125" i="47" s="1"/>
  <c r="BA124" i="47"/>
  <c r="BA125" i="47" s="1"/>
  <c r="BS119" i="47"/>
  <c r="BS120" i="47" s="1"/>
  <c r="BQ119" i="47"/>
  <c r="BQ120" i="47" s="1"/>
  <c r="BO119" i="47"/>
  <c r="BO121" i="47" s="1"/>
  <c r="BO122" i="47" s="1"/>
  <c r="BM119" i="47"/>
  <c r="BM121" i="47" s="1"/>
  <c r="BM122" i="47" s="1"/>
  <c r="BK119" i="47"/>
  <c r="BK120" i="47" s="1"/>
  <c r="BI119" i="47"/>
  <c r="BI120" i="47" s="1"/>
  <c r="BG119" i="47"/>
  <c r="BG121" i="47" s="1"/>
  <c r="BG122" i="47" s="1"/>
  <c r="BE119" i="47"/>
  <c r="BE121" i="47" s="1"/>
  <c r="BE122" i="47" s="1"/>
  <c r="BC119" i="47"/>
  <c r="BC120" i="47" s="1"/>
  <c r="BA119" i="47"/>
  <c r="BA120" i="47" s="1"/>
  <c r="BS114" i="47"/>
  <c r="BS115" i="47" s="1"/>
  <c r="BQ114" i="47"/>
  <c r="BQ115" i="47" s="1"/>
  <c r="BO114" i="47"/>
  <c r="BO116" i="47" s="1"/>
  <c r="BO117" i="47" s="1"/>
  <c r="BM114" i="47"/>
  <c r="BM116" i="47" s="1"/>
  <c r="BM117" i="47" s="1"/>
  <c r="BK114" i="47"/>
  <c r="BK115" i="47" s="1"/>
  <c r="BI114" i="47"/>
  <c r="BI115" i="47" s="1"/>
  <c r="BG114" i="47"/>
  <c r="BG116" i="47" s="1"/>
  <c r="BG117" i="47" s="1"/>
  <c r="BE114" i="47"/>
  <c r="BE116" i="47" s="1"/>
  <c r="BE117" i="47" s="1"/>
  <c r="BC114" i="47"/>
  <c r="BC115" i="47" s="1"/>
  <c r="BA114" i="47"/>
  <c r="BA115" i="47" s="1"/>
  <c r="BS109" i="47"/>
  <c r="BS110" i="47" s="1"/>
  <c r="BQ109" i="47"/>
  <c r="BQ110" i="47" s="1"/>
  <c r="BO109" i="47"/>
  <c r="BO111" i="47" s="1"/>
  <c r="BO112" i="47" s="1"/>
  <c r="BM109" i="47"/>
  <c r="BM111" i="47" s="1"/>
  <c r="BM112" i="47" s="1"/>
  <c r="BK109" i="47"/>
  <c r="BK110" i="47" s="1"/>
  <c r="BI109" i="47"/>
  <c r="BI110" i="47" s="1"/>
  <c r="BG109" i="47"/>
  <c r="BG111" i="47" s="1"/>
  <c r="BG112" i="47" s="1"/>
  <c r="BE109" i="47"/>
  <c r="BE111" i="47" s="1"/>
  <c r="BE112" i="47" s="1"/>
  <c r="BC109" i="47"/>
  <c r="BC110" i="47" s="1"/>
  <c r="BA109" i="47"/>
  <c r="BA110" i="47" s="1"/>
  <c r="BS104" i="47"/>
  <c r="BS106" i="47" s="1"/>
  <c r="BS107" i="47" s="1"/>
  <c r="BQ104" i="47"/>
  <c r="BQ105" i="47" s="1"/>
  <c r="BO104" i="47"/>
  <c r="BO106" i="47" s="1"/>
  <c r="BO107" i="47" s="1"/>
  <c r="BM104" i="47"/>
  <c r="BM106" i="47" s="1"/>
  <c r="BM107" i="47" s="1"/>
  <c r="BK104" i="47"/>
  <c r="BK106" i="47" s="1"/>
  <c r="BK107" i="47" s="1"/>
  <c r="BI104" i="47"/>
  <c r="BI105" i="47" s="1"/>
  <c r="BG104" i="47"/>
  <c r="BG106" i="47" s="1"/>
  <c r="BG107" i="47" s="1"/>
  <c r="BE104" i="47"/>
  <c r="BE105" i="47" s="1"/>
  <c r="BC104" i="47"/>
  <c r="BC106" i="47" s="1"/>
  <c r="BC107" i="47" s="1"/>
  <c r="BA104" i="47"/>
  <c r="BA106" i="47" s="1"/>
  <c r="BA107" i="47" s="1"/>
  <c r="BS99" i="47"/>
  <c r="BS100" i="47" s="1"/>
  <c r="BQ99" i="47"/>
  <c r="BQ101" i="47" s="1"/>
  <c r="BQ102" i="47" s="1"/>
  <c r="BO99" i="47"/>
  <c r="BO101" i="47" s="1"/>
  <c r="BO102" i="47" s="1"/>
  <c r="BM99" i="47"/>
  <c r="BM101" i="47" s="1"/>
  <c r="BM102" i="47" s="1"/>
  <c r="BK99" i="47"/>
  <c r="BK100" i="47" s="1"/>
  <c r="BI99" i="47"/>
  <c r="BI101" i="47" s="1"/>
  <c r="BI102" i="47" s="1"/>
  <c r="BG99" i="47"/>
  <c r="BG101" i="47" s="1"/>
  <c r="BG102" i="47" s="1"/>
  <c r="BE99" i="47"/>
  <c r="BE101" i="47" s="1"/>
  <c r="BE102" i="47" s="1"/>
  <c r="BC99" i="47"/>
  <c r="BC100" i="47" s="1"/>
  <c r="BA99" i="47"/>
  <c r="BA101" i="47" s="1"/>
  <c r="BA102" i="47" s="1"/>
  <c r="BS94" i="47"/>
  <c r="BS95" i="47" s="1"/>
  <c r="BQ94" i="47"/>
  <c r="BQ96" i="47" s="1"/>
  <c r="BQ97" i="47" s="1"/>
  <c r="BO94" i="47"/>
  <c r="BO96" i="47" s="1"/>
  <c r="BO97" i="47" s="1"/>
  <c r="BM94" i="47"/>
  <c r="BM96" i="47" s="1"/>
  <c r="BM97" i="47" s="1"/>
  <c r="BK94" i="47"/>
  <c r="BK95" i="47" s="1"/>
  <c r="BI94" i="47"/>
  <c r="BI96" i="47" s="1"/>
  <c r="BI97" i="47" s="1"/>
  <c r="BG94" i="47"/>
  <c r="BG96" i="47" s="1"/>
  <c r="BG97" i="47" s="1"/>
  <c r="BE94" i="47"/>
  <c r="BE96" i="47" s="1"/>
  <c r="BE97" i="47" s="1"/>
  <c r="BC94" i="47"/>
  <c r="BC95" i="47" s="1"/>
  <c r="BA94" i="47"/>
  <c r="BA96" i="47" s="1"/>
  <c r="BA97" i="47" s="1"/>
  <c r="BS89" i="47"/>
  <c r="BS90" i="47" s="1"/>
  <c r="BQ89" i="47"/>
  <c r="BQ91" i="47" s="1"/>
  <c r="BQ92" i="47" s="1"/>
  <c r="BO89" i="47"/>
  <c r="BO91" i="47" s="1"/>
  <c r="BO92" i="47" s="1"/>
  <c r="BM89" i="47"/>
  <c r="BM91" i="47" s="1"/>
  <c r="BM92" i="47" s="1"/>
  <c r="BK89" i="47"/>
  <c r="BK90" i="47" s="1"/>
  <c r="BI89" i="47"/>
  <c r="BI91" i="47" s="1"/>
  <c r="BI92" i="47" s="1"/>
  <c r="BG89" i="47"/>
  <c r="BG91" i="47" s="1"/>
  <c r="BG92" i="47" s="1"/>
  <c r="BE89" i="47"/>
  <c r="BE91" i="47" s="1"/>
  <c r="BE92" i="47" s="1"/>
  <c r="BC89" i="47"/>
  <c r="BC90" i="47" s="1"/>
  <c r="BA89" i="47"/>
  <c r="BA91" i="47" s="1"/>
  <c r="BA92" i="47" s="1"/>
  <c r="BS84" i="47"/>
  <c r="BS85" i="47" s="1"/>
  <c r="BQ84" i="47"/>
  <c r="BQ86" i="47" s="1"/>
  <c r="BQ87" i="47" s="1"/>
  <c r="BO84" i="47"/>
  <c r="BO86" i="47" s="1"/>
  <c r="BO87" i="47" s="1"/>
  <c r="BM84" i="47"/>
  <c r="BM86" i="47" s="1"/>
  <c r="BM87" i="47" s="1"/>
  <c r="BK84" i="47"/>
  <c r="BK85" i="47" s="1"/>
  <c r="BI84" i="47"/>
  <c r="BI86" i="47" s="1"/>
  <c r="BI87" i="47" s="1"/>
  <c r="BG84" i="47"/>
  <c r="BG86" i="47" s="1"/>
  <c r="BG87" i="47" s="1"/>
  <c r="BE84" i="47"/>
  <c r="BE86" i="47" s="1"/>
  <c r="BE87" i="47" s="1"/>
  <c r="BC84" i="47"/>
  <c r="BC85" i="47" s="1"/>
  <c r="BA84" i="47"/>
  <c r="BA86" i="47" s="1"/>
  <c r="BA87" i="47" s="1"/>
  <c r="BS79" i="47"/>
  <c r="BS80" i="47" s="1"/>
  <c r="BQ79" i="47"/>
  <c r="BQ81" i="47" s="1"/>
  <c r="BQ82" i="47" s="1"/>
  <c r="BO79" i="47"/>
  <c r="BO81" i="47" s="1"/>
  <c r="BO82" i="47" s="1"/>
  <c r="BM79" i="47"/>
  <c r="BM81" i="47" s="1"/>
  <c r="BM82" i="47" s="1"/>
  <c r="BK79" i="47"/>
  <c r="BK80" i="47" s="1"/>
  <c r="BI79" i="47"/>
  <c r="BI81" i="47" s="1"/>
  <c r="BI82" i="47" s="1"/>
  <c r="BG79" i="47"/>
  <c r="BG81" i="47" s="1"/>
  <c r="BG82" i="47" s="1"/>
  <c r="BE79" i="47"/>
  <c r="BE81" i="47" s="1"/>
  <c r="BE82" i="47" s="1"/>
  <c r="BC79" i="47"/>
  <c r="BC80" i="47" s="1"/>
  <c r="BA79" i="47"/>
  <c r="BA81" i="47" s="1"/>
  <c r="BA82" i="47" s="1"/>
  <c r="BS74" i="47"/>
  <c r="BQ74" i="47"/>
  <c r="BQ76" i="47" s="1"/>
  <c r="BQ77" i="47" s="1"/>
  <c r="BO74" i="47"/>
  <c r="BO76" i="47" s="1"/>
  <c r="BO77" i="47" s="1"/>
  <c r="BM74" i="47"/>
  <c r="BM76" i="47" s="1"/>
  <c r="BM77" i="47" s="1"/>
  <c r="BK74" i="47"/>
  <c r="BI74" i="47"/>
  <c r="BI76" i="47" s="1"/>
  <c r="BI77" i="47" s="1"/>
  <c r="BG74" i="47"/>
  <c r="BG76" i="47" s="1"/>
  <c r="BG77" i="47" s="1"/>
  <c r="BE74" i="47"/>
  <c r="BE76" i="47" s="1"/>
  <c r="BE77" i="47" s="1"/>
  <c r="BC74" i="47"/>
  <c r="BA74" i="47"/>
  <c r="BA76" i="47" s="1"/>
  <c r="BA77" i="47" s="1"/>
  <c r="BS69" i="47"/>
  <c r="BS70" i="47" s="1"/>
  <c r="BQ69" i="47"/>
  <c r="BQ71" i="47" s="1"/>
  <c r="BQ72" i="47" s="1"/>
  <c r="BO69" i="47"/>
  <c r="BO71" i="47" s="1"/>
  <c r="BO72" i="47" s="1"/>
  <c r="BM69" i="47"/>
  <c r="BM71" i="47" s="1"/>
  <c r="BM72" i="47" s="1"/>
  <c r="BK69" i="47"/>
  <c r="BK70" i="47" s="1"/>
  <c r="BI69" i="47"/>
  <c r="BI71" i="47" s="1"/>
  <c r="BI72" i="47" s="1"/>
  <c r="BG69" i="47"/>
  <c r="BG71" i="47" s="1"/>
  <c r="BG72" i="47" s="1"/>
  <c r="BE69" i="47"/>
  <c r="BE71" i="47" s="1"/>
  <c r="BE72" i="47" s="1"/>
  <c r="BC69" i="47"/>
  <c r="BC70" i="47" s="1"/>
  <c r="BA69" i="47"/>
  <c r="BA70" i="47" s="1"/>
  <c r="BS64" i="47"/>
  <c r="BS66" i="47" s="1"/>
  <c r="BS67" i="47" s="1"/>
  <c r="BQ64" i="47"/>
  <c r="BQ65" i="47" s="1"/>
  <c r="BO64" i="47"/>
  <c r="BO65" i="47" s="1"/>
  <c r="BM64" i="47"/>
  <c r="BM66" i="47" s="1"/>
  <c r="BM67" i="47" s="1"/>
  <c r="BK64" i="47"/>
  <c r="BK66" i="47" s="1"/>
  <c r="BK67" i="47" s="1"/>
  <c r="BI64" i="47"/>
  <c r="BI65" i="47" s="1"/>
  <c r="BG64" i="47"/>
  <c r="BG65" i="47" s="1"/>
  <c r="BE64" i="47"/>
  <c r="BE66" i="47" s="1"/>
  <c r="BE67" i="47" s="1"/>
  <c r="BC64" i="47"/>
  <c r="BC66" i="47" s="1"/>
  <c r="BC67" i="47" s="1"/>
  <c r="BA64" i="47"/>
  <c r="BA65" i="47" s="1"/>
  <c r="BS59" i="47"/>
  <c r="BS61" i="47" s="1"/>
  <c r="BS62" i="47" s="1"/>
  <c r="BQ59" i="47"/>
  <c r="BQ60" i="47" s="1"/>
  <c r="BO59" i="47"/>
  <c r="BO60" i="47" s="1"/>
  <c r="BM59" i="47"/>
  <c r="BM61" i="47" s="1"/>
  <c r="BM62" i="47" s="1"/>
  <c r="BK59" i="47"/>
  <c r="BK61" i="47" s="1"/>
  <c r="BK62" i="47" s="1"/>
  <c r="BI59" i="47"/>
  <c r="BI60" i="47" s="1"/>
  <c r="BG59" i="47"/>
  <c r="BG61" i="47" s="1"/>
  <c r="BG62" i="47" s="1"/>
  <c r="BE59" i="47"/>
  <c r="BE61" i="47" s="1"/>
  <c r="BE62" i="47" s="1"/>
  <c r="BC59" i="47"/>
  <c r="BC61" i="47" s="1"/>
  <c r="BC62" i="47" s="1"/>
  <c r="BA59" i="47"/>
  <c r="BA60" i="47" s="1"/>
  <c r="BS54" i="47"/>
  <c r="BS56" i="47" s="1"/>
  <c r="BS57" i="47" s="1"/>
  <c r="BQ54" i="47"/>
  <c r="BO54" i="47"/>
  <c r="BO55" i="47" s="1"/>
  <c r="BM54" i="47"/>
  <c r="BK54" i="47"/>
  <c r="BK56" i="47" s="1"/>
  <c r="BK57" i="47" s="1"/>
  <c r="BI54" i="47"/>
  <c r="BG54" i="47"/>
  <c r="BG55" i="47" s="1"/>
  <c r="BE54" i="47"/>
  <c r="BE56" i="47" s="1"/>
  <c r="BE57" i="47" s="1"/>
  <c r="BC54" i="47"/>
  <c r="BC55" i="47" s="1"/>
  <c r="BA54" i="47"/>
  <c r="BA56" i="47" s="1"/>
  <c r="BA57" i="47" s="1"/>
  <c r="BS49" i="47"/>
  <c r="BS50" i="47" s="1"/>
  <c r="BQ49" i="47"/>
  <c r="BQ51" i="47" s="1"/>
  <c r="BQ52" i="47" s="1"/>
  <c r="BO49" i="47"/>
  <c r="BO51" i="47" s="1"/>
  <c r="BO52" i="47" s="1"/>
  <c r="BM49" i="47"/>
  <c r="BM50" i="47" s="1"/>
  <c r="BK49" i="47"/>
  <c r="BK50" i="47" s="1"/>
  <c r="BI49" i="47"/>
  <c r="BI51" i="47" s="1"/>
  <c r="BI52" i="47" s="1"/>
  <c r="BG49" i="47"/>
  <c r="BG51" i="47" s="1"/>
  <c r="BG52" i="47" s="1"/>
  <c r="BE49" i="47"/>
  <c r="BE50" i="47" s="1"/>
  <c r="BC49" i="47"/>
  <c r="BC50" i="47" s="1"/>
  <c r="BA49" i="47"/>
  <c r="BA51" i="47" s="1"/>
  <c r="BA52" i="47" s="1"/>
  <c r="BS44" i="47"/>
  <c r="BS45" i="47" s="1"/>
  <c r="BQ44" i="47"/>
  <c r="BQ46" i="47" s="1"/>
  <c r="BQ47" i="47" s="1"/>
  <c r="BO44" i="47"/>
  <c r="BO46" i="47" s="1"/>
  <c r="BO47" i="47" s="1"/>
  <c r="BM44" i="47"/>
  <c r="BM45" i="47" s="1"/>
  <c r="BK44" i="47"/>
  <c r="BK45" i="47" s="1"/>
  <c r="BI44" i="47"/>
  <c r="BI46" i="47" s="1"/>
  <c r="BI47" i="47" s="1"/>
  <c r="BG44" i="47"/>
  <c r="BG46" i="47" s="1"/>
  <c r="BG47" i="47" s="1"/>
  <c r="BE44" i="47"/>
  <c r="BE45" i="47" s="1"/>
  <c r="BC44" i="47"/>
  <c r="BC45" i="47" s="1"/>
  <c r="BA44" i="47"/>
  <c r="BS39" i="47"/>
  <c r="BS40" i="47" s="1"/>
  <c r="BQ39" i="47"/>
  <c r="BQ41" i="47" s="1"/>
  <c r="BQ42" i="47" s="1"/>
  <c r="BO39" i="47"/>
  <c r="BO41" i="47" s="1"/>
  <c r="BO42" i="47" s="1"/>
  <c r="BM39" i="47"/>
  <c r="BM41" i="47" s="1"/>
  <c r="BM42" i="47" s="1"/>
  <c r="BK39" i="47"/>
  <c r="BK40" i="47" s="1"/>
  <c r="BI39" i="47"/>
  <c r="BI40" i="47" s="1"/>
  <c r="BG39" i="47"/>
  <c r="BG41" i="47" s="1"/>
  <c r="BG42" i="47" s="1"/>
  <c r="BE39" i="47"/>
  <c r="BE41" i="47" s="1"/>
  <c r="BE42" i="47" s="1"/>
  <c r="BC39" i="47"/>
  <c r="BC40" i="47" s="1"/>
  <c r="BA39" i="47"/>
  <c r="BA41" i="47" s="1"/>
  <c r="BA42" i="47" s="1"/>
  <c r="BS34" i="47"/>
  <c r="BS35" i="47" s="1"/>
  <c r="BQ34" i="47"/>
  <c r="BQ35" i="47" s="1"/>
  <c r="BO34" i="47"/>
  <c r="BO36" i="47" s="1"/>
  <c r="BO37" i="47" s="1"/>
  <c r="BM34" i="47"/>
  <c r="BM36" i="47" s="1"/>
  <c r="BM37" i="47" s="1"/>
  <c r="BK34" i="47"/>
  <c r="BK35" i="47" s="1"/>
  <c r="BI34" i="47"/>
  <c r="BI35" i="47" s="1"/>
  <c r="BG34" i="47"/>
  <c r="BG36" i="47" s="1"/>
  <c r="BG37" i="47" s="1"/>
  <c r="BE34" i="47"/>
  <c r="BE36" i="47" s="1"/>
  <c r="BE37" i="47" s="1"/>
  <c r="BC34" i="47"/>
  <c r="BC35" i="47" s="1"/>
  <c r="BA34" i="47"/>
  <c r="BA35" i="47" s="1"/>
  <c r="BS29" i="47"/>
  <c r="BS30" i="47" s="1"/>
  <c r="BQ29" i="47"/>
  <c r="BQ30" i="47" s="1"/>
  <c r="BO29" i="47"/>
  <c r="BO31" i="47" s="1"/>
  <c r="BO32" i="47" s="1"/>
  <c r="BM29" i="47"/>
  <c r="BM31" i="47" s="1"/>
  <c r="BM32" i="47" s="1"/>
  <c r="BK29" i="47"/>
  <c r="BK30" i="47" s="1"/>
  <c r="BI29" i="47"/>
  <c r="BI31" i="47" s="1"/>
  <c r="BI32" i="47" s="1"/>
  <c r="BG29" i="47"/>
  <c r="BG31" i="47" s="1"/>
  <c r="BG32" i="47" s="1"/>
  <c r="BE29" i="47"/>
  <c r="BE30" i="47" s="1"/>
  <c r="BC29" i="47"/>
  <c r="BC30" i="47" s="1"/>
  <c r="BA29" i="47"/>
  <c r="BA30" i="47" s="1"/>
  <c r="BS24" i="47"/>
  <c r="BS25" i="47" s="1"/>
  <c r="BQ24" i="47"/>
  <c r="BQ25" i="47" s="1"/>
  <c r="BO24" i="47"/>
  <c r="BO26" i="47" s="1"/>
  <c r="BO27" i="47" s="1"/>
  <c r="BM24" i="47"/>
  <c r="BM26" i="47" s="1"/>
  <c r="BM27" i="47" s="1"/>
  <c r="BK24" i="47"/>
  <c r="BK25" i="47" s="1"/>
  <c r="BI24" i="47"/>
  <c r="BI25" i="47" s="1"/>
  <c r="BG24" i="47"/>
  <c r="BG26" i="47" s="1"/>
  <c r="BG27" i="47" s="1"/>
  <c r="BE24" i="47"/>
  <c r="BE26" i="47" s="1"/>
  <c r="BE27" i="47" s="1"/>
  <c r="BC24" i="47"/>
  <c r="BC25" i="47" s="1"/>
  <c r="BA24" i="47"/>
  <c r="BA25" i="47" s="1"/>
  <c r="BS19" i="47"/>
  <c r="BS20" i="47" s="1"/>
  <c r="BQ19" i="47"/>
  <c r="BQ21" i="47" s="1"/>
  <c r="BQ22" i="47" s="1"/>
  <c r="BO19" i="47"/>
  <c r="BO21" i="47" s="1"/>
  <c r="BO22" i="47" s="1"/>
  <c r="BM19" i="47"/>
  <c r="BM21" i="47" s="1"/>
  <c r="BM22" i="47" s="1"/>
  <c r="BK19" i="47"/>
  <c r="BK20" i="47" s="1"/>
  <c r="BI19" i="47"/>
  <c r="BI20" i="47" s="1"/>
  <c r="BG19" i="47"/>
  <c r="BG21" i="47" s="1"/>
  <c r="BG22" i="47" s="1"/>
  <c r="BE19" i="47"/>
  <c r="BE21" i="47" s="1"/>
  <c r="BE22" i="47" s="1"/>
  <c r="BC19" i="47"/>
  <c r="BC20" i="47" s="1"/>
  <c r="BA19" i="47"/>
  <c r="BA21" i="47" s="1"/>
  <c r="BA22" i="47" s="1"/>
  <c r="BS14" i="47"/>
  <c r="BS15" i="47" s="1"/>
  <c r="BQ14" i="47"/>
  <c r="BQ15" i="47" s="1"/>
  <c r="BO14" i="47"/>
  <c r="BO16" i="47" s="1"/>
  <c r="BO17" i="47" s="1"/>
  <c r="BM14" i="47"/>
  <c r="BM16" i="47" s="1"/>
  <c r="BM17" i="47" s="1"/>
  <c r="BK14" i="47"/>
  <c r="BK15" i="47" s="1"/>
  <c r="BI14" i="47"/>
  <c r="BI15" i="47" s="1"/>
  <c r="BG14" i="47"/>
  <c r="BG16" i="47" s="1"/>
  <c r="BG17" i="47" s="1"/>
  <c r="BE14" i="47"/>
  <c r="BE16" i="47" s="1"/>
  <c r="BE17" i="47" s="1"/>
  <c r="BC14" i="47"/>
  <c r="BC15" i="47" s="1"/>
  <c r="BA14" i="47"/>
  <c r="BA15" i="47" s="1"/>
  <c r="BS9" i="47"/>
  <c r="BS10" i="47" s="1"/>
  <c r="BQ9" i="47"/>
  <c r="BQ10" i="47" s="1"/>
  <c r="BO9" i="47"/>
  <c r="BO11" i="47" s="1"/>
  <c r="BO12" i="47" s="1"/>
  <c r="BM9" i="47"/>
  <c r="BM11" i="47" s="1"/>
  <c r="BM12" i="47" s="1"/>
  <c r="BK9" i="47"/>
  <c r="BK10" i="47" s="1"/>
  <c r="BI9" i="47"/>
  <c r="BI11" i="47" s="1"/>
  <c r="BI12" i="47" s="1"/>
  <c r="BG9" i="47"/>
  <c r="BG11" i="47" s="1"/>
  <c r="BG12" i="47" s="1"/>
  <c r="BE9" i="47"/>
  <c r="BE11" i="47" s="1"/>
  <c r="BE12" i="47" s="1"/>
  <c r="BC9" i="47"/>
  <c r="BC10" i="47" s="1"/>
  <c r="BA9" i="47"/>
  <c r="BA10" i="47" s="1"/>
  <c r="BS4" i="47"/>
  <c r="BS6" i="47" s="1"/>
  <c r="BS7" i="47" s="1"/>
  <c r="BQ4" i="47"/>
  <c r="BQ6" i="47" s="1"/>
  <c r="BQ7" i="47" s="1"/>
  <c r="BO4" i="47"/>
  <c r="BO5" i="47" s="1"/>
  <c r="BM4" i="47"/>
  <c r="BM5" i="47" s="1"/>
  <c r="BK4" i="47"/>
  <c r="BK6" i="47" s="1"/>
  <c r="BK7" i="47" s="1"/>
  <c r="BI4" i="47"/>
  <c r="BI6" i="47" s="1"/>
  <c r="BI7" i="47" s="1"/>
  <c r="BG4" i="47"/>
  <c r="BG5" i="47" s="1"/>
  <c r="BE4" i="47"/>
  <c r="BE5" i="47" s="1"/>
  <c r="BC4" i="47"/>
  <c r="BC6" i="47" s="1"/>
  <c r="BC7" i="47" s="1"/>
  <c r="BA4" i="47"/>
  <c r="BA6" i="47" s="1"/>
  <c r="BA7" i="47" s="1"/>
  <c r="AG170" i="47"/>
  <c r="AF170" i="47"/>
  <c r="AE170" i="47"/>
  <c r="AD170" i="47"/>
  <c r="AC170" i="47"/>
  <c r="AB170" i="47"/>
  <c r="AA170" i="47"/>
  <c r="Z170" i="47"/>
  <c r="Y170" i="47"/>
  <c r="X170" i="47"/>
  <c r="W170" i="47"/>
  <c r="V170" i="47"/>
  <c r="U170" i="47"/>
  <c r="T170" i="47"/>
  <c r="S170" i="47"/>
  <c r="R170" i="47"/>
  <c r="Q170" i="47"/>
  <c r="P170" i="47"/>
  <c r="O170" i="47"/>
  <c r="N170" i="47"/>
  <c r="M170" i="47"/>
  <c r="L170" i="47"/>
  <c r="K170" i="47"/>
  <c r="J170" i="47"/>
  <c r="I170" i="47"/>
  <c r="H170" i="47"/>
  <c r="G170" i="47"/>
  <c r="F170" i="47"/>
  <c r="E170" i="47"/>
  <c r="D170" i="47"/>
  <c r="C170" i="47"/>
  <c r="AG168" i="47"/>
  <c r="AF168" i="47"/>
  <c r="AE168" i="47"/>
  <c r="AD168" i="47"/>
  <c r="AC168" i="47"/>
  <c r="AB168" i="47"/>
  <c r="AA168" i="47"/>
  <c r="Z168" i="47"/>
  <c r="Y168" i="47"/>
  <c r="X168" i="47"/>
  <c r="W168" i="47"/>
  <c r="V168" i="47"/>
  <c r="U168" i="47"/>
  <c r="T168" i="47"/>
  <c r="S168" i="47"/>
  <c r="R168" i="47"/>
  <c r="Q168" i="47"/>
  <c r="P168" i="47"/>
  <c r="O168" i="47"/>
  <c r="N168" i="47"/>
  <c r="M168" i="47"/>
  <c r="L168" i="47"/>
  <c r="K168" i="47"/>
  <c r="J168" i="47"/>
  <c r="I168" i="47"/>
  <c r="H168" i="47"/>
  <c r="G168" i="47"/>
  <c r="F168" i="47"/>
  <c r="E168" i="47"/>
  <c r="D168" i="47"/>
  <c r="C168" i="47"/>
  <c r="AE166" i="47"/>
  <c r="S166" i="47"/>
  <c r="C166" i="47"/>
  <c r="C159" i="47"/>
  <c r="AY154" i="47"/>
  <c r="AY156" i="47" s="1"/>
  <c r="AY157" i="47" s="1"/>
  <c r="AW154" i="47"/>
  <c r="AU154" i="47"/>
  <c r="AU155" i="47" s="1"/>
  <c r="AS154" i="47"/>
  <c r="AS156" i="47" s="1"/>
  <c r="AS157" i="47" s="1"/>
  <c r="AQ154" i="47"/>
  <c r="AQ155" i="47" s="1"/>
  <c r="AO154" i="47"/>
  <c r="AM154" i="47"/>
  <c r="AM156" i="47" s="1"/>
  <c r="AM157" i="47" s="1"/>
  <c r="AK154" i="47"/>
  <c r="AK156" i="47" s="1"/>
  <c r="AK157" i="47" s="1"/>
  <c r="AI154" i="47"/>
  <c r="AI156" i="47" s="1"/>
  <c r="AI157" i="47" s="1"/>
  <c r="AG154" i="47"/>
  <c r="AE154" i="47"/>
  <c r="AE155" i="47" s="1"/>
  <c r="AC154" i="47"/>
  <c r="AC156" i="47" s="1"/>
  <c r="AC157" i="47" s="1"/>
  <c r="AA154" i="47"/>
  <c r="AA155" i="47" s="1"/>
  <c r="Y154" i="47"/>
  <c r="W154" i="47"/>
  <c r="W156" i="47" s="1"/>
  <c r="W157" i="47" s="1"/>
  <c r="U154" i="47"/>
  <c r="U156" i="47" s="1"/>
  <c r="U157" i="47" s="1"/>
  <c r="S154" i="47"/>
  <c r="S156" i="47" s="1"/>
  <c r="S157" i="47" s="1"/>
  <c r="Q154" i="47"/>
  <c r="O154" i="47"/>
  <c r="O155" i="47" s="1"/>
  <c r="M154" i="47"/>
  <c r="M156" i="47" s="1"/>
  <c r="M157" i="47" s="1"/>
  <c r="K154" i="47"/>
  <c r="K155" i="47" s="1"/>
  <c r="I154" i="47"/>
  <c r="G154" i="47"/>
  <c r="G155" i="47" s="1"/>
  <c r="E154" i="47"/>
  <c r="C154" i="47"/>
  <c r="C156" i="47" s="1"/>
  <c r="C157" i="47" s="1"/>
  <c r="BV153" i="47"/>
  <c r="BU153" i="47"/>
  <c r="AY149" i="47"/>
  <c r="AY151" i="47" s="1"/>
  <c r="AY152" i="47" s="1"/>
  <c r="AW149" i="47"/>
  <c r="AW151" i="47" s="1"/>
  <c r="AW152" i="47" s="1"/>
  <c r="AU149" i="47"/>
  <c r="AU151" i="47" s="1"/>
  <c r="AU152" i="47" s="1"/>
  <c r="AS149" i="47"/>
  <c r="AS151" i="47" s="1"/>
  <c r="AS152" i="47" s="1"/>
  <c r="AQ149" i="47"/>
  <c r="AQ150" i="47" s="1"/>
  <c r="AO149" i="47"/>
  <c r="AO151" i="47" s="1"/>
  <c r="AO152" i="47" s="1"/>
  <c r="AM149" i="47"/>
  <c r="AM151" i="47" s="1"/>
  <c r="AM152" i="47" s="1"/>
  <c r="AK149" i="47"/>
  <c r="AK151" i="47" s="1"/>
  <c r="AK152" i="47" s="1"/>
  <c r="AI149" i="47"/>
  <c r="AI151" i="47" s="1"/>
  <c r="AI152" i="47" s="1"/>
  <c r="AG149" i="47"/>
  <c r="AG150" i="47" s="1"/>
  <c r="AE149" i="47"/>
  <c r="AE151" i="47" s="1"/>
  <c r="AE152" i="47" s="1"/>
  <c r="AC149" i="47"/>
  <c r="AC151" i="47" s="1"/>
  <c r="AC152" i="47" s="1"/>
  <c r="AA149" i="47"/>
  <c r="AA150" i="47" s="1"/>
  <c r="Y149" i="47"/>
  <c r="Y151" i="47" s="1"/>
  <c r="Y152" i="47" s="1"/>
  <c r="W149" i="47"/>
  <c r="W151" i="47" s="1"/>
  <c r="W152" i="47" s="1"/>
  <c r="U149" i="47"/>
  <c r="U151" i="47" s="1"/>
  <c r="U152" i="47" s="1"/>
  <c r="S149" i="47"/>
  <c r="S151" i="47" s="1"/>
  <c r="S152" i="47" s="1"/>
  <c r="Q149" i="47"/>
  <c r="Q151" i="47" s="1"/>
  <c r="Q152" i="47" s="1"/>
  <c r="O149" i="47"/>
  <c r="O151" i="47" s="1"/>
  <c r="O152" i="47" s="1"/>
  <c r="M149" i="47"/>
  <c r="M151" i="47" s="1"/>
  <c r="M152" i="47" s="1"/>
  <c r="K149" i="47"/>
  <c r="I149" i="47"/>
  <c r="I151" i="47" s="1"/>
  <c r="I152" i="47" s="1"/>
  <c r="G149" i="47"/>
  <c r="G151" i="47" s="1"/>
  <c r="G152" i="47" s="1"/>
  <c r="E149" i="47"/>
  <c r="C149" i="47"/>
  <c r="C151" i="47" s="1"/>
  <c r="C152" i="47" s="1"/>
  <c r="BV148" i="47"/>
  <c r="BU148" i="47"/>
  <c r="AY144" i="47"/>
  <c r="AY145" i="47" s="1"/>
  <c r="AW144" i="47"/>
  <c r="AW145" i="47" s="1"/>
  <c r="AU144" i="47"/>
  <c r="AU146" i="47" s="1"/>
  <c r="AU147" i="47" s="1"/>
  <c r="AS144" i="47"/>
  <c r="AS146" i="47" s="1"/>
  <c r="AS147" i="47" s="1"/>
  <c r="AQ144" i="47"/>
  <c r="AQ146" i="47" s="1"/>
  <c r="AQ147" i="47" s="1"/>
  <c r="AO144" i="47"/>
  <c r="AO146" i="47" s="1"/>
  <c r="AO147" i="47" s="1"/>
  <c r="AM144" i="47"/>
  <c r="AM146" i="47" s="1"/>
  <c r="AM147" i="47" s="1"/>
  <c r="AK144" i="47"/>
  <c r="AK145" i="47" s="1"/>
  <c r="AI144" i="47"/>
  <c r="AI146" i="47" s="1"/>
  <c r="AI147" i="47" s="1"/>
  <c r="AG144" i="47"/>
  <c r="AG145" i="47" s="1"/>
  <c r="AE144" i="47"/>
  <c r="AE146" i="47" s="1"/>
  <c r="AE147" i="47" s="1"/>
  <c r="AC144" i="47"/>
  <c r="AC145" i="47" s="1"/>
  <c r="AA144" i="47"/>
  <c r="AA145" i="47" s="1"/>
  <c r="Y144" i="47"/>
  <c r="Y146" i="47" s="1"/>
  <c r="Y147" i="47" s="1"/>
  <c r="W144" i="47"/>
  <c r="W146" i="47" s="1"/>
  <c r="W147" i="47" s="1"/>
  <c r="U144" i="47"/>
  <c r="U145" i="47" s="1"/>
  <c r="S144" i="47"/>
  <c r="S145" i="47" s="1"/>
  <c r="Q144" i="47"/>
  <c r="Q145" i="47" s="1"/>
  <c r="O144" i="47"/>
  <c r="O146" i="47" s="1"/>
  <c r="O147" i="47" s="1"/>
  <c r="M144" i="47"/>
  <c r="M146" i="47" s="1"/>
  <c r="M147" i="47" s="1"/>
  <c r="K144" i="47"/>
  <c r="K146" i="47" s="1"/>
  <c r="K147" i="47" s="1"/>
  <c r="I144" i="47"/>
  <c r="I146" i="47" s="1"/>
  <c r="I147" i="47" s="1"/>
  <c r="G144" i="47"/>
  <c r="G146" i="47" s="1"/>
  <c r="G147" i="47" s="1"/>
  <c r="E144" i="47"/>
  <c r="C144" i="47"/>
  <c r="C146" i="47" s="1"/>
  <c r="C147" i="47" s="1"/>
  <c r="BV143" i="47"/>
  <c r="BU143" i="47"/>
  <c r="AY139" i="47"/>
  <c r="AY141" i="47" s="1"/>
  <c r="AY142" i="47" s="1"/>
  <c r="AW139" i="47"/>
  <c r="AU139" i="47"/>
  <c r="AU141" i="47" s="1"/>
  <c r="AU142" i="47" s="1"/>
  <c r="AS139" i="47"/>
  <c r="AS141" i="47" s="1"/>
  <c r="AS142" i="47" s="1"/>
  <c r="AQ139" i="47"/>
  <c r="AQ141" i="47" s="1"/>
  <c r="AQ142" i="47" s="1"/>
  <c r="AO139" i="47"/>
  <c r="AM139" i="47"/>
  <c r="AM141" i="47" s="1"/>
  <c r="AM142" i="47" s="1"/>
  <c r="AK139" i="47"/>
  <c r="AK141" i="47" s="1"/>
  <c r="AK142" i="47" s="1"/>
  <c r="AI139" i="47"/>
  <c r="AI141" i="47" s="1"/>
  <c r="AI142" i="47" s="1"/>
  <c r="AG139" i="47"/>
  <c r="AE139" i="47"/>
  <c r="AE141" i="47" s="1"/>
  <c r="AE142" i="47" s="1"/>
  <c r="AC139" i="47"/>
  <c r="AC141" i="47" s="1"/>
  <c r="AC142" i="47" s="1"/>
  <c r="AA139" i="47"/>
  <c r="AA141" i="47" s="1"/>
  <c r="AA142" i="47" s="1"/>
  <c r="Y139" i="47"/>
  <c r="W139" i="47"/>
  <c r="W141" i="47" s="1"/>
  <c r="W142" i="47" s="1"/>
  <c r="U139" i="47"/>
  <c r="U141" i="47" s="1"/>
  <c r="U142" i="47" s="1"/>
  <c r="S139" i="47"/>
  <c r="S141" i="47" s="1"/>
  <c r="S142" i="47" s="1"/>
  <c r="Q139" i="47"/>
  <c r="O139" i="47"/>
  <c r="O141" i="47" s="1"/>
  <c r="O142" i="47" s="1"/>
  <c r="M139" i="47"/>
  <c r="M141" i="47" s="1"/>
  <c r="M142" i="47" s="1"/>
  <c r="K139" i="47"/>
  <c r="K141" i="47" s="1"/>
  <c r="K142" i="47" s="1"/>
  <c r="I139" i="47"/>
  <c r="G139" i="47"/>
  <c r="G141" i="47" s="1"/>
  <c r="G142" i="47" s="1"/>
  <c r="E139" i="47"/>
  <c r="C139" i="47"/>
  <c r="C141" i="47" s="1"/>
  <c r="C142" i="47" s="1"/>
  <c r="BV138" i="47"/>
  <c r="BU138" i="47"/>
  <c r="AY134" i="47"/>
  <c r="AY136" i="47" s="1"/>
  <c r="AY137" i="47" s="1"/>
  <c r="AW134" i="47"/>
  <c r="AW136" i="47" s="1"/>
  <c r="AW137" i="47" s="1"/>
  <c r="AU134" i="47"/>
  <c r="AU136" i="47" s="1"/>
  <c r="AU137" i="47" s="1"/>
  <c r="AS134" i="47"/>
  <c r="AS136" i="47" s="1"/>
  <c r="AS137" i="47" s="1"/>
  <c r="AQ134" i="47"/>
  <c r="AQ136" i="47" s="1"/>
  <c r="AQ137" i="47" s="1"/>
  <c r="AO134" i="47"/>
  <c r="AO136" i="47" s="1"/>
  <c r="AO137" i="47" s="1"/>
  <c r="AM134" i="47"/>
  <c r="AM136" i="47" s="1"/>
  <c r="AM137" i="47" s="1"/>
  <c r="AK134" i="47"/>
  <c r="AK136" i="47" s="1"/>
  <c r="AK137" i="47" s="1"/>
  <c r="AI134" i="47"/>
  <c r="AI136" i="47" s="1"/>
  <c r="AI137" i="47" s="1"/>
  <c r="AG134" i="47"/>
  <c r="AG136" i="47" s="1"/>
  <c r="AG137" i="47" s="1"/>
  <c r="AE134" i="47"/>
  <c r="AE136" i="47" s="1"/>
  <c r="AE137" i="47" s="1"/>
  <c r="AC134" i="47"/>
  <c r="AC136" i="47" s="1"/>
  <c r="AC137" i="47" s="1"/>
  <c r="AA134" i="47"/>
  <c r="AA135" i="47" s="1"/>
  <c r="Y134" i="47"/>
  <c r="Y136" i="47" s="1"/>
  <c r="Y137" i="47" s="1"/>
  <c r="W134" i="47"/>
  <c r="W136" i="47" s="1"/>
  <c r="W137" i="47" s="1"/>
  <c r="U134" i="47"/>
  <c r="U136" i="47" s="1"/>
  <c r="U137" i="47" s="1"/>
  <c r="S134" i="47"/>
  <c r="S136" i="47" s="1"/>
  <c r="S137" i="47" s="1"/>
  <c r="Q134" i="47"/>
  <c r="Q136" i="47" s="1"/>
  <c r="Q137" i="47" s="1"/>
  <c r="O134" i="47"/>
  <c r="O136" i="47" s="1"/>
  <c r="O137" i="47" s="1"/>
  <c r="M134" i="47"/>
  <c r="M136" i="47" s="1"/>
  <c r="M137" i="47" s="1"/>
  <c r="K134" i="47"/>
  <c r="K136" i="47" s="1"/>
  <c r="K137" i="47" s="1"/>
  <c r="I134" i="47"/>
  <c r="I136" i="47" s="1"/>
  <c r="I137" i="47" s="1"/>
  <c r="G134" i="47"/>
  <c r="E134" i="47"/>
  <c r="C134" i="47"/>
  <c r="C136" i="47" s="1"/>
  <c r="C137" i="47" s="1"/>
  <c r="BV133" i="47"/>
  <c r="BU133" i="47"/>
  <c r="AY129" i="47"/>
  <c r="AY131" i="47" s="1"/>
  <c r="AY132" i="47" s="1"/>
  <c r="AW129" i="47"/>
  <c r="AU129" i="47"/>
  <c r="AU131" i="47" s="1"/>
  <c r="AU132" i="47" s="1"/>
  <c r="AS129" i="47"/>
  <c r="AS131" i="47" s="1"/>
  <c r="AS132" i="47" s="1"/>
  <c r="AQ129" i="47"/>
  <c r="AQ131" i="47" s="1"/>
  <c r="AQ132" i="47" s="1"/>
  <c r="AO129" i="47"/>
  <c r="AM129" i="47"/>
  <c r="AM131" i="47" s="1"/>
  <c r="AM132" i="47" s="1"/>
  <c r="AK129" i="47"/>
  <c r="AK131" i="47" s="1"/>
  <c r="AK132" i="47" s="1"/>
  <c r="AI129" i="47"/>
  <c r="AI131" i="47" s="1"/>
  <c r="AI132" i="47" s="1"/>
  <c r="AG129" i="47"/>
  <c r="AE129" i="47"/>
  <c r="AE131" i="47" s="1"/>
  <c r="AE132" i="47" s="1"/>
  <c r="AC129" i="47"/>
  <c r="AC131" i="47" s="1"/>
  <c r="AC132" i="47" s="1"/>
  <c r="AA129" i="47"/>
  <c r="AA131" i="47" s="1"/>
  <c r="AA132" i="47" s="1"/>
  <c r="Y129" i="47"/>
  <c r="W129" i="47"/>
  <c r="W131" i="47" s="1"/>
  <c r="W132" i="47" s="1"/>
  <c r="U129" i="47"/>
  <c r="U130" i="47" s="1"/>
  <c r="S129" i="47"/>
  <c r="S131" i="47" s="1"/>
  <c r="S132" i="47" s="1"/>
  <c r="Q129" i="47"/>
  <c r="O129" i="47"/>
  <c r="O131" i="47" s="1"/>
  <c r="O132" i="47" s="1"/>
  <c r="M129" i="47"/>
  <c r="M131" i="47" s="1"/>
  <c r="M132" i="47" s="1"/>
  <c r="K129" i="47"/>
  <c r="K131" i="47" s="1"/>
  <c r="K132" i="47" s="1"/>
  <c r="I129" i="47"/>
  <c r="G129" i="47"/>
  <c r="G131" i="47" s="1"/>
  <c r="G132" i="47" s="1"/>
  <c r="E129" i="47"/>
  <c r="C129" i="47"/>
  <c r="C131" i="47" s="1"/>
  <c r="C132" i="47" s="1"/>
  <c r="BV128" i="47"/>
  <c r="BU128" i="47"/>
  <c r="AY124" i="47"/>
  <c r="AY126" i="47" s="1"/>
  <c r="AY127" i="47" s="1"/>
  <c r="AW124" i="47"/>
  <c r="AW126" i="47" s="1"/>
  <c r="AW127" i="47" s="1"/>
  <c r="AU124" i="47"/>
  <c r="AU126" i="47" s="1"/>
  <c r="AU127" i="47" s="1"/>
  <c r="AS124" i="47"/>
  <c r="AS126" i="47" s="1"/>
  <c r="AS127" i="47" s="1"/>
  <c r="AQ124" i="47"/>
  <c r="AQ126" i="47" s="1"/>
  <c r="AQ127" i="47" s="1"/>
  <c r="AO124" i="47"/>
  <c r="AM124" i="47"/>
  <c r="AM126" i="47" s="1"/>
  <c r="AM127" i="47" s="1"/>
  <c r="AK124" i="47"/>
  <c r="AK126" i="47" s="1"/>
  <c r="AK127" i="47" s="1"/>
  <c r="AI124" i="47"/>
  <c r="AI126" i="47" s="1"/>
  <c r="AI127" i="47" s="1"/>
  <c r="AG124" i="47"/>
  <c r="AE124" i="47"/>
  <c r="AE126" i="47" s="1"/>
  <c r="AE127" i="47" s="1"/>
  <c r="AC124" i="47"/>
  <c r="AC126" i="47" s="1"/>
  <c r="AC127" i="47" s="1"/>
  <c r="AA124" i="47"/>
  <c r="AA126" i="47" s="1"/>
  <c r="AA127" i="47" s="1"/>
  <c r="Y124" i="47"/>
  <c r="W124" i="47"/>
  <c r="W126" i="47" s="1"/>
  <c r="W127" i="47" s="1"/>
  <c r="U124" i="47"/>
  <c r="U126" i="47" s="1"/>
  <c r="U127" i="47" s="1"/>
  <c r="S124" i="47"/>
  <c r="S126" i="47" s="1"/>
  <c r="S127" i="47" s="1"/>
  <c r="Q124" i="47"/>
  <c r="O124" i="47"/>
  <c r="O126" i="47" s="1"/>
  <c r="O127" i="47" s="1"/>
  <c r="M124" i="47"/>
  <c r="K124" i="47"/>
  <c r="K126" i="47" s="1"/>
  <c r="K127" i="47" s="1"/>
  <c r="I124" i="47"/>
  <c r="G124" i="47"/>
  <c r="G126" i="47" s="1"/>
  <c r="G127" i="47" s="1"/>
  <c r="E124" i="47"/>
  <c r="C124" i="47"/>
  <c r="C126" i="47" s="1"/>
  <c r="C127" i="47" s="1"/>
  <c r="BV123" i="47"/>
  <c r="BU123" i="47"/>
  <c r="AY119" i="47"/>
  <c r="AY121" i="47" s="1"/>
  <c r="AY122" i="47" s="1"/>
  <c r="AW119" i="47"/>
  <c r="AU119" i="47"/>
  <c r="AU121" i="47" s="1"/>
  <c r="AU122" i="47" s="1"/>
  <c r="AS119" i="47"/>
  <c r="AS121" i="47" s="1"/>
  <c r="AS122" i="47" s="1"/>
  <c r="AQ119" i="47"/>
  <c r="AQ121" i="47" s="1"/>
  <c r="AQ122" i="47" s="1"/>
  <c r="AO119" i="47"/>
  <c r="AM119" i="47"/>
  <c r="AM121" i="47" s="1"/>
  <c r="AM122" i="47" s="1"/>
  <c r="AK119" i="47"/>
  <c r="AK121" i="47" s="1"/>
  <c r="AK122" i="47" s="1"/>
  <c r="AI119" i="47"/>
  <c r="AI120" i="47" s="1"/>
  <c r="AG119" i="47"/>
  <c r="AE119" i="47"/>
  <c r="AE120" i="47" s="1"/>
  <c r="AC119" i="47"/>
  <c r="AC121" i="47" s="1"/>
  <c r="AC122" i="47" s="1"/>
  <c r="AA119" i="47"/>
  <c r="AA120" i="47" s="1"/>
  <c r="Y119" i="47"/>
  <c r="W119" i="47"/>
  <c r="W121" i="47" s="1"/>
  <c r="W122" i="47" s="1"/>
  <c r="U119" i="47"/>
  <c r="U120" i="47" s="1"/>
  <c r="S119" i="47"/>
  <c r="S121" i="47" s="1"/>
  <c r="S122" i="47" s="1"/>
  <c r="Q119" i="47"/>
  <c r="O119" i="47"/>
  <c r="O120" i="47" s="1"/>
  <c r="M119" i="47"/>
  <c r="M121" i="47" s="1"/>
  <c r="M122" i="47" s="1"/>
  <c r="K119" i="47"/>
  <c r="K120" i="47" s="1"/>
  <c r="I119" i="47"/>
  <c r="G119" i="47"/>
  <c r="G120" i="47" s="1"/>
  <c r="E119" i="47"/>
  <c r="C119" i="47"/>
  <c r="C120" i="47" s="1"/>
  <c r="BV118" i="47"/>
  <c r="BU118" i="47"/>
  <c r="AY114" i="47"/>
  <c r="AY116" i="47" s="1"/>
  <c r="AY117" i="47" s="1"/>
  <c r="AW114" i="47"/>
  <c r="AW116" i="47" s="1"/>
  <c r="AW117" i="47" s="1"/>
  <c r="AU114" i="47"/>
  <c r="AU116" i="47" s="1"/>
  <c r="AU117" i="47" s="1"/>
  <c r="AS114" i="47"/>
  <c r="AS116" i="47" s="1"/>
  <c r="AS117" i="47" s="1"/>
  <c r="AQ114" i="47"/>
  <c r="AQ116" i="47" s="1"/>
  <c r="AQ117" i="47" s="1"/>
  <c r="AO114" i="47"/>
  <c r="AO116" i="47" s="1"/>
  <c r="AO117" i="47" s="1"/>
  <c r="AM114" i="47"/>
  <c r="AM116" i="47" s="1"/>
  <c r="AM117" i="47" s="1"/>
  <c r="AK114" i="47"/>
  <c r="AK116" i="47" s="1"/>
  <c r="AK117" i="47" s="1"/>
  <c r="AI114" i="47"/>
  <c r="AI116" i="47" s="1"/>
  <c r="AI117" i="47" s="1"/>
  <c r="AG114" i="47"/>
  <c r="AG116" i="47" s="1"/>
  <c r="AG117" i="47" s="1"/>
  <c r="AE114" i="47"/>
  <c r="AE116" i="47" s="1"/>
  <c r="AE117" i="47" s="1"/>
  <c r="AC114" i="47"/>
  <c r="AC116" i="47" s="1"/>
  <c r="AC117" i="47" s="1"/>
  <c r="AA114" i="47"/>
  <c r="AA116" i="47" s="1"/>
  <c r="AA117" i="47" s="1"/>
  <c r="Y114" i="47"/>
  <c r="Y116" i="47" s="1"/>
  <c r="Y117" i="47" s="1"/>
  <c r="W114" i="47"/>
  <c r="W116" i="47" s="1"/>
  <c r="W117" i="47" s="1"/>
  <c r="U114" i="47"/>
  <c r="U116" i="47" s="1"/>
  <c r="U117" i="47" s="1"/>
  <c r="S114" i="47"/>
  <c r="S116" i="47" s="1"/>
  <c r="S117" i="47" s="1"/>
  <c r="Q114" i="47"/>
  <c r="Q116" i="47" s="1"/>
  <c r="Q117" i="47" s="1"/>
  <c r="O114" i="47"/>
  <c r="O116" i="47" s="1"/>
  <c r="O117" i="47" s="1"/>
  <c r="M114" i="47"/>
  <c r="M116" i="47" s="1"/>
  <c r="M117" i="47" s="1"/>
  <c r="K114" i="47"/>
  <c r="K116" i="47" s="1"/>
  <c r="K117" i="47" s="1"/>
  <c r="I114" i="47"/>
  <c r="I116" i="47" s="1"/>
  <c r="I117" i="47" s="1"/>
  <c r="G114" i="47"/>
  <c r="G116" i="47" s="1"/>
  <c r="G117" i="47" s="1"/>
  <c r="E114" i="47"/>
  <c r="C114" i="47"/>
  <c r="C116" i="47" s="1"/>
  <c r="C117" i="47" s="1"/>
  <c r="BV113" i="47"/>
  <c r="BU113" i="47"/>
  <c r="AY109" i="47"/>
  <c r="AY111" i="47" s="1"/>
  <c r="AY112" i="47" s="1"/>
  <c r="AW109" i="47"/>
  <c r="AU109" i="47"/>
  <c r="AU111" i="47" s="1"/>
  <c r="AU112" i="47" s="1"/>
  <c r="AS109" i="47"/>
  <c r="AS111" i="47" s="1"/>
  <c r="AS112" i="47" s="1"/>
  <c r="AQ109" i="47"/>
  <c r="AQ111" i="47" s="1"/>
  <c r="AQ112" i="47" s="1"/>
  <c r="AO109" i="47"/>
  <c r="AM109" i="47"/>
  <c r="AM111" i="47" s="1"/>
  <c r="AM112" i="47" s="1"/>
  <c r="AK109" i="47"/>
  <c r="AK111" i="47" s="1"/>
  <c r="AK112" i="47" s="1"/>
  <c r="AI109" i="47"/>
  <c r="AI111" i="47" s="1"/>
  <c r="AI112" i="47" s="1"/>
  <c r="AG109" i="47"/>
  <c r="AE109" i="47"/>
  <c r="AE111" i="47" s="1"/>
  <c r="AE112" i="47" s="1"/>
  <c r="AC109" i="47"/>
  <c r="AC111" i="47" s="1"/>
  <c r="AC112" i="47" s="1"/>
  <c r="AA109" i="47"/>
  <c r="AA111" i="47" s="1"/>
  <c r="AA112" i="47" s="1"/>
  <c r="Y109" i="47"/>
  <c r="W109" i="47"/>
  <c r="W111" i="47" s="1"/>
  <c r="W112" i="47" s="1"/>
  <c r="U109" i="47"/>
  <c r="U111" i="47" s="1"/>
  <c r="U112" i="47" s="1"/>
  <c r="S109" i="47"/>
  <c r="S111" i="47" s="1"/>
  <c r="S112" i="47" s="1"/>
  <c r="Q109" i="47"/>
  <c r="O109" i="47"/>
  <c r="O111" i="47" s="1"/>
  <c r="O112" i="47" s="1"/>
  <c r="M109" i="47"/>
  <c r="M111" i="47" s="1"/>
  <c r="M112" i="47" s="1"/>
  <c r="K109" i="47"/>
  <c r="K111" i="47" s="1"/>
  <c r="K112" i="47" s="1"/>
  <c r="I109" i="47"/>
  <c r="G109" i="47"/>
  <c r="G111" i="47" s="1"/>
  <c r="G112" i="47" s="1"/>
  <c r="E109" i="47"/>
  <c r="C109" i="47"/>
  <c r="C111" i="47" s="1"/>
  <c r="C112" i="47" s="1"/>
  <c r="BV108" i="47"/>
  <c r="BU108" i="47"/>
  <c r="AY104" i="47"/>
  <c r="AY106" i="47" s="1"/>
  <c r="AY107" i="47" s="1"/>
  <c r="AW104" i="47"/>
  <c r="AW106" i="47" s="1"/>
  <c r="AW107" i="47" s="1"/>
  <c r="AU104" i="47"/>
  <c r="AU106" i="47" s="1"/>
  <c r="AU107" i="47" s="1"/>
  <c r="AS104" i="47"/>
  <c r="AS105" i="47" s="1"/>
  <c r="AQ104" i="47"/>
  <c r="AQ105" i="47" s="1"/>
  <c r="AO104" i="47"/>
  <c r="AO106" i="47" s="1"/>
  <c r="AO107" i="47" s="1"/>
  <c r="AM104" i="47"/>
  <c r="AM106" i="47" s="1"/>
  <c r="AM107" i="47" s="1"/>
  <c r="AK104" i="47"/>
  <c r="AK106" i="47" s="1"/>
  <c r="AK107" i="47" s="1"/>
  <c r="AI104" i="47"/>
  <c r="AI106" i="47" s="1"/>
  <c r="AI107" i="47" s="1"/>
  <c r="AG104" i="47"/>
  <c r="AG106" i="47" s="1"/>
  <c r="AG107" i="47" s="1"/>
  <c r="AE104" i="47"/>
  <c r="AE106" i="47" s="1"/>
  <c r="AE107" i="47" s="1"/>
  <c r="AC104" i="47"/>
  <c r="AC105" i="47" s="1"/>
  <c r="AA104" i="47"/>
  <c r="AA105" i="47" s="1"/>
  <c r="Y104" i="47"/>
  <c r="Y106" i="47" s="1"/>
  <c r="Y107" i="47" s="1"/>
  <c r="W104" i="47"/>
  <c r="W106" i="47" s="1"/>
  <c r="W107" i="47" s="1"/>
  <c r="U104" i="47"/>
  <c r="U106" i="47" s="1"/>
  <c r="U107" i="47" s="1"/>
  <c r="S104" i="47"/>
  <c r="S106" i="47" s="1"/>
  <c r="S107" i="47" s="1"/>
  <c r="Q104" i="47"/>
  <c r="Q106" i="47" s="1"/>
  <c r="Q107" i="47" s="1"/>
  <c r="O104" i="47"/>
  <c r="O106" i="47" s="1"/>
  <c r="O107" i="47" s="1"/>
  <c r="M104" i="47"/>
  <c r="M105" i="47" s="1"/>
  <c r="K104" i="47"/>
  <c r="K105" i="47" s="1"/>
  <c r="I104" i="47"/>
  <c r="I106" i="47" s="1"/>
  <c r="I107" i="47" s="1"/>
  <c r="G104" i="47"/>
  <c r="G106" i="47" s="1"/>
  <c r="G107" i="47" s="1"/>
  <c r="E104" i="47"/>
  <c r="C104" i="47"/>
  <c r="C106" i="47" s="1"/>
  <c r="C107" i="47" s="1"/>
  <c r="BV103" i="47"/>
  <c r="BU103" i="47"/>
  <c r="AY99" i="47"/>
  <c r="AY101" i="47" s="1"/>
  <c r="AY102" i="47" s="1"/>
  <c r="AW99" i="47"/>
  <c r="AU99" i="47"/>
  <c r="AU101" i="47" s="1"/>
  <c r="AU102" i="47" s="1"/>
  <c r="AS99" i="47"/>
  <c r="AS101" i="47" s="1"/>
  <c r="AS102" i="47" s="1"/>
  <c r="AQ99" i="47"/>
  <c r="AQ101" i="47" s="1"/>
  <c r="AQ102" i="47" s="1"/>
  <c r="AO99" i="47"/>
  <c r="AM99" i="47"/>
  <c r="AM100" i="47" s="1"/>
  <c r="AK99" i="47"/>
  <c r="AK100" i="47" s="1"/>
  <c r="AI99" i="47"/>
  <c r="AI101" i="47" s="1"/>
  <c r="AI102" i="47" s="1"/>
  <c r="AG99" i="47"/>
  <c r="AE99" i="47"/>
  <c r="AE101" i="47" s="1"/>
  <c r="AE102" i="47" s="1"/>
  <c r="AC99" i="47"/>
  <c r="AC101" i="47" s="1"/>
  <c r="AC102" i="47" s="1"/>
  <c r="AA99" i="47"/>
  <c r="AA101" i="47" s="1"/>
  <c r="AA102" i="47" s="1"/>
  <c r="Y99" i="47"/>
  <c r="W99" i="47"/>
  <c r="W101" i="47" s="1"/>
  <c r="W102" i="47" s="1"/>
  <c r="U99" i="47"/>
  <c r="U101" i="47" s="1"/>
  <c r="U102" i="47" s="1"/>
  <c r="S99" i="47"/>
  <c r="S101" i="47" s="1"/>
  <c r="S102" i="47" s="1"/>
  <c r="Q99" i="47"/>
  <c r="O99" i="47"/>
  <c r="O101" i="47" s="1"/>
  <c r="O102" i="47" s="1"/>
  <c r="M99" i="47"/>
  <c r="M101" i="47" s="1"/>
  <c r="M102" i="47" s="1"/>
  <c r="K99" i="47"/>
  <c r="K101" i="47" s="1"/>
  <c r="K102" i="47" s="1"/>
  <c r="I99" i="47"/>
  <c r="G99" i="47"/>
  <c r="G100" i="47" s="1"/>
  <c r="E99" i="47"/>
  <c r="C99" i="47"/>
  <c r="C101" i="47" s="1"/>
  <c r="C102" i="47" s="1"/>
  <c r="BV98" i="47"/>
  <c r="BU98" i="47"/>
  <c r="AY94" i="47"/>
  <c r="AY96" i="47" s="1"/>
  <c r="AY97" i="47" s="1"/>
  <c r="AW94" i="47"/>
  <c r="AW96" i="47" s="1"/>
  <c r="AW97" i="47" s="1"/>
  <c r="AU94" i="47"/>
  <c r="AU96" i="47" s="1"/>
  <c r="AU97" i="47" s="1"/>
  <c r="AS94" i="47"/>
  <c r="AS96" i="47" s="1"/>
  <c r="AS97" i="47" s="1"/>
  <c r="AQ94" i="47"/>
  <c r="AQ96" i="47" s="1"/>
  <c r="AQ97" i="47" s="1"/>
  <c r="AO94" i="47"/>
  <c r="AO96" i="47" s="1"/>
  <c r="AO97" i="47" s="1"/>
  <c r="AM94" i="47"/>
  <c r="AM96" i="47" s="1"/>
  <c r="AM97" i="47" s="1"/>
  <c r="AK94" i="47"/>
  <c r="AK96" i="47" s="1"/>
  <c r="AK97" i="47" s="1"/>
  <c r="AI94" i="47"/>
  <c r="AI96" i="47" s="1"/>
  <c r="AI97" i="47" s="1"/>
  <c r="AG94" i="47"/>
  <c r="AG96" i="47" s="1"/>
  <c r="AG97" i="47" s="1"/>
  <c r="AE94" i="47"/>
  <c r="AE96" i="47" s="1"/>
  <c r="AE97" i="47" s="1"/>
  <c r="AC94" i="47"/>
  <c r="AC96" i="47" s="1"/>
  <c r="AC97" i="47" s="1"/>
  <c r="AA94" i="47"/>
  <c r="AA96" i="47" s="1"/>
  <c r="AA97" i="47" s="1"/>
  <c r="Y94" i="47"/>
  <c r="Y96" i="47" s="1"/>
  <c r="Y97" i="47" s="1"/>
  <c r="W94" i="47"/>
  <c r="W96" i="47" s="1"/>
  <c r="W97" i="47" s="1"/>
  <c r="U94" i="47"/>
  <c r="U96" i="47" s="1"/>
  <c r="U97" i="47" s="1"/>
  <c r="S94" i="47"/>
  <c r="S96" i="47" s="1"/>
  <c r="S97" i="47" s="1"/>
  <c r="Q94" i="47"/>
  <c r="Q96" i="47" s="1"/>
  <c r="Q97" i="47" s="1"/>
  <c r="O94" i="47"/>
  <c r="O96" i="47" s="1"/>
  <c r="O97" i="47" s="1"/>
  <c r="M94" i="47"/>
  <c r="M96" i="47" s="1"/>
  <c r="M97" i="47" s="1"/>
  <c r="K94" i="47"/>
  <c r="K96" i="47" s="1"/>
  <c r="K97" i="47" s="1"/>
  <c r="I94" i="47"/>
  <c r="I96" i="47" s="1"/>
  <c r="I97" i="47" s="1"/>
  <c r="G94" i="47"/>
  <c r="G96" i="47" s="1"/>
  <c r="G97" i="47" s="1"/>
  <c r="E94" i="47"/>
  <c r="C94" i="47"/>
  <c r="C96" i="47" s="1"/>
  <c r="C97" i="47" s="1"/>
  <c r="BV93" i="47"/>
  <c r="BU93" i="47"/>
  <c r="AY89" i="47"/>
  <c r="AY91" i="47" s="1"/>
  <c r="AY92" i="47" s="1"/>
  <c r="AW89" i="47"/>
  <c r="AW91" i="47" s="1"/>
  <c r="AW92" i="47" s="1"/>
  <c r="AU89" i="47"/>
  <c r="AU91" i="47" s="1"/>
  <c r="AU92" i="47" s="1"/>
  <c r="AS89" i="47"/>
  <c r="AS91" i="47" s="1"/>
  <c r="AS92" i="47" s="1"/>
  <c r="AQ89" i="47"/>
  <c r="AQ91" i="47" s="1"/>
  <c r="AQ92" i="47" s="1"/>
  <c r="AO89" i="47"/>
  <c r="AO91" i="47" s="1"/>
  <c r="AO92" i="47" s="1"/>
  <c r="AM89" i="47"/>
  <c r="AM91" i="47" s="1"/>
  <c r="AM92" i="47" s="1"/>
  <c r="AK89" i="47"/>
  <c r="AK91" i="47" s="1"/>
  <c r="AK92" i="47" s="1"/>
  <c r="AI89" i="47"/>
  <c r="AI91" i="47" s="1"/>
  <c r="AI92" i="47" s="1"/>
  <c r="AG89" i="47"/>
  <c r="AG91" i="47" s="1"/>
  <c r="AG92" i="47" s="1"/>
  <c r="AE89" i="47"/>
  <c r="AE91" i="47" s="1"/>
  <c r="AE92" i="47" s="1"/>
  <c r="AC89" i="47"/>
  <c r="AC91" i="47" s="1"/>
  <c r="AC92" i="47" s="1"/>
  <c r="AA89" i="47"/>
  <c r="AA91" i="47" s="1"/>
  <c r="AA92" i="47" s="1"/>
  <c r="Y89" i="47"/>
  <c r="Y91" i="47" s="1"/>
  <c r="Y92" i="47" s="1"/>
  <c r="W89" i="47"/>
  <c r="W91" i="47" s="1"/>
  <c r="W92" i="47" s="1"/>
  <c r="U89" i="47"/>
  <c r="U91" i="47" s="1"/>
  <c r="U92" i="47" s="1"/>
  <c r="S89" i="47"/>
  <c r="S91" i="47" s="1"/>
  <c r="S92" i="47" s="1"/>
  <c r="Q89" i="47"/>
  <c r="Q91" i="47" s="1"/>
  <c r="Q92" i="47" s="1"/>
  <c r="O89" i="47"/>
  <c r="O91" i="47" s="1"/>
  <c r="O92" i="47" s="1"/>
  <c r="M89" i="47"/>
  <c r="M91" i="47" s="1"/>
  <c r="M92" i="47" s="1"/>
  <c r="K89" i="47"/>
  <c r="K91" i="47" s="1"/>
  <c r="K92" i="47" s="1"/>
  <c r="I89" i="47"/>
  <c r="I91" i="47" s="1"/>
  <c r="I92" i="47" s="1"/>
  <c r="G89" i="47"/>
  <c r="G91" i="47" s="1"/>
  <c r="G92" i="47" s="1"/>
  <c r="E89" i="47"/>
  <c r="C89" i="47"/>
  <c r="C91" i="47" s="1"/>
  <c r="C92" i="47" s="1"/>
  <c r="BV88" i="47"/>
  <c r="BU88" i="47"/>
  <c r="AY84" i="47"/>
  <c r="AY86" i="47" s="1"/>
  <c r="AY87" i="47" s="1"/>
  <c r="AW84" i="47"/>
  <c r="AW86" i="47" s="1"/>
  <c r="AW87" i="47" s="1"/>
  <c r="AU84" i="47"/>
  <c r="AU86" i="47" s="1"/>
  <c r="AU87" i="47" s="1"/>
  <c r="AS84" i="47"/>
  <c r="AS86" i="47" s="1"/>
  <c r="AS87" i="47" s="1"/>
  <c r="AQ84" i="47"/>
  <c r="AQ86" i="47" s="1"/>
  <c r="AQ87" i="47" s="1"/>
  <c r="AO84" i="47"/>
  <c r="AO86" i="47" s="1"/>
  <c r="AO87" i="47" s="1"/>
  <c r="AM84" i="47"/>
  <c r="AM86" i="47" s="1"/>
  <c r="AM87" i="47" s="1"/>
  <c r="AK84" i="47"/>
  <c r="AK86" i="47" s="1"/>
  <c r="AK87" i="47" s="1"/>
  <c r="AI84" i="47"/>
  <c r="AI86" i="47" s="1"/>
  <c r="AI87" i="47" s="1"/>
  <c r="AG84" i="47"/>
  <c r="AG86" i="47" s="1"/>
  <c r="AG87" i="47" s="1"/>
  <c r="AE84" i="47"/>
  <c r="AE86" i="47" s="1"/>
  <c r="AE87" i="47" s="1"/>
  <c r="AC84" i="47"/>
  <c r="AC86" i="47" s="1"/>
  <c r="AC87" i="47" s="1"/>
  <c r="AA84" i="47"/>
  <c r="AA86" i="47" s="1"/>
  <c r="AA87" i="47" s="1"/>
  <c r="Y84" i="47"/>
  <c r="Y86" i="47" s="1"/>
  <c r="Y87" i="47" s="1"/>
  <c r="W84" i="47"/>
  <c r="W86" i="47" s="1"/>
  <c r="W87" i="47" s="1"/>
  <c r="U84" i="47"/>
  <c r="U86" i="47" s="1"/>
  <c r="U87" i="47" s="1"/>
  <c r="S84" i="47"/>
  <c r="S86" i="47" s="1"/>
  <c r="S87" i="47" s="1"/>
  <c r="Q84" i="47"/>
  <c r="Q86" i="47" s="1"/>
  <c r="Q87" i="47" s="1"/>
  <c r="O84" i="47"/>
  <c r="O86" i="47" s="1"/>
  <c r="O87" i="47" s="1"/>
  <c r="M84" i="47"/>
  <c r="M86" i="47" s="1"/>
  <c r="M87" i="47" s="1"/>
  <c r="K84" i="47"/>
  <c r="K86" i="47" s="1"/>
  <c r="K87" i="47" s="1"/>
  <c r="I84" i="47"/>
  <c r="I86" i="47" s="1"/>
  <c r="I87" i="47" s="1"/>
  <c r="G84" i="47"/>
  <c r="G86" i="47" s="1"/>
  <c r="G87" i="47" s="1"/>
  <c r="E84" i="47"/>
  <c r="C84" i="47"/>
  <c r="C86" i="47" s="1"/>
  <c r="C87" i="47" s="1"/>
  <c r="BV83" i="47"/>
  <c r="BU83" i="47"/>
  <c r="AY79" i="47"/>
  <c r="AW79" i="47"/>
  <c r="AW80" i="47" s="1"/>
  <c r="AU79" i="47"/>
  <c r="AU80" i="47" s="1"/>
  <c r="AS79" i="47"/>
  <c r="AS81" i="47" s="1"/>
  <c r="AS82" i="47" s="1"/>
  <c r="AQ79" i="47"/>
  <c r="AO79" i="47"/>
  <c r="AO81" i="47" s="1"/>
  <c r="AO82" i="47" s="1"/>
  <c r="AM79" i="47"/>
  <c r="AM81" i="47" s="1"/>
  <c r="AM82" i="47" s="1"/>
  <c r="AK79" i="47"/>
  <c r="AK81" i="47" s="1"/>
  <c r="AK82" i="47" s="1"/>
  <c r="AI79" i="47"/>
  <c r="AG79" i="47"/>
  <c r="AG80" i="47" s="1"/>
  <c r="AE79" i="47"/>
  <c r="AE80" i="47" s="1"/>
  <c r="AC79" i="47"/>
  <c r="AA79" i="47"/>
  <c r="Y79" i="47"/>
  <c r="Y81" i="47" s="1"/>
  <c r="Y82" i="47" s="1"/>
  <c r="W79" i="47"/>
  <c r="W81" i="47" s="1"/>
  <c r="W82" i="47" s="1"/>
  <c r="U79" i="47"/>
  <c r="S79" i="47"/>
  <c r="Q79" i="47"/>
  <c r="Q80" i="47" s="1"/>
  <c r="O79" i="47"/>
  <c r="O80" i="47" s="1"/>
  <c r="M79" i="47"/>
  <c r="K79" i="47"/>
  <c r="I79" i="47"/>
  <c r="I81" i="47" s="1"/>
  <c r="I82" i="47" s="1"/>
  <c r="G79" i="47"/>
  <c r="G81" i="47" s="1"/>
  <c r="G82" i="47" s="1"/>
  <c r="E79" i="47"/>
  <c r="C79" i="47"/>
  <c r="BV78" i="47"/>
  <c r="BU78" i="47"/>
  <c r="AY74" i="47"/>
  <c r="AY76" i="47" s="1"/>
  <c r="AY77" i="47" s="1"/>
  <c r="AW74" i="47"/>
  <c r="AW76" i="47" s="1"/>
  <c r="AW77" i="47" s="1"/>
  <c r="AU74" i="47"/>
  <c r="AU76" i="47" s="1"/>
  <c r="AU77" i="47" s="1"/>
  <c r="AS74" i="47"/>
  <c r="AS76" i="47" s="1"/>
  <c r="AS77" i="47" s="1"/>
  <c r="AQ74" i="47"/>
  <c r="AQ76" i="47" s="1"/>
  <c r="AQ77" i="47" s="1"/>
  <c r="AO74" i="47"/>
  <c r="AO76" i="47" s="1"/>
  <c r="AO77" i="47" s="1"/>
  <c r="AM74" i="47"/>
  <c r="AM76" i="47" s="1"/>
  <c r="AM77" i="47" s="1"/>
  <c r="AK74" i="47"/>
  <c r="AK76" i="47" s="1"/>
  <c r="AK77" i="47" s="1"/>
  <c r="AI74" i="47"/>
  <c r="AI76" i="47" s="1"/>
  <c r="AI77" i="47" s="1"/>
  <c r="AG74" i="47"/>
  <c r="AG76" i="47" s="1"/>
  <c r="AG77" i="47" s="1"/>
  <c r="AE74" i="47"/>
  <c r="AE76" i="47" s="1"/>
  <c r="AE77" i="47" s="1"/>
  <c r="AC74" i="47"/>
  <c r="AC76" i="47" s="1"/>
  <c r="AC77" i="47" s="1"/>
  <c r="AA74" i="47"/>
  <c r="AA76" i="47" s="1"/>
  <c r="AA77" i="47" s="1"/>
  <c r="Y74" i="47"/>
  <c r="Y76" i="47" s="1"/>
  <c r="Y77" i="47" s="1"/>
  <c r="W74" i="47"/>
  <c r="W76" i="47" s="1"/>
  <c r="W77" i="47" s="1"/>
  <c r="U74" i="47"/>
  <c r="U76" i="47" s="1"/>
  <c r="U77" i="47" s="1"/>
  <c r="S74" i="47"/>
  <c r="S76" i="47" s="1"/>
  <c r="S77" i="47" s="1"/>
  <c r="Q74" i="47"/>
  <c r="Q76" i="47" s="1"/>
  <c r="Q77" i="47" s="1"/>
  <c r="O74" i="47"/>
  <c r="O76" i="47" s="1"/>
  <c r="O77" i="47" s="1"/>
  <c r="M74" i="47"/>
  <c r="M76" i="47" s="1"/>
  <c r="M77" i="47" s="1"/>
  <c r="K74" i="47"/>
  <c r="K76" i="47" s="1"/>
  <c r="K77" i="47" s="1"/>
  <c r="I74" i="47"/>
  <c r="I76" i="47" s="1"/>
  <c r="I77" i="47" s="1"/>
  <c r="G74" i="47"/>
  <c r="G76" i="47" s="1"/>
  <c r="G77" i="47" s="1"/>
  <c r="E74" i="47"/>
  <c r="C74" i="47"/>
  <c r="C76" i="47" s="1"/>
  <c r="C77" i="47" s="1"/>
  <c r="BV73" i="47"/>
  <c r="BU73" i="47"/>
  <c r="AY69" i="47"/>
  <c r="AY71" i="47" s="1"/>
  <c r="AY72" i="47" s="1"/>
  <c r="AW69" i="47"/>
  <c r="AW71" i="47" s="1"/>
  <c r="AW72" i="47" s="1"/>
  <c r="AU69" i="47"/>
  <c r="AU71" i="47" s="1"/>
  <c r="AU72" i="47" s="1"/>
  <c r="AS69" i="47"/>
  <c r="AS71" i="47" s="1"/>
  <c r="AS72" i="47" s="1"/>
  <c r="AQ69" i="47"/>
  <c r="AQ71" i="47" s="1"/>
  <c r="AQ72" i="47" s="1"/>
  <c r="AO69" i="47"/>
  <c r="AO71" i="47" s="1"/>
  <c r="AO72" i="47" s="1"/>
  <c r="AM69" i="47"/>
  <c r="AM71" i="47" s="1"/>
  <c r="AM72" i="47" s="1"/>
  <c r="AK69" i="47"/>
  <c r="AK71" i="47" s="1"/>
  <c r="AK72" i="47" s="1"/>
  <c r="AI69" i="47"/>
  <c r="AI71" i="47" s="1"/>
  <c r="AI72" i="47" s="1"/>
  <c r="AG69" i="47"/>
  <c r="AG71" i="47" s="1"/>
  <c r="AG72" i="47" s="1"/>
  <c r="AE69" i="47"/>
  <c r="AE71" i="47" s="1"/>
  <c r="AE72" i="47" s="1"/>
  <c r="AC69" i="47"/>
  <c r="AC71" i="47" s="1"/>
  <c r="AC72" i="47" s="1"/>
  <c r="AA69" i="47"/>
  <c r="AA71" i="47" s="1"/>
  <c r="AA72" i="47" s="1"/>
  <c r="Y69" i="47"/>
  <c r="Y71" i="47" s="1"/>
  <c r="Y72" i="47" s="1"/>
  <c r="W69" i="47"/>
  <c r="W71" i="47" s="1"/>
  <c r="W72" i="47" s="1"/>
  <c r="U69" i="47"/>
  <c r="U71" i="47" s="1"/>
  <c r="U72" i="47" s="1"/>
  <c r="S69" i="47"/>
  <c r="S71" i="47" s="1"/>
  <c r="S72" i="47" s="1"/>
  <c r="Q69" i="47"/>
  <c r="Q71" i="47" s="1"/>
  <c r="Q72" i="47" s="1"/>
  <c r="O69" i="47"/>
  <c r="O71" i="47" s="1"/>
  <c r="O72" i="47" s="1"/>
  <c r="M69" i="47"/>
  <c r="M71" i="47" s="1"/>
  <c r="M72" i="47" s="1"/>
  <c r="K69" i="47"/>
  <c r="K71" i="47" s="1"/>
  <c r="K72" i="47" s="1"/>
  <c r="I69" i="47"/>
  <c r="I71" i="47" s="1"/>
  <c r="I72" i="47" s="1"/>
  <c r="G69" i="47"/>
  <c r="G71" i="47" s="1"/>
  <c r="G72" i="47" s="1"/>
  <c r="E69" i="47"/>
  <c r="C69" i="47"/>
  <c r="C71" i="47" s="1"/>
  <c r="C72" i="47" s="1"/>
  <c r="BV68" i="47"/>
  <c r="BU68" i="47"/>
  <c r="AY64" i="47"/>
  <c r="AY66" i="47" s="1"/>
  <c r="AY67" i="47" s="1"/>
  <c r="AW64" i="47"/>
  <c r="AW66" i="47" s="1"/>
  <c r="AW67" i="47" s="1"/>
  <c r="AU64" i="47"/>
  <c r="AU66" i="47" s="1"/>
  <c r="AU67" i="47" s="1"/>
  <c r="AS64" i="47"/>
  <c r="AS66" i="47" s="1"/>
  <c r="AS67" i="47" s="1"/>
  <c r="AQ64" i="47"/>
  <c r="AQ66" i="47" s="1"/>
  <c r="AQ67" i="47" s="1"/>
  <c r="AO64" i="47"/>
  <c r="AO66" i="47" s="1"/>
  <c r="AO67" i="47" s="1"/>
  <c r="AM64" i="47"/>
  <c r="AM66" i="47" s="1"/>
  <c r="AM67" i="47" s="1"/>
  <c r="AK64" i="47"/>
  <c r="AK66" i="47" s="1"/>
  <c r="AK67" i="47" s="1"/>
  <c r="AI64" i="47"/>
  <c r="AI66" i="47" s="1"/>
  <c r="AI67" i="47" s="1"/>
  <c r="AG64" i="47"/>
  <c r="AG66" i="47" s="1"/>
  <c r="AG67" i="47" s="1"/>
  <c r="AE64" i="47"/>
  <c r="AE66" i="47" s="1"/>
  <c r="AE67" i="47" s="1"/>
  <c r="AC64" i="47"/>
  <c r="AC66" i="47" s="1"/>
  <c r="AC67" i="47" s="1"/>
  <c r="AA64" i="47"/>
  <c r="AA66" i="47" s="1"/>
  <c r="AA67" i="47" s="1"/>
  <c r="Y64" i="47"/>
  <c r="Y66" i="47" s="1"/>
  <c r="Y67" i="47" s="1"/>
  <c r="W64" i="47"/>
  <c r="W66" i="47" s="1"/>
  <c r="W67" i="47" s="1"/>
  <c r="U64" i="47"/>
  <c r="U66" i="47" s="1"/>
  <c r="U67" i="47" s="1"/>
  <c r="S64" i="47"/>
  <c r="S66" i="47" s="1"/>
  <c r="S67" i="47" s="1"/>
  <c r="Q64" i="47"/>
  <c r="Q66" i="47" s="1"/>
  <c r="Q67" i="47" s="1"/>
  <c r="O64" i="47"/>
  <c r="O66" i="47" s="1"/>
  <c r="O67" i="47" s="1"/>
  <c r="M64" i="47"/>
  <c r="M66" i="47" s="1"/>
  <c r="M67" i="47" s="1"/>
  <c r="K64" i="47"/>
  <c r="K66" i="47" s="1"/>
  <c r="K67" i="47" s="1"/>
  <c r="I64" i="47"/>
  <c r="I66" i="47" s="1"/>
  <c r="I67" i="47" s="1"/>
  <c r="G64" i="47"/>
  <c r="G66" i="47" s="1"/>
  <c r="G67" i="47" s="1"/>
  <c r="E64" i="47"/>
  <c r="C64" i="47"/>
  <c r="C66" i="47" s="1"/>
  <c r="C67" i="47" s="1"/>
  <c r="BV63" i="47"/>
  <c r="BU63" i="47"/>
  <c r="AY59" i="47"/>
  <c r="AW59" i="47"/>
  <c r="AW61" i="47" s="1"/>
  <c r="AW62" i="47" s="1"/>
  <c r="AU59" i="47"/>
  <c r="AU61" i="47" s="1"/>
  <c r="AU62" i="47" s="1"/>
  <c r="AS59" i="47"/>
  <c r="AS61" i="47" s="1"/>
  <c r="AS62" i="47" s="1"/>
  <c r="AQ59" i="47"/>
  <c r="AO59" i="47"/>
  <c r="AO61" i="47" s="1"/>
  <c r="AO62" i="47" s="1"/>
  <c r="AM59" i="47"/>
  <c r="AM61" i="47" s="1"/>
  <c r="AM62" i="47" s="1"/>
  <c r="AK59" i="47"/>
  <c r="AK61" i="47" s="1"/>
  <c r="AK62" i="47" s="1"/>
  <c r="AI59" i="47"/>
  <c r="AG59" i="47"/>
  <c r="AG61" i="47" s="1"/>
  <c r="AG62" i="47" s="1"/>
  <c r="AE59" i="47"/>
  <c r="AE61" i="47" s="1"/>
  <c r="AE62" i="47" s="1"/>
  <c r="AC59" i="47"/>
  <c r="AC61" i="47" s="1"/>
  <c r="AC62" i="47" s="1"/>
  <c r="AA59" i="47"/>
  <c r="Y59" i="47"/>
  <c r="Y61" i="47" s="1"/>
  <c r="Y62" i="47" s="1"/>
  <c r="W59" i="47"/>
  <c r="W61" i="47" s="1"/>
  <c r="W62" i="47" s="1"/>
  <c r="U59" i="47"/>
  <c r="U61" i="47" s="1"/>
  <c r="U62" i="47" s="1"/>
  <c r="S59" i="47"/>
  <c r="Q59" i="47"/>
  <c r="Q61" i="47" s="1"/>
  <c r="Q62" i="47" s="1"/>
  <c r="O59" i="47"/>
  <c r="O61" i="47" s="1"/>
  <c r="O62" i="47" s="1"/>
  <c r="M59" i="47"/>
  <c r="M61" i="47" s="1"/>
  <c r="M62" i="47" s="1"/>
  <c r="K59" i="47"/>
  <c r="I59" i="47"/>
  <c r="I61" i="47" s="1"/>
  <c r="I62" i="47" s="1"/>
  <c r="G59" i="47"/>
  <c r="G61" i="47" s="1"/>
  <c r="G62" i="47" s="1"/>
  <c r="E59" i="47"/>
  <c r="C59" i="47"/>
  <c r="BV58" i="47"/>
  <c r="BU58" i="47"/>
  <c r="AY54" i="47"/>
  <c r="AY56" i="47" s="1"/>
  <c r="AY57" i="47" s="1"/>
  <c r="AW54" i="47"/>
  <c r="AW56" i="47" s="1"/>
  <c r="AW57" i="47" s="1"/>
  <c r="AU54" i="47"/>
  <c r="AU56" i="47" s="1"/>
  <c r="AU57" i="47" s="1"/>
  <c r="AS54" i="47"/>
  <c r="AS56" i="47" s="1"/>
  <c r="AS57" i="47" s="1"/>
  <c r="AQ54" i="47"/>
  <c r="AQ55" i="47" s="1"/>
  <c r="AO54" i="47"/>
  <c r="AO56" i="47" s="1"/>
  <c r="AO57" i="47" s="1"/>
  <c r="AM54" i="47"/>
  <c r="AM56" i="47" s="1"/>
  <c r="AM57" i="47" s="1"/>
  <c r="AK54" i="47"/>
  <c r="AK55" i="47" s="1"/>
  <c r="AI54" i="47"/>
  <c r="AI56" i="47" s="1"/>
  <c r="AI57" i="47" s="1"/>
  <c r="AG54" i="47"/>
  <c r="AG56" i="47" s="1"/>
  <c r="AG57" i="47" s="1"/>
  <c r="AE54" i="47"/>
  <c r="AE56" i="47" s="1"/>
  <c r="AE57" i="47" s="1"/>
  <c r="AC54" i="47"/>
  <c r="AC56" i="47" s="1"/>
  <c r="AC57" i="47" s="1"/>
  <c r="AA54" i="47"/>
  <c r="AA55" i="47" s="1"/>
  <c r="Y54" i="47"/>
  <c r="Y56" i="47" s="1"/>
  <c r="Y57" i="47" s="1"/>
  <c r="W54" i="47"/>
  <c r="W56" i="47" s="1"/>
  <c r="W57" i="47" s="1"/>
  <c r="U54" i="47"/>
  <c r="U55" i="47" s="1"/>
  <c r="S54" i="47"/>
  <c r="S56" i="47" s="1"/>
  <c r="S57" i="47" s="1"/>
  <c r="Q54" i="47"/>
  <c r="Q56" i="47" s="1"/>
  <c r="Q57" i="47" s="1"/>
  <c r="O54" i="47"/>
  <c r="O56" i="47" s="1"/>
  <c r="O57" i="47" s="1"/>
  <c r="M54" i="47"/>
  <c r="M56" i="47" s="1"/>
  <c r="M57" i="47" s="1"/>
  <c r="K54" i="47"/>
  <c r="K55" i="47" s="1"/>
  <c r="I54" i="47"/>
  <c r="I56" i="47" s="1"/>
  <c r="I57" i="47" s="1"/>
  <c r="G54" i="47"/>
  <c r="G56" i="47" s="1"/>
  <c r="G57" i="47" s="1"/>
  <c r="E54" i="47"/>
  <c r="C54" i="47"/>
  <c r="C56" i="47" s="1"/>
  <c r="C57" i="47" s="1"/>
  <c r="BV53" i="47"/>
  <c r="BU53" i="47"/>
  <c r="AY49" i="47"/>
  <c r="AY51" i="47" s="1"/>
  <c r="AY52" i="47" s="1"/>
  <c r="AW49" i="47"/>
  <c r="AW51" i="47" s="1"/>
  <c r="AW52" i="47" s="1"/>
  <c r="AU49" i="47"/>
  <c r="AU50" i="47" s="1"/>
  <c r="AS49" i="47"/>
  <c r="AS50" i="47" s="1"/>
  <c r="AQ49" i="47"/>
  <c r="AQ51" i="47" s="1"/>
  <c r="AQ52" i="47" s="1"/>
  <c r="AO49" i="47"/>
  <c r="AO51" i="47" s="1"/>
  <c r="AO52" i="47" s="1"/>
  <c r="AM49" i="47"/>
  <c r="AM51" i="47" s="1"/>
  <c r="AM52" i="47" s="1"/>
  <c r="AK49" i="47"/>
  <c r="AK51" i="47" s="1"/>
  <c r="AK52" i="47" s="1"/>
  <c r="AI49" i="47"/>
  <c r="AI51" i="47" s="1"/>
  <c r="AI52" i="47" s="1"/>
  <c r="AG49" i="47"/>
  <c r="AG51" i="47" s="1"/>
  <c r="AG52" i="47" s="1"/>
  <c r="AE49" i="47"/>
  <c r="AE50" i="47" s="1"/>
  <c r="AC49" i="47"/>
  <c r="AC50" i="47" s="1"/>
  <c r="AA49" i="47"/>
  <c r="AA51" i="47" s="1"/>
  <c r="AA52" i="47" s="1"/>
  <c r="Y49" i="47"/>
  <c r="Y51" i="47" s="1"/>
  <c r="Y52" i="47" s="1"/>
  <c r="W49" i="47"/>
  <c r="W51" i="47" s="1"/>
  <c r="W52" i="47" s="1"/>
  <c r="U49" i="47"/>
  <c r="U51" i="47" s="1"/>
  <c r="U52" i="47" s="1"/>
  <c r="S49" i="47"/>
  <c r="S51" i="47" s="1"/>
  <c r="S52" i="47" s="1"/>
  <c r="Q49" i="47"/>
  <c r="Q51" i="47" s="1"/>
  <c r="Q52" i="47" s="1"/>
  <c r="O49" i="47"/>
  <c r="O50" i="47" s="1"/>
  <c r="M49" i="47"/>
  <c r="M50" i="47" s="1"/>
  <c r="K49" i="47"/>
  <c r="K51" i="47" s="1"/>
  <c r="K52" i="47" s="1"/>
  <c r="I49" i="47"/>
  <c r="I51" i="47" s="1"/>
  <c r="I52" i="47" s="1"/>
  <c r="G49" i="47"/>
  <c r="G51" i="47" s="1"/>
  <c r="G52" i="47" s="1"/>
  <c r="E49" i="47"/>
  <c r="C49" i="47"/>
  <c r="C51" i="47" s="1"/>
  <c r="C52" i="47" s="1"/>
  <c r="BV48" i="47"/>
  <c r="BU48" i="47"/>
  <c r="AY44" i="47"/>
  <c r="AY46" i="47" s="1"/>
  <c r="AY47" i="47" s="1"/>
  <c r="AW44" i="47"/>
  <c r="AW46" i="47" s="1"/>
  <c r="AW47" i="47" s="1"/>
  <c r="AU44" i="47"/>
  <c r="AU46" i="47" s="1"/>
  <c r="AU47" i="47" s="1"/>
  <c r="AS44" i="47"/>
  <c r="AS46" i="47" s="1"/>
  <c r="AS47" i="47" s="1"/>
  <c r="AQ44" i="47"/>
  <c r="AQ46" i="47" s="1"/>
  <c r="AQ47" i="47" s="1"/>
  <c r="AO44" i="47"/>
  <c r="AO46" i="47" s="1"/>
  <c r="AO47" i="47" s="1"/>
  <c r="AM44" i="47"/>
  <c r="AM46" i="47" s="1"/>
  <c r="AM47" i="47" s="1"/>
  <c r="AK44" i="47"/>
  <c r="AK46" i="47" s="1"/>
  <c r="AK47" i="47" s="1"/>
  <c r="AI44" i="47"/>
  <c r="AI46" i="47" s="1"/>
  <c r="AI47" i="47" s="1"/>
  <c r="AG44" i="47"/>
  <c r="AG46" i="47" s="1"/>
  <c r="AG47" i="47" s="1"/>
  <c r="AE44" i="47"/>
  <c r="AE46" i="47" s="1"/>
  <c r="AE47" i="47" s="1"/>
  <c r="AC44" i="47"/>
  <c r="AC46" i="47" s="1"/>
  <c r="AC47" i="47" s="1"/>
  <c r="AA44" i="47"/>
  <c r="AA46" i="47" s="1"/>
  <c r="AA47" i="47" s="1"/>
  <c r="Y44" i="47"/>
  <c r="Y46" i="47" s="1"/>
  <c r="Y47" i="47" s="1"/>
  <c r="W44" i="47"/>
  <c r="W46" i="47" s="1"/>
  <c r="W47" i="47" s="1"/>
  <c r="U44" i="47"/>
  <c r="U46" i="47" s="1"/>
  <c r="U47" i="47" s="1"/>
  <c r="S44" i="47"/>
  <c r="S46" i="47" s="1"/>
  <c r="S47" i="47" s="1"/>
  <c r="Q44" i="47"/>
  <c r="Q46" i="47" s="1"/>
  <c r="Q47" i="47" s="1"/>
  <c r="O44" i="47"/>
  <c r="O46" i="47" s="1"/>
  <c r="O47" i="47" s="1"/>
  <c r="M44" i="47"/>
  <c r="M46" i="47" s="1"/>
  <c r="M47" i="47" s="1"/>
  <c r="K44" i="47"/>
  <c r="K46" i="47" s="1"/>
  <c r="K47" i="47" s="1"/>
  <c r="I44" i="47"/>
  <c r="I46" i="47" s="1"/>
  <c r="I47" i="47" s="1"/>
  <c r="G44" i="47"/>
  <c r="G46" i="47" s="1"/>
  <c r="G47" i="47" s="1"/>
  <c r="E44" i="47"/>
  <c r="C44" i="47"/>
  <c r="C46" i="47" s="1"/>
  <c r="C47" i="47" s="1"/>
  <c r="BV43" i="47"/>
  <c r="BU43" i="47"/>
  <c r="AY39" i="47"/>
  <c r="AY41" i="47" s="1"/>
  <c r="AY42" i="47" s="1"/>
  <c r="AW39" i="47"/>
  <c r="AW41" i="47" s="1"/>
  <c r="AW42" i="47" s="1"/>
  <c r="AU39" i="47"/>
  <c r="AU41" i="47" s="1"/>
  <c r="AU42" i="47" s="1"/>
  <c r="AS39" i="47"/>
  <c r="AS41" i="47" s="1"/>
  <c r="AS42" i="47" s="1"/>
  <c r="AQ39" i="47"/>
  <c r="AQ41" i="47" s="1"/>
  <c r="AQ42" i="47" s="1"/>
  <c r="AO39" i="47"/>
  <c r="AO41" i="47" s="1"/>
  <c r="AO42" i="47" s="1"/>
  <c r="AM39" i="47"/>
  <c r="AM41" i="47" s="1"/>
  <c r="AM42" i="47" s="1"/>
  <c r="AK39" i="47"/>
  <c r="AK41" i="47" s="1"/>
  <c r="AK42" i="47" s="1"/>
  <c r="AI39" i="47"/>
  <c r="AI41" i="47" s="1"/>
  <c r="AI42" i="47" s="1"/>
  <c r="AG39" i="47"/>
  <c r="AG41" i="47" s="1"/>
  <c r="AG42" i="47" s="1"/>
  <c r="AE39" i="47"/>
  <c r="AE41" i="47" s="1"/>
  <c r="AE42" i="47" s="1"/>
  <c r="AC39" i="47"/>
  <c r="AC41" i="47" s="1"/>
  <c r="AC42" i="47" s="1"/>
  <c r="AA39" i="47"/>
  <c r="AA41" i="47" s="1"/>
  <c r="AA42" i="47" s="1"/>
  <c r="Y39" i="47"/>
  <c r="Y41" i="47" s="1"/>
  <c r="Y42" i="47" s="1"/>
  <c r="W39" i="47"/>
  <c r="W41" i="47" s="1"/>
  <c r="W42" i="47" s="1"/>
  <c r="U39" i="47"/>
  <c r="U41" i="47" s="1"/>
  <c r="U42" i="47" s="1"/>
  <c r="S39" i="47"/>
  <c r="S41" i="47" s="1"/>
  <c r="S42" i="47" s="1"/>
  <c r="Q39" i="47"/>
  <c r="Q41" i="47" s="1"/>
  <c r="Q42" i="47" s="1"/>
  <c r="O39" i="47"/>
  <c r="O41" i="47" s="1"/>
  <c r="O42" i="47" s="1"/>
  <c r="M39" i="47"/>
  <c r="M41" i="47" s="1"/>
  <c r="M42" i="47" s="1"/>
  <c r="K39" i="47"/>
  <c r="K41" i="47" s="1"/>
  <c r="K42" i="47" s="1"/>
  <c r="I39" i="47"/>
  <c r="I41" i="47" s="1"/>
  <c r="I42" i="47" s="1"/>
  <c r="G39" i="47"/>
  <c r="G41" i="47" s="1"/>
  <c r="G42" i="47" s="1"/>
  <c r="E39" i="47"/>
  <c r="C39" i="47"/>
  <c r="C41" i="47" s="1"/>
  <c r="C42" i="47" s="1"/>
  <c r="BV38" i="47"/>
  <c r="BU38" i="47"/>
  <c r="AY34" i="47"/>
  <c r="AY36" i="47" s="1"/>
  <c r="AY37" i="47" s="1"/>
  <c r="AW34" i="47"/>
  <c r="AW36" i="47" s="1"/>
  <c r="AW37" i="47" s="1"/>
  <c r="AU34" i="47"/>
  <c r="AU36" i="47" s="1"/>
  <c r="AU37" i="47" s="1"/>
  <c r="AS34" i="47"/>
  <c r="AS36" i="47" s="1"/>
  <c r="AS37" i="47" s="1"/>
  <c r="AQ34" i="47"/>
  <c r="AQ36" i="47" s="1"/>
  <c r="AQ37" i="47" s="1"/>
  <c r="AO34" i="47"/>
  <c r="AO36" i="47" s="1"/>
  <c r="AO37" i="47" s="1"/>
  <c r="AM34" i="47"/>
  <c r="AM36" i="47" s="1"/>
  <c r="AM37" i="47" s="1"/>
  <c r="AK34" i="47"/>
  <c r="AK36" i="47" s="1"/>
  <c r="AK37" i="47" s="1"/>
  <c r="AI34" i="47"/>
  <c r="AI36" i="47" s="1"/>
  <c r="AI37" i="47" s="1"/>
  <c r="AG34" i="47"/>
  <c r="AG36" i="47" s="1"/>
  <c r="AG37" i="47" s="1"/>
  <c r="AE34" i="47"/>
  <c r="AE36" i="47" s="1"/>
  <c r="AE37" i="47" s="1"/>
  <c r="AC34" i="47"/>
  <c r="AC36" i="47" s="1"/>
  <c r="AC37" i="47" s="1"/>
  <c r="AA34" i="47"/>
  <c r="AA36" i="47" s="1"/>
  <c r="AA37" i="47" s="1"/>
  <c r="Y34" i="47"/>
  <c r="Y36" i="47" s="1"/>
  <c r="Y37" i="47" s="1"/>
  <c r="W34" i="47"/>
  <c r="W36" i="47" s="1"/>
  <c r="W37" i="47" s="1"/>
  <c r="U34" i="47"/>
  <c r="U36" i="47" s="1"/>
  <c r="U37" i="47" s="1"/>
  <c r="S34" i="47"/>
  <c r="S36" i="47" s="1"/>
  <c r="S37" i="47" s="1"/>
  <c r="Q34" i="47"/>
  <c r="Q36" i="47" s="1"/>
  <c r="Q37" i="47" s="1"/>
  <c r="O34" i="47"/>
  <c r="O36" i="47" s="1"/>
  <c r="O37" i="47" s="1"/>
  <c r="M34" i="47"/>
  <c r="M36" i="47" s="1"/>
  <c r="M37" i="47" s="1"/>
  <c r="K34" i="47"/>
  <c r="K36" i="47" s="1"/>
  <c r="K37" i="47" s="1"/>
  <c r="I34" i="47"/>
  <c r="I36" i="47" s="1"/>
  <c r="I37" i="47" s="1"/>
  <c r="G34" i="47"/>
  <c r="G36" i="47" s="1"/>
  <c r="G37" i="47" s="1"/>
  <c r="E34" i="47"/>
  <c r="C34" i="47"/>
  <c r="C36" i="47" s="1"/>
  <c r="C37" i="47" s="1"/>
  <c r="BV33" i="47"/>
  <c r="BU33" i="47"/>
  <c r="AY29" i="47"/>
  <c r="AY31" i="47" s="1"/>
  <c r="AY32" i="47" s="1"/>
  <c r="AW29" i="47"/>
  <c r="AW31" i="47" s="1"/>
  <c r="AW32" i="47" s="1"/>
  <c r="AU29" i="47"/>
  <c r="AU31" i="47" s="1"/>
  <c r="AU32" i="47" s="1"/>
  <c r="AS29" i="47"/>
  <c r="AS31" i="47" s="1"/>
  <c r="AS32" i="47" s="1"/>
  <c r="AQ29" i="47"/>
  <c r="AQ31" i="47" s="1"/>
  <c r="AQ32" i="47" s="1"/>
  <c r="AO29" i="47"/>
  <c r="AO31" i="47" s="1"/>
  <c r="AO32" i="47" s="1"/>
  <c r="AM29" i="47"/>
  <c r="AM31" i="47" s="1"/>
  <c r="AM32" i="47" s="1"/>
  <c r="AK29" i="47"/>
  <c r="AK31" i="47" s="1"/>
  <c r="AK32" i="47" s="1"/>
  <c r="AI29" i="47"/>
  <c r="AI31" i="47" s="1"/>
  <c r="AI32" i="47" s="1"/>
  <c r="AG29" i="47"/>
  <c r="AG31" i="47" s="1"/>
  <c r="AG32" i="47" s="1"/>
  <c r="AE29" i="47"/>
  <c r="AE31" i="47" s="1"/>
  <c r="AE32" i="47" s="1"/>
  <c r="AC29" i="47"/>
  <c r="AC31" i="47" s="1"/>
  <c r="AC32" i="47" s="1"/>
  <c r="AA29" i="47"/>
  <c r="AA31" i="47" s="1"/>
  <c r="AA32" i="47" s="1"/>
  <c r="Y29" i="47"/>
  <c r="Y31" i="47" s="1"/>
  <c r="Y32" i="47" s="1"/>
  <c r="W29" i="47"/>
  <c r="W31" i="47" s="1"/>
  <c r="W32" i="47" s="1"/>
  <c r="U29" i="47"/>
  <c r="U31" i="47" s="1"/>
  <c r="U32" i="47" s="1"/>
  <c r="S29" i="47"/>
  <c r="S31" i="47" s="1"/>
  <c r="S32" i="47" s="1"/>
  <c r="Q29" i="47"/>
  <c r="Q31" i="47" s="1"/>
  <c r="Q32" i="47" s="1"/>
  <c r="O29" i="47"/>
  <c r="O31" i="47" s="1"/>
  <c r="O32" i="47" s="1"/>
  <c r="M29" i="47"/>
  <c r="M31" i="47" s="1"/>
  <c r="M32" i="47" s="1"/>
  <c r="K29" i="47"/>
  <c r="K31" i="47" s="1"/>
  <c r="K32" i="47" s="1"/>
  <c r="I29" i="47"/>
  <c r="I31" i="47" s="1"/>
  <c r="I32" i="47" s="1"/>
  <c r="G29" i="47"/>
  <c r="G31" i="47" s="1"/>
  <c r="G32" i="47" s="1"/>
  <c r="E29" i="47"/>
  <c r="C29" i="47"/>
  <c r="C31" i="47" s="1"/>
  <c r="C32" i="47" s="1"/>
  <c r="BV28" i="47"/>
  <c r="BU28" i="47"/>
  <c r="AY24" i="47"/>
  <c r="AY26" i="47" s="1"/>
  <c r="AY27" i="47" s="1"/>
  <c r="AW24" i="47"/>
  <c r="AW26" i="47" s="1"/>
  <c r="AW27" i="47" s="1"/>
  <c r="AU24" i="47"/>
  <c r="AU26" i="47" s="1"/>
  <c r="AU27" i="47" s="1"/>
  <c r="AS24" i="47"/>
  <c r="AS26" i="47" s="1"/>
  <c r="AS27" i="47" s="1"/>
  <c r="AQ24" i="47"/>
  <c r="AQ26" i="47" s="1"/>
  <c r="AQ27" i="47" s="1"/>
  <c r="AO24" i="47"/>
  <c r="AO26" i="47" s="1"/>
  <c r="AO27" i="47" s="1"/>
  <c r="AM24" i="47"/>
  <c r="AM26" i="47" s="1"/>
  <c r="AM27" i="47" s="1"/>
  <c r="AK24" i="47"/>
  <c r="AK26" i="47" s="1"/>
  <c r="AK27" i="47" s="1"/>
  <c r="AI24" i="47"/>
  <c r="AI26" i="47" s="1"/>
  <c r="AI27" i="47" s="1"/>
  <c r="AG24" i="47"/>
  <c r="AG26" i="47" s="1"/>
  <c r="AG27" i="47" s="1"/>
  <c r="AE24" i="47"/>
  <c r="AE26" i="47" s="1"/>
  <c r="AE27" i="47" s="1"/>
  <c r="AC24" i="47"/>
  <c r="AC26" i="47" s="1"/>
  <c r="AC27" i="47" s="1"/>
  <c r="AA24" i="47"/>
  <c r="AA26" i="47" s="1"/>
  <c r="AA27" i="47" s="1"/>
  <c r="Y24" i="47"/>
  <c r="Y26" i="47" s="1"/>
  <c r="Y27" i="47" s="1"/>
  <c r="W24" i="47"/>
  <c r="W26" i="47" s="1"/>
  <c r="W27" i="47" s="1"/>
  <c r="U24" i="47"/>
  <c r="U26" i="47" s="1"/>
  <c r="U27" i="47" s="1"/>
  <c r="S24" i="47"/>
  <c r="S26" i="47" s="1"/>
  <c r="S27" i="47" s="1"/>
  <c r="Q24" i="47"/>
  <c r="Q26" i="47" s="1"/>
  <c r="Q27" i="47" s="1"/>
  <c r="O24" i="47"/>
  <c r="O26" i="47" s="1"/>
  <c r="O27" i="47" s="1"/>
  <c r="M24" i="47"/>
  <c r="M26" i="47" s="1"/>
  <c r="M27" i="47" s="1"/>
  <c r="K24" i="47"/>
  <c r="K26" i="47" s="1"/>
  <c r="K27" i="47" s="1"/>
  <c r="I24" i="47"/>
  <c r="I26" i="47" s="1"/>
  <c r="I27" i="47" s="1"/>
  <c r="G24" i="47"/>
  <c r="G26" i="47" s="1"/>
  <c r="G27" i="47" s="1"/>
  <c r="E24" i="47"/>
  <c r="C24" i="47"/>
  <c r="C26" i="47" s="1"/>
  <c r="C27" i="47" s="1"/>
  <c r="BV23" i="47"/>
  <c r="BU23" i="47"/>
  <c r="AY19" i="47"/>
  <c r="AY21" i="47" s="1"/>
  <c r="AY22" i="47" s="1"/>
  <c r="AW19" i="47"/>
  <c r="AW21" i="47" s="1"/>
  <c r="AW22" i="47" s="1"/>
  <c r="AU19" i="47"/>
  <c r="AU21" i="47" s="1"/>
  <c r="AU22" i="47" s="1"/>
  <c r="AS19" i="47"/>
  <c r="AS21" i="47" s="1"/>
  <c r="AS22" i="47" s="1"/>
  <c r="AQ19" i="47"/>
  <c r="AQ21" i="47" s="1"/>
  <c r="AQ22" i="47" s="1"/>
  <c r="AO19" i="47"/>
  <c r="AO21" i="47" s="1"/>
  <c r="AO22" i="47" s="1"/>
  <c r="AM19" i="47"/>
  <c r="AM21" i="47" s="1"/>
  <c r="AM22" i="47" s="1"/>
  <c r="AK19" i="47"/>
  <c r="AK21" i="47" s="1"/>
  <c r="AK22" i="47" s="1"/>
  <c r="AI19" i="47"/>
  <c r="AI21" i="47" s="1"/>
  <c r="AI22" i="47" s="1"/>
  <c r="AG19" i="47"/>
  <c r="AG21" i="47" s="1"/>
  <c r="AG22" i="47" s="1"/>
  <c r="AE19" i="47"/>
  <c r="AE21" i="47" s="1"/>
  <c r="AE22" i="47" s="1"/>
  <c r="AC19" i="47"/>
  <c r="AC21" i="47" s="1"/>
  <c r="AC22" i="47" s="1"/>
  <c r="AA19" i="47"/>
  <c r="AA21" i="47" s="1"/>
  <c r="AA22" i="47" s="1"/>
  <c r="Y19" i="47"/>
  <c r="Y21" i="47" s="1"/>
  <c r="Y22" i="47" s="1"/>
  <c r="W19" i="47"/>
  <c r="W21" i="47" s="1"/>
  <c r="W22" i="47" s="1"/>
  <c r="U19" i="47"/>
  <c r="U21" i="47" s="1"/>
  <c r="U22" i="47" s="1"/>
  <c r="S19" i="47"/>
  <c r="S21" i="47" s="1"/>
  <c r="S22" i="47" s="1"/>
  <c r="Q19" i="47"/>
  <c r="Q21" i="47" s="1"/>
  <c r="Q22" i="47" s="1"/>
  <c r="O19" i="47"/>
  <c r="O21" i="47" s="1"/>
  <c r="O22" i="47" s="1"/>
  <c r="M19" i="47"/>
  <c r="M21" i="47" s="1"/>
  <c r="M22" i="47" s="1"/>
  <c r="K19" i="47"/>
  <c r="K21" i="47" s="1"/>
  <c r="K22" i="47" s="1"/>
  <c r="I19" i="47"/>
  <c r="I21" i="47" s="1"/>
  <c r="I22" i="47" s="1"/>
  <c r="G19" i="47"/>
  <c r="G21" i="47" s="1"/>
  <c r="G22" i="47" s="1"/>
  <c r="E19" i="47"/>
  <c r="C19" i="47"/>
  <c r="C21" i="47" s="1"/>
  <c r="C22" i="47" s="1"/>
  <c r="BV18" i="47"/>
  <c r="BU18" i="47"/>
  <c r="AY14" i="47"/>
  <c r="AY16" i="47" s="1"/>
  <c r="AY17" i="47" s="1"/>
  <c r="AW14" i="47"/>
  <c r="AW16" i="47" s="1"/>
  <c r="AW17" i="47" s="1"/>
  <c r="AU14" i="47"/>
  <c r="AU16" i="47" s="1"/>
  <c r="AU17" i="47" s="1"/>
  <c r="AS14" i="47"/>
  <c r="AS16" i="47" s="1"/>
  <c r="AS17" i="47" s="1"/>
  <c r="AQ14" i="47"/>
  <c r="AQ16" i="47" s="1"/>
  <c r="AQ17" i="47" s="1"/>
  <c r="AO14" i="47"/>
  <c r="AO16" i="47" s="1"/>
  <c r="AO17" i="47" s="1"/>
  <c r="AM14" i="47"/>
  <c r="AM16" i="47" s="1"/>
  <c r="AM17" i="47" s="1"/>
  <c r="AK14" i="47"/>
  <c r="AK16" i="47" s="1"/>
  <c r="AK17" i="47" s="1"/>
  <c r="AI14" i="47"/>
  <c r="AI16" i="47" s="1"/>
  <c r="AI17" i="47" s="1"/>
  <c r="AG14" i="47"/>
  <c r="AG16" i="47" s="1"/>
  <c r="AG17" i="47" s="1"/>
  <c r="AE14" i="47"/>
  <c r="AE16" i="47" s="1"/>
  <c r="AE17" i="47" s="1"/>
  <c r="AC14" i="47"/>
  <c r="AC16" i="47" s="1"/>
  <c r="AC17" i="47" s="1"/>
  <c r="AA14" i="47"/>
  <c r="AA16" i="47" s="1"/>
  <c r="AA17" i="47" s="1"/>
  <c r="Y14" i="47"/>
  <c r="Y16" i="47" s="1"/>
  <c r="Y17" i="47" s="1"/>
  <c r="W14" i="47"/>
  <c r="W16" i="47" s="1"/>
  <c r="W17" i="47" s="1"/>
  <c r="U14" i="47"/>
  <c r="U16" i="47" s="1"/>
  <c r="U17" i="47" s="1"/>
  <c r="S14" i="47"/>
  <c r="S16" i="47" s="1"/>
  <c r="S17" i="47" s="1"/>
  <c r="Q14" i="47"/>
  <c r="Q16" i="47" s="1"/>
  <c r="Q17" i="47" s="1"/>
  <c r="O14" i="47"/>
  <c r="O16" i="47" s="1"/>
  <c r="O17" i="47" s="1"/>
  <c r="M14" i="47"/>
  <c r="M16" i="47" s="1"/>
  <c r="M17" i="47" s="1"/>
  <c r="K14" i="47"/>
  <c r="K16" i="47" s="1"/>
  <c r="K17" i="47" s="1"/>
  <c r="I14" i="47"/>
  <c r="I16" i="47" s="1"/>
  <c r="I17" i="47" s="1"/>
  <c r="G14" i="47"/>
  <c r="G16" i="47" s="1"/>
  <c r="G17" i="47" s="1"/>
  <c r="E14" i="47"/>
  <c r="C14" i="47"/>
  <c r="BV13" i="47"/>
  <c r="BU13" i="47"/>
  <c r="AY9" i="47"/>
  <c r="AY10" i="47" s="1"/>
  <c r="AW9" i="47"/>
  <c r="AW11" i="47" s="1"/>
  <c r="AW12" i="47" s="1"/>
  <c r="AU9" i="47"/>
  <c r="AU11" i="47" s="1"/>
  <c r="AU12" i="47" s="1"/>
  <c r="AS9" i="47"/>
  <c r="AS11" i="47" s="1"/>
  <c r="AS12" i="47" s="1"/>
  <c r="AQ9" i="47"/>
  <c r="AQ11" i="47" s="1"/>
  <c r="AQ12" i="47" s="1"/>
  <c r="AO9" i="47"/>
  <c r="AO11" i="47" s="1"/>
  <c r="AO12" i="47" s="1"/>
  <c r="AM9" i="47"/>
  <c r="AM11" i="47" s="1"/>
  <c r="AM12" i="47" s="1"/>
  <c r="AK9" i="47"/>
  <c r="AK10" i="47" s="1"/>
  <c r="AI9" i="47"/>
  <c r="AI10" i="47" s="1"/>
  <c r="AG9" i="47"/>
  <c r="AG11" i="47" s="1"/>
  <c r="AG12" i="47" s="1"/>
  <c r="AE9" i="47"/>
  <c r="AE11" i="47" s="1"/>
  <c r="AE12" i="47" s="1"/>
  <c r="AC9" i="47"/>
  <c r="AC11" i="47" s="1"/>
  <c r="AC12" i="47" s="1"/>
  <c r="AA9" i="47"/>
  <c r="AA11" i="47" s="1"/>
  <c r="AA12" i="47" s="1"/>
  <c r="Y9" i="47"/>
  <c r="Y11" i="47" s="1"/>
  <c r="Y12" i="47" s="1"/>
  <c r="W9" i="47"/>
  <c r="W11" i="47" s="1"/>
  <c r="W12" i="47" s="1"/>
  <c r="U9" i="47"/>
  <c r="U10" i="47" s="1"/>
  <c r="S9" i="47"/>
  <c r="S10" i="47" s="1"/>
  <c r="Q9" i="47"/>
  <c r="Q11" i="47" s="1"/>
  <c r="Q12" i="47" s="1"/>
  <c r="O9" i="47"/>
  <c r="O11" i="47" s="1"/>
  <c r="O12" i="47" s="1"/>
  <c r="M9" i="47"/>
  <c r="M11" i="47" s="1"/>
  <c r="M12" i="47" s="1"/>
  <c r="K9" i="47"/>
  <c r="K11" i="47" s="1"/>
  <c r="K12" i="47" s="1"/>
  <c r="I9" i="47"/>
  <c r="I11" i="47" s="1"/>
  <c r="I12" i="47" s="1"/>
  <c r="G9" i="47"/>
  <c r="G10" i="47" s="1"/>
  <c r="E9" i="47"/>
  <c r="C9" i="47"/>
  <c r="C10" i="47" s="1"/>
  <c r="BV8" i="47"/>
  <c r="BU8" i="47"/>
  <c r="A8" i="47"/>
  <c r="A13" i="47" s="1"/>
  <c r="A18" i="47" s="1"/>
  <c r="A23" i="47" s="1"/>
  <c r="A28" i="47" s="1"/>
  <c r="A33" i="47" s="1"/>
  <c r="A38" i="47" s="1"/>
  <c r="A43" i="47" s="1"/>
  <c r="A48" i="47" s="1"/>
  <c r="A53" i="47" s="1"/>
  <c r="A58" i="47" s="1"/>
  <c r="A63" i="47" s="1"/>
  <c r="A68" i="47" s="1"/>
  <c r="A73" i="47" s="1"/>
  <c r="A78" i="47" s="1"/>
  <c r="A83" i="47" s="1"/>
  <c r="A88" i="47" s="1"/>
  <c r="A93" i="47" s="1"/>
  <c r="A98" i="47" s="1"/>
  <c r="A103" i="47" s="1"/>
  <c r="A108" i="47" s="1"/>
  <c r="A113" i="47" s="1"/>
  <c r="A118" i="47" s="1"/>
  <c r="A123" i="47" s="1"/>
  <c r="A128" i="47" s="1"/>
  <c r="A133" i="47" s="1"/>
  <c r="A138" i="47" s="1"/>
  <c r="A143" i="47" s="1"/>
  <c r="A148" i="47" s="1"/>
  <c r="A153" i="47" s="1"/>
  <c r="AY4" i="47"/>
  <c r="AY6" i="47" s="1"/>
  <c r="AY7" i="47" s="1"/>
  <c r="AW4" i="47"/>
  <c r="AW6" i="47" s="1"/>
  <c r="AW7" i="47" s="1"/>
  <c r="AU4" i="47"/>
  <c r="AU6" i="47" s="1"/>
  <c r="AU7" i="47" s="1"/>
  <c r="AS4" i="47"/>
  <c r="AS6" i="47" s="1"/>
  <c r="AS7" i="47" s="1"/>
  <c r="AQ4" i="47"/>
  <c r="AQ6" i="47" s="1"/>
  <c r="AQ7" i="47" s="1"/>
  <c r="AO4" i="47"/>
  <c r="AO6" i="47" s="1"/>
  <c r="AO7" i="47" s="1"/>
  <c r="AM4" i="47"/>
  <c r="AM6" i="47" s="1"/>
  <c r="AM7" i="47" s="1"/>
  <c r="AK4" i="47"/>
  <c r="AK6" i="47" s="1"/>
  <c r="AK7" i="47" s="1"/>
  <c r="AI4" i="47"/>
  <c r="AI6" i="47" s="1"/>
  <c r="AI7" i="47" s="1"/>
  <c r="AG4" i="47"/>
  <c r="AG6" i="47" s="1"/>
  <c r="AG7" i="47" s="1"/>
  <c r="AE4" i="47"/>
  <c r="AE6" i="47" s="1"/>
  <c r="AE7" i="47" s="1"/>
  <c r="AC4" i="47"/>
  <c r="AC6" i="47" s="1"/>
  <c r="AC7" i="47" s="1"/>
  <c r="AA4" i="47"/>
  <c r="AA6" i="47" s="1"/>
  <c r="AA7" i="47" s="1"/>
  <c r="Y4" i="47"/>
  <c r="Y6" i="47" s="1"/>
  <c r="Y7" i="47" s="1"/>
  <c r="W4" i="47"/>
  <c r="W5" i="47" s="1"/>
  <c r="U4" i="47"/>
  <c r="U6" i="47" s="1"/>
  <c r="U7" i="47" s="1"/>
  <c r="S4" i="47"/>
  <c r="S6" i="47" s="1"/>
  <c r="S7" i="47" s="1"/>
  <c r="Q4" i="47"/>
  <c r="Q6" i="47" s="1"/>
  <c r="Q7" i="47" s="1"/>
  <c r="O4" i="47"/>
  <c r="O6" i="47" s="1"/>
  <c r="O7" i="47" s="1"/>
  <c r="M4" i="47"/>
  <c r="M6" i="47" s="1"/>
  <c r="M7" i="47" s="1"/>
  <c r="K4" i="47"/>
  <c r="K6" i="47" s="1"/>
  <c r="K7" i="47" s="1"/>
  <c r="I4" i="47"/>
  <c r="I6" i="47" s="1"/>
  <c r="I7" i="47" s="1"/>
  <c r="G4" i="47"/>
  <c r="E4" i="47"/>
  <c r="E6" i="47" s="1"/>
  <c r="E7" i="47" s="1"/>
  <c r="C4" i="47"/>
  <c r="C6" i="47" s="1"/>
  <c r="C7" i="47" s="1"/>
  <c r="BV3" i="47"/>
  <c r="BU3" i="47"/>
  <c r="C169" i="47" l="1"/>
  <c r="S169" i="47"/>
  <c r="D171" i="47"/>
  <c r="H171" i="47"/>
  <c r="L171" i="47"/>
  <c r="P171" i="47"/>
  <c r="T171" i="47"/>
  <c r="X171" i="47"/>
  <c r="AB171" i="47"/>
  <c r="AF171" i="47"/>
  <c r="G166" i="47"/>
  <c r="W166" i="47"/>
  <c r="D166" i="47"/>
  <c r="H166" i="47"/>
  <c r="L166" i="47"/>
  <c r="P166" i="47"/>
  <c r="T166" i="47"/>
  <c r="X166" i="47"/>
  <c r="AB166" i="47"/>
  <c r="AF166" i="47"/>
  <c r="E171" i="47"/>
  <c r="I171" i="47"/>
  <c r="M171" i="47"/>
  <c r="Q171" i="47"/>
  <c r="U171" i="47"/>
  <c r="Y171" i="47"/>
  <c r="AC171" i="47"/>
  <c r="AG171" i="47"/>
  <c r="K166" i="47"/>
  <c r="AA166" i="47"/>
  <c r="E166" i="47"/>
  <c r="I166" i="47"/>
  <c r="M166" i="47"/>
  <c r="Q166" i="47"/>
  <c r="U166" i="47"/>
  <c r="Y166" i="47"/>
  <c r="AC166" i="47"/>
  <c r="AG166" i="47"/>
  <c r="F171" i="47"/>
  <c r="J171" i="47"/>
  <c r="N171" i="47"/>
  <c r="R171" i="47"/>
  <c r="V171" i="47"/>
  <c r="Z171" i="47"/>
  <c r="AD171" i="47"/>
  <c r="O166" i="47"/>
  <c r="AE169" i="47"/>
  <c r="F166" i="47"/>
  <c r="J166" i="47"/>
  <c r="N166" i="47"/>
  <c r="R166" i="47"/>
  <c r="V166" i="47"/>
  <c r="Z166" i="47"/>
  <c r="AD166" i="47"/>
  <c r="C171" i="47"/>
  <c r="G171" i="47"/>
  <c r="K171" i="47"/>
  <c r="O171" i="47"/>
  <c r="S171" i="47"/>
  <c r="W171" i="47"/>
  <c r="AA171" i="47"/>
  <c r="AE171" i="47"/>
  <c r="BS65" i="47"/>
  <c r="BW14" i="47"/>
  <c r="BW54" i="47"/>
  <c r="BQ70" i="47"/>
  <c r="BW29" i="47"/>
  <c r="E26" i="47"/>
  <c r="E27" i="47" s="1"/>
  <c r="BW24" i="47"/>
  <c r="E46" i="47"/>
  <c r="E47" i="47" s="1"/>
  <c r="BW44" i="47"/>
  <c r="E66" i="47"/>
  <c r="E67" i="47" s="1"/>
  <c r="BW64" i="47"/>
  <c r="E86" i="47"/>
  <c r="E87" i="47" s="1"/>
  <c r="BW84" i="47"/>
  <c r="E105" i="47"/>
  <c r="BW104" i="47"/>
  <c r="BW124" i="47"/>
  <c r="E145" i="47"/>
  <c r="BW144" i="47"/>
  <c r="E21" i="47"/>
  <c r="E22" i="47" s="1"/>
  <c r="BW19" i="47"/>
  <c r="E41" i="47"/>
  <c r="E42" i="47" s="1"/>
  <c r="BW39" i="47"/>
  <c r="E61" i="47"/>
  <c r="E62" i="47" s="1"/>
  <c r="BW59" i="47"/>
  <c r="BW79" i="47"/>
  <c r="E100" i="47"/>
  <c r="BW99" i="47"/>
  <c r="E120" i="47"/>
  <c r="BW119" i="47"/>
  <c r="E141" i="47"/>
  <c r="E142" i="47" s="1"/>
  <c r="BW139" i="47"/>
  <c r="E36" i="47"/>
  <c r="E37" i="47" s="1"/>
  <c r="BW34" i="47"/>
  <c r="E76" i="47"/>
  <c r="E77" i="47" s="1"/>
  <c r="BW74" i="47"/>
  <c r="E96" i="47"/>
  <c r="E97" i="47" s="1"/>
  <c r="BW94" i="47"/>
  <c r="E116" i="47"/>
  <c r="E117" i="47" s="1"/>
  <c r="BW114" i="47"/>
  <c r="E136" i="47"/>
  <c r="E137" i="47" s="1"/>
  <c r="BW134" i="47"/>
  <c r="E156" i="47"/>
  <c r="E157" i="47" s="1"/>
  <c r="BW154" i="47"/>
  <c r="E11" i="47"/>
  <c r="E12" i="47" s="1"/>
  <c r="BW9" i="47"/>
  <c r="E50" i="47"/>
  <c r="BW49" i="47"/>
  <c r="E71" i="47"/>
  <c r="E72" i="47" s="1"/>
  <c r="BW69" i="47"/>
  <c r="E91" i="47"/>
  <c r="E92" i="47" s="1"/>
  <c r="BW89" i="47"/>
  <c r="E111" i="47"/>
  <c r="E112" i="47" s="1"/>
  <c r="BW109" i="47"/>
  <c r="BW129" i="47"/>
  <c r="E151" i="47"/>
  <c r="E152" i="47" s="1"/>
  <c r="BW149" i="47"/>
  <c r="BA85" i="47"/>
  <c r="BK55" i="47"/>
  <c r="BA105" i="47"/>
  <c r="BQ90" i="47"/>
  <c r="BW4" i="47"/>
  <c r="BM25" i="47"/>
  <c r="BM110" i="47"/>
  <c r="BI26" i="47"/>
  <c r="BI27" i="47" s="1"/>
  <c r="BS55" i="47"/>
  <c r="BO66" i="47"/>
  <c r="BO67" i="47" s="1"/>
  <c r="BO80" i="47"/>
  <c r="BQ85" i="47"/>
  <c r="BO100" i="47"/>
  <c r="BI106" i="47"/>
  <c r="BI107" i="47" s="1"/>
  <c r="BM135" i="47"/>
  <c r="BM150" i="47"/>
  <c r="BM35" i="47"/>
  <c r="BG56" i="47"/>
  <c r="BG57" i="47" s="1"/>
  <c r="BQ121" i="47"/>
  <c r="BQ122" i="47" s="1"/>
  <c r="BM145" i="47"/>
  <c r="K121" i="47"/>
  <c r="K122" i="47" s="1"/>
  <c r="BQ16" i="47"/>
  <c r="BQ17" i="47" s="1"/>
  <c r="BI36" i="47"/>
  <c r="BI37" i="47" s="1"/>
  <c r="BC65" i="47"/>
  <c r="BG90" i="47"/>
  <c r="BE115" i="47"/>
  <c r="BM15" i="47"/>
  <c r="BE25" i="47"/>
  <c r="BQ26" i="47"/>
  <c r="BQ27" i="47" s="1"/>
  <c r="BA36" i="47"/>
  <c r="BA37" i="47" s="1"/>
  <c r="BO56" i="47"/>
  <c r="BO57" i="47" s="1"/>
  <c r="BG66" i="47"/>
  <c r="BG67" i="47" s="1"/>
  <c r="BG70" i="47"/>
  <c r="BC71" i="47"/>
  <c r="BC72" i="47" s="1"/>
  <c r="BO75" i="47"/>
  <c r="BA80" i="47"/>
  <c r="BQ80" i="47"/>
  <c r="BG85" i="47"/>
  <c r="BI90" i="47"/>
  <c r="BO95" i="47"/>
  <c r="BA100" i="47"/>
  <c r="BQ100" i="47"/>
  <c r="BQ106" i="47"/>
  <c r="BQ107" i="47" s="1"/>
  <c r="BE110" i="47"/>
  <c r="BM115" i="47"/>
  <c r="BE120" i="47"/>
  <c r="BM125" i="47"/>
  <c r="BM130" i="47"/>
  <c r="BQ136" i="47"/>
  <c r="BQ137" i="47" s="1"/>
  <c r="BM140" i="47"/>
  <c r="BI151" i="47"/>
  <c r="BI152" i="47" s="1"/>
  <c r="BI95" i="47"/>
  <c r="BA16" i="47"/>
  <c r="BA17" i="47" s="1"/>
  <c r="BA40" i="47"/>
  <c r="BI70" i="47"/>
  <c r="BS71" i="47"/>
  <c r="BS72" i="47" s="1"/>
  <c r="BA75" i="47"/>
  <c r="BQ75" i="47"/>
  <c r="BG80" i="47"/>
  <c r="BI85" i="47"/>
  <c r="BO90" i="47"/>
  <c r="BA95" i="47"/>
  <c r="BQ95" i="47"/>
  <c r="BG100" i="47"/>
  <c r="BQ116" i="47"/>
  <c r="BQ117" i="47" s="1"/>
  <c r="BM120" i="47"/>
  <c r="BI131" i="47"/>
  <c r="BI132" i="47" s="1"/>
  <c r="BI141" i="47"/>
  <c r="BI142" i="47" s="1"/>
  <c r="BE155" i="47"/>
  <c r="BE15" i="47"/>
  <c r="BE31" i="47"/>
  <c r="BE32" i="47" s="1"/>
  <c r="BI75" i="47"/>
  <c r="BE125" i="47"/>
  <c r="BE130" i="47"/>
  <c r="BE140" i="47"/>
  <c r="BW110" i="47"/>
  <c r="S120" i="47"/>
  <c r="BI16" i="47"/>
  <c r="BI17" i="47" s="1"/>
  <c r="BA26" i="47"/>
  <c r="BA27" i="47" s="1"/>
  <c r="BE35" i="47"/>
  <c r="BQ36" i="47"/>
  <c r="BQ37" i="47" s="1"/>
  <c r="BQ40" i="47"/>
  <c r="BK65" i="47"/>
  <c r="BO70" i="47"/>
  <c r="BG75" i="47"/>
  <c r="BI80" i="47"/>
  <c r="BO85" i="47"/>
  <c r="BA90" i="47"/>
  <c r="BG95" i="47"/>
  <c r="BI100" i="47"/>
  <c r="BE106" i="47"/>
  <c r="BE107" i="47" s="1"/>
  <c r="BI111" i="47"/>
  <c r="BI112" i="47" s="1"/>
  <c r="BI121" i="47"/>
  <c r="BI122" i="47" s="1"/>
  <c r="BE135" i="47"/>
  <c r="BQ141" i="47"/>
  <c r="BQ142" i="47" s="1"/>
  <c r="BE145" i="47"/>
  <c r="BE150" i="47"/>
  <c r="BM155" i="47"/>
  <c r="BU4" i="47"/>
  <c r="BW5" i="47" s="1"/>
  <c r="BW30" i="47"/>
  <c r="BU39" i="47"/>
  <c r="BW50" i="47"/>
  <c r="BA5" i="47"/>
  <c r="BI5" i="47"/>
  <c r="BQ5" i="47"/>
  <c r="BE6" i="47"/>
  <c r="BE7" i="47" s="1"/>
  <c r="BM6" i="47"/>
  <c r="BM7" i="47" s="1"/>
  <c r="BE10" i="47"/>
  <c r="BA11" i="47"/>
  <c r="BA12" i="47" s="1"/>
  <c r="BQ11" i="47"/>
  <c r="BQ12" i="47" s="1"/>
  <c r="BM20" i="47"/>
  <c r="BI21" i="47"/>
  <c r="BI22" i="47" s="1"/>
  <c r="BA31" i="47"/>
  <c r="BA32" i="47" s="1"/>
  <c r="BQ31" i="47"/>
  <c r="BQ32" i="47" s="1"/>
  <c r="BM40" i="47"/>
  <c r="BI41" i="47"/>
  <c r="BI42" i="47" s="1"/>
  <c r="BA46" i="47"/>
  <c r="BA47" i="47" s="1"/>
  <c r="BA45" i="47"/>
  <c r="BC5" i="47"/>
  <c r="BK5" i="47"/>
  <c r="BS5" i="47"/>
  <c r="BG6" i="47"/>
  <c r="BG7" i="47" s="1"/>
  <c r="BO6" i="47"/>
  <c r="BO7" i="47" s="1"/>
  <c r="BI10" i="47"/>
  <c r="BA20" i="47"/>
  <c r="BQ20" i="47"/>
  <c r="BI30" i="47"/>
  <c r="BW25" i="47"/>
  <c r="BU34" i="47"/>
  <c r="BW45" i="47"/>
  <c r="BM10" i="47"/>
  <c r="BE20" i="47"/>
  <c r="BM30" i="47"/>
  <c r="BE40" i="47"/>
  <c r="BG10" i="47"/>
  <c r="BO10" i="47"/>
  <c r="BC11" i="47"/>
  <c r="BC12" i="47" s="1"/>
  <c r="BK11" i="47"/>
  <c r="BK12" i="47" s="1"/>
  <c r="BS11" i="47"/>
  <c r="BS12" i="47" s="1"/>
  <c r="BG15" i="47"/>
  <c r="BO15" i="47"/>
  <c r="BC16" i="47"/>
  <c r="BC17" i="47" s="1"/>
  <c r="BK16" i="47"/>
  <c r="BK17" i="47" s="1"/>
  <c r="BS16" i="47"/>
  <c r="BS17" i="47" s="1"/>
  <c r="BG20" i="47"/>
  <c r="BO20" i="47"/>
  <c r="BC21" i="47"/>
  <c r="BC22" i="47" s="1"/>
  <c r="BK21" i="47"/>
  <c r="BK22" i="47" s="1"/>
  <c r="BS21" i="47"/>
  <c r="BS22" i="47" s="1"/>
  <c r="BG25" i="47"/>
  <c r="BO25" i="47"/>
  <c r="BC26" i="47"/>
  <c r="BC27" i="47" s="1"/>
  <c r="BK26" i="47"/>
  <c r="BK27" i="47" s="1"/>
  <c r="BS26" i="47"/>
  <c r="BS27" i="47" s="1"/>
  <c r="BG30" i="47"/>
  <c r="BO30" i="47"/>
  <c r="BC31" i="47"/>
  <c r="BC32" i="47" s="1"/>
  <c r="BK31" i="47"/>
  <c r="BK32" i="47" s="1"/>
  <c r="BS31" i="47"/>
  <c r="BS32" i="47" s="1"/>
  <c r="BG35" i="47"/>
  <c r="BO35" i="47"/>
  <c r="BC36" i="47"/>
  <c r="BC37" i="47" s="1"/>
  <c r="BK36" i="47"/>
  <c r="BK37" i="47" s="1"/>
  <c r="BS36" i="47"/>
  <c r="BS37" i="47" s="1"/>
  <c r="BG40" i="47"/>
  <c r="BO40" i="47"/>
  <c r="BC41" i="47"/>
  <c r="BC42" i="47" s="1"/>
  <c r="BK41" i="47"/>
  <c r="BK42" i="47" s="1"/>
  <c r="BS41" i="47"/>
  <c r="BS42" i="47" s="1"/>
  <c r="BG45" i="47"/>
  <c r="BO45" i="47"/>
  <c r="BC46" i="47"/>
  <c r="BC47" i="47" s="1"/>
  <c r="BK46" i="47"/>
  <c r="BK47" i="47" s="1"/>
  <c r="BS46" i="47"/>
  <c r="BS47" i="47" s="1"/>
  <c r="BG50" i="47"/>
  <c r="BO50" i="47"/>
  <c r="BC51" i="47"/>
  <c r="BC52" i="47" s="1"/>
  <c r="BK51" i="47"/>
  <c r="BK52" i="47" s="1"/>
  <c r="BS51" i="47"/>
  <c r="BS52" i="47" s="1"/>
  <c r="BC56" i="47"/>
  <c r="BC57" i="47" s="1"/>
  <c r="BC60" i="47"/>
  <c r="BS60" i="47"/>
  <c r="BO61" i="47"/>
  <c r="BO62" i="47" s="1"/>
  <c r="BK71" i="47"/>
  <c r="BK72" i="47" s="1"/>
  <c r="BI45" i="47"/>
  <c r="BQ45" i="47"/>
  <c r="BE46" i="47"/>
  <c r="BE47" i="47" s="1"/>
  <c r="BM46" i="47"/>
  <c r="BM47" i="47" s="1"/>
  <c r="BA50" i="47"/>
  <c r="BI50" i="47"/>
  <c r="BQ50" i="47"/>
  <c r="BE51" i="47"/>
  <c r="BE52" i="47" s="1"/>
  <c r="BM51" i="47"/>
  <c r="BM52" i="47" s="1"/>
  <c r="BM56" i="47"/>
  <c r="BM57" i="47" s="1"/>
  <c r="BM55" i="47"/>
  <c r="BA55" i="47"/>
  <c r="BG60" i="47"/>
  <c r="BC75" i="47"/>
  <c r="BC76" i="47"/>
  <c r="BC77" i="47" s="1"/>
  <c r="BK75" i="47"/>
  <c r="BK76" i="47"/>
  <c r="BK77" i="47" s="1"/>
  <c r="BS75" i="47"/>
  <c r="BS76" i="47"/>
  <c r="BS77" i="47" s="1"/>
  <c r="BK60" i="47"/>
  <c r="BI55" i="47"/>
  <c r="BI56" i="47"/>
  <c r="BI57" i="47" s="1"/>
  <c r="BQ55" i="47"/>
  <c r="BQ56" i="47"/>
  <c r="BQ57" i="47" s="1"/>
  <c r="BE55" i="47"/>
  <c r="BE60" i="47"/>
  <c r="BM60" i="47"/>
  <c r="BA61" i="47"/>
  <c r="BA62" i="47" s="1"/>
  <c r="BI61" i="47"/>
  <c r="BI62" i="47" s="1"/>
  <c r="BQ61" i="47"/>
  <c r="BQ62" i="47" s="1"/>
  <c r="BE65" i="47"/>
  <c r="BM65" i="47"/>
  <c r="BA66" i="47"/>
  <c r="BA67" i="47" s="1"/>
  <c r="BI66" i="47"/>
  <c r="BI67" i="47" s="1"/>
  <c r="BQ66" i="47"/>
  <c r="BQ67" i="47" s="1"/>
  <c r="BE70" i="47"/>
  <c r="BM70" i="47"/>
  <c r="BA71" i="47"/>
  <c r="BA72" i="47" s="1"/>
  <c r="BE75" i="47"/>
  <c r="BM75" i="47"/>
  <c r="BE80" i="47"/>
  <c r="BM80" i="47"/>
  <c r="BE85" i="47"/>
  <c r="BM85" i="47"/>
  <c r="BE90" i="47"/>
  <c r="BM90" i="47"/>
  <c r="BE95" i="47"/>
  <c r="BM95" i="47"/>
  <c r="BE100" i="47"/>
  <c r="BM100" i="47"/>
  <c r="BM105" i="47"/>
  <c r="BQ111" i="47"/>
  <c r="BQ112" i="47" s="1"/>
  <c r="BI116" i="47"/>
  <c r="BI117" i="47" s="1"/>
  <c r="BA121" i="47"/>
  <c r="BA122" i="47" s="1"/>
  <c r="BQ131" i="47"/>
  <c r="BQ132" i="47" s="1"/>
  <c r="BI136" i="47"/>
  <c r="BI137" i="47" s="1"/>
  <c r="BA141" i="47"/>
  <c r="BA142" i="47" s="1"/>
  <c r="BQ151" i="47"/>
  <c r="BQ152" i="47" s="1"/>
  <c r="BI156" i="47"/>
  <c r="BI157" i="47" s="1"/>
  <c r="BC81" i="47"/>
  <c r="BC82" i="47" s="1"/>
  <c r="BK81" i="47"/>
  <c r="BK82" i="47" s="1"/>
  <c r="BS81" i="47"/>
  <c r="BS82" i="47" s="1"/>
  <c r="BC86" i="47"/>
  <c r="BC87" i="47" s="1"/>
  <c r="BK86" i="47"/>
  <c r="BK87" i="47" s="1"/>
  <c r="BS86" i="47"/>
  <c r="BS87" i="47" s="1"/>
  <c r="BC91" i="47"/>
  <c r="BC92" i="47" s="1"/>
  <c r="BK91" i="47"/>
  <c r="BK92" i="47" s="1"/>
  <c r="BS91" i="47"/>
  <c r="BS92" i="47" s="1"/>
  <c r="BC96" i="47"/>
  <c r="BC97" i="47" s="1"/>
  <c r="BK96" i="47"/>
  <c r="BK97" i="47" s="1"/>
  <c r="BS96" i="47"/>
  <c r="BS97" i="47" s="1"/>
  <c r="BC101" i="47"/>
  <c r="BC102" i="47" s="1"/>
  <c r="BK101" i="47"/>
  <c r="BK102" i="47" s="1"/>
  <c r="BS101" i="47"/>
  <c r="BS102" i="47" s="1"/>
  <c r="BG105" i="47"/>
  <c r="BO105" i="47"/>
  <c r="BA126" i="47"/>
  <c r="BA127" i="47" s="1"/>
  <c r="BA146" i="47"/>
  <c r="BA147" i="47" s="1"/>
  <c r="BQ156" i="47"/>
  <c r="BQ157" i="47" s="1"/>
  <c r="BA111" i="47"/>
  <c r="BA112" i="47" s="1"/>
  <c r="BI126" i="47"/>
  <c r="BI127" i="47" s="1"/>
  <c r="BA131" i="47"/>
  <c r="BA132" i="47" s="1"/>
  <c r="BI146" i="47"/>
  <c r="BI147" i="47" s="1"/>
  <c r="BA151" i="47"/>
  <c r="BA152" i="47" s="1"/>
  <c r="BC105" i="47"/>
  <c r="BK105" i="47"/>
  <c r="BS105" i="47"/>
  <c r="BA116" i="47"/>
  <c r="BA117" i="47" s="1"/>
  <c r="BQ126" i="47"/>
  <c r="BQ127" i="47" s="1"/>
  <c r="BA136" i="47"/>
  <c r="BA137" i="47" s="1"/>
  <c r="BQ146" i="47"/>
  <c r="BQ147" i="47" s="1"/>
  <c r="BA156" i="47"/>
  <c r="BA157" i="47" s="1"/>
  <c r="BG110" i="47"/>
  <c r="BO110" i="47"/>
  <c r="BC111" i="47"/>
  <c r="BC112" i="47" s="1"/>
  <c r="BK111" i="47"/>
  <c r="BK112" i="47" s="1"/>
  <c r="BS111" i="47"/>
  <c r="BS112" i="47" s="1"/>
  <c r="BG115" i="47"/>
  <c r="BO115" i="47"/>
  <c r="BC116" i="47"/>
  <c r="BC117" i="47" s="1"/>
  <c r="BK116" i="47"/>
  <c r="BK117" i="47" s="1"/>
  <c r="BS116" i="47"/>
  <c r="BS117" i="47" s="1"/>
  <c r="BG120" i="47"/>
  <c r="BO120" i="47"/>
  <c r="BC121" i="47"/>
  <c r="BC122" i="47" s="1"/>
  <c r="BK121" i="47"/>
  <c r="BK122" i="47" s="1"/>
  <c r="BS121" i="47"/>
  <c r="BS122" i="47" s="1"/>
  <c r="BG125" i="47"/>
  <c r="BO125" i="47"/>
  <c r="BC126" i="47"/>
  <c r="BC127" i="47" s="1"/>
  <c r="BK126" i="47"/>
  <c r="BK127" i="47" s="1"/>
  <c r="BS126" i="47"/>
  <c r="BS127" i="47" s="1"/>
  <c r="BG130" i="47"/>
  <c r="BO130" i="47"/>
  <c r="BC131" i="47"/>
  <c r="BC132" i="47" s="1"/>
  <c r="BK131" i="47"/>
  <c r="BK132" i="47" s="1"/>
  <c r="BS131" i="47"/>
  <c r="BS132" i="47" s="1"/>
  <c r="BG135" i="47"/>
  <c r="BO135" i="47"/>
  <c r="BC136" i="47"/>
  <c r="BC137" i="47" s="1"/>
  <c r="BK136" i="47"/>
  <c r="BK137" i="47" s="1"/>
  <c r="BS136" i="47"/>
  <c r="BS137" i="47" s="1"/>
  <c r="BG140" i="47"/>
  <c r="BO140" i="47"/>
  <c r="BC141" i="47"/>
  <c r="BC142" i="47" s="1"/>
  <c r="BK141" i="47"/>
  <c r="BK142" i="47" s="1"/>
  <c r="BS141" i="47"/>
  <c r="BS142" i="47" s="1"/>
  <c r="BG145" i="47"/>
  <c r="BO145" i="47"/>
  <c r="BC146" i="47"/>
  <c r="BC147" i="47" s="1"/>
  <c r="BK146" i="47"/>
  <c r="BK147" i="47" s="1"/>
  <c r="BS146" i="47"/>
  <c r="BS147" i="47" s="1"/>
  <c r="BG150" i="47"/>
  <c r="BO150" i="47"/>
  <c r="BC151" i="47"/>
  <c r="BC152" i="47" s="1"/>
  <c r="BK151" i="47"/>
  <c r="BK152" i="47" s="1"/>
  <c r="BS151" i="47"/>
  <c r="BS152" i="47" s="1"/>
  <c r="BG155" i="47"/>
  <c r="BO155" i="47"/>
  <c r="BC156" i="47"/>
  <c r="BC157" i="47" s="1"/>
  <c r="BK156" i="47"/>
  <c r="BK157" i="47" s="1"/>
  <c r="BS156" i="47"/>
  <c r="BS157" i="47" s="1"/>
  <c r="C11" i="47"/>
  <c r="C12" i="47" s="1"/>
  <c r="BU19" i="47"/>
  <c r="BU21" i="47" s="1"/>
  <c r="BU22" i="47" s="1"/>
  <c r="BW60" i="47"/>
  <c r="AM80" i="47"/>
  <c r="AE81" i="47"/>
  <c r="AE82" i="47" s="1"/>
  <c r="AY120" i="47"/>
  <c r="W80" i="47"/>
  <c r="O81" i="47"/>
  <c r="O82" i="47" s="1"/>
  <c r="U50" i="47"/>
  <c r="BW95" i="47"/>
  <c r="BW140" i="47"/>
  <c r="BU149" i="47"/>
  <c r="I150" i="47"/>
  <c r="AG151" i="47"/>
  <c r="AG152" i="47" s="1"/>
  <c r="S11" i="47"/>
  <c r="S12" i="47" s="1"/>
  <c r="AI11" i="47"/>
  <c r="AI12" i="47" s="1"/>
  <c r="AK50" i="47"/>
  <c r="C121" i="47"/>
  <c r="C122" i="47" s="1"/>
  <c r="AA146" i="47"/>
  <c r="AA147" i="47" s="1"/>
  <c r="AO150" i="47"/>
  <c r="AE156" i="47"/>
  <c r="AE157" i="47" s="1"/>
  <c r="BW35" i="47"/>
  <c r="G50" i="47"/>
  <c r="AM50" i="47"/>
  <c r="M51" i="47"/>
  <c r="M52" i="47" s="1"/>
  <c r="AS51" i="47"/>
  <c r="AS52" i="47" s="1"/>
  <c r="BW55" i="47"/>
  <c r="BU59" i="47"/>
  <c r="BU60" i="47" s="1"/>
  <c r="BW65" i="47"/>
  <c r="BU69" i="47"/>
  <c r="BW75" i="47"/>
  <c r="BU79" i="47"/>
  <c r="BU80" i="47" s="1"/>
  <c r="G80" i="47"/>
  <c r="AU81" i="47"/>
  <c r="AU82" i="47" s="1"/>
  <c r="BW85" i="47"/>
  <c r="BW90" i="47"/>
  <c r="BU94" i="47"/>
  <c r="BU96" i="47" s="1"/>
  <c r="BU97" i="47" s="1"/>
  <c r="C100" i="47"/>
  <c r="W100" i="47"/>
  <c r="AK101" i="47"/>
  <c r="AK102" i="47" s="1"/>
  <c r="AY105" i="47"/>
  <c r="K106" i="47"/>
  <c r="K107" i="47" s="1"/>
  <c r="AQ120" i="47"/>
  <c r="AI121" i="47"/>
  <c r="AI122" i="47" s="1"/>
  <c r="BW125" i="47"/>
  <c r="BU144" i="47"/>
  <c r="BU146" i="47" s="1"/>
  <c r="BU147" i="47" s="1"/>
  <c r="E146" i="47"/>
  <c r="E147" i="47" s="1"/>
  <c r="AG146" i="47"/>
  <c r="AG147" i="47" s="1"/>
  <c r="Q150" i="47"/>
  <c r="AW150" i="47"/>
  <c r="AU156" i="47"/>
  <c r="AU157" i="47" s="1"/>
  <c r="U100" i="47"/>
  <c r="AI105" i="47"/>
  <c r="O51" i="47"/>
  <c r="O52" i="47" s="1"/>
  <c r="AU51" i="47"/>
  <c r="AU52" i="47" s="1"/>
  <c r="K100" i="47"/>
  <c r="AI100" i="47"/>
  <c r="BW105" i="47"/>
  <c r="C105" i="47"/>
  <c r="AA106" i="47"/>
  <c r="AA107" i="47" s="1"/>
  <c r="Q146" i="47"/>
  <c r="Q147" i="47" s="1"/>
  <c r="AK146" i="47"/>
  <c r="AK147" i="47" s="1"/>
  <c r="Y150" i="47"/>
  <c r="W155" i="47"/>
  <c r="AE51" i="47"/>
  <c r="AE52" i="47" s="1"/>
  <c r="AS100" i="47"/>
  <c r="BW150" i="47"/>
  <c r="AY11" i="47"/>
  <c r="AY12" i="47" s="1"/>
  <c r="W50" i="47"/>
  <c r="AC51" i="47"/>
  <c r="AC52" i="47" s="1"/>
  <c r="M100" i="47"/>
  <c r="AQ100" i="47"/>
  <c r="E101" i="47"/>
  <c r="E102" i="47" s="1"/>
  <c r="S105" i="47"/>
  <c r="AQ106" i="47"/>
  <c r="AQ107" i="47" s="1"/>
  <c r="BW115" i="47"/>
  <c r="BW120" i="47"/>
  <c r="BW135" i="47"/>
  <c r="U146" i="47"/>
  <c r="U147" i="47" s="1"/>
  <c r="AW146" i="47"/>
  <c r="AW147" i="47" s="1"/>
  <c r="AM155" i="47"/>
  <c r="O156" i="47"/>
  <c r="O157" i="47" s="1"/>
  <c r="G5" i="47"/>
  <c r="AE5" i="47"/>
  <c r="AU5" i="47"/>
  <c r="G6" i="47"/>
  <c r="G7" i="47" s="1"/>
  <c r="W6" i="47"/>
  <c r="W7" i="47" s="1"/>
  <c r="I5" i="47"/>
  <c r="Y5" i="47"/>
  <c r="AW5" i="47"/>
  <c r="C5" i="47"/>
  <c r="K5" i="47"/>
  <c r="S5" i="47"/>
  <c r="AA5" i="47"/>
  <c r="AI5" i="47"/>
  <c r="AQ5" i="47"/>
  <c r="AY5" i="47"/>
  <c r="I10" i="47"/>
  <c r="Q10" i="47"/>
  <c r="Y10" i="47"/>
  <c r="AG10" i="47"/>
  <c r="AO10" i="47"/>
  <c r="AW10" i="47"/>
  <c r="G11" i="47"/>
  <c r="G12" i="47" s="1"/>
  <c r="U11" i="47"/>
  <c r="U12" i="47" s="1"/>
  <c r="AK11" i="47"/>
  <c r="AK12" i="47" s="1"/>
  <c r="E5" i="47"/>
  <c r="M5" i="47"/>
  <c r="U5" i="47"/>
  <c r="AC5" i="47"/>
  <c r="AK5" i="47"/>
  <c r="AS5" i="47"/>
  <c r="K10" i="47"/>
  <c r="AA10" i="47"/>
  <c r="AQ10" i="47"/>
  <c r="C16" i="47"/>
  <c r="C17" i="47" s="1"/>
  <c r="C15" i="47"/>
  <c r="E10" i="47"/>
  <c r="M10" i="47"/>
  <c r="AC10" i="47"/>
  <c r="AS10" i="47"/>
  <c r="O5" i="47"/>
  <c r="AM5" i="47"/>
  <c r="Q5" i="47"/>
  <c r="AO5" i="47"/>
  <c r="BU9" i="47"/>
  <c r="BW10" i="47" s="1"/>
  <c r="O10" i="47"/>
  <c r="W10" i="47"/>
  <c r="AE10" i="47"/>
  <c r="AM10" i="47"/>
  <c r="AU10" i="47"/>
  <c r="BW15" i="47"/>
  <c r="BU20" i="47"/>
  <c r="BU36" i="47"/>
  <c r="BU37" i="47" s="1"/>
  <c r="BU35" i="47"/>
  <c r="BU41" i="47"/>
  <c r="BU42" i="47" s="1"/>
  <c r="BU40" i="47"/>
  <c r="AG5" i="47"/>
  <c r="K15" i="47"/>
  <c r="S15" i="47"/>
  <c r="AA15" i="47"/>
  <c r="AI15" i="47"/>
  <c r="AQ15" i="47"/>
  <c r="AY15" i="47"/>
  <c r="I20" i="47"/>
  <c r="Q20" i="47"/>
  <c r="Y20" i="47"/>
  <c r="AG20" i="47"/>
  <c r="AO20" i="47"/>
  <c r="AW20" i="47"/>
  <c r="BW20" i="47"/>
  <c r="BU24" i="47"/>
  <c r="G25" i="47"/>
  <c r="O25" i="47"/>
  <c r="W25" i="47"/>
  <c r="AE25" i="47"/>
  <c r="AM25" i="47"/>
  <c r="AU25" i="47"/>
  <c r="E30" i="47"/>
  <c r="M30" i="47"/>
  <c r="U30" i="47"/>
  <c r="AC30" i="47"/>
  <c r="AK30" i="47"/>
  <c r="AS30" i="47"/>
  <c r="E31" i="47"/>
  <c r="E32" i="47" s="1"/>
  <c r="C35" i="47"/>
  <c r="K35" i="47"/>
  <c r="S35" i="47"/>
  <c r="AA35" i="47"/>
  <c r="AI35" i="47"/>
  <c r="AQ35" i="47"/>
  <c r="AY35" i="47"/>
  <c r="I40" i="47"/>
  <c r="Q40" i="47"/>
  <c r="Y40" i="47"/>
  <c r="AG40" i="47"/>
  <c r="AO40" i="47"/>
  <c r="AW40" i="47"/>
  <c r="BW40" i="47"/>
  <c r="BU44" i="47"/>
  <c r="G45" i="47"/>
  <c r="O45" i="47"/>
  <c r="W45" i="47"/>
  <c r="AE45" i="47"/>
  <c r="AM45" i="47"/>
  <c r="AU45" i="47"/>
  <c r="M55" i="47"/>
  <c r="AC55" i="47"/>
  <c r="AS55" i="47"/>
  <c r="E56" i="47"/>
  <c r="E57" i="47" s="1"/>
  <c r="U56" i="47"/>
  <c r="U57" i="47" s="1"/>
  <c r="AK56" i="47"/>
  <c r="AK57" i="47" s="1"/>
  <c r="E15" i="47"/>
  <c r="M15" i="47"/>
  <c r="U15" i="47"/>
  <c r="AC15" i="47"/>
  <c r="AK15" i="47"/>
  <c r="AS15" i="47"/>
  <c r="E16" i="47"/>
  <c r="E17" i="47" s="1"/>
  <c r="C20" i="47"/>
  <c r="K20" i="47"/>
  <c r="S20" i="47"/>
  <c r="AA20" i="47"/>
  <c r="AI20" i="47"/>
  <c r="AQ20" i="47"/>
  <c r="AY20" i="47"/>
  <c r="I25" i="47"/>
  <c r="Q25" i="47"/>
  <c r="Y25" i="47"/>
  <c r="AG25" i="47"/>
  <c r="AO25" i="47"/>
  <c r="AW25" i="47"/>
  <c r="BU29" i="47"/>
  <c r="G30" i="47"/>
  <c r="O30" i="47"/>
  <c r="W30" i="47"/>
  <c r="AE30" i="47"/>
  <c r="AM30" i="47"/>
  <c r="AU30" i="47"/>
  <c r="E35" i="47"/>
  <c r="M35" i="47"/>
  <c r="U35" i="47"/>
  <c r="AC35" i="47"/>
  <c r="AK35" i="47"/>
  <c r="AS35" i="47"/>
  <c r="C40" i="47"/>
  <c r="K40" i="47"/>
  <c r="S40" i="47"/>
  <c r="AA40" i="47"/>
  <c r="AI40" i="47"/>
  <c r="AQ40" i="47"/>
  <c r="AY40" i="47"/>
  <c r="I45" i="47"/>
  <c r="Q45" i="47"/>
  <c r="Y45" i="47"/>
  <c r="AG45" i="47"/>
  <c r="AO45" i="47"/>
  <c r="AW45" i="47"/>
  <c r="E51" i="47"/>
  <c r="E52" i="47" s="1"/>
  <c r="C55" i="47"/>
  <c r="S55" i="47"/>
  <c r="AI55" i="47"/>
  <c r="AY55" i="47"/>
  <c r="K56" i="47"/>
  <c r="K57" i="47" s="1"/>
  <c r="AA56" i="47"/>
  <c r="AA57" i="47" s="1"/>
  <c r="AQ56" i="47"/>
  <c r="AQ57" i="47" s="1"/>
  <c r="C61" i="47"/>
  <c r="C62" i="47" s="1"/>
  <c r="C60" i="47"/>
  <c r="K61" i="47"/>
  <c r="K62" i="47" s="1"/>
  <c r="K60" i="47"/>
  <c r="S61" i="47"/>
  <c r="S62" i="47" s="1"/>
  <c r="S60" i="47"/>
  <c r="AA61" i="47"/>
  <c r="AA62" i="47" s="1"/>
  <c r="AA60" i="47"/>
  <c r="AI61" i="47"/>
  <c r="AI62" i="47" s="1"/>
  <c r="AI60" i="47"/>
  <c r="AQ61" i="47"/>
  <c r="AQ62" i="47" s="1"/>
  <c r="AQ60" i="47"/>
  <c r="AY61" i="47"/>
  <c r="AY62" i="47" s="1"/>
  <c r="AY60" i="47"/>
  <c r="BU14" i="47"/>
  <c r="G15" i="47"/>
  <c r="O15" i="47"/>
  <c r="W15" i="47"/>
  <c r="AE15" i="47"/>
  <c r="AM15" i="47"/>
  <c r="AU15" i="47"/>
  <c r="E20" i="47"/>
  <c r="M20" i="47"/>
  <c r="U20" i="47"/>
  <c r="AC20" i="47"/>
  <c r="AK20" i="47"/>
  <c r="AS20" i="47"/>
  <c r="C25" i="47"/>
  <c r="K25" i="47"/>
  <c r="S25" i="47"/>
  <c r="AA25" i="47"/>
  <c r="AI25" i="47"/>
  <c r="AQ25" i="47"/>
  <c r="AY25" i="47"/>
  <c r="I30" i="47"/>
  <c r="Q30" i="47"/>
  <c r="Y30" i="47"/>
  <c r="AG30" i="47"/>
  <c r="AO30" i="47"/>
  <c r="AW30" i="47"/>
  <c r="G35" i="47"/>
  <c r="O35" i="47"/>
  <c r="W35" i="47"/>
  <c r="AE35" i="47"/>
  <c r="AM35" i="47"/>
  <c r="AU35" i="47"/>
  <c r="E40" i="47"/>
  <c r="M40" i="47"/>
  <c r="U40" i="47"/>
  <c r="AC40" i="47"/>
  <c r="AK40" i="47"/>
  <c r="AS40" i="47"/>
  <c r="C45" i="47"/>
  <c r="K45" i="47"/>
  <c r="S45" i="47"/>
  <c r="AA45" i="47"/>
  <c r="AI45" i="47"/>
  <c r="AQ45" i="47"/>
  <c r="AY45" i="47"/>
  <c r="BU49" i="47"/>
  <c r="E55" i="47"/>
  <c r="I15" i="47"/>
  <c r="Q15" i="47"/>
  <c r="Y15" i="47"/>
  <c r="AG15" i="47"/>
  <c r="AO15" i="47"/>
  <c r="AW15" i="47"/>
  <c r="G20" i="47"/>
  <c r="O20" i="47"/>
  <c r="W20" i="47"/>
  <c r="AE20" i="47"/>
  <c r="AM20" i="47"/>
  <c r="AU20" i="47"/>
  <c r="E25" i="47"/>
  <c r="M25" i="47"/>
  <c r="U25" i="47"/>
  <c r="AC25" i="47"/>
  <c r="AK25" i="47"/>
  <c r="AS25" i="47"/>
  <c r="C30" i="47"/>
  <c r="K30" i="47"/>
  <c r="S30" i="47"/>
  <c r="AA30" i="47"/>
  <c r="AI30" i="47"/>
  <c r="AQ30" i="47"/>
  <c r="AY30" i="47"/>
  <c r="I35" i="47"/>
  <c r="Q35" i="47"/>
  <c r="Y35" i="47"/>
  <c r="AG35" i="47"/>
  <c r="AO35" i="47"/>
  <c r="AW35" i="47"/>
  <c r="G40" i="47"/>
  <c r="O40" i="47"/>
  <c r="W40" i="47"/>
  <c r="AE40" i="47"/>
  <c r="AM40" i="47"/>
  <c r="AU40" i="47"/>
  <c r="E45" i="47"/>
  <c r="M45" i="47"/>
  <c r="U45" i="47"/>
  <c r="AC45" i="47"/>
  <c r="AK45" i="47"/>
  <c r="AS45" i="47"/>
  <c r="BU61" i="47"/>
  <c r="BU62" i="47" s="1"/>
  <c r="BU70" i="47"/>
  <c r="I50" i="47"/>
  <c r="Q50" i="47"/>
  <c r="Y50" i="47"/>
  <c r="AG50" i="47"/>
  <c r="AO50" i="47"/>
  <c r="AW50" i="47"/>
  <c r="BU54" i="47"/>
  <c r="G55" i="47"/>
  <c r="O55" i="47"/>
  <c r="W55" i="47"/>
  <c r="AE55" i="47"/>
  <c r="AM55" i="47"/>
  <c r="AU55" i="47"/>
  <c r="E60" i="47"/>
  <c r="M60" i="47"/>
  <c r="U60" i="47"/>
  <c r="AC60" i="47"/>
  <c r="AK60" i="47"/>
  <c r="AS60" i="47"/>
  <c r="C65" i="47"/>
  <c r="K65" i="47"/>
  <c r="S65" i="47"/>
  <c r="AA65" i="47"/>
  <c r="AI65" i="47"/>
  <c r="AQ65" i="47"/>
  <c r="AY65" i="47"/>
  <c r="I70" i="47"/>
  <c r="Q70" i="47"/>
  <c r="Y70" i="47"/>
  <c r="AG70" i="47"/>
  <c r="AO70" i="47"/>
  <c r="AW70" i="47"/>
  <c r="BW70" i="47"/>
  <c r="BU74" i="47"/>
  <c r="G75" i="47"/>
  <c r="O75" i="47"/>
  <c r="W75" i="47"/>
  <c r="AE75" i="47"/>
  <c r="AM75" i="47"/>
  <c r="AU75" i="47"/>
  <c r="E81" i="47"/>
  <c r="E82" i="47" s="1"/>
  <c r="E80" i="47"/>
  <c r="M81" i="47"/>
  <c r="M82" i="47" s="1"/>
  <c r="M80" i="47"/>
  <c r="U81" i="47"/>
  <c r="U82" i="47" s="1"/>
  <c r="U80" i="47"/>
  <c r="AC81" i="47"/>
  <c r="AC82" i="47" s="1"/>
  <c r="AC80" i="47"/>
  <c r="I80" i="47"/>
  <c r="Y80" i="47"/>
  <c r="AO80" i="47"/>
  <c r="BW80" i="47"/>
  <c r="Q81" i="47"/>
  <c r="Q82" i="47" s="1"/>
  <c r="AG81" i="47"/>
  <c r="AG82" i="47" s="1"/>
  <c r="AW81" i="47"/>
  <c r="AW82" i="47" s="1"/>
  <c r="G85" i="47"/>
  <c r="AM85" i="47"/>
  <c r="C50" i="47"/>
  <c r="K50" i="47"/>
  <c r="S50" i="47"/>
  <c r="AA50" i="47"/>
  <c r="AI50" i="47"/>
  <c r="AQ50" i="47"/>
  <c r="AY50" i="47"/>
  <c r="I55" i="47"/>
  <c r="Q55" i="47"/>
  <c r="Y55" i="47"/>
  <c r="AG55" i="47"/>
  <c r="AO55" i="47"/>
  <c r="AW55" i="47"/>
  <c r="G60" i="47"/>
  <c r="O60" i="47"/>
  <c r="W60" i="47"/>
  <c r="AE60" i="47"/>
  <c r="AM60" i="47"/>
  <c r="AU60" i="47"/>
  <c r="E65" i="47"/>
  <c r="M65" i="47"/>
  <c r="U65" i="47"/>
  <c r="AC65" i="47"/>
  <c r="AK65" i="47"/>
  <c r="AS65" i="47"/>
  <c r="C70" i="47"/>
  <c r="K70" i="47"/>
  <c r="S70" i="47"/>
  <c r="AA70" i="47"/>
  <c r="AI70" i="47"/>
  <c r="AQ70" i="47"/>
  <c r="AY70" i="47"/>
  <c r="I75" i="47"/>
  <c r="Q75" i="47"/>
  <c r="Y75" i="47"/>
  <c r="AG75" i="47"/>
  <c r="AO75" i="47"/>
  <c r="AW75" i="47"/>
  <c r="O85" i="47"/>
  <c r="AU85" i="47"/>
  <c r="I60" i="47"/>
  <c r="Q60" i="47"/>
  <c r="Y60" i="47"/>
  <c r="AG60" i="47"/>
  <c r="AO60" i="47"/>
  <c r="AW60" i="47"/>
  <c r="BU64" i="47"/>
  <c r="G65" i="47"/>
  <c r="O65" i="47"/>
  <c r="W65" i="47"/>
  <c r="AE65" i="47"/>
  <c r="AM65" i="47"/>
  <c r="AU65" i="47"/>
  <c r="E70" i="47"/>
  <c r="M70" i="47"/>
  <c r="U70" i="47"/>
  <c r="AC70" i="47"/>
  <c r="AK70" i="47"/>
  <c r="AS70" i="47"/>
  <c r="C75" i="47"/>
  <c r="K75" i="47"/>
  <c r="S75" i="47"/>
  <c r="AA75" i="47"/>
  <c r="AI75" i="47"/>
  <c r="AQ75" i="47"/>
  <c r="AY75" i="47"/>
  <c r="W85" i="47"/>
  <c r="I65" i="47"/>
  <c r="Q65" i="47"/>
  <c r="Y65" i="47"/>
  <c r="AG65" i="47"/>
  <c r="AO65" i="47"/>
  <c r="AW65" i="47"/>
  <c r="G70" i="47"/>
  <c r="O70" i="47"/>
  <c r="W70" i="47"/>
  <c r="AE70" i="47"/>
  <c r="AM70" i="47"/>
  <c r="AU70" i="47"/>
  <c r="E75" i="47"/>
  <c r="M75" i="47"/>
  <c r="U75" i="47"/>
  <c r="AC75" i="47"/>
  <c r="AK75" i="47"/>
  <c r="AS75" i="47"/>
  <c r="C81" i="47"/>
  <c r="C82" i="47" s="1"/>
  <c r="C80" i="47"/>
  <c r="K81" i="47"/>
  <c r="K82" i="47" s="1"/>
  <c r="K80" i="47"/>
  <c r="S81" i="47"/>
  <c r="S82" i="47" s="1"/>
  <c r="S80" i="47"/>
  <c r="AA81" i="47"/>
  <c r="AA82" i="47" s="1"/>
  <c r="AA80" i="47"/>
  <c r="AI81" i="47"/>
  <c r="AI82" i="47" s="1"/>
  <c r="AI80" i="47"/>
  <c r="AQ81" i="47"/>
  <c r="AQ82" i="47" s="1"/>
  <c r="AQ80" i="47"/>
  <c r="AY81" i="47"/>
  <c r="AY82" i="47" s="1"/>
  <c r="AY80" i="47"/>
  <c r="BU84" i="47"/>
  <c r="AE85" i="47"/>
  <c r="I85" i="47"/>
  <c r="Q85" i="47"/>
  <c r="Y85" i="47"/>
  <c r="AG85" i="47"/>
  <c r="AO85" i="47"/>
  <c r="AW85" i="47"/>
  <c r="BU89" i="47"/>
  <c r="G90" i="47"/>
  <c r="O90" i="47"/>
  <c r="W90" i="47"/>
  <c r="AE90" i="47"/>
  <c r="AM90" i="47"/>
  <c r="AU90" i="47"/>
  <c r="E95" i="47"/>
  <c r="M95" i="47"/>
  <c r="U95" i="47"/>
  <c r="AC95" i="47"/>
  <c r="AK95" i="47"/>
  <c r="AS95" i="47"/>
  <c r="O100" i="47"/>
  <c r="AA100" i="47"/>
  <c r="AU100" i="47"/>
  <c r="G101" i="47"/>
  <c r="G102" i="47" s="1"/>
  <c r="AM101" i="47"/>
  <c r="AM102" i="47" s="1"/>
  <c r="U105" i="47"/>
  <c r="AK105" i="47"/>
  <c r="M106" i="47"/>
  <c r="M107" i="47" s="1"/>
  <c r="AC106" i="47"/>
  <c r="AC107" i="47" s="1"/>
  <c r="AS106" i="47"/>
  <c r="AS107" i="47" s="1"/>
  <c r="AA110" i="47"/>
  <c r="AK80" i="47"/>
  <c r="AS80" i="47"/>
  <c r="C85" i="47"/>
  <c r="K85" i="47"/>
  <c r="S85" i="47"/>
  <c r="AA85" i="47"/>
  <c r="AI85" i="47"/>
  <c r="AQ85" i="47"/>
  <c r="AY85" i="47"/>
  <c r="I90" i="47"/>
  <c r="Q90" i="47"/>
  <c r="Y90" i="47"/>
  <c r="AG90" i="47"/>
  <c r="AO90" i="47"/>
  <c r="AW90" i="47"/>
  <c r="G95" i="47"/>
  <c r="O95" i="47"/>
  <c r="W95" i="47"/>
  <c r="AE95" i="47"/>
  <c r="AM95" i="47"/>
  <c r="AU95" i="47"/>
  <c r="S100" i="47"/>
  <c r="AC100" i="47"/>
  <c r="AY100" i="47"/>
  <c r="BU109" i="47"/>
  <c r="C110" i="47"/>
  <c r="AI110" i="47"/>
  <c r="E85" i="47"/>
  <c r="M85" i="47"/>
  <c r="U85" i="47"/>
  <c r="AC85" i="47"/>
  <c r="AK85" i="47"/>
  <c r="AS85" i="47"/>
  <c r="C90" i="47"/>
  <c r="K90" i="47"/>
  <c r="S90" i="47"/>
  <c r="AA90" i="47"/>
  <c r="AI90" i="47"/>
  <c r="AQ90" i="47"/>
  <c r="AY90" i="47"/>
  <c r="I95" i="47"/>
  <c r="Q95" i="47"/>
  <c r="Y95" i="47"/>
  <c r="AG95" i="47"/>
  <c r="AO95" i="47"/>
  <c r="AW95" i="47"/>
  <c r="BW100" i="47"/>
  <c r="BU99" i="47"/>
  <c r="AE100" i="47"/>
  <c r="E106" i="47"/>
  <c r="E107" i="47" s="1"/>
  <c r="I111" i="47"/>
  <c r="I112" i="47" s="1"/>
  <c r="I110" i="47"/>
  <c r="Q111" i="47"/>
  <c r="Q112" i="47" s="1"/>
  <c r="Q110" i="47"/>
  <c r="Y111" i="47"/>
  <c r="Y112" i="47" s="1"/>
  <c r="Y110" i="47"/>
  <c r="AG111" i="47"/>
  <c r="AG112" i="47" s="1"/>
  <c r="AG110" i="47"/>
  <c r="AO111" i="47"/>
  <c r="AO112" i="47" s="1"/>
  <c r="AO110" i="47"/>
  <c r="AW111" i="47"/>
  <c r="AW112" i="47" s="1"/>
  <c r="AW110" i="47"/>
  <c r="K110" i="47"/>
  <c r="AQ110" i="47"/>
  <c r="E90" i="47"/>
  <c r="M90" i="47"/>
  <c r="U90" i="47"/>
  <c r="AC90" i="47"/>
  <c r="AK90" i="47"/>
  <c r="AS90" i="47"/>
  <c r="C95" i="47"/>
  <c r="K95" i="47"/>
  <c r="S95" i="47"/>
  <c r="AA95" i="47"/>
  <c r="AI95" i="47"/>
  <c r="AQ95" i="47"/>
  <c r="AY95" i="47"/>
  <c r="I101" i="47"/>
  <c r="I102" i="47" s="1"/>
  <c r="I100" i="47"/>
  <c r="Q101" i="47"/>
  <c r="Q102" i="47" s="1"/>
  <c r="Q100" i="47"/>
  <c r="Y101" i="47"/>
  <c r="Y102" i="47" s="1"/>
  <c r="Y100" i="47"/>
  <c r="AG101" i="47"/>
  <c r="AG102" i="47" s="1"/>
  <c r="AG100" i="47"/>
  <c r="AO101" i="47"/>
  <c r="AO102" i="47" s="1"/>
  <c r="AO100" i="47"/>
  <c r="AW101" i="47"/>
  <c r="AW102" i="47" s="1"/>
  <c r="AW100" i="47"/>
  <c r="S110" i="47"/>
  <c r="AY110" i="47"/>
  <c r="BU104" i="47"/>
  <c r="G105" i="47"/>
  <c r="O105" i="47"/>
  <c r="W105" i="47"/>
  <c r="AE105" i="47"/>
  <c r="AM105" i="47"/>
  <c r="AU105" i="47"/>
  <c r="E110" i="47"/>
  <c r="M110" i="47"/>
  <c r="U110" i="47"/>
  <c r="AC110" i="47"/>
  <c r="AK110" i="47"/>
  <c r="AS110" i="47"/>
  <c r="C115" i="47"/>
  <c r="K115" i="47"/>
  <c r="S115" i="47"/>
  <c r="AA115" i="47"/>
  <c r="AI115" i="47"/>
  <c r="AQ115" i="47"/>
  <c r="AY115" i="47"/>
  <c r="I121" i="47"/>
  <c r="I122" i="47" s="1"/>
  <c r="I120" i="47"/>
  <c r="Q121" i="47"/>
  <c r="Q122" i="47" s="1"/>
  <c r="Q120" i="47"/>
  <c r="Y121" i="47"/>
  <c r="Y122" i="47" s="1"/>
  <c r="Y120" i="47"/>
  <c r="AG121" i="47"/>
  <c r="AG122" i="47" s="1"/>
  <c r="AG120" i="47"/>
  <c r="AO121" i="47"/>
  <c r="AO122" i="47" s="1"/>
  <c r="AO120" i="47"/>
  <c r="AW121" i="47"/>
  <c r="AW122" i="47" s="1"/>
  <c r="AW120" i="47"/>
  <c r="M120" i="47"/>
  <c r="W120" i="47"/>
  <c r="AS120" i="47"/>
  <c r="E121" i="47"/>
  <c r="E122" i="47" s="1"/>
  <c r="O121" i="47"/>
  <c r="O122" i="47" s="1"/>
  <c r="AA121" i="47"/>
  <c r="AA122" i="47" s="1"/>
  <c r="I105" i="47"/>
  <c r="Q105" i="47"/>
  <c r="Y105" i="47"/>
  <c r="AG105" i="47"/>
  <c r="AO105" i="47"/>
  <c r="AW105" i="47"/>
  <c r="G110" i="47"/>
  <c r="O110" i="47"/>
  <c r="W110" i="47"/>
  <c r="AE110" i="47"/>
  <c r="AM110" i="47"/>
  <c r="AU110" i="47"/>
  <c r="E115" i="47"/>
  <c r="M115" i="47"/>
  <c r="U115" i="47"/>
  <c r="AC115" i="47"/>
  <c r="AK115" i="47"/>
  <c r="AS115" i="47"/>
  <c r="AK120" i="47"/>
  <c r="AU120" i="47"/>
  <c r="G121" i="47"/>
  <c r="G122" i="47" s="1"/>
  <c r="AE121" i="47"/>
  <c r="AE122" i="47" s="1"/>
  <c r="E126" i="47"/>
  <c r="E127" i="47" s="1"/>
  <c r="E125" i="47"/>
  <c r="M126" i="47"/>
  <c r="M127" i="47" s="1"/>
  <c r="M125" i="47"/>
  <c r="BU114" i="47"/>
  <c r="G115" i="47"/>
  <c r="O115" i="47"/>
  <c r="W115" i="47"/>
  <c r="AE115" i="47"/>
  <c r="AM115" i="47"/>
  <c r="AU115" i="47"/>
  <c r="AC120" i="47"/>
  <c r="AM120" i="47"/>
  <c r="U121" i="47"/>
  <c r="U122" i="47" s="1"/>
  <c r="BU124" i="47"/>
  <c r="I115" i="47"/>
  <c r="Q115" i="47"/>
  <c r="Y115" i="47"/>
  <c r="AG115" i="47"/>
  <c r="AO115" i="47"/>
  <c r="AW115" i="47"/>
  <c r="BU119" i="47"/>
  <c r="I126" i="47"/>
  <c r="I127" i="47" s="1"/>
  <c r="I125" i="47"/>
  <c r="Q126" i="47"/>
  <c r="Q127" i="47" s="1"/>
  <c r="Q125" i="47"/>
  <c r="Y126" i="47"/>
  <c r="Y127" i="47" s="1"/>
  <c r="Y125" i="47"/>
  <c r="AG126" i="47"/>
  <c r="AG127" i="47" s="1"/>
  <c r="AG125" i="47"/>
  <c r="AO126" i="47"/>
  <c r="AO127" i="47" s="1"/>
  <c r="AO125" i="47"/>
  <c r="U125" i="47"/>
  <c r="AC125" i="47"/>
  <c r="AK125" i="47"/>
  <c r="AS125" i="47"/>
  <c r="M130" i="47"/>
  <c r="AC130" i="47"/>
  <c r="AS130" i="47"/>
  <c r="U131" i="47"/>
  <c r="U132" i="47" s="1"/>
  <c r="C135" i="47"/>
  <c r="AI135" i="47"/>
  <c r="AA136" i="47"/>
  <c r="AA137" i="47" s="1"/>
  <c r="I141" i="47"/>
  <c r="I142" i="47" s="1"/>
  <c r="I140" i="47"/>
  <c r="Q141" i="47"/>
  <c r="Q142" i="47" s="1"/>
  <c r="Q140" i="47"/>
  <c r="Y141" i="47"/>
  <c r="Y142" i="47" s="1"/>
  <c r="Y140" i="47"/>
  <c r="AG141" i="47"/>
  <c r="AG142" i="47" s="1"/>
  <c r="AG140" i="47"/>
  <c r="AO141" i="47"/>
  <c r="AO142" i="47" s="1"/>
  <c r="AO140" i="47"/>
  <c r="AW141" i="47"/>
  <c r="AW142" i="47" s="1"/>
  <c r="AW140" i="47"/>
  <c r="G125" i="47"/>
  <c r="O125" i="47"/>
  <c r="W125" i="47"/>
  <c r="AE125" i="47"/>
  <c r="AM125" i="47"/>
  <c r="AU125" i="47"/>
  <c r="BW130" i="47"/>
  <c r="C130" i="47"/>
  <c r="S130" i="47"/>
  <c r="AI130" i="47"/>
  <c r="AY130" i="47"/>
  <c r="K135" i="47"/>
  <c r="AQ135" i="47"/>
  <c r="AW125" i="47"/>
  <c r="I131" i="47"/>
  <c r="I132" i="47" s="1"/>
  <c r="I130" i="47"/>
  <c r="Q131" i="47"/>
  <c r="Q132" i="47" s="1"/>
  <c r="Q130" i="47"/>
  <c r="Y131" i="47"/>
  <c r="Y132" i="47" s="1"/>
  <c r="Y130" i="47"/>
  <c r="AG131" i="47"/>
  <c r="AG132" i="47" s="1"/>
  <c r="AG130" i="47"/>
  <c r="AO131" i="47"/>
  <c r="AO132" i="47" s="1"/>
  <c r="AO130" i="47"/>
  <c r="AW131" i="47"/>
  <c r="AW132" i="47" s="1"/>
  <c r="AW130" i="47"/>
  <c r="E130" i="47"/>
  <c r="AK130" i="47"/>
  <c r="E131" i="47"/>
  <c r="E132" i="47" s="1"/>
  <c r="S135" i="47"/>
  <c r="AY135" i="47"/>
  <c r="C125" i="47"/>
  <c r="K125" i="47"/>
  <c r="S125" i="47"/>
  <c r="AA125" i="47"/>
  <c r="AI125" i="47"/>
  <c r="AQ125" i="47"/>
  <c r="AY125" i="47"/>
  <c r="K130" i="47"/>
  <c r="AA130" i="47"/>
  <c r="AQ130" i="47"/>
  <c r="BU139" i="47"/>
  <c r="BU129" i="47"/>
  <c r="G130" i="47"/>
  <c r="O130" i="47"/>
  <c r="W130" i="47"/>
  <c r="AE130" i="47"/>
  <c r="AM130" i="47"/>
  <c r="AU130" i="47"/>
  <c r="E135" i="47"/>
  <c r="M135" i="47"/>
  <c r="U135" i="47"/>
  <c r="AC135" i="47"/>
  <c r="AK135" i="47"/>
  <c r="AS135" i="47"/>
  <c r="C140" i="47"/>
  <c r="K140" i="47"/>
  <c r="S140" i="47"/>
  <c r="AA140" i="47"/>
  <c r="AI140" i="47"/>
  <c r="AQ140" i="47"/>
  <c r="AY140" i="47"/>
  <c r="I145" i="47"/>
  <c r="Y145" i="47"/>
  <c r="AO145" i="47"/>
  <c r="S146" i="47"/>
  <c r="S147" i="47" s="1"/>
  <c r="AC146" i="47"/>
  <c r="AC147" i="47" s="1"/>
  <c r="AY146" i="47"/>
  <c r="AY147" i="47" s="1"/>
  <c r="C150" i="47"/>
  <c r="S150" i="47"/>
  <c r="AI150" i="47"/>
  <c r="AY150" i="47"/>
  <c r="K151" i="47"/>
  <c r="K152" i="47" s="1"/>
  <c r="AA151" i="47"/>
  <c r="AA152" i="47" s="1"/>
  <c r="AQ151" i="47"/>
  <c r="AQ152" i="47" s="1"/>
  <c r="BU134" i="47"/>
  <c r="G135" i="47"/>
  <c r="O135" i="47"/>
  <c r="W135" i="47"/>
  <c r="AE135" i="47"/>
  <c r="AM135" i="47"/>
  <c r="AU135" i="47"/>
  <c r="G136" i="47"/>
  <c r="G137" i="47" s="1"/>
  <c r="E140" i="47"/>
  <c r="M140" i="47"/>
  <c r="U140" i="47"/>
  <c r="AC140" i="47"/>
  <c r="AK140" i="47"/>
  <c r="AS140" i="47"/>
  <c r="C145" i="47"/>
  <c r="K145" i="47"/>
  <c r="AI145" i="47"/>
  <c r="AQ145" i="47"/>
  <c r="BW145" i="47"/>
  <c r="I135" i="47"/>
  <c r="Q135" i="47"/>
  <c r="Y135" i="47"/>
  <c r="AG135" i="47"/>
  <c r="AO135" i="47"/>
  <c r="AW135" i="47"/>
  <c r="G140" i="47"/>
  <c r="O140" i="47"/>
  <c r="W140" i="47"/>
  <c r="AE140" i="47"/>
  <c r="AM140" i="47"/>
  <c r="AU140" i="47"/>
  <c r="M145" i="47"/>
  <c r="AS145" i="47"/>
  <c r="K150" i="47"/>
  <c r="G145" i="47"/>
  <c r="O145" i="47"/>
  <c r="W145" i="47"/>
  <c r="AE145" i="47"/>
  <c r="AM145" i="47"/>
  <c r="AU145" i="47"/>
  <c r="BU151" i="47"/>
  <c r="BU152" i="47" s="1"/>
  <c r="BU150" i="47"/>
  <c r="BU154" i="47"/>
  <c r="BW155" i="47" s="1"/>
  <c r="G156" i="47"/>
  <c r="G157" i="47" s="1"/>
  <c r="I156" i="47"/>
  <c r="I157" i="47" s="1"/>
  <c r="I155" i="47"/>
  <c r="Q156" i="47"/>
  <c r="Q157" i="47" s="1"/>
  <c r="Q155" i="47"/>
  <c r="Y156" i="47"/>
  <c r="Y157" i="47" s="1"/>
  <c r="Y155" i="47"/>
  <c r="AG156" i="47"/>
  <c r="AG157" i="47" s="1"/>
  <c r="AG155" i="47"/>
  <c r="AO156" i="47"/>
  <c r="AO157" i="47" s="1"/>
  <c r="AO155" i="47"/>
  <c r="AW156" i="47"/>
  <c r="AW157" i="47" s="1"/>
  <c r="AW155" i="47"/>
  <c r="C155" i="47"/>
  <c r="S155" i="47"/>
  <c r="AI155" i="47"/>
  <c r="AY155" i="47"/>
  <c r="K156" i="47"/>
  <c r="K157" i="47" s="1"/>
  <c r="AA156" i="47"/>
  <c r="AA157" i="47" s="1"/>
  <c r="AQ156" i="47"/>
  <c r="AQ157" i="47" s="1"/>
  <c r="E150" i="47"/>
  <c r="M150" i="47"/>
  <c r="U150" i="47"/>
  <c r="AC150" i="47"/>
  <c r="AK150" i="47"/>
  <c r="AS150" i="47"/>
  <c r="C161" i="47"/>
  <c r="G150" i="47"/>
  <c r="O150" i="47"/>
  <c r="W150" i="47"/>
  <c r="AE150" i="47"/>
  <c r="AM150" i="47"/>
  <c r="AU150" i="47"/>
  <c r="E155" i="47"/>
  <c r="M155" i="47"/>
  <c r="U155" i="47"/>
  <c r="AC155" i="47"/>
  <c r="AK155" i="47"/>
  <c r="AS155" i="47"/>
  <c r="C160" i="47"/>
  <c r="D159" i="47"/>
  <c r="C162" i="47" l="1"/>
  <c r="D172" i="47"/>
  <c r="E172" i="47"/>
  <c r="P172" i="47"/>
  <c r="U172" i="47"/>
  <c r="AF172" i="47"/>
  <c r="AE172" i="47"/>
  <c r="Y172" i="47"/>
  <c r="AB172" i="47"/>
  <c r="O172" i="47"/>
  <c r="N172" i="47"/>
  <c r="G172" i="47"/>
  <c r="L172" i="47"/>
  <c r="M172" i="47"/>
  <c r="T172" i="47"/>
  <c r="X172" i="47"/>
  <c r="AG172" i="47"/>
  <c r="J172" i="47"/>
  <c r="H172" i="47"/>
  <c r="S172" i="47"/>
  <c r="C172" i="47"/>
  <c r="F172" i="47"/>
  <c r="Z172" i="47"/>
  <c r="W172" i="47"/>
  <c r="R172" i="47"/>
  <c r="I172" i="47"/>
  <c r="Q172" i="47"/>
  <c r="AA172" i="47"/>
  <c r="K172" i="47"/>
  <c r="AC172" i="47"/>
  <c r="AD172" i="47"/>
  <c r="V172" i="47"/>
  <c r="Z169" i="47"/>
  <c r="R169" i="47"/>
  <c r="J169" i="47"/>
  <c r="AA169" i="47"/>
  <c r="O169" i="47"/>
  <c r="AG169" i="47"/>
  <c r="Y169" i="47"/>
  <c r="Q169" i="47"/>
  <c r="I169" i="47"/>
  <c r="K169" i="47"/>
  <c r="AB169" i="47"/>
  <c r="T169" i="47"/>
  <c r="L169" i="47"/>
  <c r="D169" i="47"/>
  <c r="AD169" i="47"/>
  <c r="V169" i="47"/>
  <c r="N169" i="47"/>
  <c r="F169" i="47"/>
  <c r="W169" i="47"/>
  <c r="AC169" i="47"/>
  <c r="U169" i="47"/>
  <c r="M169" i="47"/>
  <c r="E169" i="47"/>
  <c r="AF169" i="47"/>
  <c r="X169" i="47"/>
  <c r="P169" i="47"/>
  <c r="H169" i="47"/>
  <c r="G169" i="47"/>
  <c r="BU145" i="47"/>
  <c r="BU81" i="47"/>
  <c r="BU82" i="47" s="1"/>
  <c r="BU6" i="47"/>
  <c r="BU7" i="47" s="1"/>
  <c r="BU5" i="47"/>
  <c r="BU95" i="47"/>
  <c r="BU71" i="47"/>
  <c r="BU72" i="47" s="1"/>
  <c r="D161" i="47"/>
  <c r="D160" i="47"/>
  <c r="D162" i="47" s="1"/>
  <c r="E159" i="47"/>
  <c r="BU91" i="47"/>
  <c r="BU92" i="47" s="1"/>
  <c r="BU90" i="47"/>
  <c r="BU66" i="47"/>
  <c r="BU67" i="47" s="1"/>
  <c r="BU65" i="47"/>
  <c r="BU56" i="47"/>
  <c r="BU57" i="47" s="1"/>
  <c r="BU55" i="47"/>
  <c r="BU51" i="47"/>
  <c r="BU52" i="47" s="1"/>
  <c r="BU50" i="47"/>
  <c r="BU126" i="47"/>
  <c r="BU127" i="47" s="1"/>
  <c r="BU125" i="47"/>
  <c r="BU116" i="47"/>
  <c r="BU117" i="47" s="1"/>
  <c r="BU115" i="47"/>
  <c r="BU16" i="47"/>
  <c r="BU17" i="47" s="1"/>
  <c r="BU15" i="47"/>
  <c r="BU46" i="47"/>
  <c r="BU47" i="47" s="1"/>
  <c r="BU45" i="47"/>
  <c r="BU136" i="47"/>
  <c r="BU137" i="47" s="1"/>
  <c r="BU135" i="47"/>
  <c r="BU141" i="47"/>
  <c r="BU142" i="47" s="1"/>
  <c r="BU140" i="47"/>
  <c r="BU106" i="47"/>
  <c r="BU107" i="47" s="1"/>
  <c r="BU105" i="47"/>
  <c r="BU86" i="47"/>
  <c r="BU87" i="47" s="1"/>
  <c r="BU85" i="47"/>
  <c r="BU31" i="47"/>
  <c r="BU32" i="47" s="1"/>
  <c r="BU30" i="47"/>
  <c r="BU11" i="47"/>
  <c r="BU12" i="47" s="1"/>
  <c r="BU10" i="47"/>
  <c r="C163" i="47"/>
  <c r="C165" i="47"/>
  <c r="BU155" i="47"/>
  <c r="BU156" i="47"/>
  <c r="BU157" i="47" s="1"/>
  <c r="BU131" i="47"/>
  <c r="BU132" i="47" s="1"/>
  <c r="BU130" i="47"/>
  <c r="BU121" i="47"/>
  <c r="BU122" i="47" s="1"/>
  <c r="BU120" i="47"/>
  <c r="BU100" i="47"/>
  <c r="BU101" i="47"/>
  <c r="BU102" i="47" s="1"/>
  <c r="BU111" i="47"/>
  <c r="BU112" i="47" s="1"/>
  <c r="BU110" i="47"/>
  <c r="BU76" i="47"/>
  <c r="BU77" i="47" s="1"/>
  <c r="BU75" i="47"/>
  <c r="BU26" i="47"/>
  <c r="BU27" i="47" s="1"/>
  <c r="BU25" i="47"/>
  <c r="C164" i="47" l="1"/>
  <c r="D165" i="47"/>
  <c r="D163" i="47"/>
  <c r="F159" i="47"/>
  <c r="E160" i="47"/>
  <c r="E162" i="47" s="1"/>
  <c r="E161" i="47"/>
  <c r="D164" i="47" l="1"/>
  <c r="E165" i="47"/>
  <c r="E163" i="47"/>
  <c r="F161" i="47"/>
  <c r="G159" i="47"/>
  <c r="F160" i="47"/>
  <c r="F162" i="47" s="1"/>
  <c r="E164" i="47" l="1"/>
  <c r="G160" i="47"/>
  <c r="G162" i="47" s="1"/>
  <c r="H159" i="47"/>
  <c r="G161" i="47"/>
  <c r="F163" i="47"/>
  <c r="F165" i="47"/>
  <c r="F164" i="47" l="1"/>
  <c r="G163" i="47"/>
  <c r="G165" i="47"/>
  <c r="H161" i="47"/>
  <c r="I159" i="47"/>
  <c r="H160" i="47"/>
  <c r="H162" i="47" s="1"/>
  <c r="G164" i="47" l="1"/>
  <c r="J159" i="47"/>
  <c r="I160" i="47"/>
  <c r="I162" i="47" s="1"/>
  <c r="I161" i="47"/>
  <c r="H165" i="47"/>
  <c r="H163" i="47"/>
  <c r="H164" i="47" l="1"/>
  <c r="I165" i="47"/>
  <c r="I163" i="47"/>
  <c r="J160" i="47"/>
  <c r="J162" i="47" s="1"/>
  <c r="J161" i="47"/>
  <c r="K159" i="47"/>
  <c r="I164" i="47" l="1"/>
  <c r="J163" i="47"/>
  <c r="J165" i="47"/>
  <c r="K160" i="47"/>
  <c r="K162" i="47" s="1"/>
  <c r="K161" i="47"/>
  <c r="L159" i="47"/>
  <c r="J164" i="47" l="1"/>
  <c r="K163" i="47"/>
  <c r="K165" i="47"/>
  <c r="L161" i="47"/>
  <c r="M159" i="47"/>
  <c r="L160" i="47"/>
  <c r="L162" i="47" s="1"/>
  <c r="K164" i="47" l="1"/>
  <c r="N159" i="47"/>
  <c r="M160" i="47"/>
  <c r="M162" i="47" s="1"/>
  <c r="M161" i="47"/>
  <c r="L165" i="47"/>
  <c r="L163" i="47"/>
  <c r="L164" i="47" l="1"/>
  <c r="M163" i="47"/>
  <c r="M165" i="47"/>
  <c r="O159" i="47"/>
  <c r="N160" i="47"/>
  <c r="N162" i="47" s="1"/>
  <c r="N161" i="47"/>
  <c r="M164" i="47" l="1"/>
  <c r="O160" i="47"/>
  <c r="O162" i="47" s="1"/>
  <c r="O161" i="47"/>
  <c r="P159" i="47"/>
  <c r="N163" i="47"/>
  <c r="N165" i="47"/>
  <c r="N164" i="47" l="1"/>
  <c r="P161" i="47"/>
  <c r="P160" i="47"/>
  <c r="P162" i="47" s="1"/>
  <c r="Q159" i="47"/>
  <c r="O165" i="47"/>
  <c r="O163" i="47"/>
  <c r="O164" i="47" l="1"/>
  <c r="R159" i="47"/>
  <c r="Q161" i="47"/>
  <c r="Q160" i="47"/>
  <c r="Q162" i="47" s="1"/>
  <c r="P165" i="47"/>
  <c r="P163" i="47"/>
  <c r="P164" i="47" l="1"/>
  <c r="Q163" i="47"/>
  <c r="Q165" i="47"/>
  <c r="S159" i="47"/>
  <c r="R160" i="47"/>
  <c r="R162" i="47" s="1"/>
  <c r="R161" i="47"/>
  <c r="Q164" i="47" l="1"/>
  <c r="S160" i="47"/>
  <c r="S162" i="47" s="1"/>
  <c r="T159" i="47"/>
  <c r="S161" i="47"/>
  <c r="R163" i="47"/>
  <c r="R165" i="47"/>
  <c r="R164" i="47" l="1"/>
  <c r="S163" i="47"/>
  <c r="S165" i="47"/>
  <c r="T161" i="47"/>
  <c r="T160" i="47"/>
  <c r="T162" i="47" s="1"/>
  <c r="U159" i="47"/>
  <c r="S164" i="47" l="1"/>
  <c r="T165" i="47"/>
  <c r="T163" i="47"/>
  <c r="V159" i="47"/>
  <c r="U160" i="47"/>
  <c r="U162" i="47" s="1"/>
  <c r="U161" i="47"/>
  <c r="T164" i="47" l="1"/>
  <c r="U165" i="47"/>
  <c r="U163" i="47"/>
  <c r="V161" i="47"/>
  <c r="W159" i="47"/>
  <c r="V160" i="47"/>
  <c r="V162" i="47" s="1"/>
  <c r="U164" i="47" l="1"/>
  <c r="W160" i="47"/>
  <c r="W162" i="47" s="1"/>
  <c r="X159" i="47"/>
  <c r="W161" i="47"/>
  <c r="V163" i="47"/>
  <c r="V165" i="47"/>
  <c r="V164" i="47" l="1"/>
  <c r="W163" i="47"/>
  <c r="W165" i="47"/>
  <c r="X161" i="47"/>
  <c r="Y159" i="47"/>
  <c r="X160" i="47"/>
  <c r="X162" i="47" s="1"/>
  <c r="W164" i="47" l="1"/>
  <c r="X165" i="47"/>
  <c r="X163" i="47"/>
  <c r="Z159" i="47"/>
  <c r="Y160" i="47"/>
  <c r="Y162" i="47" s="1"/>
  <c r="Y161" i="47"/>
  <c r="X164" i="47" l="1"/>
  <c r="Z160" i="47"/>
  <c r="Z162" i="47" s="1"/>
  <c r="Z161" i="47"/>
  <c r="AA159" i="47"/>
  <c r="Y165" i="47"/>
  <c r="Y163" i="47"/>
  <c r="Y164" i="47" l="1"/>
  <c r="Z163" i="47"/>
  <c r="Z165" i="47"/>
  <c r="AA160" i="47"/>
  <c r="AA162" i="47" s="1"/>
  <c r="AA161" i="47"/>
  <c r="AB159" i="47"/>
  <c r="Z164" i="47" l="1"/>
  <c r="AA163" i="47"/>
  <c r="AA165" i="47"/>
  <c r="AB161" i="47"/>
  <c r="AC159" i="47"/>
  <c r="AB160" i="47"/>
  <c r="AB162" i="47" s="1"/>
  <c r="AA164" i="47" l="1"/>
  <c r="AD159" i="47"/>
  <c r="AC160" i="47"/>
  <c r="AC162" i="47" s="1"/>
  <c r="AC161" i="47"/>
  <c r="AB165" i="47"/>
  <c r="AB163" i="47"/>
  <c r="AB164" i="47" l="1"/>
  <c r="AC163" i="47"/>
  <c r="AC165" i="47"/>
  <c r="AE159" i="47"/>
  <c r="AD160" i="47"/>
  <c r="AD162" i="47" s="1"/>
  <c r="AD161" i="47"/>
  <c r="AC164" i="47" l="1"/>
  <c r="AE160" i="47"/>
  <c r="AE161" i="47"/>
  <c r="AF159" i="47"/>
  <c r="AD163" i="47"/>
  <c r="AD165" i="47"/>
  <c r="AE162" i="47" l="1"/>
  <c r="AD164" i="47"/>
  <c r="AE165" i="47"/>
  <c r="AE163" i="47"/>
  <c r="AF161" i="47"/>
  <c r="AF160" i="47"/>
  <c r="AF162" i="47" s="1"/>
  <c r="AG159" i="47"/>
  <c r="AE164" i="47" l="1"/>
  <c r="AF165" i="47"/>
  <c r="AF163" i="47"/>
  <c r="AG161" i="47"/>
  <c r="AG160" i="47"/>
  <c r="AG162" i="47" l="1"/>
  <c r="AF164" i="47"/>
  <c r="AG163" i="47"/>
  <c r="AG165" i="47"/>
  <c r="AG164" i="47" l="1"/>
  <c r="K12" i="104" l="1"/>
  <c r="E12" i="104" l="1"/>
  <c r="D12" i="104" s="1"/>
  <c r="E19" i="106" s="1"/>
  <c r="F12" i="104" a="1"/>
  <c r="F12" i="104" s="1"/>
  <c r="G12" i="104" s="1"/>
  <c r="G19" i="106" s="1"/>
  <c r="F19" i="106" l="1"/>
  <c r="R4" i="104" l="1"/>
  <c r="E4" i="104" s="1"/>
  <c r="F11" i="106" l="1"/>
  <c r="D4" i="104"/>
  <c r="E11" i="106" s="1"/>
  <c r="F4" i="104" a="1"/>
  <c r="F4" i="104" s="1"/>
  <c r="G4" i="104" s="1"/>
  <c r="G11" i="106" s="1"/>
  <c r="C30" i="106" s="1"/>
  <c r="C27" i="106" l="1"/>
  <c r="C28" i="106"/>
  <c r="C29" i="10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DFFB1C-2DBC-4FAD-B195-8684459D1061}" keepAlive="1" name="Query - CFG_InputHarian" description="Connection to the 'CFG_InputHarian' query in the workbook." type="5" refreshedVersion="0" background="1">
    <dbPr connection="Provider=Microsoft.Mashup.OleDb.1;Data Source=$Workbook$;Location=CFG_InputHarian;Extended Properties=&quot;&quot;" command="SELECT * FROM [CFG_InputHarian]"/>
  </connection>
  <connection id="2" xr16:uid="{F0E94BC9-7307-4EC9-914A-80A3677C1910}" keepAlive="1" name="Query - fnBreakdownUnified" description="Connection to the 'fnBreakdownUnified' query in the workbook." type="5" refreshedVersion="0" background="1">
    <dbPr connection="Provider=Microsoft.Mashup.OleDb.1;Data Source=$Workbook$;Location=fnBreakdownUnified;Extended Properties=&quot;&quot;" command="SELECT * FROM [fnBreakdownUnified]"/>
  </connection>
  <connection id="3" xr16:uid="{74601C4D-DA49-4B40-BFD4-D93EA7A9462F}" keepAlive="1" name="Query - fnHeaderPromix" description="Connection to the 'fnHeaderPromix' query in the workbook." type="5" refreshedVersion="0" background="1">
    <dbPr connection="Provider=Microsoft.Mashup.OleDb.1;Data Source=$Workbook$;Location=fnHeaderPromix;Extended Properties=&quot;&quot;" command="SELECT * FROM [fnHeaderPromix]"/>
  </connection>
  <connection id="4" xr16:uid="{F53C0706-E294-40D1-8EA5-8BE4A032F0AC}" keepAlive="1" name="Query - fnHeaderPromix04" description="Connection to the 'fnHeaderPromix04' query in the workbook." type="5" refreshedVersion="0" background="1">
    <dbPr connection="Provider=Microsoft.Mashup.OleDb.1;Data Source=$Workbook$;Location=fnHeaderPromix04;Extended Properties=&quot;&quot;" command="SELECT * FROM [fnHeaderPromix04]"/>
  </connection>
  <connection id="5" xr16:uid="{F403ED50-8A1A-4DCA-A0C4-62A2CEF2C733}" keepAlive="1" name="Query - fnHeaderStockAwal" description="Connection to the 'fnHeaderStockAwal' query in the workbook." type="5" refreshedVersion="0" background="1">
    <dbPr connection="Provider=Microsoft.Mashup.OleDb.1;Data Source=$Workbook$;Location=fnHeaderStockAwal;Extended Properties=&quot;&quot;" command="SELECT * FROM [fnHeaderStockAwal]"/>
  </connection>
  <connection id="6" xr16:uid="{8981B57E-99A8-432E-AA62-42F56C6E2441}" keepAlive="1" name="Query - fnLoadMenuInput" description="Connection to the 'fnLoadMenuInput' query in the workbook." type="5" refreshedVersion="0" background="1">
    <dbPr connection="Provider=Microsoft.Mashup.OleDb.1;Data Source=$Workbook$;Location=fnLoadMenuInput;Extended Properties=&quot;&quot;" command="SELECT * FROM [fnLoadMenuInput]"/>
  </connection>
  <connection id="7" xr16:uid="{7EFC21A0-68C6-45EA-BD2D-B9A3B4DE4E9D}" keepAlive="1" name="Query - fnProcessLinkLookup" description="Connection to the 'fnProcessLinkLookup' query in the workbook." type="5" refreshedVersion="0" background="1">
    <dbPr connection="Provider=Microsoft.Mashup.OleDb.1;Data Source=$Workbook$;Location=fnProcessLinkLookup;Extended Properties=&quot;&quot;" command="SELECT * FROM [fnProcessLinkLookup]"/>
  </connection>
  <connection id="8" xr16:uid="{67910B5A-7FEB-4309-AFBD-66A34F9BF52F}" keepAlive="1" name="Query - fnProcessSOHarian" description="Connection to the 'fnProcessSOHarian' query in the workbook." type="5" refreshedVersion="0" background="1">
    <dbPr connection="Provider=Microsoft.Mashup.OleDb.1;Data Source=$Workbook$;Location=fnProcessSOHarian;Extended Properties=&quot;&quot;" command="SELECT * FROM [fnProcessSOHarian]"/>
  </connection>
  <connection id="9" xr16:uid="{A2BF241D-BA6E-4EB0-B8C8-77A3CC56A5FD}" keepAlive="1" name="Query - fnSafeNumber" description="Connection to the 'fnSafeNumber' query in the workbook." type="5" refreshedVersion="0" background="1">
    <dbPr connection="Provider=Microsoft.Mashup.OleDb.1;Data Source=$Workbook$;Location=fnSafeNumber;Extended Properties=&quot;&quot;" command="SELECT * FROM [fnSafeNumber]"/>
  </connection>
  <connection id="10" xr16:uid="{32144A1D-F95A-4990-B011-E19620CAFF65}" keepAlive="1" name="Query - fnUnpivotDailyStandard" description="Connection to the 'fnUnpivotDailyStandard' query in the workbook." type="5" refreshedVersion="0" background="1">
    <dbPr connection="Provider=Microsoft.Mashup.OleDb.1;Data Source=$Workbook$;Location=fnUnpivotDailyStandard;Extended Properties=&quot;&quot;" command="SELECT * FROM [fnUnpivotDailyStandard]"/>
  </connection>
  <connection id="11" xr16:uid="{60EA544C-9D8F-4428-8EC1-6260894A6691}" keepAlive="1" name="Query - fnUnpivotTrialSusut" description="Connection to the 'fnUnpivotTrialSusut' query in the workbook." type="5" refreshedVersion="0" background="1">
    <dbPr connection="Provider=Microsoft.Mashup.OleDb.1;Data Source=$Workbook$;Location=fnUnpivotTrialSusut;Extended Properties=&quot;&quot;" command="SELECT * FROM [fnUnpivotTrialSusut]"/>
  </connection>
  <connection id="12" xr16:uid="{018B47A8-F43D-44A2-8403-770E1F35E033}" keepAlive="1" name="Query - IPT_Input Barang Keluar" description="Connection to the 'IPT_Input Barang Keluar' query in the workbook." type="5" refreshedVersion="0" background="1">
    <dbPr connection="Provider=Microsoft.Mashup.OleDb.1;Data Source=$Workbook$;Location=&quot;IPT_Input Barang Keluar&quot;;Extended Properties=&quot;&quot;" command="SELECT * FROM [IPT_Input Barang Keluar]"/>
  </connection>
  <connection id="13" xr16:uid="{BDEEADA2-5FDE-4120-9BC8-9F04E54DBF79}" keepAlive="1" name="Query - IPT_Input Barang Masuk" description="Connection to the 'IPT_Input Barang Masuk' query in the workbook." type="5" refreshedVersion="0" background="1">
    <dbPr connection="Provider=Microsoft.Mashup.OleDb.1;Data Source=$Workbook$;Location=&quot;IPT_Input Barang Masuk&quot;;Extended Properties=&quot;&quot;" command="SELECT * FROM [IPT_Input Barang Masuk]"/>
  </connection>
  <connection id="14" xr16:uid="{F96FFBC9-7C3E-4D1A-9788-A275AEE89FA1}" keepAlive="1" name="Query - IPT_Input SO Harian" description="Connection to the 'IPT_Input SO Harian' query in the workbook." type="5" refreshedVersion="7" background="1" saveData="1">
    <dbPr connection="Provider=Microsoft.Mashup.OleDb.1;Data Source=$Workbook$;Location=&quot;IPT_Input SO Harian&quot;;Extended Properties=&quot;&quot;" command="SELECT * FROM [IPT_Input SO Harian]"/>
  </connection>
  <connection id="15" xr16:uid="{8FBE4191-F320-48EA-A7C3-6C2C1C30CBA0}" keepAlive="1" name="Query - IPT_Stock Awal" description="Connection to the 'IPT_Stock Awal' query in the workbook." type="5" refreshedVersion="0" background="1">
    <dbPr connection="Provider=Microsoft.Mashup.OleDb.1;Data Source=$Workbook$;Location=&quot;IPT_Stock Awal&quot;;Extended Properties=&quot;&quot;" command="SELECT * FROM [IPT_Stock Awal]"/>
  </connection>
  <connection id="16" xr16:uid="{2C2A43AD-69CF-4DA6-994D-0D67E193A46D}" keepAlive="1" name="Query - IPT_Susut" description="Connection to the 'IPT_Susut' query in the workbook." type="5" refreshedVersion="7" background="1" saveData="1">
    <dbPr connection="Provider=Microsoft.Mashup.OleDb.1;Data Source=$Workbook$;Location=IPT_Susut;Extended Properties=&quot;&quot;" command="SELECT * FROM [IPT_Susut]"/>
  </connection>
  <connection id="17" xr16:uid="{4C7C5615-B03E-4E6D-AEDD-E2BAFD6E5AAB}" keepAlive="1" name="Query - IPT_Trial Bahan" description="Connection to the 'IPT_Trial Bahan' query in the workbook." type="5" refreshedVersion="0" background="1">
    <dbPr connection="Provider=Microsoft.Mashup.OleDb.1;Data Source=$Workbook$;Location=&quot;IPT_Trial Bahan&quot;;Extended Properties=&quot;&quot;" command="SELECT * FROM [IPT_Trial Bahan]"/>
  </connection>
  <connection id="18" xr16:uid="{0F4156CF-318C-4916-9860-F02752453ED5}" keepAlive="1" name="Query - IPT_Waste Bahan dan Packaging" description="Connection to the 'IPT_Waste Bahan dan Packaging' query in the workbook." type="5" refreshedVersion="7" background="1" saveData="1">
    <dbPr connection="Provider=Microsoft.Mashup.OleDb.1;Data Source=$Workbook$;Location=&quot;IPT_Waste Bahan dan Packaging&quot;;Extended Properties=&quot;&quot;" command="SELECT * FROM [IPT_Waste Bahan dan Packaging]"/>
  </connection>
  <connection id="19" xr16:uid="{1B257B8A-BE31-447B-AFD3-8E659AC7F39F}" keepAlive="1" name="Query - Raw Rekap Mentah" description="Connection to the 'Raw Rekap Mentah' query in the workbook." type="5" refreshedVersion="0" background="1">
    <dbPr connection="Provider=Microsoft.Mashup.OleDb.1;Data Source=$Workbook$;Location=&quot;Raw Rekap Mentah&quot;;Extended Properties=&quot;&quot;" command="SELECT * FROM [Raw Rekap Mentah]"/>
  </connection>
  <connection id="20" xr16:uid="{C71908BB-DCAB-46CB-A91F-956AD052D98B}" keepAlive="1" name="Query - Raw Rekap Mentah [FINAL]" description="Connection to the 'Raw Rekap Mentah [FINAL]' query in the workbook." type="5" refreshedVersion="7" background="1" saveData="1">
    <dbPr connection="Provider=Microsoft.Mashup.OleDb.1;Data Source=$Workbook$;Location=&quot;Raw Rekap Mentah [FINAL]&quot;;Extended Properties=&quot;&quot;" command="SELECT * FROM [Raw Rekap Mentah [FINAL]]]"/>
  </connection>
  <connection id="22" xr16:uid="{138A0C1A-649D-40C0-82E7-C69F2F29095A}" keepAlive="1" name="Query - RFC_Database Menu Promix 00" description="Connection to the 'RFC_Database Menu Promix 00' query in the workbook." type="5" refreshedVersion="7" background="1" saveData="1">
    <dbPr connection="Provider=Microsoft.Mashup.OleDb.1;Data Source=$Workbook$;Location=&quot;RFC_Database Menu Promix 00&quot;;Extended Properties=&quot;&quot;" command="SELECT * FROM [RFC_Database Menu Promix 00]"/>
  </connection>
  <connection id="23" xr16:uid="{E85875DD-0243-4C89-9E72-B5A01911D793}" keepAlive="1" name="Query - RFC_Database Menu Promix 04" description="Connection to the 'RFC_Database Menu Promix 04' query in the workbook." type="5" refreshedVersion="7" background="1" saveData="1">
    <dbPr connection="Provider=Microsoft.Mashup.OleDb.1;Data Source=$Workbook$;Location=&quot;RFC_Database Menu Promix 04&quot;;Extended Properties=&quot;&quot;" command="SELECT * FROM [RFC_Database Menu Promix 04]"/>
  </connection>
  <connection id="24" xr16:uid="{B04D58A5-5158-49A0-B70B-4B8A8DA5E0E8}" keepAlive="1" name="Query - RFC_Database Menu Trial Porsi" description="Connection to the 'RFC_Database Menu Trial Porsi' query in the workbook." type="5" refreshedVersion="7" background="1" saveData="1">
    <dbPr connection="Provider=Microsoft.Mashup.OleDb.1;Data Source=$Workbook$;Location=&quot;RFC_Database Menu Trial Porsi&quot;;Extended Properties=&quot;&quot;" command="SELECT * FROM [RFC_Database Menu Trial Porsi]"/>
  </connection>
  <connection id="25" xr16:uid="{ADA6E6F5-A4C9-4BC6-9F20-99F7C83FC309}" keepAlive="1" name="Query - RFC_Database Menu Waste Cancel Nota" description="Connection to the 'RFC_Database Menu Waste Cancel Nota' query in the workbook." type="5" refreshedVersion="7" background="1" saveData="1">
    <dbPr connection="Provider=Microsoft.Mashup.OleDb.1;Data Source=$Workbook$;Location=&quot;RFC_Database Menu Waste Cancel Nota&quot;;Extended Properties=&quot;&quot;" command="SELECT * FROM [RFC_Database Menu Waste Cancel Nota]"/>
  </connection>
  <connection id="26" xr16:uid="{AFF41470-20E6-4F52-A5BC-7C4EE1393AED}" keepAlive="1" name="Query - RFC_Database Menu Waste Handling Dine IN" description="Connection to the 'RFC_Database Menu Waste Handling Dine IN' query in the workbook." type="5" refreshedVersion="7" background="1" saveData="1">
    <dbPr connection="Provider=Microsoft.Mashup.OleDb.1;Data Source=$Workbook$;Location=&quot;RFC_Database Menu Waste Handling Dine IN&quot;;Extended Properties=&quot;&quot;" command="SELECT * FROM [RFC_Database Menu Waste Handling Dine IN]"/>
  </connection>
  <connection id="27" xr16:uid="{07E06B34-4092-44D4-98E8-6AE4A446640E}" keepAlive="1" name="Query - RFC_Database_Susut" description="Connection to the 'RFC_Database_Susut' query in the workbook." type="5" refreshedVersion="7" background="1" saveData="1">
    <dbPr connection="Provider=Microsoft.Mashup.OleDb.1;Data Source=$Workbook$;Location=RFC_Database_Susut;Extended Properties=&quot;&quot;" command="SELECT * FROM [RFC_Database_Susut]"/>
  </connection>
  <connection id="28" xr16:uid="{3B2C5859-9C03-487A-B964-338A99A4ED56}" keepAlive="1" name="Query - RFC_Database_Trial" description="Connection to the 'RFC_Database_Trial' query in the workbook." type="5" refreshedVersion="7" background="1" saveData="1">
    <dbPr connection="Provider=Microsoft.Mashup.OleDb.1;Data Source=$Workbook$;Location=RFC_Database_Trial;Extended Properties=&quot;&quot;" command="SELECT * FROM [RFC_Database_Trial]"/>
  </connection>
  <connection id="29" xr16:uid="{777ABCFB-1A4A-4C36-8700-C4AC4F5FD5B1}" keepAlive="1" name="Query - RFC_Database_Waste_BnP" description="Connection to the 'RFC_Database_Waste_BnP' query in the workbook." type="5" refreshedVersion="7" background="1" saveData="1">
    <dbPr connection="Provider=Microsoft.Mashup.OleDb.1;Data Source=$Workbook$;Location=RFC_Database_Waste_BnP;Extended Properties=&quot;&quot;" command="SELECT * FROM [RFC_Database_Waste_BnP]"/>
  </connection>
  <connection id="30" xr16:uid="{A826AE42-328D-4392-949C-2BB5B588455D}" keepAlive="1" name="Query - RFC_Kode Barang" description="Connection to the 'RFC_Kode Barang' query in the workbook." type="5" refreshedVersion="7" background="1">
    <dbPr connection="Provider=Microsoft.Mashup.OleDb.1;Data Source=$Workbook$;Location=&quot;RFC_Kode Barang&quot;;Extended Properties=&quot;&quot;" command="SELECT * FROM [RFC_Kode Barang]"/>
  </connection>
  <connection id="31" xr16:uid="{AADA788A-9CC5-4BDA-9FFD-A15DD3E59497}" keepAlive="1" name="Query - RFC_Nama Item dan Konversi Barang Keluar" description="Connection to the 'RFC_Nama Item dan Konversi Barang Keluar' query in the workbook." type="5" refreshedVersion="7" background="1" saveData="1">
    <dbPr connection="Provider=Microsoft.Mashup.OleDb.1;Data Source=$Workbook$;Location=&quot;RFC_Nama Item dan Konversi Barang Keluar&quot;;Extended Properties=&quot;&quot;" command="SELECT * FROM [RFC_Nama Item dan Konversi Barang Keluar]"/>
  </connection>
  <connection id="32" xr16:uid="{54AD1A97-3B12-41E1-8893-3F8048C57B79}" keepAlive="1" name="Query - RFC_Nama Item dan Konversi Barang Masuk" description="Connection to the 'RFC_Nama Item dan Konversi Barang Masuk' query in the workbook." type="5" refreshedVersion="7" background="1" saveData="1">
    <dbPr connection="Provider=Microsoft.Mashup.OleDb.1;Data Source=$Workbook$;Location=&quot;RFC_Nama Item dan Konversi Barang Masuk&quot;;Extended Properties=&quot;&quot;" command="SELECT * FROM [RFC_Nama Item dan Konversi Barang Masuk]"/>
  </connection>
  <connection id="33" xr16:uid="{B4F41B20-FF07-40DC-ACA4-CCBE5E655755}" keepAlive="1" name="Query - RFC_Nama Item dan Konversi SO Harian" description="Connection to the 'RFC_Nama Item dan Konversi SO Harian' query in the workbook." type="5" refreshedVersion="7" background="1" saveData="1">
    <dbPr connection="Provider=Microsoft.Mashup.OleDb.1;Data Source=$Workbook$;Location=&quot;RFC_Nama Item dan Konversi SO Harian&quot;;Extended Properties=&quot;&quot;" command="SELECT * FROM [RFC_Nama Item dan Konversi SO Harian]"/>
  </connection>
  <connection id="34" xr16:uid="{AAD4DA86-83C5-4FF3-BF23-E89971BF4869}" keepAlive="1" name="Query - RFC_Nama Item Stock Awal" description="Connection to the 'RFC_Nama Item Stock Awal' query in the workbook." type="5" refreshedVersion="7" background="1" saveData="1">
    <dbPr connection="Provider=Microsoft.Mashup.OleDb.1;Data Source=$Workbook$;Location=&quot;RFC_Nama Item Stock Awal&quot;;Extended Properties=&quot;&quot;" command="SELECT * FROM [RFC_Nama Item Stock Awal]"/>
  </connection>
  <connection id="37" xr16:uid="{79D7253F-A25D-4F74-97EB-F0B694956D04}" keepAlive="1" name="Query - SRC_AllSources" description="Connection to the 'SRC_AllSources' query in the workbook." type="5" refreshedVersion="0" background="1">
    <dbPr connection="Provider=Microsoft.Mashup.OleDb.1;Data Source=$Workbook$;Location=SRC_AllSources;Extended Properties=&quot;&quot;" command="SELECT * FROM [SRC_AllSources]"/>
  </connection>
  <connection id="38" xr16:uid="{8BA07D69-FEF2-4B40-BCFC-CA951EA95D80}" keepAlive="1" name="Query - STG_AllBreakdown" description="Connection to the 'STG_AllBreakdown' query in the workbook." type="5" refreshedVersion="0" background="1">
    <dbPr connection="Provider=Microsoft.Mashup.OleDb.1;Data Source=$Workbook$;Location=STG_AllBreakdown;Extended Properties=&quot;&quot;" command="SELECT * FROM [STG_AllBreakdown]"/>
  </connection>
  <connection id="39" xr16:uid="{9127AEEE-6385-4243-82DD-D08B291DE2B2}" keepAlive="1" name="Query - STG_Input Barang Keluar_Unpivot" description="Connection to the 'STG_Input Barang Keluar_Unpivot' query in the workbook." type="5" refreshedVersion="0" background="1">
    <dbPr connection="Provider=Microsoft.Mashup.OleDb.1;Data Source=$Workbook$;Location=&quot;STG_Input Barang Keluar_Unpivot&quot;;Extended Properties=&quot;&quot;" command="SELECT * FROM [STG_Input Barang Keluar_Unpivot]"/>
  </connection>
  <connection id="40" xr16:uid="{E7B191B3-A219-4D18-9971-DFE5B11D820D}" keepAlive="1" name="Query - STG_Input Barang Masuk_Unpivot" description="Connection to the 'STG_Input Barang Masuk_Unpivot' query in the workbook." type="5" refreshedVersion="0" background="1">
    <dbPr connection="Provider=Microsoft.Mashup.OleDb.1;Data Source=$Workbook$;Location=&quot;STG_Input Barang Masuk_Unpivot&quot;;Extended Properties=&quot;&quot;" command="SELECT * FROM [STG_Input Barang Masuk_Unpivot]"/>
  </connection>
  <connection id="41" xr16:uid="{A4445BFD-9AD4-472F-8720-E5C2DEC082ED}" keepAlive="1" name="Query - STG_Input SO Harian_Unpivot" description="Connection to the 'STG_Input SO Harian_Unpivot' query in the workbook." type="5" refreshedVersion="0" background="1">
    <dbPr connection="Provider=Microsoft.Mashup.OleDb.1;Data Source=$Workbook$;Location=&quot;STG_Input SO Harian_Unpivot&quot;;Extended Properties=&quot;&quot;" command="SELECT * FROM [STG_Input SO Harian_Unpivot]"/>
  </connection>
  <connection id="42" xr16:uid="{94BA94C5-FCD0-499F-9E5F-5A02101764C6}" keepAlive="1" name="Query - STG_Susut_Unpivot" description="Connection to the 'STG_Susut_Unpivot' query in the workbook." type="5" refreshedVersion="0" background="1">
    <dbPr connection="Provider=Microsoft.Mashup.OleDb.1;Data Source=$Workbook$;Location=STG_Susut_Unpivot;Extended Properties=&quot;&quot;" command="SELECT * FROM [STG_Susut_Unpivot]"/>
  </connection>
  <connection id="43" xr16:uid="{5F8843B3-E887-4E2A-8DCE-678EACCE8009}" keepAlive="1" name="Query - STG_Trial Bahan_Unpivot" description="Connection to the 'STG_Trial Bahan_Unpivot' query in the workbook." type="5" refreshedVersion="0" background="1">
    <dbPr connection="Provider=Microsoft.Mashup.OleDb.1;Data Source=$Workbook$;Location=&quot;STG_Trial Bahan_Unpivot&quot;;Extended Properties=&quot;&quot;" command="SELECT * FROM [STG_Trial Bahan_Unpivot]"/>
  </connection>
  <connection id="44" xr16:uid="{ACF2C6E4-6A37-457C-B6B8-EA6345BB027F}" keepAlive="1" name="Query - STG_WasteBnP_Unpivot" description="Connection to the 'STG_WasteBnP_Unpivot' query in the workbook." type="5" refreshedVersion="0" background="1">
    <dbPr connection="Provider=Microsoft.Mashup.OleDb.1;Data Source=$Workbook$;Location=STG_WasteBnP_Unpivot;Extended Properties=&quot;&quot;" command="SELECT * FROM [STG_WasteBnP_Unpivot]"/>
  </connection>
  <connection id="45" xr16:uid="{2DEF1BD8-0664-4E1A-B547-12F89253B04A}" keepAlive="1" name="Query - F_Deviasi" description="Connection to the 'F_Deviasi' query in the workbook." type="5" refreshedVersion="0" background="1">
    <dbPr connection="Provider=Microsoft.Mashup.OleDb.1;Data Source=$Workbook$;Location=&quot;F_Deviasi&quot;;Extended Properties=&quot;&quot;" command="SELECT * FROM [F_Deviasi]"/>
  </connection>
  <connection id="46" xr16:uid="{2290C711-E4A2-4A1A-940B-853869F8976B}" keepAlive="1" name="Query - F_HasilSO" description="Connection to the 'F_HasilSO' query in the workbook." type="5" refreshedVersion="0" background="1">
    <dbPr connection="Provider=Microsoft.Mashup.OleDb.1;Data Source=$Workbook$;Location=&quot;F_HasilSO&quot;;Extended Properties=&quot;&quot;" command="SELECT * FROM [F_HasilSO]"/>
  </connection>
  <connection id="47" xr16:uid="{CE71015F-5664-4ABF-8471-BE6540FA4173}" keepAlive="1" name="Query - Metric" description="Connection to the 'Metric' query in the workbook." type="5" refreshedVersion="0" background="1">
    <dbPr connection="Provider=Microsoft.Mashup.OleDb.1;Data Source=$Workbook$;Location=&quot;Metric&quot;;Extended Properties=&quot;&quot;" command="SELECT * FROM [Metric]"/>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<sst xmlns="http://schemas.openxmlformats.org/spreadsheetml/2006/main" count="23146" uniqueCount="1485">
  <si>
    <t>KODE BARANG</t>
  </si>
  <si>
    <t>SATUAN</t>
  </si>
  <si>
    <t>CABE RAWIT - RESTO (V.20)</t>
  </si>
  <si>
    <t>CUP 16 (V.20)</t>
  </si>
  <si>
    <t>GARAM - RESTO</t>
  </si>
  <si>
    <t>sisa gula biang LEMON TEA - Nestle (gr)</t>
  </si>
  <si>
    <t>sisa gula biang Vanilla latte- Nestle (gr)</t>
  </si>
  <si>
    <t>sisa gula biang TEA TARIK - Nestle (gr)</t>
  </si>
  <si>
    <t>KABEL TIES -RESTO</t>
  </si>
  <si>
    <t>KARET</t>
  </si>
  <si>
    <t>KERTAS MINYAK (V.20)</t>
  </si>
  <si>
    <t>KRESEK BESAR</t>
  </si>
  <si>
    <t>KRESEK JUMBO</t>
  </si>
  <si>
    <t>KRESEK KECIL</t>
  </si>
  <si>
    <t>KRESEK SEDANG</t>
  </si>
  <si>
    <t>LEMON TEA - AW (V.20)</t>
  </si>
  <si>
    <t>LEMON TEA - JS</t>
  </si>
  <si>
    <t>ORANGE - AW (V.20)</t>
  </si>
  <si>
    <t>ORANGE - JS</t>
  </si>
  <si>
    <t>ORANGE - NESTLE (V.20)</t>
  </si>
  <si>
    <t>OREO CRUMB (V.20)</t>
  </si>
  <si>
    <t>PLASTIK 1 KG</t>
  </si>
  <si>
    <t>PLASTIK 1/2 KG</t>
  </si>
  <si>
    <t>PLASTIK WRAP</t>
  </si>
  <si>
    <t>POLY BAG SAMPAH - RESTO</t>
  </si>
  <si>
    <t>SABUN CUCI PIRING - RESTO</t>
  </si>
  <si>
    <t>SEDOTAN HITAM (V.20)</t>
  </si>
  <si>
    <t>SENDOK TEH SUNDAE (V.030)</t>
  </si>
  <si>
    <t>STRAWBERRY SAUCE (V.20)</t>
  </si>
  <si>
    <t>gr</t>
  </si>
  <si>
    <t>TEA GOPEK (V.20)</t>
  </si>
  <si>
    <t>TEA NAGA (V.20)</t>
  </si>
  <si>
    <t>TISU KM</t>
  </si>
  <si>
    <t>TISU MEJA</t>
  </si>
  <si>
    <t>VANILLA SOFT MIX ICE MIX (V.20)</t>
  </si>
  <si>
    <t>GR</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</si>
  <si>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</si>
  <si>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</si>
  <si>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</si>
  <si>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</si>
  <si>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</si>
  <si>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</si>
  <si>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</si>
  <si>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</si>
  <si>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</si>
  <si>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</si>
  <si>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</si>
  <si>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</si>
  <si>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</si>
  <si>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</si>
  <si>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</si>
  <si>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</si>
  <si>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</si>
  <si>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</si>
  <si>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</si>
  <si>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</si>
  <si>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</si>
  <si>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</si>
  <si>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</si>
  <si>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</si>
  <si>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</si>
  <si>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</si>
  <si>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</si>
  <si>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</si>
  <si>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</si>
  <si>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</si>
  <si>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</si>
  <si>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PCS</t>
  </si>
  <si>
    <t>ML</t>
  </si>
  <si>
    <t>BOTOL</t>
  </si>
  <si>
    <t>100253</t>
  </si>
  <si>
    <t>100299</t>
  </si>
  <si>
    <t>TEH RASA LEMON - NESTLE</t>
  </si>
  <si>
    <t>100219</t>
  </si>
  <si>
    <t>100250</t>
  </si>
  <si>
    <t>100278</t>
  </si>
  <si>
    <t>100279</t>
  </si>
  <si>
    <t>LEMON TEA ICE - DINE IN - NP</t>
  </si>
  <si>
    <t>100241</t>
  </si>
  <si>
    <t>LEMON TEA ICE - TAKE AWAY - NP</t>
  </si>
  <si>
    <t>ORANGE ICE - DINE IN - NP</t>
  </si>
  <si>
    <t>100249</t>
  </si>
  <si>
    <t>ORANGE ICE - TAKE AWAY - NP</t>
  </si>
  <si>
    <t>LEMON TEA HOT - DINE IN - NP</t>
  </si>
  <si>
    <t>LEMON TEA HOT - TAKE AWAY - NP</t>
  </si>
  <si>
    <t>ORANGE HOT - DINE IN - NP</t>
  </si>
  <si>
    <t>ORANGE HOT - TAKE AWAY - NP</t>
  </si>
  <si>
    <t>ORANGE ICE - DINE IN - JS</t>
  </si>
  <si>
    <t>100203</t>
  </si>
  <si>
    <t>ORANGE ICE - TAKE AWAY - JS</t>
  </si>
  <si>
    <t>LEMON TEA ICE - DINE IN - JS</t>
  </si>
  <si>
    <t>LEMON TEA ICE - TAKE AWAY - JS</t>
  </si>
  <si>
    <t>ORANGE HOT - DINE IN - JS</t>
  </si>
  <si>
    <t>ORANGE HOT - TAKE AWAY - JS</t>
  </si>
  <si>
    <t>LEMON TEA HOT - DINE IN - JS</t>
  </si>
  <si>
    <t>LEMON TEA HOT - TAKE AWAY - JS</t>
  </si>
  <si>
    <t>100289</t>
  </si>
  <si>
    <t>100251</t>
  </si>
  <si>
    <t>100255</t>
  </si>
  <si>
    <t>100265</t>
  </si>
  <si>
    <t>BOM</t>
  </si>
  <si>
    <t>pack</t>
  </si>
  <si>
    <t>pcs</t>
  </si>
  <si>
    <t>karton</t>
  </si>
  <si>
    <t>stok lemon tea kardus utuh (karton)-AW</t>
  </si>
  <si>
    <t>sisa lemon tea pack utuh (pack)-AW</t>
  </si>
  <si>
    <t>sisa lemon tea di toples station (gr)-AW</t>
  </si>
  <si>
    <t>sisa lemon tea biang cair (gr)-AW</t>
  </si>
  <si>
    <t>sisa lemon tea biang cair DISPENSER (gr)-AW</t>
  </si>
  <si>
    <t>sisa lemon tea biang cair (gr)</t>
  </si>
  <si>
    <t>sisa lemon tea biang cair DISPENSER (gr)</t>
  </si>
  <si>
    <t>sisa milo biang DISPENSER (gr)</t>
  </si>
  <si>
    <t>stok orange kardus utuh (karton)-AW</t>
  </si>
  <si>
    <t>sisa orange pack utuh (pack)-AW</t>
  </si>
  <si>
    <t>sisa orange di toples station (gr)-AW</t>
  </si>
  <si>
    <t>sisa orange biang cair (gr)-AW</t>
  </si>
  <si>
    <t>sisa orange biang DISPENSER (gr)-AW</t>
  </si>
  <si>
    <t>stok orange kardus utuh (karton)</t>
  </si>
  <si>
    <t>sisa orange pack utuh (pack)</t>
  </si>
  <si>
    <t>sisa orange di toples station (gr)</t>
  </si>
  <si>
    <t>sisa orange biang cair (gr)</t>
  </si>
  <si>
    <t>sisa orange biang DISPENSER (gr)</t>
  </si>
  <si>
    <t>sisa biang tea tarik (gr)- AW</t>
  </si>
  <si>
    <t>sisa biang tea tarik (gr) - Nestle</t>
  </si>
  <si>
    <t>sisa biang vanilla latte (gr) - Nestle</t>
  </si>
  <si>
    <t>kg</t>
  </si>
  <si>
    <t>sisa black thai tea biang cair (gr)</t>
  </si>
  <si>
    <t>sisa green thai tea biang cair (gr)</t>
  </si>
  <si>
    <t>sisa gula biang gula (gr)</t>
  </si>
  <si>
    <t>sisa gula biang LEMON TEA - AW (gr)</t>
  </si>
  <si>
    <t>sisa gula biang ORANGE - AW (gr)</t>
  </si>
  <si>
    <t>sisa gula biang TEA TARIK - AW (gr)</t>
  </si>
  <si>
    <t>sisa gula green thai tea biang cair (gr)</t>
  </si>
  <si>
    <t>sisa gula black tea biang cair (gr)</t>
  </si>
  <si>
    <t>sisa gula utuh (gr)</t>
  </si>
  <si>
    <t>gula (karung)</t>
  </si>
  <si>
    <t>karung</t>
  </si>
  <si>
    <t>gula (kg)</t>
  </si>
  <si>
    <t>ball</t>
  </si>
  <si>
    <t>stok tea naga ball utuh (ball)</t>
  </si>
  <si>
    <t>stok tea naga pcs utuh (pcs)</t>
  </si>
  <si>
    <t>stok tea naga biang teh (gr) tanpa gula</t>
  </si>
  <si>
    <t>stok tea naga biang teh (gr) ada gula</t>
  </si>
  <si>
    <t>stok tea gopek ball utuh (ball)</t>
  </si>
  <si>
    <t>stok tea gopek pcs utuh (pcs)</t>
  </si>
  <si>
    <t>stok tea gopek biang teh (gr) tanpa gula</t>
  </si>
  <si>
    <t>stok tea gopek biang teh (gr) ada gula</t>
  </si>
  <si>
    <t>KG</t>
  </si>
  <si>
    <t>GR </t>
  </si>
  <si>
    <t>PACK </t>
  </si>
  <si>
    <t>LEMBAR</t>
  </si>
  <si>
    <t>JURIGEN</t>
  </si>
  <si>
    <t>sisa gula biang MILO (gr)</t>
  </si>
  <si>
    <t>stok orange kardus utuh (karton)-JS</t>
  </si>
  <si>
    <t>sisa orange pack utuh (pack)-JS</t>
  </si>
  <si>
    <t>sisa orange di toples station (gr)-JS</t>
  </si>
  <si>
    <t>sisa orange biang cair (gr)-JS</t>
  </si>
  <si>
    <t>sisa orange biang DISPENSER (gr)-JS</t>
  </si>
  <si>
    <t>stok lemon tea kardus utuh (karton)-JS</t>
  </si>
  <si>
    <t>sisa lemon tea pack utuh (pack)-JS</t>
  </si>
  <si>
    <t>sisa lemon tea di toples station (gr)-JS</t>
  </si>
  <si>
    <t>sisa lemon tea biang cair (gr)-JS</t>
  </si>
  <si>
    <t>sisa lemon tea biang cair DISPENSER (gr)-JS</t>
  </si>
  <si>
    <t>stok teh rasa lemon kardus utuh (karton)</t>
  </si>
  <si>
    <t>sisa teh rasa lemon pack utuh (pack)</t>
  </si>
  <si>
    <t>sisa teh rasa lemon di toples station (gr)</t>
  </si>
  <si>
    <t>sisa teh rasa lemon biang cair (gr)</t>
  </si>
  <si>
    <t>sisa teh rasa lemon biang cair DISPENSER (gr)</t>
  </si>
  <si>
    <t>Konversi</t>
  </si>
  <si>
    <t>SATUAN 2</t>
  </si>
  <si>
    <t>ITEM STOCK OPNAME</t>
  </si>
  <si>
    <t>KATEGORI</t>
  </si>
  <si>
    <t>NAMA BARANG</t>
  </si>
  <si>
    <t>STOK AWAL</t>
  </si>
  <si>
    <t>COM DEVIASI - RESTO</t>
  </si>
  <si>
    <t>Biaya Packaging - RESTO</t>
  </si>
  <si>
    <t>WASTE</t>
  </si>
  <si>
    <t>KETERANGAN</t>
  </si>
  <si>
    <t>PENYEBAB TERJADINYA WASTE</t>
  </si>
  <si>
    <t>Over Stock</t>
  </si>
  <si>
    <t>Handling</t>
  </si>
  <si>
    <t>Kualitas Internal</t>
  </si>
  <si>
    <t>Alat/ Mesin</t>
  </si>
  <si>
    <t>Kualitas Eksternal</t>
  </si>
  <si>
    <t>CABE RAWIT - RESTO Karena Over Stock</t>
  </si>
  <si>
    <t>CABE RAWIT - RESTO Karena Handling</t>
  </si>
  <si>
    <t>CABE RAWIT - RESTO Karena Kualitas Eksternal</t>
  </si>
  <si>
    <t>CABE RAWIT - RESTO Karena Alat/ Mesin</t>
  </si>
  <si>
    <t>BIANG TEH RASA LEMON NESTLE Karena Over Stock</t>
  </si>
  <si>
    <t>BIANG TEH RASA LEMON NESTLE Karena handling</t>
  </si>
  <si>
    <t>BIANG TEH RASA LEMON NESTLE Karena Kualitas Internal</t>
  </si>
  <si>
    <t>BIANG TEH RASA LEMON NESTLE Karena Alat/Mesin</t>
  </si>
  <si>
    <t>TEH RASA LEMON (POWDER/SERBUK) Karena Over Stock</t>
  </si>
  <si>
    <t>TEH RASA LEMON (POWDER/SERBUK) Karena Handling</t>
  </si>
  <si>
    <t>TEH RASA LEMON (POWDER/SERBUK) Karena Kualitas Internal</t>
  </si>
  <si>
    <t>BIANG ORANGE - NESTLE Karena Over Stock</t>
  </si>
  <si>
    <t>BIANG ORANGE - NESTLE Karena Handling</t>
  </si>
  <si>
    <t>BIANG ORANGE - NESTLE Karena Kualitas Internal</t>
  </si>
  <si>
    <t>BIANG ORANGE - NESTLE Karena Alat/ Mesin</t>
  </si>
  <si>
    <t>ORANGE - NESTLE (POWDER/SERBUK) Karena Over Stock</t>
  </si>
  <si>
    <t>ORANGE - NESTLE (POWDER/SERBUK) Karena Handling</t>
  </si>
  <si>
    <t>ORANGE - NESTLE (POWDER/SERBUK) Karena Kualitas Internal</t>
  </si>
  <si>
    <t>BIANG TEA GOPEK PAKAI GULA Karena Over Stock</t>
  </si>
  <si>
    <t>BIANG TEA GOPEK PAKAI GULA Karena Handling</t>
  </si>
  <si>
    <t>BIANG TEA GOPEK PAKAI GULA Karena Kualitas Internal</t>
  </si>
  <si>
    <t>BIANG TEA GOPEK PAKAI GULA Karena Alat/ Mesin</t>
  </si>
  <si>
    <t>TEA GOPEK (SERBUK) Karena Over Stock</t>
  </si>
  <si>
    <t>TEA GOPEK (SERBUK) Karena Handling</t>
  </si>
  <si>
    <t>TEA GOPEK (SERBUK) Karena Kualitas Internal</t>
  </si>
  <si>
    <t>BIANG TEA NAGA PAKAI GULA Karena Over Stock</t>
  </si>
  <si>
    <t>BIANG TEA NAGA PAKAI GULA  Karena Handling</t>
  </si>
  <si>
    <t>BIANG TEA NAGA PAKAI GULA  Karena Kualitas Internal</t>
  </si>
  <si>
    <t>BIANG TEA NAGA PAKAI GULA  Karena Alat/ Mesin</t>
  </si>
  <si>
    <t>TEA NAGA (SERBUK) Karena Over Stock</t>
  </si>
  <si>
    <t>TEA NAGA (SERBUK) Karena Handling</t>
  </si>
  <si>
    <t>TEA NAGA (SERBUK) Karena Kualitas Internal</t>
  </si>
  <si>
    <t>VANILLA SOFT MIX ICE MIX Karena Over Stock</t>
  </si>
  <si>
    <t>VANILLA SOFT MIX ICE MIX Karena Handling</t>
  </si>
  <si>
    <t>VANILLA SOFT MIX ICE MIX Karena Kualitas Internal</t>
  </si>
  <si>
    <t>VANILLA SOFT MIX ICE MIX Karena Alat/ Mesin</t>
  </si>
  <si>
    <t>OREO CRUMB Karena Over Stock</t>
  </si>
  <si>
    <t>OREO CRUMB Karena Handling</t>
  </si>
  <si>
    <t>OREO CRUMB Karena Kualitas Internal</t>
  </si>
  <si>
    <t>OREO CRUMB Karena Alat/ Mesin</t>
  </si>
  <si>
    <t>STRAWBERRY SAUCE Karena Over Stock</t>
  </si>
  <si>
    <t>STRAWBERRY SAUCE Karena Handling</t>
  </si>
  <si>
    <t>STRAWBERRY SAUCE Karena Kualitas Internal</t>
  </si>
  <si>
    <t>STRAWBERRY SAUCE Karena Alat/ Mesin</t>
  </si>
  <si>
    <t>SENDOK TEH SUNDAE (V.030) Karena Over Stock</t>
  </si>
  <si>
    <t>SENDOK TEH SUNDAE (V.030) Karena Handling</t>
  </si>
  <si>
    <t>SENDOK TEH SUNDAE (V.030) Karena Kualitas Internal</t>
  </si>
  <si>
    <t>SENDOK TEH SUNDAE (V.030) Karena Alat/ Mesin</t>
  </si>
  <si>
    <t>SEDOTAN HITAM Karena Over Stock</t>
  </si>
  <si>
    <t>SEDOTAN HITAM Karena Handling</t>
  </si>
  <si>
    <t>SEDOTAN HITAM Karena Kualitas Eksternal</t>
  </si>
  <si>
    <t>SEDOTAN HITAM Karena Alat/ Mesin</t>
  </si>
  <si>
    <t>LINK</t>
  </si>
  <si>
    <t>LINK BARANG</t>
  </si>
  <si>
    <t>TANGGAL</t>
  </si>
  <si>
    <t>RESEP 1</t>
  </si>
  <si>
    <t>RESEP 2</t>
  </si>
  <si>
    <t>RESEP 3</t>
  </si>
  <si>
    <t>RESEP 4</t>
  </si>
  <si>
    <t>RESEP 5</t>
  </si>
  <si>
    <t>RESEP 6</t>
  </si>
  <si>
    <t>RESEP 7</t>
  </si>
  <si>
    <t>RESEP 8</t>
  </si>
  <si>
    <t>RESEP 9</t>
  </si>
  <si>
    <t>RESEP 10</t>
  </si>
  <si>
    <t>RESEP 11</t>
  </si>
  <si>
    <t>RESEP 12</t>
  </si>
  <si>
    <t>RESEP 13</t>
  </si>
  <si>
    <t>RESEP 14</t>
  </si>
  <si>
    <t>RESEP 15</t>
  </si>
  <si>
    <t>RESEP 16</t>
  </si>
  <si>
    <t>RESEP 17</t>
  </si>
  <si>
    <t>RESEP 18</t>
  </si>
  <si>
    <t>RESEP 19</t>
  </si>
  <si>
    <t>RESEP 20</t>
  </si>
  <si>
    <t>RESEP 21</t>
  </si>
  <si>
    <t>RESEP 22</t>
  </si>
  <si>
    <t>RESEP 23</t>
  </si>
  <si>
    <t>RESEP 24</t>
  </si>
  <si>
    <t>RESEP 25</t>
  </si>
  <si>
    <t>RESEP 26</t>
  </si>
  <si>
    <t>RESEP 27</t>
  </si>
  <si>
    <t>RESEP 28</t>
  </si>
  <si>
    <t>RESEP 29</t>
  </si>
  <si>
    <t>RESEP 30</t>
  </si>
  <si>
    <t>RESEP 31</t>
  </si>
  <si>
    <t>RESEP 32</t>
  </si>
  <si>
    <t>RESEP 33</t>
  </si>
  <si>
    <t>RESEP 34</t>
  </si>
  <si>
    <t>RESEP 35</t>
  </si>
  <si>
    <t>TOTAL</t>
  </si>
  <si>
    <t>TOTAL RESEP</t>
  </si>
  <si>
    <t>FRESH</t>
  </si>
  <si>
    <t>GILING</t>
  </si>
  <si>
    <t>ISI DISINI =&gt;</t>
  </si>
  <si>
    <t>SUSUT CABE AKTUAL</t>
  </si>
  <si>
    <t xml:space="preserve">SELISIH QTY CABE STANDAR VS AKTUAL </t>
  </si>
  <si>
    <t>YIELD STORE (CABE GILING TO FRESH)</t>
  </si>
  <si>
    <t>DATA MONITORING SUSUT CABE</t>
  </si>
  <si>
    <t>Total cabe fresh sebelum proses (copy ke file so)</t>
  </si>
  <si>
    <t>Total qty cabe giling after process (copy ke file so)</t>
  </si>
  <si>
    <t>Susut harian aktual di resto</t>
  </si>
  <si>
    <t xml:space="preserve">Resep pengolahan cabe fresh seharusnya </t>
  </si>
  <si>
    <t>Persentase susut store (11%)</t>
  </si>
  <si>
    <t>Yield Cabe Giling (89%)</t>
  </si>
  <si>
    <t>Selisih Qty Susut Actual vs Susut BOM</t>
  </si>
  <si>
    <t>Bill of material (BOM) penjualan secara sistem (Cost Control)</t>
  </si>
  <si>
    <t>Standar susut base on BOM harian</t>
  </si>
  <si>
    <t>Selisih berat susut aktual dengan susut base on BOM</t>
  </si>
  <si>
    <t>Total resep yang seharusnya diproses base on BOM</t>
  </si>
  <si>
    <t>Total resep yang di proses Aktual</t>
  </si>
  <si>
    <t>Selisih resep aktual dengan resep base on BOM</t>
  </si>
  <si>
    <t>- Sheet ini berfungsi untuk monitoring harian susut cabe dan flow penggunaan cabe secara harian</t>
  </si>
  <si>
    <t>- Team manager perlu memastikan bahwa data-data susut yang diinput oleh tim yang bertugas sudah benar dan valid</t>
  </si>
  <si>
    <t>- Anda dapat melihat kondisi pengolahan cabe anda setiap resepnya di table paling atas tempat penginputan data susut setiap harinya</t>
  </si>
  <si>
    <t>secara garis besar yang dapat merepresentasikan posisi cabe resto anda di sheet ini :</t>
  </si>
  <si>
    <r>
      <rPr>
        <sz val="10"/>
        <color theme="1"/>
        <rFont val="Arial"/>
        <family val="2"/>
      </rPr>
      <t xml:space="preserve">1. </t>
    </r>
    <r>
      <rPr>
        <b/>
        <sz val="10"/>
        <color theme="1"/>
        <rFont val="Arial"/>
        <family val="2"/>
      </rPr>
      <t xml:space="preserve">Kondisi pengolahan cabe fresh ke cabe giling : </t>
    </r>
    <r>
      <rPr>
        <sz val="10"/>
        <color theme="1"/>
        <rFont val="Arial"/>
        <family val="2"/>
      </rPr>
      <t xml:space="preserve">apabila </t>
    </r>
    <r>
      <rPr>
        <b/>
        <sz val="10"/>
        <color theme="1"/>
        <rFont val="Arial"/>
        <family val="2"/>
      </rPr>
      <t xml:space="preserve">SUSUT DIBAWAH STANDAR , akan menghasilkan yield Cabe giling lebih besar </t>
    </r>
  </si>
  <si>
    <r>
      <rPr>
        <sz val="10"/>
        <color theme="1"/>
        <rFont val="Arial"/>
        <family val="2"/>
      </rPr>
      <t xml:space="preserve">2. </t>
    </r>
    <r>
      <rPr>
        <b/>
        <sz val="10"/>
        <color theme="1"/>
        <rFont val="Arial"/>
        <family val="2"/>
      </rPr>
      <t>Kondisi berat susut aktual dengan susut base on BOM :</t>
    </r>
    <r>
      <rPr>
        <sz val="10"/>
        <color theme="1"/>
        <rFont val="Arial"/>
        <family val="2"/>
      </rPr>
      <t xml:space="preserve"> apabila </t>
    </r>
    <r>
      <rPr>
        <b/>
        <sz val="10"/>
        <color theme="1"/>
        <rFont val="Arial"/>
        <family val="2"/>
      </rPr>
      <t>OVER</t>
    </r>
    <r>
      <rPr>
        <sz val="10"/>
        <color theme="1"/>
        <rFont val="Arial"/>
        <family val="2"/>
      </rPr>
      <t xml:space="preserve"> maka berat susut aktual lebih besar daripada berat susut standar berdasarkan BOM (penjualan), begitupun sebaliknya</t>
    </r>
  </si>
  <si>
    <r>
      <rPr>
        <sz val="10"/>
        <color theme="1"/>
        <rFont val="Arial"/>
        <family val="2"/>
      </rPr>
      <t xml:space="preserve">3. </t>
    </r>
    <r>
      <rPr>
        <b/>
        <sz val="10"/>
        <color theme="1"/>
        <rFont val="Arial"/>
        <family val="2"/>
      </rPr>
      <t xml:space="preserve">Kondisi resep aktual dengan resep base on BOM : </t>
    </r>
    <r>
      <rPr>
        <sz val="10"/>
        <color theme="1"/>
        <rFont val="Arial"/>
        <family val="2"/>
      </rPr>
      <t xml:space="preserve">apabila </t>
    </r>
    <r>
      <rPr>
        <b/>
        <sz val="10"/>
        <color theme="1"/>
        <rFont val="Arial"/>
        <family val="2"/>
      </rPr>
      <t xml:space="preserve">OVER CONSUME </t>
    </r>
    <r>
      <rPr>
        <sz val="10"/>
        <color theme="1"/>
        <rFont val="Arial"/>
        <family val="2"/>
      </rPr>
      <t xml:space="preserve"> maka total resep yang digunakan secara aktual lebih banyak daripada total resep seharusnya berdasarkan BOM, begitupun sebaliknya</t>
    </r>
  </si>
  <si>
    <t>- Analisa:</t>
  </si>
  <si>
    <t>1. Susut aktual lebih rendah dari standar → indikasi positif.
   - Store mampu menjaga bahan baku lebih efisien dari standar yang ditetapkan.
   - Menandakan proses penanganan dan penyimpanan bahan baku cukup baik.
2. Kemungkinan penyebab positif:
   - Penanganan bahan lebih cepat → mengurangi risiko layu/busuk.
   - Penyimpanan lebih baik (suhu, kelembapan, FIFO diterapkan).
   - Penimbangan lebih akurat.
   - Tidak terjadi salah input data.
3. Catatan tambahan:
   - Perlu dipastikan bahwa pencatatan sudah benar dan tidak ada misreport.
Kesimpulan:  
Efisiensi bagus, tapi tetap perlu cross-check agar bukan karena kesalahan pencatatan atau pelaporan</t>
  </si>
  <si>
    <t xml:space="preserve">1. Susut aktual lebih tinggi dari standar → indikasi negatif
   -Perlu monitoring dan evaluasi proses penanganan bahan
2. Kemungkinan penyebab negatif:
- Overcooking atau proses perebusan terlalu lama → menyebabkan banyak bahan rusak atau menguap  
- Bahan baku kurang segar atau kualitas rendah → mudah busuk atau menyusut lebih banyak  
- Kesalahan dalam proses giling → sisa bahan terlalu banyak atau tidak maksimal terserap  
- Penimbangan tidak akurat → alat timbang perlu dikalibrasi  
- Pencampuran bahan rusak/tidak layak tanpa disadari
3. Catatan tambahan:
 - Pastikan alat timbang akurat  
- Training ulang tim kitchen untuk penanganan bahan sesuai prosedur
</t>
  </si>
  <si>
    <t>TRIAL BAHAN</t>
  </si>
  <si>
    <t>TRIAL PORSI</t>
  </si>
  <si>
    <t>INPUT PENJUALAN DINE IN/TAKE AWAY 00</t>
  </si>
  <si>
    <t>INPUT PENJUALAN DINE IN/TAKE AWAY 04</t>
  </si>
  <si>
    <t>WASTE PORSI CANCELNOTA DINE IN/TAKE AWAY</t>
  </si>
  <si>
    <t>WASTEPORSI DINEIN KARNAHANDLING</t>
  </si>
  <si>
    <t>SUSUT</t>
  </si>
  <si>
    <t>JENIS</t>
  </si>
  <si>
    <t>STATUS</t>
  </si>
  <si>
    <t>DEVIASI</t>
  </si>
  <si>
    <t>BARANG MASUK</t>
  </si>
  <si>
    <t>BARANG KELUAR</t>
  </si>
  <si>
    <t>BIANG TEA TANPA GULA Karena Over Stock</t>
  </si>
  <si>
    <t>BIANG TEA TANPA GULA Karena Handling</t>
  </si>
  <si>
    <t>BIANG TEA TANPA GULA Karena Kualitas</t>
  </si>
  <si>
    <t>BIANG TEA TANPA GULA Karena Alat/ Mesin</t>
  </si>
  <si>
    <t>BIANG TEA PAKAI GULA Karena Over Stock</t>
  </si>
  <si>
    <t>BIANG TEA PAKAI GULA  Karena Handling</t>
  </si>
  <si>
    <t>BIANG TEA PAKAI GULA  Karena Kualitas</t>
  </si>
  <si>
    <t>BIANG TEA PAKAI GULA  Karena Alat/ Mesin</t>
  </si>
  <si>
    <t>BIANG TEA GOPEK TANPA GULA Karena Over Stock</t>
  </si>
  <si>
    <t>BIANG TEA GOPEK TANPA GULA Karena Handling</t>
  </si>
  <si>
    <t>BIANG TEA GOPEK TANPA GULA Karena Kualitas Internal</t>
  </si>
  <si>
    <t>BIANG TEA GOPEK TANPA GULA Karena Alat/ Mesin</t>
  </si>
  <si>
    <t>BIANG TEA NAGA TANPA GULA Karena Over Stock</t>
  </si>
  <si>
    <t>BIANG TEA NAGA TANPA GULA Karena Handling</t>
  </si>
  <si>
    <t>BIANG TEA NAGA TANPA GULA Karena Kualitas Internal</t>
  </si>
  <si>
    <t>BIANG TEA NAGA TANPA GULA Karena Alat/ Mesin</t>
  </si>
  <si>
    <t>SOURCE DATA</t>
  </si>
  <si>
    <t>STOCK AWAL</t>
  </si>
  <si>
    <t>TRIAL</t>
  </si>
  <si>
    <t>INPUT SO HARIAN</t>
  </si>
  <si>
    <t>INPUT BARANG MASUK</t>
  </si>
  <si>
    <t>INPUT BARANG KELUAR</t>
  </si>
  <si>
    <t>SO</t>
  </si>
  <si>
    <t>TIDAK</t>
  </si>
  <si>
    <t>YA</t>
  </si>
  <si>
    <t>INPUT BARANG MASUK/KELUAR</t>
  </si>
  <si>
    <t>sisa gula biang LEMON TEA - AW (gr) (DISPENSER)</t>
  </si>
  <si>
    <t>sisa gula biang ORANGE - AW (gr) (DISPENSER)</t>
  </si>
  <si>
    <t>sisa gula biang LEMON TEA - Nestle (gr) (DISPENSER)</t>
  </si>
  <si>
    <t>SUNDAE LID</t>
  </si>
  <si>
    <t>CUP SLEEVE</t>
  </si>
  <si>
    <t>HAZELNUT CHOCO SAUCE</t>
  </si>
  <si>
    <t>PEANUT TOPPING</t>
  </si>
  <si>
    <t>RED VELVET STRAWBERRY FRANZZI</t>
  </si>
  <si>
    <t>CARAMEL SAUCE</t>
  </si>
  <si>
    <t>CARAMEL CRUMB</t>
  </si>
  <si>
    <t>MANGO SAUCE</t>
  </si>
  <si>
    <t>KELLOGG’S FROOT LOOPS</t>
  </si>
  <si>
    <t>Hazelnut Choco Sauce utuh (karton)</t>
  </si>
  <si>
    <t>Hazelnut Choco Sauce utuh (botol)</t>
  </si>
  <si>
    <t>botol</t>
  </si>
  <si>
    <t>sisa Hazelnut Choco sauce (gr)</t>
  </si>
  <si>
    <t>Peanut Topping utuh (karton)</t>
  </si>
  <si>
    <t>sisa Peanut topping (gr)</t>
  </si>
  <si>
    <t>Red velvet strawberry Franzzi utuh (karton)</t>
  </si>
  <si>
    <t>Red velvet strawberry Franzzi utuh (pack)</t>
  </si>
  <si>
    <t>sisa Red velvet strawberry Franzzi  (gr)</t>
  </si>
  <si>
    <t>Caramel Sauce utuh (karton)</t>
  </si>
  <si>
    <t>Caramel Sauce utuh (botol)</t>
  </si>
  <si>
    <t>sisa Caramel Sauce (gr)</t>
  </si>
  <si>
    <t>Caramel Crumb utuh (karton)</t>
  </si>
  <si>
    <t>Caramel Crumb utuh (botol)</t>
  </si>
  <si>
    <t>Mango sauce utuh (karton)</t>
  </si>
  <si>
    <t>mango sauce (toples)</t>
  </si>
  <si>
    <t>Toples</t>
  </si>
  <si>
    <t>Sisa Mango sauce (gr)</t>
  </si>
  <si>
    <t>Kellogg's Froot Loops utuh (karton)</t>
  </si>
  <si>
    <t>sisa kellogg's Froot Lopps (gr)</t>
  </si>
  <si>
    <t>Cup sleeve utuh (karton)</t>
  </si>
  <si>
    <t>Cup sleeve utuh  (pack)</t>
  </si>
  <si>
    <t>Cup sleeve (pcs)</t>
  </si>
  <si>
    <t>100317</t>
  </si>
  <si>
    <t>100315</t>
  </si>
  <si>
    <t>100318</t>
  </si>
  <si>
    <t>100316</t>
  </si>
  <si>
    <t>100313</t>
  </si>
  <si>
    <t>100314</t>
  </si>
  <si>
    <t>100322</t>
  </si>
  <si>
    <t>Menu</t>
  </si>
  <si>
    <t>1.DEVIASI</t>
  </si>
  <si>
    <t>Sum of 1</t>
  </si>
  <si>
    <t>Sum of 2</t>
  </si>
  <si>
    <t>Sum of 3</t>
  </si>
  <si>
    <t>Sum of 4</t>
  </si>
  <si>
    <t>Sum of 5</t>
  </si>
  <si>
    <t>Sum of 6</t>
  </si>
  <si>
    <t>Sum of 7</t>
  </si>
  <si>
    <t>Sum of 8</t>
  </si>
  <si>
    <t>Attribute</t>
  </si>
  <si>
    <t>|BEVERAGES FOREST - DINE IN|</t>
  </si>
  <si>
    <t>|BEVERAGES JS - DINE IN|</t>
  </si>
  <si>
    <t>|BEVERAGES NESTLE - DINE IN|</t>
  </si>
  <si>
    <t>|BEVERAGES FOREST - TAKE AWAY|</t>
  </si>
  <si>
    <t>|BEVERAGES JS - TAKE AWAY|</t>
  </si>
  <si>
    <t>|BEVERAGES NESTLE - TAKE AWAY|</t>
  </si>
  <si>
    <t>|BEVERAGES - DINE IN/TAKE AWAY|</t>
  </si>
  <si>
    <t>|PACKAGING - DINE IN/TAKE AWAY|</t>
  </si>
  <si>
    <t>|TRIAL - DINE IN/TAKE AWAY|</t>
  </si>
  <si>
    <t>Sum of 9</t>
  </si>
  <si>
    <t>Sum of 10</t>
  </si>
  <si>
    <t>Sum of 11</t>
  </si>
  <si>
    <t>Sum of 12</t>
  </si>
  <si>
    <t>Sum of 13</t>
  </si>
  <si>
    <t>Sum of 14</t>
  </si>
  <si>
    <t>Sum of 15</t>
  </si>
  <si>
    <t>Sum of 16</t>
  </si>
  <si>
    <t>Sum of 17</t>
  </si>
  <si>
    <t>Sum of 18</t>
  </si>
  <si>
    <t>Sum of 19</t>
  </si>
  <si>
    <t>Sum of 20</t>
  </si>
  <si>
    <t>Sum of 21</t>
  </si>
  <si>
    <t>Sum of 22</t>
  </si>
  <si>
    <t>Sum of 23</t>
  </si>
  <si>
    <t>Sum of 24</t>
  </si>
  <si>
    <t>Sum of 25</t>
  </si>
  <si>
    <t>Sum of 26</t>
  </si>
  <si>
    <t>Sum of 27</t>
  </si>
  <si>
    <t>Sum of 28</t>
  </si>
  <si>
    <t>Sum of 29</t>
  </si>
  <si>
    <t>Sum of 30</t>
  </si>
  <si>
    <t>Sum of 31</t>
  </si>
  <si>
    <t>CARAMEL CRUMB Karena Over Stock</t>
  </si>
  <si>
    <t>CARAMEL CRUMB Karena Handling</t>
  </si>
  <si>
    <t>CARAMEL CRUMB Karena Kualitas Internal</t>
  </si>
  <si>
    <t>CARAMEL CRUMB Karena Alat/ Mesin</t>
  </si>
  <si>
    <t>CARAMEL SAUCE Karena Over Stock</t>
  </si>
  <si>
    <t>CARAMEL SAUCE Karena Handling</t>
  </si>
  <si>
    <t>CARAMEL SAUCE Karena Kualitas Internal</t>
  </si>
  <si>
    <t>CARAMEL SAUCE Karena Alat/ Mesin</t>
  </si>
  <si>
    <t>HAZELNUT CHOCO SAUCE Karena Over Stock</t>
  </si>
  <si>
    <t>HAZELNUT CHOCO SAUCE Karena Handling</t>
  </si>
  <si>
    <t>HAZELNUT CHOCO SAUCE Karena Kualitas Internal</t>
  </si>
  <si>
    <t>HAZELNUT CHOCO SAUCE Karena Alat/ Mesin</t>
  </si>
  <si>
    <t>KELLOGG’S FROOT LOOPS Karena Over Stock</t>
  </si>
  <si>
    <t>KELLOGG’S FROOT LOOPS Karena Handling</t>
  </si>
  <si>
    <t>KELLOGG’S FROOT LOOPS Karena Kualitas Internal</t>
  </si>
  <si>
    <t>KELLOGG’S FROOT LOOPS Karena Alat/ Mesin</t>
  </si>
  <si>
    <t>MANGO SAUCE Karena Over Stock</t>
  </si>
  <si>
    <t>MANGO SAUCE Karena Handling</t>
  </si>
  <si>
    <t>MANGO SAUCE Karena Kualitas Internal</t>
  </si>
  <si>
    <t>MANGO SAUCE Karena Alat/ Mesin</t>
  </si>
  <si>
    <t>PEANUT TOPPING Karena Over Stock</t>
  </si>
  <si>
    <t>PEANUT TOPPING Karena Handling</t>
  </si>
  <si>
    <t>PEANUT TOPPING Karena Kualitas Internal</t>
  </si>
  <si>
    <t>PEANUT TOPPING Karena Alat/ Mesin</t>
  </si>
  <si>
    <t>RED VELVET STRAWBERRY FRANZZI Karena Over Stock</t>
  </si>
  <si>
    <t>RED VELVET STRAWBERRY FRANZZI Karena Handling</t>
  </si>
  <si>
    <t>RED VELVET STRAWBERRY FRANZZI Karena Kualitas Internal</t>
  </si>
  <si>
    <t>RED VELVET STRAWBERRY FRANZZI Karena Alat/ Mesin</t>
  </si>
  <si>
    <t>HIDE</t>
  </si>
  <si>
    <t>KONVERSI</t>
  </si>
  <si>
    <t>Biang</t>
  </si>
  <si>
    <t>Helper</t>
  </si>
  <si>
    <t>gr </t>
  </si>
  <si>
    <t>pack </t>
  </si>
  <si>
    <t/>
  </si>
  <si>
    <t>Nama Barang Grup Barang</t>
  </si>
  <si>
    <t>Kuantitas</t>
  </si>
  <si>
    <t>Satuan2</t>
  </si>
  <si>
    <t>BOM [Promix 00 &amp; 04]</t>
  </si>
  <si>
    <t>Cancel Nota [Waste CN Dine In &amp; TA]</t>
  </si>
  <si>
    <t>Trial Porsi [Trial Porsi]</t>
  </si>
  <si>
    <t>Waste Handling [Waste Handling]</t>
  </si>
  <si>
    <t>No</t>
  </si>
  <si>
    <t>Dine In/Take Away</t>
  </si>
  <si>
    <t>Grup Menu</t>
  </si>
  <si>
    <t>Aktif</t>
  </si>
  <si>
    <t>01.DINE IN</t>
  </si>
  <si>
    <t>02.BEVERAGES</t>
  </si>
  <si>
    <t>02.TAKE AWAY</t>
  </si>
  <si>
    <t>03.DINE IN/TAKE AWAY</t>
  </si>
  <si>
    <t>07.TRIAL</t>
  </si>
  <si>
    <t>Sum of Value</t>
  </si>
  <si>
    <t>Sum of AKUMULASI</t>
  </si>
  <si>
    <t>WASTE BAHAN DAN PACKAGING</t>
  </si>
  <si>
    <t>BAKSO BAKAR LV 0 - DINE IN</t>
  </si>
  <si>
    <t>BAKSO HALUS</t>
  </si>
  <si>
    <t>PAPER TRAY - BAKSO</t>
  </si>
  <si>
    <t>SPORK</t>
  </si>
  <si>
    <t>BAKSO BAKAR LV 0 - TAKE AWAY</t>
  </si>
  <si>
    <t>PAPER BOX - BAKSO</t>
  </si>
  <si>
    <t>BAKSO BAKAR LV 2 - DINE IN</t>
  </si>
  <si>
    <t>BAKSO BAKAR LV 2 - TAKE AWAY</t>
  </si>
  <si>
    <t>BAKSO BAKAR LV 4 - DINE IN</t>
  </si>
  <si>
    <t>BAKSO BAKAR LV 4 - TAKE AWAY</t>
  </si>
  <si>
    <t>BAKSO BAKAR LV 6 - DINE IN</t>
  </si>
  <si>
    <t>BAKSO BAKAR LV 6 - TAKE AWAY</t>
  </si>
  <si>
    <t>BAKSO SUPER HALUS - DINE IN</t>
  </si>
  <si>
    <t>BAWANG MERAH GORENG</t>
  </si>
  <si>
    <t>DAUN BAWANG FRESH</t>
  </si>
  <si>
    <t>KUAH BAKSO</t>
  </si>
  <si>
    <t>PAPER BOWL</t>
  </si>
  <si>
    <t>SAOS TOMAT</t>
  </si>
  <si>
    <t>SOHUN</t>
  </si>
  <si>
    <t>BAKSO SUPER HALUS - TAKE AWAY</t>
  </si>
  <si>
    <t>KLIP PE 4 X 6</t>
  </si>
  <si>
    <t>PAPERBOWL LID</t>
  </si>
  <si>
    <t>PLASTIK HDPE 15 X 30</t>
  </si>
  <si>
    <t>BAKSO SUPER URAT - DINE IN</t>
  </si>
  <si>
    <t>BAKSO URAT</t>
  </si>
  <si>
    <t>BAKSO SUPER URAT - TAKE AWAY</t>
  </si>
  <si>
    <t>BIANG KERING KUAH</t>
  </si>
  <si>
    <t>NASI</t>
  </si>
  <si>
    <t>BERAS PUTIH</t>
  </si>
  <si>
    <t>RICE WRAP</t>
  </si>
  <si>
    <t>01.BAKSO</t>
  </si>
  <si>
    <t>|BAKSO BAKAR - DINE IN|</t>
  </si>
  <si>
    <t>|BAKSO BAKAR - TAKE AWAY|</t>
  </si>
  <si>
    <t>Daun Bawang Fresh (kg)</t>
  </si>
  <si>
    <t>Kg</t>
  </si>
  <si>
    <t>100353</t>
  </si>
  <si>
    <t>100354</t>
  </si>
  <si>
    <t>100411</t>
  </si>
  <si>
    <t>100374</t>
  </si>
  <si>
    <t>100375</t>
  </si>
  <si>
    <t>100355</t>
  </si>
  <si>
    <t>Paper Tray - Bakso (Pcs)</t>
  </si>
  <si>
    <t>Klip Pe 4 X 6 (Lembar)</t>
  </si>
  <si>
    <t>Plastik Hdpe 15 X 30 (Lembar)</t>
  </si>
  <si>
    <t>Rice Wrap (Lembar)</t>
  </si>
  <si>
    <t>100340</t>
  </si>
  <si>
    <t>100345</t>
  </si>
  <si>
    <t>100346</t>
  </si>
  <si>
    <t>100348</t>
  </si>
  <si>
    <t>100349</t>
  </si>
  <si>
    <t>100350</t>
  </si>
  <si>
    <t>100352</t>
  </si>
  <si>
    <t>100369</t>
  </si>
  <si>
    <t>100381</t>
  </si>
  <si>
    <t>100388</t>
  </si>
  <si>
    <t>100389</t>
  </si>
  <si>
    <t>BASRENG - DINE IN</t>
  </si>
  <si>
    <t>BASRENG</t>
  </si>
  <si>
    <t>SUMPIT - BAKSO</t>
  </si>
  <si>
    <t>THAI CHILI SAUCE</t>
  </si>
  <si>
    <t>BASRENG - TAKE AWAY</t>
  </si>
  <si>
    <t>100390</t>
  </si>
  <si>
    <t>100373</t>
  </si>
  <si>
    <t>100347</t>
  </si>
  <si>
    <t>Thai Chili Sauce (karton)</t>
  </si>
  <si>
    <t>Basreng (pcs)</t>
  </si>
  <si>
    <t>lembar</t>
  </si>
  <si>
    <t>ARANG BAKARAN</t>
  </si>
  <si>
    <t>Beras Putih (Karung)</t>
  </si>
  <si>
    <t>UDANG KEJU FROZEN - DINE IN</t>
  </si>
  <si>
    <t>UDANG KEJU FROZEN - TAKE AWAY</t>
  </si>
  <si>
    <t>KERTAS BAKPAO 10.5 CM (V.20)</t>
  </si>
  <si>
    <t>UDANG KEJU FROZEN</t>
  </si>
  <si>
    <t>PACK</t>
  </si>
  <si>
    <t xml:space="preserve">karton </t>
  </si>
  <si>
    <t>100236</t>
  </si>
  <si>
    <t>sisa Thai Chili Sauce (Pcs)</t>
  </si>
  <si>
    <t>100237</t>
  </si>
  <si>
    <t>stok udang keju frozen pack utuh (pack)</t>
  </si>
  <si>
    <t>sisa udang keju  frozen (pcs)</t>
  </si>
  <si>
    <t>100294</t>
  </si>
  <si>
    <t>200300</t>
  </si>
  <si>
    <t>200301</t>
  </si>
  <si>
    <t>200298</t>
  </si>
  <si>
    <t>200299</t>
  </si>
  <si>
    <t>Pcs</t>
  </si>
  <si>
    <t>200293</t>
  </si>
  <si>
    <t>200314</t>
  </si>
  <si>
    <t>200313</t>
  </si>
  <si>
    <t>Kertas Thermal (Pcs)</t>
  </si>
  <si>
    <t>200392</t>
  </si>
  <si>
    <t>KERTAS THERMAL</t>
  </si>
  <si>
    <t>Tisu Meja (Pcs)</t>
  </si>
  <si>
    <t>200337</t>
  </si>
  <si>
    <t>Tisu Km (Pcs)</t>
  </si>
  <si>
    <t>200336</t>
  </si>
  <si>
    <t>Sabun Cuci Piring - Resto (Jurigen)</t>
  </si>
  <si>
    <t>Jurigen</t>
  </si>
  <si>
    <t>Sabun Lantai (Jurigen)</t>
  </si>
  <si>
    <t>200319</t>
  </si>
  <si>
    <t>SABUN LANTAI</t>
  </si>
  <si>
    <t>Handsoap (Jurigen)</t>
  </si>
  <si>
    <t>200289</t>
  </si>
  <si>
    <t>HANDSOAP</t>
  </si>
  <si>
    <t>Pembersih Kaca Meja (Jurigen)</t>
  </si>
  <si>
    <t>200311</t>
  </si>
  <si>
    <t>PEMBERSIH KACA MEJA</t>
  </si>
  <si>
    <t>Napo Clean (Botol)</t>
  </si>
  <si>
    <t>Botol</t>
  </si>
  <si>
    <t>200307</t>
  </si>
  <si>
    <t>NAPO CLEAN</t>
  </si>
  <si>
    <t>Handglove (Plastik) Pcs</t>
  </si>
  <si>
    <t>200287</t>
  </si>
  <si>
    <t>HAND GLOVE PLASTIK</t>
  </si>
  <si>
    <t>200286</t>
  </si>
  <si>
    <t>HAND GLOVE KARET</t>
  </si>
  <si>
    <t>Handsanitizer (Jurigen)</t>
  </si>
  <si>
    <t>200288</t>
  </si>
  <si>
    <t>HANDSANITIZER</t>
  </si>
  <si>
    <t>200322</t>
  </si>
  <si>
    <t>SCALE OFF (PEMBERSIH TANGKI BOILER)</t>
  </si>
  <si>
    <t>Cup Selaer Besar (Pcs)</t>
  </si>
  <si>
    <t>200706</t>
  </si>
  <si>
    <t>CUP SEALER BESAR</t>
  </si>
  <si>
    <t>LPG 12kg-tabung</t>
  </si>
  <si>
    <t>Tabung</t>
  </si>
  <si>
    <t>100017</t>
  </si>
  <si>
    <t>LPG 12KG</t>
  </si>
  <si>
    <t>100152</t>
  </si>
  <si>
    <t>Es Tube V.20 - Existing Store (Kg)</t>
  </si>
  <si>
    <t>ES TUBE v.20 - EXISTING STORE</t>
  </si>
  <si>
    <t>Galon - Existing Store (Galon)</t>
  </si>
  <si>
    <t xml:space="preserve">Galon </t>
  </si>
  <si>
    <t>Unit</t>
  </si>
  <si>
    <t>GALON - EXISTING STORE</t>
  </si>
  <si>
    <t>GALON</t>
  </si>
  <si>
    <t>200207</t>
  </si>
  <si>
    <t>Beban ATK - Resto</t>
  </si>
  <si>
    <t>Beban Kebersihan - Resto</t>
  </si>
  <si>
    <t>Biaya Bahan Pembantu - RESTO</t>
  </si>
  <si>
    <t>USAGE</t>
  </si>
  <si>
    <t>|BAKSO GORENG - DINE IN|</t>
  </si>
  <si>
    <t>|UDANG KEJU - DINE IN|</t>
  </si>
  <si>
    <t>|UDANG KEJU - TAKE AWAY|</t>
  </si>
  <si>
    <t>100351</t>
  </si>
  <si>
    <t>100410</t>
  </si>
  <si>
    <t>410272</t>
  </si>
  <si>
    <t>410273</t>
  </si>
  <si>
    <t>410275</t>
  </si>
  <si>
    <t>410105</t>
  </si>
  <si>
    <t>410093</t>
  </si>
  <si>
    <t>Sisa Nasi dalam Paper Wrap</t>
  </si>
  <si>
    <t>200746</t>
  </si>
  <si>
    <t>MIKA/CUP DIPPING (V.20)</t>
  </si>
  <si>
    <t>Mika/Cup Dipping (V.20) (Pcs)</t>
  </si>
  <si>
    <t>Sendok Teh Sundae (V.030) (Pcs)</t>
  </si>
  <si>
    <t>Vanilla Soft Mix Ice Mix (Ml)</t>
  </si>
  <si>
    <t>Kertas Bakpao 10.5 Cm.-Pcs</t>
  </si>
  <si>
    <t>2.WASTE</t>
  </si>
  <si>
    <t>3.SUSUT</t>
  </si>
  <si>
    <t>4.TRIAL</t>
  </si>
  <si>
    <t>5.LOSS/SURPLUS</t>
  </si>
  <si>
    <t>BAKSO HALUS Karena Over Stock</t>
  </si>
  <si>
    <t>BAKSO HALUS Karena Handling</t>
  </si>
  <si>
    <t>BAKSO HALUS Karena Kualitas Internal</t>
  </si>
  <si>
    <t>BAKSO HALUS Karena Alat/ Mesin</t>
  </si>
  <si>
    <t>PAPER TRAY - BAKSO Karena Over Stock</t>
  </si>
  <si>
    <t>PAPER TRAY - BAKSO Karena Handling</t>
  </si>
  <si>
    <t>PAPER TRAY - BAKSO Karena Kualitas Internal</t>
  </si>
  <si>
    <t>PAPER TRAY - BAKSO Karena Alat/ Mesin</t>
  </si>
  <si>
    <t>PAPER BOX - BAKSO Karena Over Stock</t>
  </si>
  <si>
    <t>PAPER BOX - BAKSO Karena Handling</t>
  </si>
  <si>
    <t>PAPER BOX - BAKSO Karena Kualitas Internal</t>
  </si>
  <si>
    <t>PAPER BOX - BAKSO Karena Alat/ Mesin</t>
  </si>
  <si>
    <t>DAUN BAWANG FRESH Karena Over Stock</t>
  </si>
  <si>
    <t>DAUN BAWANG FRESH Karena Handling</t>
  </si>
  <si>
    <t>DAUN BAWANG FRESH Karena Kualitas Internal</t>
  </si>
  <si>
    <t>DAUN BAWANG FRESH Karena Alat/ Mesin</t>
  </si>
  <si>
    <t>PAPER BOWL Karena Over Stock</t>
  </si>
  <si>
    <t>PAPER BOWL Karena Handling</t>
  </si>
  <si>
    <t>PAPER BOWL Karena Kualitas Internal</t>
  </si>
  <si>
    <t>PAPER BOWL Karena Alat/ Mesin</t>
  </si>
  <si>
    <t>SOHUN Karena Over Stock</t>
  </si>
  <si>
    <t>SOHUN Karena Handling</t>
  </si>
  <si>
    <t>SOHUN Karena Alat/ Mesin</t>
  </si>
  <si>
    <t>BAKSO URAT Karena Over Stock</t>
  </si>
  <si>
    <t>BAKSO URAT Karena Handling</t>
  </si>
  <si>
    <t>BAKSO URAT Karena Kualitas Internal</t>
  </si>
  <si>
    <t>BAKSO URAT Karena Alat/ Mesin</t>
  </si>
  <si>
    <t>BIANG KERING KUAH Karena Over Stock</t>
  </si>
  <si>
    <t>BIANG KERING KUAH Karena Handling</t>
  </si>
  <si>
    <t>BIANG KERING KUAH Karena Kualitas Internal</t>
  </si>
  <si>
    <t>BIANG KERING KUAH Karena Alat/ Mesin</t>
  </si>
  <si>
    <t>BERAS PUTIH Karena Over Stock</t>
  </si>
  <si>
    <t>BERAS PUTIH Karena Handling</t>
  </si>
  <si>
    <t>BERAS PUTIH Karena Alat/ Mesin</t>
  </si>
  <si>
    <t>BASRENG Karena Over Stock</t>
  </si>
  <si>
    <t>BASRENG Karena Handling</t>
  </si>
  <si>
    <t>BASRENG Karena Kualitas Internal</t>
  </si>
  <si>
    <t>BASRENG Karena Alat/ Mesin</t>
  </si>
  <si>
    <t>THAI CHILI SAUCE Karena Over Stock</t>
  </si>
  <si>
    <t>THAI CHILI SAUCE Karena Handling</t>
  </si>
  <si>
    <t>THAI CHILI SAUCE Karena Kualitas Internal</t>
  </si>
  <si>
    <t>THAI CHILI SAUCE Karena Alat/ Mesin</t>
  </si>
  <si>
    <t>KERTAS MINYAK (V.20) Karena Over Stock</t>
  </si>
  <si>
    <t>KERTAS MINYAK (V.20) Karena Handling</t>
  </si>
  <si>
    <t>KERTAS MINYAK (V.20) Karena Kualitas Internal</t>
  </si>
  <si>
    <t>KERTAS MINYAK (V.20) Karena Alat/ Mesin</t>
  </si>
  <si>
    <t>UDANG KEJU FROZEN Karena Over Stock</t>
  </si>
  <si>
    <t>UDANG KEJU FROZEN Karena Handling</t>
  </si>
  <si>
    <t>UDANG KEJU FROZEN Karena Kualitas Internal</t>
  </si>
  <si>
    <t>UDANG KEJU FROZEN Karena Alat/ Mesin</t>
  </si>
  <si>
    <t>BUMBU BAKSO BAKAR Karena Over Stock</t>
  </si>
  <si>
    <t>BUMBU BAKSO BAKAR Karena Handling</t>
  </si>
  <si>
    <t>BUMBU BAKSO BAKAR Karena Kualitas Internal</t>
  </si>
  <si>
    <t>BUMBU BAKSO BAKAR Karena Alat/ Mesin</t>
  </si>
  <si>
    <t>SPORK Karena Over Stock</t>
  </si>
  <si>
    <t>SPORK Karena Handling</t>
  </si>
  <si>
    <t>SPORK Karena Kualitas Internal</t>
  </si>
  <si>
    <t>SPORK Karena Alat/ Mesin</t>
  </si>
  <si>
    <t>BAWANG MERAH GORENG Karena Over Stock</t>
  </si>
  <si>
    <t>BAWANG MERAH GORENG Karena Handling</t>
  </si>
  <si>
    <t>BAWANG MERAH GORENG Karena Kualitas Internal</t>
  </si>
  <si>
    <t>BAWANG MERAH GORENG Karena Alat/ Mesin</t>
  </si>
  <si>
    <t>KUAH BAKSO Karena Over Stock</t>
  </si>
  <si>
    <t>KUAH BAKSO Karena Handling</t>
  </si>
  <si>
    <t>KUAH BAKSO Karena Kualitas Internal</t>
  </si>
  <si>
    <t>KUAH BAKSO Karena Alat/ Mesin</t>
  </si>
  <si>
    <t>SAOS TOMAT Karena Over Stock</t>
  </si>
  <si>
    <t>SAOS TOMAT Karena Handling</t>
  </si>
  <si>
    <t>SAOS TOMAT Karena Kualitas Internal</t>
  </si>
  <si>
    <t>SAOS TOMAT Karena Alat/ Mesin</t>
  </si>
  <si>
    <t>PAPERBOWL LID Karena Over Stock</t>
  </si>
  <si>
    <t>PAPERBOWL LID Karena Handling</t>
  </si>
  <si>
    <t>PAPERBOWL LID Karena Kualitas Internal</t>
  </si>
  <si>
    <t>PAPERBOWL LID Karena Alat/ Mesin</t>
  </si>
  <si>
    <t>BAWANG PUTIH GORENG Karena Over Stock</t>
  </si>
  <si>
    <t>BAWANG PUTIH GORENG Karena Handling</t>
  </si>
  <si>
    <t>BAWANG PUTIH GORENG Karena Kualitas Internal</t>
  </si>
  <si>
    <t>BAWANG PUTIH GORENG Karena Alat/ Mesin</t>
  </si>
  <si>
    <t>BUMBU PASTA KUAH Karena Over Stock</t>
  </si>
  <si>
    <t>BUMBU PASTA KUAH Karena Handling</t>
  </si>
  <si>
    <t>BUMBU PASTA KUAH Karena Kualitas Internal</t>
  </si>
  <si>
    <t>BUMBU PASTA KUAH Karena Alat/ Mesin</t>
  </si>
  <si>
    <t>RICE WRAP Karena Over Stock</t>
  </si>
  <si>
    <t>RICE WRAP Karena Handling</t>
  </si>
  <si>
    <t>RICE WRAP Karena Kualitas Internal</t>
  </si>
  <si>
    <t>RICE WRAP Karena Alat/ Mesin</t>
  </si>
  <si>
    <t>SUMPIT - BAKSO Karena Over Stock</t>
  </si>
  <si>
    <t>SUMPIT - BAKSO Karena Handling</t>
  </si>
  <si>
    <t>SUMPIT - BAKSO Karena Kualitas Internal</t>
  </si>
  <si>
    <t>SUMPIT - BAKSO Karena Alat/ Mesin</t>
  </si>
  <si>
    <t>KERTAS BAKPAO 10.5 CM (V.20) Karena Over Stock</t>
  </si>
  <si>
    <t>KERTAS BAKPAO 10.5 CM (V.20) Karena Handling</t>
  </si>
  <si>
    <t>KERTAS BAKPAO 10.5 CM (V.20) Karena Kualitas Internal</t>
  </si>
  <si>
    <t>KERTAS BAKPAO 10.5 CM (V.20) Karena Alat/ Mesin</t>
  </si>
  <si>
    <t>MINYAK GORENG - RESTO.-karton</t>
  </si>
  <si>
    <t>MINYAK GORENG - RESTO.-kg</t>
  </si>
  <si>
    <t>MINYAK GORENG - RESTO.-gr</t>
  </si>
  <si>
    <t>100143</t>
  </si>
  <si>
    <t>MINYAK GORENG - RESTO (v.20)</t>
  </si>
  <si>
    <t>COM CONSUME - RESTO</t>
  </si>
  <si>
    <t>MINYAK GORENG - RESTO (v.20) Karena Over Stock</t>
  </si>
  <si>
    <t>MINYAK GORENG - RESTO (v.20) Karena Handling</t>
  </si>
  <si>
    <t>MINYAK GORENG - RESTO (v.20) Karena Kualitas Internal</t>
  </si>
  <si>
    <t>MINYAK GORENG - RESTO (v.20) Karena Alat/ Mesin</t>
  </si>
  <si>
    <t>Sisa Nasi dalam Tray</t>
  </si>
  <si>
    <t>|BAKSO GORENG - TAKE AWAY|</t>
  </si>
  <si>
    <t>TRACKING SHEET (HIDDEN) - Auto-scan input sheets, jangan edit manual</t>
  </si>
  <si>
    <t>Sheet Name</t>
  </si>
  <si>
    <t>Total Days</t>
  </si>
  <si>
    <t>Status</t>
  </si>
  <si>
    <t>Filled Days</t>
  </si>
  <si>
    <t>Last Filled Day</t>
  </si>
  <si>
    <t>Last Updated</t>
  </si>
  <si>
    <t>D1</t>
  </si>
  <si>
    <t>D2</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</si>
  <si>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</si>
  <si>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</si>
  <si>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</si>
  <si>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</si>
  <si>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</si>
  <si>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</si>
  <si>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</si>
  <si>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</si>
  <si>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</si>
  <si>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</si>
  <si>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</si>
  <si>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</si>
  <si>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</si>
  <si>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</si>
  <si>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</si>
  <si>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</si>
  <si>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</si>
  <si>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</si>
  <si>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</si>
  <si>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</si>
  <si>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</si>
  <si>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</si>
  <si>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</si>
  <si>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</si>
  <si>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</si>
  <si>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</si>
  <si>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</si>
  <si>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</si>
  <si>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</si>
  <si>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INPUT PENJUALAN 00</t>
  </si>
  <si>
    <t>INPUT PROMIX 04</t>
  </si>
  <si>
    <t>WASTE DINE IN KARNA HANDLING</t>
  </si>
  <si>
    <t>WASTE PORSI CANCELNOTA</t>
  </si>
  <si>
    <t>WASTE BAHAN dan PACKAGING</t>
  </si>
  <si>
    <t>SETUP PERIODE - Input sekali di awal bulan</t>
  </si>
  <si>
    <t>Tanggal Mulai Periode:</t>
  </si>
  <si>
    <t>&lt;- Ganti tanggal ini di awal bulan</t>
  </si>
  <si>
    <t>TABEL MAPPING HARI -&gt; TANGGAL (auto-generate)</t>
  </si>
  <si>
    <t>Hari</t>
  </si>
  <si>
    <t>Tanggal</t>
  </si>
  <si>
    <t>Hari (nama)</t>
  </si>
  <si>
    <t>CARA PAKAI:</t>
  </si>
  <si>
    <t>1. Di awal bulan, ganti tanggal di cell C5</t>
  </si>
  <si>
    <t xml:space="preserve">   Contoh: 01-Aug-2026 untuk bulan Agustus</t>
  </si>
  <si>
    <t>2. Tanggal di kolom C akan auto-update</t>
  </si>
  <si>
    <t>3. _TRACKING &amp; DASHBOARD auto-read dari sini</t>
  </si>
  <si>
    <t>4. Jangan ubah kolom B (Hari) atau formula di C</t>
  </si>
  <si>
    <t>Tabel ini dipakai oleh:</t>
  </si>
  <si>
    <t>- _TRACKING untuk lookup tanggal terakhir input</t>
  </si>
  <si>
    <t>- DASHBOARD untuk display 'Last Updated'</t>
  </si>
  <si>
    <t>Periode:</t>
  </si>
  <si>
    <t>Hari ini (index):</t>
  </si>
  <si>
    <t>STATUS INPUT SHEET</t>
  </si>
  <si>
    <t>Description</t>
  </si>
  <si>
    <t>Progress</t>
  </si>
  <si>
    <t>Action</t>
  </si>
  <si>
    <t>Stock Opname harian per item</t>
  </si>
  <si>
    <t>Open &gt;</t>
  </si>
  <si>
    <t>Penerimaan barang harian</t>
  </si>
  <si>
    <t>Waste porsi handling</t>
  </si>
  <si>
    <t>Waste porsi cancel nota</t>
  </si>
  <si>
    <t>Trial porsi menu</t>
  </si>
  <si>
    <t>Susut harian per item</t>
  </si>
  <si>
    <t>Stock awal periode (1x per bulan)</t>
  </si>
  <si>
    <t>RINGKASAN</t>
  </si>
  <si>
    <t>Total Sheet</t>
  </si>
  <si>
    <t>Completed</t>
  </si>
  <si>
    <t>In Progress</t>
  </si>
  <si>
    <t>Pending</t>
  </si>
  <si>
    <t>Last Activity (max)</t>
  </si>
  <si>
    <t>DASHBOARD STATUS INPUT</t>
  </si>
  <si>
    <t>Pengeluaran barang harian (Pengirman antar Resto &amp; Retur)</t>
  </si>
  <si>
    <t>Penjualan Dine In dan Take Away Jam 12.00 Malam</t>
  </si>
  <si>
    <t>Penjualan Dine In dan Take Away Jam 04.00 Subuh</t>
  </si>
  <si>
    <t xml:space="preserve">Waste bahan </t>
  </si>
  <si>
    <t>Trial bahan</t>
  </si>
  <si>
    <t>AIR MINERAL BOTOL</t>
  </si>
  <si>
    <t>AIR MINERAL BOTOL (V.20)</t>
  </si>
  <si>
    <t>AIR MINERAL BOTOL (V.20) Karena Over Stock</t>
  </si>
  <si>
    <t>AIR MINERAL BOTOL (V.20) Karena Handling</t>
  </si>
  <si>
    <t>AIR MINERAL BOTOL (V.20) Karena Alat/ Mesin</t>
  </si>
  <si>
    <t>stok air mineral kardus utuh (karton)</t>
  </si>
  <si>
    <t>100210</t>
  </si>
  <si>
    <t>Rice Wrap dari Sisa nasi (lembar)</t>
  </si>
  <si>
    <t>RICE WRAP dari Sisa Nasi Karena Over Stock</t>
  </si>
  <si>
    <t>RICE WRAP dari Sisa Nasi Karena Handling</t>
  </si>
  <si>
    <t>RICE WRAP dari Sisa Nasi Karena Kualitas Internal</t>
  </si>
  <si>
    <t>RICE WRAP dari Sisa Nasi Karena Alat/ Mesin</t>
  </si>
  <si>
    <t>BERAS PUTIH dari Sisa Nasi Paper Wrap Karena Over Stock</t>
  </si>
  <si>
    <t>BERAS PUTIH dari Sisa Nasi Paper Wrap Karena Handling</t>
  </si>
  <si>
    <t>BERAS PUTIH dari Sisa Nasi Paper Wrap Karena Alat/ Mesin</t>
  </si>
  <si>
    <t>BERAS PUTIH dari Sisa Nasi Tray Karena Over Stock</t>
  </si>
  <si>
    <t>BERAS PUTIH dari Sisa Nasi Tray Karena Handling</t>
  </si>
  <si>
    <t>BERAS PUTIH dari Sisa Nasi Tray Karena Alat/ Mesin</t>
  </si>
  <si>
    <t>BAWANG MERAH GORENG dari Kuah Bakso Karena Over Stock</t>
  </si>
  <si>
    <t>BAWANG MERAH GORENG dari Kuah Bakso Karena Handling</t>
  </si>
  <si>
    <t>BAWANG MERAH GORENG dari Kuah Bakso Karena Kualitas Internal</t>
  </si>
  <si>
    <t>BAWANG MERAH GORENG dari Kuah Bakso Karena Alat/ Mesin</t>
  </si>
  <si>
    <t>BAWANG MERAH GORENG dari Sisa Cabe Kuah Bakso Karena Over Stock</t>
  </si>
  <si>
    <t>BAWANG MERAH GORENG dari Sisa Cabe Kuah Bakso Karena Handling</t>
  </si>
  <si>
    <t>BAWANG MERAH GORENG dari Sisa Cabe Kuah Bakso Karena Kualitas Internal</t>
  </si>
  <si>
    <t>BAWANG MERAH GORENG dari Sisa Cabe Kuah Bakso Karena Alat/ Mesin</t>
  </si>
  <si>
    <t>CABE RAWIT - RESTO Sisa Giling ada Kuah Bakso Karena Over Stock</t>
  </si>
  <si>
    <t>CABE RAWIT - RESTO Sisa Giling ada Kuah Bakso Karena Handling</t>
  </si>
  <si>
    <t>CABE RAWIT - RESTO Sisa Giling ada Kuah Bakso Karena Kualitas Eksternal</t>
  </si>
  <si>
    <t>CABE RAWIT - RESTO Sisa Giling ada Kuah Bakso Karena Alat/ Mesin</t>
  </si>
  <si>
    <t>BAWANG PUTIH GORENG dari Kuah Bakso Karena Over Stock</t>
  </si>
  <si>
    <t>BAWANG PUTIH GORENG dari Kuah Bakso Karena Handling</t>
  </si>
  <si>
    <t>BAWANG PUTIH GORENG dari Kuah Bakso Karena Kualitas Internal</t>
  </si>
  <si>
    <t>BAWANG PUTIH GORENG dari Kuah Bakso Karena Alat/ Mesin</t>
  </si>
  <si>
    <t>BAWANG PUTIH GORENG dari Sisa Cabe Kuah Bakso Karena Over Stock</t>
  </si>
  <si>
    <t>BAWANG PUTIH GORENG dari Sisa Cabe Kuah Bakso Karena Handling</t>
  </si>
  <si>
    <t>BAWANG PUTIH GORENG dari Sisa Cabe Kuah Bakso Karena Kualitas Internal</t>
  </si>
  <si>
    <t>BAWANG PUTIH GORENG dari Sisa Cabe Kuah Bakso Karena Alat/ Mesin</t>
  </si>
  <si>
    <t>BIANG KERING KUAH dari Kuah Bakso Karena Over Stock</t>
  </si>
  <si>
    <t>BIANG KERING KUAH dari Kuah Bakso Karena Handling</t>
  </si>
  <si>
    <t>BIANG KERING KUAH dari Kuah Bakso Karena Kualitas Internal</t>
  </si>
  <si>
    <t>BIANG KERING KUAH dari Kuah Bakso Karena Alat/ Mesin</t>
  </si>
  <si>
    <t>BUMBU PASTA KUAH dari Kuah Bakso Karena Over Stock</t>
  </si>
  <si>
    <t>BUMBU PASTA KUAH dari Kuah Bakso Karena Handling</t>
  </si>
  <si>
    <t>BUMBU PASTA KUAH dari Kuah Bakso Karena Kualitas Internal</t>
  </si>
  <si>
    <t>BUMBU PASTA KUAH dari Kuah Bakso Karena Alat/ Mesin</t>
  </si>
  <si>
    <t>BUMBU PASTA KUAH  dari Sisa Cabe Kuah Bakso Karena Over Stock</t>
  </si>
  <si>
    <t>BUMBU PASTA KUAH  dari Sisa Cabe Kuah Bakso Karena Handling</t>
  </si>
  <si>
    <t>BUMBU PASTA KUAH  dari Sisa Cabe Kuah Bakso Karena Kualitas Internal</t>
  </si>
  <si>
    <t>BUMBU PASTA KUAH  dari Sisa Cabe Kuah Bakso Karena Alat/ Mesin</t>
  </si>
  <si>
    <t>Sisa Bumbu Bakso Bakar Cabe Lv 2 (Gr)</t>
  </si>
  <si>
    <t>Sisa Bumbu Bakso Bakar Cabe Lv 4 (Gr)</t>
  </si>
  <si>
    <t>Sisa Bumbu Bakso Bakar Cabe Lv 6 (Gr)</t>
  </si>
  <si>
    <t>BUMBU BAKSO BAKAR Lv2 Karena Over Stock</t>
  </si>
  <si>
    <t>BUMBU BAKSO BAKAR Lv2 Karena Handling</t>
  </si>
  <si>
    <t>BUMBU BAKSO BAKAR Lv2 Karena Kualitas Internal</t>
  </si>
  <si>
    <t>BUMBU BAKSO BAKAR Lv2 Karena Alat/ Mesin</t>
  </si>
  <si>
    <t>BUMBU BAKSO BAKAR Lv8 Karena Over Stock</t>
  </si>
  <si>
    <t>BUMBU BAKSO BAKAR Lv8 Karena Handling</t>
  </si>
  <si>
    <t>BUMBU BAKSO BAKAR Lv8 Karena Kualitas Internal</t>
  </si>
  <si>
    <t>BUMBU BAKSO BAKAR Lv8 Karena Alat/ Mesin</t>
  </si>
  <si>
    <t>BUMBU BAKSO BAKAR Lv4 Karena Over Stock</t>
  </si>
  <si>
    <t>BUMBU BAKSO BAKAR Lv4 Karena Handling</t>
  </si>
  <si>
    <t>BUMBU BAKSO BAKAR Lv4 Karena Kualitas Internal</t>
  </si>
  <si>
    <t>BUMBU BAKSO BAKAR Lv4 Karena Alat/ Mesin</t>
  </si>
  <si>
    <t>CABE RAWIT - RESTO Sisa Bumbu Bakar Lv2 Karena Over Stock</t>
  </si>
  <si>
    <t>CABE RAWIT - RESTO Sisa Bumbu Bakar Lv2 Karena Handling</t>
  </si>
  <si>
    <t>CABE RAWIT - RESTO Sisa Bumbu Bakar Lv2 Karena Kualitas Eksternal</t>
  </si>
  <si>
    <t>CABE RAWIT - RESTO Sisa Bumbu Bakar Lv2 Karena Alat/ Mesin</t>
  </si>
  <si>
    <t>CABE RAWIT - RESTO Sisa Bumbu Bakar Lv4 Karena Over Stock</t>
  </si>
  <si>
    <t>CABE RAWIT - RESTO Sisa Bumbu Bakar Lv4 Karena Handling</t>
  </si>
  <si>
    <t>CABE RAWIT - RESTO Sisa Bumbu Bakar Lv4 Karena Kualitas Eksternal</t>
  </si>
  <si>
    <t>CABE RAWIT - RESTO Sisa Bumbu Bakar Lv4 Karena Alat/ Mesin</t>
  </si>
  <si>
    <t>CABE RAWIT - RESTO Sisa Bumbu Bakar Lv8 Karena Over Stock</t>
  </si>
  <si>
    <t>CABE RAWIT - RESTO Sisa Bumbu Bakar Lv8 Karena Handling</t>
  </si>
  <si>
    <t>CABE RAWIT - RESTO Sisa Bumbu Bakar Lv8 Karena Kualitas Eksternal</t>
  </si>
  <si>
    <t>CABE RAWIT - RESTO Sisa Bumbu Bakar Lv8 Karena Alat/ Mesin</t>
  </si>
  <si>
    <t>Hide</t>
  </si>
  <si>
    <t>AYAM KECAP</t>
  </si>
  <si>
    <t>BASIC POWDER</t>
  </si>
  <si>
    <t>SOY</t>
  </si>
  <si>
    <t>MINYAK MIE SHALLOT OIL</t>
  </si>
  <si>
    <t>MIE KERING</t>
  </si>
  <si>
    <t>CUP SUNDAE - BAKSO</t>
  </si>
  <si>
    <t>SUNDAE LID - BAKSO</t>
  </si>
  <si>
    <t>PAPERBOWL POLOS (NON PRINTING) + LID</t>
  </si>
  <si>
    <t>CUP 16 - BAKSO</t>
  </si>
  <si>
    <t>CUP SEALER - BAKSO</t>
  </si>
  <si>
    <t>stok minyak mie karton utuh (karton)</t>
  </si>
  <si>
    <t xml:space="preserve">stok minyak mie pack utuh (pack) </t>
  </si>
  <si>
    <t>sisa stok minyak mie  (gr)</t>
  </si>
  <si>
    <t>Cabe Giling ada kuah bakso</t>
  </si>
  <si>
    <t>sisa lemon tea pack tidak utuh (pack)-AW</t>
  </si>
  <si>
    <t>AYAM KECAP Karena Over Stock</t>
  </si>
  <si>
    <t>AYAM KECAP Karena Handling</t>
  </si>
  <si>
    <t>AYAM KECAP Karena Kualitas Internal</t>
  </si>
  <si>
    <t>AYAM KECAP Karena Alat/ Mesin</t>
  </si>
  <si>
    <t>BASIC POWDER Karena Over Stock</t>
  </si>
  <si>
    <t>BASIC POWDER Karena Handling</t>
  </si>
  <si>
    <t>BASIC POWDER Karena Kualitas Internal</t>
  </si>
  <si>
    <t>BASIC POWDER Karena Alat/ Mesin</t>
  </si>
  <si>
    <t>SOY Karena Over Stock</t>
  </si>
  <si>
    <t>SOY Karena Handling</t>
  </si>
  <si>
    <t>SOY Karena Kualitas Internal</t>
  </si>
  <si>
    <t>SOY Karena Alat/ Mesin</t>
  </si>
  <si>
    <t>MINYAK MIE SHALLOT OIL Karena Over Stock</t>
  </si>
  <si>
    <t>MINYAK MIE SHALLOT OIL Karena Handling</t>
  </si>
  <si>
    <t>MINYAK MIE SHALLOT OIL Karena Kualitas Internal</t>
  </si>
  <si>
    <t>MINYAK MIE SHALLOT OIL Karena Alat/ Mesin</t>
  </si>
  <si>
    <t>FRUCTOSE SYRUP Karena Over Stock</t>
  </si>
  <si>
    <t>FRUCTOSE SYRUP Karena Handling</t>
  </si>
  <si>
    <t>FRUCTOSE SYRUP Karena Alat/ Mesin</t>
  </si>
  <si>
    <t>CUP SUNDAE - BAKSO Karena Over Stock</t>
  </si>
  <si>
    <t>CUP SUNDAE - BAKSO Karena Handling</t>
  </si>
  <si>
    <t>CUP SUNDAE - BAKSO Karena Kualitas Internal</t>
  </si>
  <si>
    <t>CUP SUNDAE - BAKSO Karena Alat/ Mesin</t>
  </si>
  <si>
    <t>SUNDAE LID - BAKSO Karena Over Stock</t>
  </si>
  <si>
    <t>SUNDAE LID - BAKSO Karena Handling</t>
  </si>
  <si>
    <t>SUNDAE LID - BAKSO Karena Kualitas Internal</t>
  </si>
  <si>
    <t>SUNDAE LID - BAKSO Karena Alat/ Mesin</t>
  </si>
  <si>
    <t>CUP 16 - BAKSO Karena Over Stock</t>
  </si>
  <si>
    <t>CUP 16 - BAKSO Karena Handling</t>
  </si>
  <si>
    <t>CUP 16 - BAKSO Karena Kualitas Internal</t>
  </si>
  <si>
    <t>CUP 16 - BAKSO Karena Alat/ Mesin</t>
  </si>
  <si>
    <t>CUP SEALER - BAKSO Karena Over Stock</t>
  </si>
  <si>
    <t>CUP SEALER - BAKSO Karena Handling</t>
  </si>
  <si>
    <t>CUP SEALER - BAKSO Karena Kualitas Internal</t>
  </si>
  <si>
    <t>CUP SEALER - BAKSO Karena Alat/ Mesin</t>
  </si>
  <si>
    <t>MIE KERING Karena Over Stock</t>
  </si>
  <si>
    <t>MIE KERING Karena Handling</t>
  </si>
  <si>
    <t>MIE KERING Karena Alat/ Mesin</t>
  </si>
  <si>
    <t>Daun Bawang Fresh (gr)</t>
  </si>
  <si>
    <t>gula (Jurigen)</t>
  </si>
  <si>
    <t>slop</t>
  </si>
  <si>
    <t>Paper Box - Bakso (pcs)</t>
  </si>
  <si>
    <t>Paper Box - Bakso (slop)</t>
  </si>
  <si>
    <t>Paper Box - Bakso (karton)</t>
  </si>
  <si>
    <t>Paper Bowl (karton)</t>
  </si>
  <si>
    <t>Paper Bowl (slop)</t>
  </si>
  <si>
    <t>Paper Bowl (pcs)</t>
  </si>
  <si>
    <t>Saos Tomat (gr)</t>
  </si>
  <si>
    <t>Saos Tomat (karton)</t>
  </si>
  <si>
    <t>Sohun (pack)</t>
  </si>
  <si>
    <t>Sohun (gr)</t>
  </si>
  <si>
    <t>Sisa Sohun Matang (gr)</t>
  </si>
  <si>
    <t>Spork (pack)</t>
  </si>
  <si>
    <t>Spork (pcs)</t>
  </si>
  <si>
    <t>Sumpit - Bakso (ball)</t>
  </si>
  <si>
    <t>Sumpit - Bakso (pcs)</t>
  </si>
  <si>
    <t>KECAP BAKSO</t>
  </si>
  <si>
    <t>PAPER BOX-BAKSO (DIMSUM)</t>
  </si>
  <si>
    <t>Ayam Kecap (karton)</t>
  </si>
  <si>
    <t>Ayam Kecap (pack)</t>
  </si>
  <si>
    <t>Ayam Kecap (gr)</t>
  </si>
  <si>
    <t>Basic Powder (pack)</t>
  </si>
  <si>
    <t>Basic Powder (gr)</t>
  </si>
  <si>
    <t>Soy (karton)</t>
  </si>
  <si>
    <t>Soy (pack)</t>
  </si>
  <si>
    <t>Soy (gr)</t>
  </si>
  <si>
    <t>Fructose Syrup (gr)</t>
  </si>
  <si>
    <t>Cup Sundae - Bakso (karton)</t>
  </si>
  <si>
    <t>Cup Sundae - Bakso (pack)</t>
  </si>
  <si>
    <t>Cup Sundae - Bakso (pcs)</t>
  </si>
  <si>
    <t>Sundae Lid - Bakso (karton)</t>
  </si>
  <si>
    <t>Sundae Lid - Bakso (pack)</t>
  </si>
  <si>
    <t>Sundae Lid - Bakso (pcs)</t>
  </si>
  <si>
    <t>Cup 16 - Bakso (karton)</t>
  </si>
  <si>
    <t>Cup 16 - Bakso (pack)</t>
  </si>
  <si>
    <t>Cup 16 - Bakso (pcs)</t>
  </si>
  <si>
    <t>Cup Sealer - Bakso (karton)</t>
  </si>
  <si>
    <t>Cup Sealer - Bakso (pack)</t>
  </si>
  <si>
    <t>Cup Sealer - Bakso (pcs)</t>
  </si>
  <si>
    <t>Mie Kering (karton)</t>
  </si>
  <si>
    <t>Mie Kering (pack)</t>
  </si>
  <si>
    <t>Mie Kering (pcs)</t>
  </si>
  <si>
    <t>Kecap Bakso (karton)</t>
  </si>
  <si>
    <t>Kecap Bakso (gr)</t>
  </si>
  <si>
    <t>Paper Box-Bakso (Dimsum) (karton)</t>
  </si>
  <si>
    <t>Paper Box-Bakso (Dimsum) (pack)</t>
  </si>
  <si>
    <t>Paper Box-Bakso (Dimsum) (pcs)</t>
  </si>
  <si>
    <t>Paperbowl Polos (Non Printing) + Lid (Pcs)</t>
  </si>
  <si>
    <t>100386</t>
  </si>
  <si>
    <t>100406</t>
  </si>
  <si>
    <t>100407</t>
  </si>
  <si>
    <t>100370</t>
  </si>
  <si>
    <t>100371</t>
  </si>
  <si>
    <t>100356</t>
  </si>
  <si>
    <t>100372</t>
  </si>
  <si>
    <t>100405</t>
  </si>
  <si>
    <t>100418</t>
  </si>
  <si>
    <t>Fructose Syrup (jurigen)</t>
  </si>
  <si>
    <t>jurigen</t>
  </si>
  <si>
    <t>ml</t>
  </si>
  <si>
    <t>Bakso Halus (Pcs)</t>
  </si>
  <si>
    <t>Bakso Urat (pcs)</t>
  </si>
  <si>
    <t>Bakso Halus (karton)</t>
  </si>
  <si>
    <t>Bakso Urat (karton)</t>
  </si>
  <si>
    <t>Bawang Merah Goreng (karton)</t>
  </si>
  <si>
    <t>Bawang Putih Goreng (karton)</t>
  </si>
  <si>
    <t>Kertas Bakpao 10.5 Cm.-karton</t>
  </si>
  <si>
    <t>Oreo Crumb (karton)</t>
  </si>
  <si>
    <t>Paperbowl Lid (karton)</t>
  </si>
  <si>
    <t>Sendok Teh Sundae (V.030) (karton)</t>
  </si>
  <si>
    <t>Spork (karton)</t>
  </si>
  <si>
    <t>Strawberry Sauce (karton)</t>
  </si>
  <si>
    <t>stok udang keju frozen pack utuh (karton)</t>
  </si>
  <si>
    <t>Vanilla Soft Mix Ice Mix (karton)</t>
  </si>
  <si>
    <t>Bakso Halus (pack)</t>
  </si>
  <si>
    <t>Bakso Urat (pack)</t>
  </si>
  <si>
    <t>Bawang Putih Goreng (pack)</t>
  </si>
  <si>
    <t>Garam (pack)</t>
  </si>
  <si>
    <t>Hand Glove Karet (pack)</t>
  </si>
  <si>
    <t>Handglove (Plastik) pack</t>
  </si>
  <si>
    <t>Karet (pack )</t>
  </si>
  <si>
    <t>Kertas Bakpao 10.5 Cm.-pack</t>
  </si>
  <si>
    <t>Kertas Minyak (V.20) (pack)</t>
  </si>
  <si>
    <t>Kresek Besar (pack)</t>
  </si>
  <si>
    <t>Kresek Jumbo (pack)</t>
  </si>
  <si>
    <t>Kresek Kecil (pack)</t>
  </si>
  <si>
    <t>Kresek Sedang (pack)</t>
  </si>
  <si>
    <t>Oreo Crumb (pack)</t>
  </si>
  <si>
    <t>Peanut Topping utuh (pack)</t>
  </si>
  <si>
    <t>Plastik 1 Kg (pack )</t>
  </si>
  <si>
    <t>Plastik 1/2 Kg (pack )</t>
  </si>
  <si>
    <t>Plastik Wrap (pack)</t>
  </si>
  <si>
    <t>Poly Bag Sampah - Resto (pack )</t>
  </si>
  <si>
    <t>Sedotan Hitam.-pack</t>
  </si>
  <si>
    <t>Sendok Teh Sundae (V.030) (pack)</t>
  </si>
  <si>
    <t>Strawberry Sauce (pack)</t>
  </si>
  <si>
    <t>Vanilla Soft Mix Ice Mix (pack)</t>
  </si>
  <si>
    <t>Basreng (pack)</t>
  </si>
  <si>
    <t>Basreng (karton)</t>
  </si>
  <si>
    <t>Bawang Merah Goreng (pack)</t>
  </si>
  <si>
    <t>Bawang Merah Goreng (gr)</t>
  </si>
  <si>
    <t>Bawang Putih Goreng (gr)</t>
  </si>
  <si>
    <t>Beras Putih (gr)</t>
  </si>
  <si>
    <t>Arang Bakaran (gr)</t>
  </si>
  <si>
    <t>Kuah Bakso (gr)</t>
  </si>
  <si>
    <t>Sisa Bumbu Bakso Bakar (gr)</t>
  </si>
  <si>
    <t>Sisa Bumbu Bakso Bakar Cabe Lv 2 (gr)</t>
  </si>
  <si>
    <t>Sisa Bumbu Bakso Bakar Cabe Lv 4 (gr)</t>
  </si>
  <si>
    <t>Sisa Bumbu Bakso Bakar Cabe Lv 6 (gr)</t>
  </si>
  <si>
    <t>Sisa Cabe di Bumbu Bakar Lv 2 (gr)</t>
  </si>
  <si>
    <t>Sisa Cabe di Bumbu Bakar Lv 4 (gr)</t>
  </si>
  <si>
    <t>Sisa Cabe di Bumbu Bakar Lv 6 (gr)</t>
  </si>
  <si>
    <t>Garam (gr)</t>
  </si>
  <si>
    <t>Oreo Crumb (gr)</t>
  </si>
  <si>
    <t>Sedotan Hitam.-gr</t>
  </si>
  <si>
    <t>Strawberry Sauce (gr)</t>
  </si>
  <si>
    <t>Biang Kering Kuah (karton)</t>
  </si>
  <si>
    <t>Biang Kering Kuah (pack)</t>
  </si>
  <si>
    <t>Bumbu Bakso Bakar (karton)</t>
  </si>
  <si>
    <t>Bumbu Bakso Bakar (pack)</t>
  </si>
  <si>
    <t>Bumbu Bakso Bakar (gr)</t>
  </si>
  <si>
    <t>Bumbu Pasta Kuah (karton)</t>
  </si>
  <si>
    <t>Bumbu Pasta Kuah (pack)</t>
  </si>
  <si>
    <t>Cabe Giling (gr)</t>
  </si>
  <si>
    <t>Sisa Cabe Utuh (gr)</t>
  </si>
  <si>
    <t>Sisa caramel crumb (gr)</t>
  </si>
  <si>
    <t>Handglove (Plastik) karton</t>
  </si>
  <si>
    <t>Kellogg's Froot Loops pack (pack)</t>
  </si>
  <si>
    <t>Sohun (karton)</t>
  </si>
  <si>
    <t>Rice Wrap (karton)</t>
  </si>
  <si>
    <t>Rice Wrap (pack)</t>
  </si>
  <si>
    <t>Kabel Ties Resto (Pack)</t>
  </si>
  <si>
    <t>Scale Off (Pembersih Tangki Boiler),-Jurigen</t>
  </si>
  <si>
    <t>UDANG KEJU FROZEN 1 PCS</t>
  </si>
  <si>
    <t>BAKSO HALUS 1 PCS</t>
  </si>
  <si>
    <t>BAKSO URAT 1 PCS</t>
  </si>
  <si>
    <t>MIE KERING 1 PCS</t>
  </si>
  <si>
    <t>BASRENG 1 PCS</t>
  </si>
  <si>
    <t>AIR MINERAL BOTOL (V.20) Karena Kualitas Eksternal</t>
  </si>
  <si>
    <t>BERAS PUTIH Karena Kualitas Eksternal</t>
  </si>
  <si>
    <t>BERAS PUTIH dari Sisa Nasi Paper Wrap Karena Kualitas Eksternal</t>
  </si>
  <si>
    <t>BERAS PUTIH dari Sisa Nasi Tray Karena Kualitas Eksternal</t>
  </si>
  <si>
    <t>MIE KERING Karena Kualitas Eksternal</t>
  </si>
  <si>
    <t>SOHUN Karena Kualitas Eksternal</t>
  </si>
  <si>
    <t>BIANG TEH (TEH NAGA DAN TEH GOPEK)</t>
  </si>
  <si>
    <t>Kualitas</t>
  </si>
  <si>
    <t>MENU MIX</t>
  </si>
  <si>
    <t>Arang Bakaran (karton)</t>
  </si>
  <si>
    <t>Biang Kering Kuah (gr)</t>
  </si>
  <si>
    <t>Kertas Thermal (karton)</t>
  </si>
  <si>
    <t>Klip Pe 4 X 6 (pack)</t>
  </si>
  <si>
    <t>Paperbowl Lid (pack)</t>
  </si>
  <si>
    <t>Paperbowl Lid (pcs)</t>
  </si>
  <si>
    <t>Sohun (kg)</t>
  </si>
  <si>
    <t>sisa air mineral botol (botol)</t>
  </si>
  <si>
    <t>Bumbu Pasta Kuah (gr)</t>
  </si>
  <si>
    <t>Thai Chili Sauce (pack)</t>
  </si>
  <si>
    <t>Saos Tomat (pack)</t>
  </si>
  <si>
    <t>Paper Tray - Bakso (karton)</t>
  </si>
  <si>
    <t>CUP SEALER BESAR Karena Over Stock</t>
  </si>
  <si>
    <t>CUP SEALER BESAR Karena Handling</t>
  </si>
  <si>
    <t>CUP SEALER BESAR Karena Kualitas Internal</t>
  </si>
  <si>
    <t>CUP SEALER BESAR Karena Alat/ Mesin</t>
  </si>
  <si>
    <t>KLIP PE 4 X 6 Karena Over Stock</t>
  </si>
  <si>
    <t>KLIP PE 4 X 6 Karena Handling</t>
  </si>
  <si>
    <t>KLIP PE 4 X 6 Karena Kualitas Internal</t>
  </si>
  <si>
    <t>KLIP PE 4 X 6 Karena Alat/ Mesin</t>
  </si>
  <si>
    <t>PLASTIK HDPE 15 X 30 Karena Over Stock</t>
  </si>
  <si>
    <t>PLASTIK HDPE 15 X 30 Karena Handling</t>
  </si>
  <si>
    <t>PLASTIK HDPE 15 X 30 Karena Kualitas Internal</t>
  </si>
  <si>
    <t>PLASTIK HDPE 15 X 30 Karena Alat/ Mesin</t>
  </si>
  <si>
    <t>KECAP BAKSO Karena Over Stock</t>
  </si>
  <si>
    <t>KECAP BAKSO Karena Handling</t>
  </si>
  <si>
    <t>KECAP BAKSO Karena Kualitas Internal</t>
  </si>
  <si>
    <t>KECAP BAKSO Karena Alat/ Mesin</t>
  </si>
  <si>
    <t>COOKIES &amp; CREAM SUNDAE - RESTO BAKSO</t>
  </si>
  <si>
    <t>HAZELNUT CHOCO SUNDAE - RESTO BAKSO</t>
  </si>
  <si>
    <t>STRAWBERRY FRANZZI SUNDAE - RESTO BAKSO</t>
  </si>
  <si>
    <t>CARAMEL POPCORN SUNDAE - RESTO BAKSO</t>
  </si>
  <si>
    <t>TEA ICE - TAKE AWAY - RESTO BAKSO</t>
  </si>
  <si>
    <t>TEA ICE - DINE IN - RESTO BAKSO</t>
  </si>
  <si>
    <t>ORANGE ICE - TAKE AWAY - RESTO BAKSO</t>
  </si>
  <si>
    <t>ORANGE ICE - DINE IN - RESTO BAKSO</t>
  </si>
  <si>
    <t>LEMON TEA ICE - TAKE AWAY - RESTO BAKSO</t>
  </si>
  <si>
    <t>LEMON TEA ICE - DINE IN - RESTO BAKSO</t>
  </si>
  <si>
    <t>VANILLA SUNDAE - RESTO BAKSO</t>
  </si>
  <si>
    <t>BIANG FRUCTOSE SYRUP TEA NAGA PAKAI FRUCTOSE SYRUP  Karena Handling</t>
  </si>
  <si>
    <t>BIANG FRUCTOSE SYRUP TEA NAGA PAKAI FRUCTOSE SYRUP  Karena Kualitas Internal</t>
  </si>
  <si>
    <t>BIANG FRUCTOSE SYRUP TEA NAGA PAKAI FRUCTOSE SYRUP  Karena Alat/ Mesin</t>
  </si>
  <si>
    <t>BIANG FRUCTOSE SYRUP TEA NAGA PAKAI FRUCTOSE SYRUP Karena Over Stock</t>
  </si>
  <si>
    <t>BIANG FRUCTOSE SYRUP Karena Over Stock</t>
  </si>
  <si>
    <t>BIANG FRUCTOSE SYRUP Karena Handling</t>
  </si>
  <si>
    <t>BIANG FRUCTOSE SYRUP Karena Kualitas Internal</t>
  </si>
  <si>
    <t>BIANG FRUCTOSE SYRUP Karena Alat/ Mesin</t>
  </si>
  <si>
    <t>FRUCTOSE SYRUP Karena Kualitas Eksternal</t>
  </si>
  <si>
    <t>sisa Fructose Syrup biang teh (gr)</t>
  </si>
  <si>
    <t>sisa dipping finna sachet (karton)</t>
  </si>
  <si>
    <t>sisa dipping finna sachet (pcs)</t>
  </si>
  <si>
    <t>100228</t>
  </si>
  <si>
    <t>DIPPING FINNA SACHET (V.20)</t>
  </si>
  <si>
    <t>SUMPIT.-karung</t>
  </si>
  <si>
    <t>SUMPIT.-pack</t>
  </si>
  <si>
    <t>SUMPIT.-pcs</t>
  </si>
  <si>
    <t>100266</t>
  </si>
  <si>
    <t>SUMPIT (V.30)</t>
  </si>
  <si>
    <t>CUP 16.-karton</t>
  </si>
  <si>
    <t>CUP 16.-slop</t>
  </si>
  <si>
    <t>CUP 16.-pcs</t>
  </si>
  <si>
    <t>100226</t>
  </si>
  <si>
    <t>kecap sawi POUCH utuh (karton)</t>
  </si>
  <si>
    <t>kecap sawi POUCH pack utuh (pack)</t>
  </si>
  <si>
    <t>kecap sawi POUCH pack tidak utuh/sisa station (gr)</t>
  </si>
  <si>
    <t>100234</t>
  </si>
  <si>
    <t>KECAP SAWI POUCH (V.20)</t>
  </si>
  <si>
    <t>Sundae Lid utuh (karton)</t>
  </si>
  <si>
    <t>Sundae Lid utuh (pack)</t>
  </si>
  <si>
    <t>Pack</t>
  </si>
  <si>
    <t>Sundae Lid (pcs)</t>
  </si>
  <si>
    <t>STEROFOAM DIMSUM.-ball</t>
  </si>
  <si>
    <t>STEROFOAM DIMSUM.-slop</t>
  </si>
  <si>
    <t>STEROFOAM DIMSUM.-pcs</t>
  </si>
  <si>
    <t>100264</t>
  </si>
  <si>
    <t>STEROFOAM DIMSUM (V.20)</t>
  </si>
  <si>
    <t>MANGO KELLOGGS SUNDAE - RESTO BAKSO</t>
  </si>
  <si>
    <t>N/A</t>
  </si>
  <si>
    <t>BUMBU PASTA KUAH (V.20)</t>
  </si>
  <si>
    <t>BAWANG PUTIH GORENG (V.20)</t>
  </si>
  <si>
    <t>BUMBU BAKSO BAKAR (V.20)</t>
  </si>
  <si>
    <t>100430</t>
  </si>
  <si>
    <t>100431</t>
  </si>
  <si>
    <t>100429</t>
  </si>
  <si>
    <t>Kecap Bakso (jurigen)</t>
  </si>
  <si>
    <t xml:space="preserve"> </t>
  </si>
  <si>
    <t>Cancel Nota</t>
  </si>
  <si>
    <t>CUP 16 - BAKSO Karena Cancel Nota</t>
  </si>
  <si>
    <t>CUP SUNDAE - BAKSO Karena Cancel Nota</t>
  </si>
  <si>
    <t>KLIP PE 4 X 6 Karena Cancel Nota</t>
  </si>
  <si>
    <t>PAPER BOWL Karena Cancel Nota</t>
  </si>
  <si>
    <t>PAPER BOX - BAKSO Karena Cancel Nota</t>
  </si>
  <si>
    <t>PAPER TRAY - BAKSO Karena Cancel Nota</t>
  </si>
  <si>
    <t>PAPERBOWL LID Karena Cancel Nota</t>
  </si>
  <si>
    <t>SENDOK TEH SUNDAE (V.030) Karena Cancel Nota</t>
  </si>
  <si>
    <t>SPORK Karena Cancel Nota</t>
  </si>
  <si>
    <t>SUNDAE LID - BAKSO Karena Cancel Nota</t>
  </si>
  <si>
    <t>BAKSO HALUS Karena Cancel Nota</t>
  </si>
  <si>
    <t>BAKSO URAT Karena Cancel Nota</t>
  </si>
  <si>
    <t>BAWANG MERAH GORENG Karena Cancel Nota</t>
  </si>
  <si>
    <t>BAWANG PUTIH GORENG (V.20) Karena Cancel Nota</t>
  </si>
  <si>
    <t>BIANG KERING KUAH Karena Cancel Nota</t>
  </si>
  <si>
    <t>BUMBU BAKSO BAKAR (V.20) Karena Cancel Nota</t>
  </si>
  <si>
    <t>BUMBU PASTA KUAH (V.20) Karena Cancel Nota</t>
  </si>
  <si>
    <t>CABE RAWIT - RESTO (V.20) Karena Cancel Nota</t>
  </si>
  <si>
    <t>CARAMEL CRUMB Karena Cancel Nota</t>
  </si>
  <si>
    <t>CARAMEL SAUCE Karena Cancel Nota</t>
  </si>
  <si>
    <t>DAUN BAWANG FRESH Karena Cancel Nota</t>
  </si>
  <si>
    <t>HAZELNUT CHOCO SAUCE Karena Cancel Nota</t>
  </si>
  <si>
    <t>KECAP BAKSO Karena Cancel Nota</t>
  </si>
  <si>
    <t>KELLOGG’S FROOT LOOPS Karena Cancel Nota</t>
  </si>
  <si>
    <t>MANGO SAUCE Karena Cancel Nota</t>
  </si>
  <si>
    <t>ORANGE - NESTLE (V.20) Karena Cancel Nota</t>
  </si>
  <si>
    <t>OREO CRUMB (V.20) Karena Cancel Nota</t>
  </si>
  <si>
    <t>PEANUT TOPPING Karena Cancel Nota</t>
  </si>
  <si>
    <t>RED VELVET STRAWBERRY FRANZZI Karena Cancel Nota</t>
  </si>
  <si>
    <t>SAOS TOMAT Karena Cancel Nota</t>
  </si>
  <si>
    <t>SOHUN Karena Cancel Nota</t>
  </si>
  <si>
    <t>STRAWBERRY SAUCE (V.20) Karena Cancel Nota</t>
  </si>
  <si>
    <t>TEA GOPEK (V.20) Karena Cancel Nota</t>
  </si>
  <si>
    <t>TEA NAGA (V.20) Karena Cancel Nota</t>
  </si>
  <si>
    <t>TEH RASA LEMON - NESTLE Karena Cancel Nota</t>
  </si>
  <si>
    <t>VANILLA SOFT MIX ICE MIX (V.20) Karena Cancel Nota</t>
  </si>
  <si>
    <t>BAWANG PUTIH GORENG (V.20) Karena Handling</t>
  </si>
  <si>
    <t>BUMBU BAKSO BAKAR (V.20) Karena Handling</t>
  </si>
  <si>
    <t>BUMBU PASTA KUAH (V.20) Karena Handling</t>
  </si>
  <si>
    <t>CABE RAWIT - RESTO (V.20) Karena Handling</t>
  </si>
  <si>
    <t>ORANGE - NESTLE (V.20) Karena Handling</t>
  </si>
  <si>
    <t>OREO CRUMB (V.20) Karena Handling</t>
  </si>
  <si>
    <t>STRAWBERRY SAUCE (V.20) Karena Handling</t>
  </si>
  <si>
    <t>TEA GOPEK (V.20) Karena Handling</t>
  </si>
  <si>
    <t>TEA NAGA (V.20) Karena Handling</t>
  </si>
  <si>
    <t>TEH RASA LEMON - NESTLE Karena Handling</t>
  </si>
  <si>
    <t>VANILLA SOFT MIX ICE MIX (V.20) Karena Handling</t>
  </si>
  <si>
    <t>Mika/Cup Dipping (V.20) (Karton)</t>
  </si>
  <si>
    <t>Paper Tray - Bakso (slop)</t>
  </si>
  <si>
    <t>BUMBU BAKSO BAKAR Dari Bakso Bakar Lv 2  Karena Over Stock</t>
  </si>
  <si>
    <t>BUMBU BAKSO BAKAR Dari Bakso Bakar Lv 2 Karena Handling</t>
  </si>
  <si>
    <t>BUMBU BAKSO BAKAR Dari Bakso Bakar Lv 2 Karena Kualitas Internal</t>
  </si>
  <si>
    <t>BUMBU BAKSO BAKAR Dari Bakso Bakar Lv 2 Karena Alat/ Mesin</t>
  </si>
  <si>
    <t>BUMBU BAKSO BAKAR Dari Bakso Bakar Lv 0  Karena Over Stock</t>
  </si>
  <si>
    <t>BUMBU BAKSO BAKAR Dari Bakso Bakar Lv 0 Karena Handling</t>
  </si>
  <si>
    <t>BUMBU BAKSO BAKAR Dari Bakso Bakar Lv 0 Karena Kualitas Internal</t>
  </si>
  <si>
    <t>BUMBU BAKSO BAKAR Dari Bakso Bakar Lv 0 Karena Alat/ Mesin</t>
  </si>
  <si>
    <t>BAKSO HALUS Lv 0 (Ada Bumbu Bakar) Karena Over Stock</t>
  </si>
  <si>
    <t>BAKSO HALUS Lv 0 (Ada Bumbu Bakar) Karena Handling</t>
  </si>
  <si>
    <t>BAKSO HALUS Lv 0 (Ada Bumbu Bakar) Karena Kualitas Internal</t>
  </si>
  <si>
    <t>BAKSO HALUS Lv 0 (Ada Bumbu Bakar) Karena Alat/ Mesin</t>
  </si>
  <si>
    <t>BAKSO HALUS Lv 2 (Ada Bumbu Bakar) Karena Over Stock</t>
  </si>
  <si>
    <t>BAKSO HALUS Lv 2 (Ada Bumbu Bakar) Karena Handling</t>
  </si>
  <si>
    <t>BAKSO HALUS Lv 2 (Ada Bumbu Bakar) Karena Kualitas Internal</t>
  </si>
  <si>
    <t>BAKSO HALUS Lv 2 (Ada Bumbu Bakar) Karena Alat/ Mesin</t>
  </si>
  <si>
    <t>CABE RAWIT - RESTO Dari Bakso Bakar Lv 2 Karena Over Stock</t>
  </si>
  <si>
    <t>CABE RAWIT - RESTO Dari Bakso Bakar Lv 2 Karena Handling</t>
  </si>
  <si>
    <t>CABE RAWIT - RESTO Dari Bakso Bakar Lv 2 Karena Kualitas Eksternal</t>
  </si>
  <si>
    <t>CABE RAWIT - RESTO Dari Bakso Bakar Lv 2 Karena Alat/ Mesin</t>
  </si>
  <si>
    <t>BUMBU BAKSO BAKAR Dari Bakso Bakar Lv 4  Karena Over Stock</t>
  </si>
  <si>
    <t>BAKSO HALUS Lv 4 (Ada Bumbu Bakar) Karena Over Stock</t>
  </si>
  <si>
    <t>BUMBU BAKSO BAKAR Dari Bakso Bakar Lv 4 Karena Handling</t>
  </si>
  <si>
    <t>BAKSO HALUS Lv 4 (Ada Bumbu Bakar) Karena Handling</t>
  </si>
  <si>
    <t>BUMBU BAKSO BAKAR Dari Bakso Bakar Lv 4 Karena Kualitas Internal</t>
  </si>
  <si>
    <t>BAKSO HALUS Lv 4 (Ada Bumbu Bakar) Karena Kualitas Internal</t>
  </si>
  <si>
    <t>BUMBU BAKSO BAKAR Dari Bakso Bakar Lv 4 Karena Alat/ Mesin</t>
  </si>
  <si>
    <t>BAKSO HALUS Lv 4 (Ada Bumbu Bakar) Karena Alat/ Mesin</t>
  </si>
  <si>
    <t>CABE RAWIT - RESTO Dari Bakso Bakar Lv 4 Karena Over Stock</t>
  </si>
  <si>
    <t>CABE RAWIT - RESTO Dari Bakso Bakar Lv 4 Karena Handling</t>
  </si>
  <si>
    <t>CABE RAWIT - RESTO Dari Bakso Bakar Lv 4 Karena Kualitas Eksternal</t>
  </si>
  <si>
    <t>CABE RAWIT - RESTO Dari Bakso Bakar Lv 4 Karena Alat/ Mesin</t>
  </si>
  <si>
    <t>BUMBU BAKSO BAKAR Dari Bakso Bakar Lv 6  Karena Over Stock</t>
  </si>
  <si>
    <t>BAKSO HALUS Lv 6 (Ada Bumbu Bakar) Karena Over Stock</t>
  </si>
  <si>
    <t>BUMBU BAKSO BAKAR Dari Bakso Bakar Lv 6 Karena Handling</t>
  </si>
  <si>
    <t>BAKSO HALUS Lv 6 (Ada Bumbu Bakar) Karena Handling</t>
  </si>
  <si>
    <t>BUMBU BAKSO BAKAR Dari Bakso Bakar Lv 6 Karena Kualitas Internal</t>
  </si>
  <si>
    <t>BAKSO HALUS Lv 6 (Ada Bumbu Bakar) Karena Kualitas Internal</t>
  </si>
  <si>
    <t>BUMBU BAKSO BAKAR Dari Bakso Bakar Lv 6 Karena Alat/ Mesin</t>
  </si>
  <si>
    <t>BAKSO HALUS Lv 6 (Ada Bumbu Bakar) Karena Alat/ Mesin</t>
  </si>
  <si>
    <t>CABE RAWIT - RESTO Dari Bakso Bakar Lv 6 Karena Over Stock</t>
  </si>
  <si>
    <t>CABE RAWIT - RESTO Dari Bakso Bakar Lv 6 Karena Handling</t>
  </si>
  <si>
    <t>CABE RAWIT - RESTO Dari Bakso Bakar Lv 6 Karena Kualitas Eksternal</t>
  </si>
  <si>
    <t>CABE RAWIT - RESTO Dari Bakso Bakar Lv 6 Karena Alat/ Mesin</t>
  </si>
  <si>
    <t>SENDOK PLASTIK.-pack</t>
  </si>
  <si>
    <t>SENDOK PLASTIK.-pcs</t>
  </si>
  <si>
    <t>100254</t>
  </si>
  <si>
    <t>SENDOK PLASTIK (V.20)</t>
  </si>
  <si>
    <t>Cabe Giling dari Kuah Bakso (gr)</t>
  </si>
  <si>
    <t>Kuah Bakso dari sambal bakso (gr)</t>
  </si>
  <si>
    <t>Bumbu Pasta Kuah dari Sambel Bakso (gr)</t>
  </si>
  <si>
    <t>Biang Kering Kuah dari Sambel Bakso (gr)</t>
  </si>
  <si>
    <t>Bawang Merah Goreng dari Sambel Bakso (gr)</t>
  </si>
  <si>
    <t>Bawang Putih Goreng dari Sambel Bakso (gr)</t>
  </si>
  <si>
    <t>FRUCTOSE SYRUP (V.20)</t>
  </si>
  <si>
    <t>100432</t>
  </si>
  <si>
    <t>FRUCTOSE SYRUP (V.20) Karena Cancel Nota</t>
  </si>
  <si>
    <t>FRUCTOSE SYRUP (V.20) Karena Handling</t>
  </si>
  <si>
    <t>BEBAN GAS - RESTO</t>
  </si>
  <si>
    <t>Bawang Merah Goreng dari Kuah Bakso (gr)</t>
  </si>
  <si>
    <t>Bawang Putih Goreng dari Kuah Bakso (gr)</t>
  </si>
  <si>
    <t>Biang Kering Kuah dari Kuah Bakso (gr)</t>
  </si>
  <si>
    <t>Bumbu Pasta Kuah dari Kuah Bakso (gr)</t>
  </si>
  <si>
    <t>Plastik Hdpe 15 X 30 (Pack)</t>
  </si>
  <si>
    <t>ADONAN GORENG MEKAR</t>
  </si>
  <si>
    <t>Adonan Goreng Mekar (gr)</t>
  </si>
  <si>
    <t>TAHU BAKSO</t>
  </si>
  <si>
    <t>Tahu Bakso (karton)</t>
  </si>
  <si>
    <t>Tahu Bakso (pack)</t>
  </si>
  <si>
    <t>Tahu Bakso (pcs)</t>
  </si>
  <si>
    <t>100434</t>
  </si>
  <si>
    <t>100433</t>
  </si>
  <si>
    <t>ADONAN GORENG MEKAR Karena Over Stock</t>
  </si>
  <si>
    <t>ADONAN GORENG MEKAR Karena Handling</t>
  </si>
  <si>
    <t>ADONAN GORENG MEKAR Karena Alat/ Mesin</t>
  </si>
  <si>
    <t>TAHU BAKSO Karena Over Stock</t>
  </si>
  <si>
    <t>TAHU BAKSO Karena Handling</t>
  </si>
  <si>
    <t>TAHU BAKSO Karena Kualitas Eksternal</t>
  </si>
  <si>
    <t>TAHU BAKSO Karena Alat/ Mesin</t>
  </si>
  <si>
    <t>GULA (V.20)</t>
  </si>
  <si>
    <t>100230</t>
  </si>
  <si>
    <t>CUP - BAKSO</t>
  </si>
  <si>
    <t>BUBBLEGUM SUNDAE - RESTO BAKSO</t>
  </si>
  <si>
    <t>BLUEBERRY CHEESECAKE SUNDAE - RESTO BAKSO</t>
  </si>
  <si>
    <t>PISTACHIO KUNAFA SUNDAE - RESTO BAKSO</t>
  </si>
  <si>
    <t>BAKSO SUPER CAMPUR - DINE IN</t>
  </si>
  <si>
    <t>BAKSO SUPER CAMPUR - TAKE AWAY</t>
  </si>
  <si>
    <t>KULIT PANGSIT GORENG MEKAR</t>
  </si>
  <si>
    <t>PLASTIK HDPE 12 X 25</t>
  </si>
  <si>
    <t>SENDOK PLASTIK PS</t>
  </si>
  <si>
    <t>GARPU PLASTIK PS</t>
  </si>
  <si>
    <t>BUBBLEGUM SAUCE</t>
  </si>
  <si>
    <t>BUBBLEGUM CRUMBLE</t>
  </si>
  <si>
    <t>BLUEBERRY SAUCE</t>
  </si>
  <si>
    <t>CHEESECAKE BISKUIT</t>
  </si>
  <si>
    <t>PISTACHIO SAUCE</t>
  </si>
  <si>
    <t>KUNAFA TOPPING</t>
  </si>
  <si>
    <t>ADONAN GORENG MEKAR Karena Cancel Nota</t>
  </si>
  <si>
    <t>TAHU BAKSO Karena Cancel Nota</t>
  </si>
  <si>
    <t>(blank)</t>
  </si>
  <si>
    <t>BUBBLEGUM SAUCE Karena Over Stock</t>
  </si>
  <si>
    <t>BUBBLEGUM SAUCE Karena Handling</t>
  </si>
  <si>
    <t>BUBBLEGUM SAUCE Karena Kualitas Internal</t>
  </si>
  <si>
    <t>BUBBLEGUM SAUCE Karena Alat/ Mesin</t>
  </si>
  <si>
    <t>BUBBLEGUM CRUMBLE Karena Over Stock</t>
  </si>
  <si>
    <t>BUBBLEGUM CRUMBLE Karena Handling</t>
  </si>
  <si>
    <t>BUBBLEGUM CRUMBLE Karena Kualitas Internal</t>
  </si>
  <si>
    <t>BUBBLEGUM CRUMBLE Karena Alat/ Mesin</t>
  </si>
  <si>
    <t>BLUEBERRY SAUCE Karena Over Stock</t>
  </si>
  <si>
    <t>BLUEBERRY SAUCE Karena Handling</t>
  </si>
  <si>
    <t>BLUEBERRY SAUCE Karena Kualitas Internal</t>
  </si>
  <si>
    <t>BLUEBERRY SAUCE Karena Alat/ Mesin</t>
  </si>
  <si>
    <t>CHEESECAKE BISKUIT Karena Over Stock</t>
  </si>
  <si>
    <t>CHEESECAKE BISKUIT Karena Handling</t>
  </si>
  <si>
    <t>CHEESECAKE BISKUIT Karena Kualitas Internal</t>
  </si>
  <si>
    <t>CHEESECAKE BISKUIT Karena Alat/ Mesin</t>
  </si>
  <si>
    <t>PISTACHIO SAUCE Karena Over Stock</t>
  </si>
  <si>
    <t>PISTACHIO SAUCE Karena Handling</t>
  </si>
  <si>
    <t>PISTACHIO SAUCE Karena Kualitas Internal</t>
  </si>
  <si>
    <t>PISTACHIO SAUCE Karena Alat/ Mesin</t>
  </si>
  <si>
    <t>KUNAFA TOPPING Karena Over Stock</t>
  </si>
  <si>
    <t>KUNAFA TOPPING Karena Handling</t>
  </si>
  <si>
    <t>KUNAFA TOPPING Karena Kualitas Internal</t>
  </si>
  <si>
    <t>KUNAFA TOPPING Karena Alat/ Mesin</t>
  </si>
  <si>
    <t>Kulit Pangsit Goreng Mekar (karton )</t>
  </si>
  <si>
    <t>Kulit Pangsit Goreng Mekar (pack)</t>
  </si>
  <si>
    <t>100439</t>
  </si>
  <si>
    <t>Bubblegum Sauce (karton)</t>
  </si>
  <si>
    <t>Bubblegum Sauce (pack)</t>
  </si>
  <si>
    <t>Bubblegum Sauce (gr)</t>
  </si>
  <si>
    <t>100421</t>
  </si>
  <si>
    <t>Bubblegum Crumble (karton)</t>
  </si>
  <si>
    <t>Bubblegum Crumble (pack)</t>
  </si>
  <si>
    <t>Bubblegum Crumble (gr)</t>
  </si>
  <si>
    <t>100422</t>
  </si>
  <si>
    <t>Blueberry Sauce (karton)</t>
  </si>
  <si>
    <t>Blueberry Sauce (pack)</t>
  </si>
  <si>
    <t>Blueberry Sauce (gr)</t>
  </si>
  <si>
    <t>100423</t>
  </si>
  <si>
    <t>Cheesecake Biskuit (karton)</t>
  </si>
  <si>
    <t>Cheesecake Biskuit (pack)</t>
  </si>
  <si>
    <t>Cheesecake Biskuit (gr)</t>
  </si>
  <si>
    <t>100424</t>
  </si>
  <si>
    <t>Pistachio Sauce (karton)</t>
  </si>
  <si>
    <t>Pistachio Sauce (pack)</t>
  </si>
  <si>
    <t>Pistachio Sauce (gr)</t>
  </si>
  <si>
    <t>100425</t>
  </si>
  <si>
    <t>100426</t>
  </si>
  <si>
    <t>KULIT PANGSIT GORENG MEKAR Karena Over Stock</t>
  </si>
  <si>
    <t>KULIT PANGSIT GORENG MEKAR Karena Handling</t>
  </si>
  <si>
    <t>KULIT PANGSIT GORENG MEKAR Karena Kualitas Internal</t>
  </si>
  <si>
    <t>KULIT PANGSIT GORENG MEKAR Karena Alat/ Mesin</t>
  </si>
  <si>
    <t>BLUEBERRY SAUCE Karena Cancel Nota</t>
  </si>
  <si>
    <t>BUBBLEGUM CRUMBLE Karena Cancel Nota</t>
  </si>
  <si>
    <t>BUBBLEGUM SAUCE Karena Cancel Nota</t>
  </si>
  <si>
    <t>CHEESECAKE BISKUIT Karena Cancel Nota</t>
  </si>
  <si>
    <t>KULIT PANGSIT GORENG MEKAR Karena Cancel Nota</t>
  </si>
  <si>
    <t>KUNAFA TOPPING Karena Cancel Nota</t>
  </si>
  <si>
    <t>PISTACHIO SAUCE Karena Cancel Nota</t>
  </si>
  <si>
    <t>100436</t>
  </si>
  <si>
    <t>100435</t>
  </si>
  <si>
    <t>Plastik Hdpe 12 X 25 (pack)</t>
  </si>
  <si>
    <t>Plastik Hdpe 12 X 25 (pcs)</t>
  </si>
  <si>
    <t>100437</t>
  </si>
  <si>
    <t>GORENG MEKAR</t>
  </si>
  <si>
    <t>Adonan Goreng Mekar dari Goreng Mekar</t>
  </si>
  <si>
    <t>Kulit Pangsit Goreng Mekar dari Goreng Mekar</t>
  </si>
  <si>
    <t>Kunafa Topping (karton)</t>
  </si>
  <si>
    <t>Kunafa Topping (pack)</t>
  </si>
  <si>
    <t>Kunafa Topping (gr)</t>
  </si>
  <si>
    <t>Sendok Plastik Ps (karton)</t>
  </si>
  <si>
    <t>Sendok Plastik Ps (pack)</t>
  </si>
  <si>
    <t>Sendok Plastik Ps (pcs)</t>
  </si>
  <si>
    <t>Garpu Plastik Ps (pack)</t>
  </si>
  <si>
    <t>Garpu Plastik Ps (pcs)</t>
  </si>
  <si>
    <t>GARPU PLASTIK PS Karena Cancel Nota</t>
  </si>
  <si>
    <t>PLASTIK HDPE 12 X 25 Karena Cancel Nota</t>
  </si>
  <si>
    <t>GARPU PLASTIK PS Karena Handling</t>
  </si>
  <si>
    <t>PLASTIK HDPE 12 X 25 Karena Handling</t>
  </si>
  <si>
    <t>Sisa Goreng Mekar (Pcs)</t>
  </si>
  <si>
    <t>Adonan Goreng Mekar (karton)</t>
  </si>
  <si>
    <t>Adonan Goreng Mekar (pack)</t>
  </si>
  <si>
    <t>GORENG MEKAR Karena Over Stock</t>
  </si>
  <si>
    <t>GORENG MEKAR Karena Handling</t>
  </si>
  <si>
    <t>GORENG MEKAR Karena Kualitas Internal</t>
  </si>
  <si>
    <t>GORENG MEKAR Karena Alat/ Mesin</t>
  </si>
  <si>
    <t>ADONAN GORENG MEKAR Karena Over Stock dari Goreng Mekar</t>
  </si>
  <si>
    <t>ADONAN GORENG MEKAR Karena Handling dari Goreng Mekar</t>
  </si>
  <si>
    <t>ADONAN GORENG MEKAR Karena Alat/ Mesin dari Goreng Mekar</t>
  </si>
  <si>
    <t>SENDOK PLASTIK PS Karena Over Stock</t>
  </si>
  <si>
    <t>SENDOK PLASTIK PS Karena Handling</t>
  </si>
  <si>
    <t>SENDOK PLASTIK PS Karena Kualitas Internal</t>
  </si>
  <si>
    <t>SENDOK PLASTIK PS Karena Alat/ Mesin</t>
  </si>
  <si>
    <t>GARPU PLASTIK PS Karena Over Stock</t>
  </si>
  <si>
    <t>GARPU PLASTIK PS Karena Kualitas Internal</t>
  </si>
  <si>
    <t>GARPU PLASTIK PS Karena Alat/ Mesin</t>
  </si>
  <si>
    <t>PLASTIK HDPE 12 X 25 Karena Over Stock</t>
  </si>
  <si>
    <t>PLASTIK HDPE 12 X 25 Karena Kualitas Internal</t>
  </si>
  <si>
    <t>PLASTIK HDPE 12 X 25 Karena Alat/ Mesin</t>
  </si>
  <si>
    <t>KULIT PANGSIT GORENG MEKAR Karena Alat/ Mesin dari Goreng mekar</t>
  </si>
  <si>
    <t>KULIT PANGSIT GORENG MEKAR Karena Handling dari Goreng mekar</t>
  </si>
  <si>
    <t>KULIT PANGSIT GORENG MEKAR Karena Kualitas Internal dari Goreng mekar</t>
  </si>
  <si>
    <t>KULIT PANGSIT GORENG MEKAR Karena Over Stock dari Goreng mekar</t>
  </si>
  <si>
    <t>ADONAN GORENG MEKAR Karena Kualitas Internal dari Goreng Mekar</t>
  </si>
  <si>
    <t>ADONAN GORENG MEKAR Karena Kualitas Internal</t>
  </si>
  <si>
    <t>Kulit Pangsit Goreng Mekar (gr)</t>
  </si>
  <si>
    <t>RICE WRAP Karena Cancel Nota</t>
  </si>
  <si>
    <t>AIR MINERAL BOTOL (V.20) Karena Cancel Nota</t>
  </si>
  <si>
    <t>BASRENG Karena Cancel Nota</t>
  </si>
  <si>
    <t>BERAS PUTIH Karena Cancel Nota</t>
  </si>
  <si>
    <t>Plastik Hdpe 12 X 25 (karton)</t>
  </si>
  <si>
    <t>Garpu Plastik Ps (karton)</t>
  </si>
  <si>
    <t>tabung</t>
  </si>
  <si>
    <t>KABEL TIES - RESTO</t>
  </si>
  <si>
    <t>GORENG MEKAR 1 PCS</t>
  </si>
  <si>
    <t>|BAKSO - DINE IN|</t>
  </si>
  <si>
    <t>|BAKSO - TAKE AWAY|</t>
  </si>
  <si>
    <t>TAHU BAKSO 1 PCS</t>
  </si>
  <si>
    <t>PAPER BOX-BAKSO (DIMSUM) Karena Cancel Nota</t>
  </si>
  <si>
    <t>TABUNG</t>
  </si>
  <si>
    <t>0.00</t>
  </si>
  <si>
    <t>64.00</t>
  </si>
  <si>
    <t>154.00</t>
  </si>
  <si>
    <t>44.00</t>
  </si>
  <si>
    <t>S</t>
  </si>
  <si>
    <t>SO_KEMARIN</t>
  </si>
  <si>
    <t>Stock Seharusnya (SO_Kemarin + Barang Masuk - Barang Keluar - BOM)</t>
  </si>
  <si>
    <t>Value</t>
  </si>
  <si>
    <t>Keterangan</t>
  </si>
  <si>
    <t>Indikasi</t>
  </si>
  <si>
    <t>SO lebih sedikit daripada perhitungan stock seharusnya</t>
  </si>
  <si>
    <t>1. Barang Keluar belum tercatat (Kiriman/retur ke resto lain/DC) | 2. Pencatatan Promix 00 kurang tepat | 3. Loss karna Waste/Susut atau Over Takaran</t>
  </si>
  <si>
    <t>Details for Sum of Value - SATUAN: GR, JENIS: 1.DEVIASI, NAMA BARANG: KECAP BAKSO, KATEGORI: COM DEVIASI - RESTO, Attribute: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</si>
</sst>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 #,##0_-;_-* &quot;-&quot;_-;_-@_-"/>
    <numFmt numFmtId="43" formatCode="_-* #,##0.00_-;\-* #,##0.00_-;_-* &quot;-&quot;??_-;_-@_-"/>
    <numFmt numFmtId="164" formatCode="_-* #,##0_-;\-* #,##0_-;_-* &quot;-&quot;??_-;_-@_-"/>
    <numFmt numFmtId="165" formatCode="_-* #,##0.0_-;\-* #,##0.0_-;_-* &quot;-&quot;??_-;_-@_-"/>
    <numFmt numFmtId="166" formatCode="0.0"/>
    <numFmt numFmtId="167" formatCode="_-* #,##0.0000_-;\-* #,##0.0000_-;_-* &quot;-&quot;??_-;_-@_-"/>
    <numFmt numFmtId="168" formatCode="_-* #,##0.00000_-;\-* #,##0.00000_-;_-* &quot;-&quot;??_-;_-@_-"/>
    <numFmt numFmtId="169" formatCode="#,##0.00_ ;[Red]\-#,##0.00\ "/>
    <numFmt numFmtId="170" formatCode="d/m/yyyy"/>
    <numFmt numFmtId="171" formatCode="_-* #,##0.00_-;\-* #,##0.00_-;_-* &quot;-&quot;_-;_-@_-"/>
    <numFmt numFmtId="172" formatCode="#,##0.0_ ;[Red]\-#,##0.0\ "/>
    <numFmt numFmtId="173" formatCode="0.000"/>
    <numFmt numFmtId="174" formatCode="dd\-mmm\-yyyy"/>
    <numFmt numFmtId="175" formatCode="dd\-mmm\-yyyy\ \(dddd\)"/>
    <numFmt numFmtId="176" formatCode="#,##0_ ;[Red]\-#,##0\ "/>
  </numFmts>
  <fonts count="54" x14ac:knownFonts="1">
    <font>
      <sz val="11"/>
      <color theme="1"/>
      <name val="Calibri"/>
      <family val="2"/>
      <scheme val="minor"/>
    </font>
    <font>
      <b/>
      <sz val="11"/>
      <color theme="1"/>
      <name val="Calibri"/>
      <family val="2"/>
    </font>
    <font>
      <sz val="8"/>
      <name val="Calibri"/>
      <family val="2"/>
      <scheme val="minor"/>
    </font>
    <font>
      <sz val="11"/>
      <color theme="1"/>
      <name val="Calibri"/>
      <family val="2"/>
      <scheme val="minor"/>
    </font>
    <font>
      <b/>
      <sz val="11"/>
      <color theme="1"/>
      <name val="Calibri"/>
      <family val="2"/>
      <scheme val="minor"/>
    </font>
    <font>
      <sz val="10"/>
      <color rgb="FF000000"/>
      <name val="Calibri"/>
      <family val="2"/>
      <scheme val="minor"/>
    </font>
    <font>
      <b/>
      <sz val="11"/>
      <color theme="0"/>
      <name val="Calibri"/>
      <family val="2"/>
      <scheme val="minor"/>
    </font>
    <font>
      <b/>
      <sz val="10"/>
      <color theme="1"/>
      <name val="Arial"/>
      <family val="2"/>
    </font>
    <font>
      <sz val="10"/>
      <name val="Arial"/>
      <family val="2"/>
    </font>
    <font>
      <b/>
      <sz val="8"/>
      <color theme="1"/>
      <name val="Arial"/>
      <family val="2"/>
    </font>
    <font>
      <b/>
      <sz val="11"/>
      <color rgb="FFFFFFFF"/>
      <name val="Calibri"/>
      <family val="2"/>
    </font>
    <font>
      <b/>
      <sz val="10"/>
      <color rgb="FFFFFFFF"/>
      <name val="Arial"/>
      <family val="2"/>
    </font>
    <font>
      <sz val="11"/>
      <color theme="1"/>
      <name val="Calibri"/>
      <family val="2"/>
    </font>
    <font>
      <b/>
      <sz val="12"/>
      <color theme="1"/>
      <name val="Arial"/>
      <family val="2"/>
    </font>
    <font>
      <sz val="11"/>
      <color theme="1"/>
      <name val="Arial"/>
      <family val="2"/>
    </font>
    <font>
      <sz val="10"/>
      <color theme="1"/>
      <name val="Arial"/>
      <family val="2"/>
    </font>
    <font>
      <b/>
      <sz val="12"/>
      <color theme="0"/>
      <name val="Calibri"/>
      <family val="2"/>
      <scheme val="minor"/>
    </font>
    <font>
      <b/>
      <sz val="10"/>
      <name val="Arial"/>
      <family val="2"/>
    </font>
    <font>
      <sz val="16"/>
      <color theme="1"/>
      <name val="Calibri"/>
      <family val="2"/>
      <scheme val="minor"/>
    </font>
    <font>
      <b/>
      <i/>
      <sz val="11"/>
      <color theme="0"/>
      <name val="Calibri"/>
      <family val="2"/>
      <scheme val="minor"/>
    </font>
    <font>
      <b/>
      <i/>
      <sz val="11"/>
      <color theme="0"/>
      <name val="Calibri"/>
      <family val="2"/>
    </font>
    <font>
      <b/>
      <sz val="11"/>
      <color theme="0"/>
      <name val="Calibri"/>
      <family val="2"/>
    </font>
    <font>
      <sz val="14"/>
      <color theme="1"/>
      <name val="Calibri"/>
      <family val="2"/>
      <scheme val="minor"/>
    </font>
    <font>
      <sz val="10"/>
      <color theme="1"/>
      <name val="Times New Roman"/>
      <family val="1"/>
    </font>
    <font>
      <sz val="10"/>
      <color rgb="FF000000"/>
      <name val="Times New Roman"/>
      <family val="1"/>
    </font>
    <font>
      <b/>
      <sz val="12"/>
      <color rgb="FFC62828"/>
      <name val="Calibri"/>
      <family val="2"/>
    </font>
    <font>
      <b/>
      <sz val="10"/>
      <color rgb="FFFFFFFF"/>
      <name val="Calibri"/>
      <family val="2"/>
    </font>
    <font>
      <b/>
      <sz val="8"/>
      <color rgb="FFFFFFFF"/>
      <name val="Calibri"/>
      <family val="2"/>
    </font>
    <font>
      <b/>
      <sz val="10"/>
      <name val="Calibri"/>
      <family val="2"/>
    </font>
    <font>
      <b/>
      <sz val="11"/>
      <color rgb="FF0D47A1"/>
      <name val="Calibri"/>
      <family val="2"/>
    </font>
    <font>
      <b/>
      <sz val="11"/>
      <color rgb="FFF57C00"/>
      <name val="Calibri"/>
      <family val="2"/>
    </font>
    <font>
      <b/>
      <sz val="11"/>
      <color rgb="FF1F3A5F"/>
      <name val="Calibri"/>
      <family val="2"/>
    </font>
    <font>
      <sz val="9"/>
      <color rgb="FF888888"/>
      <name val="Calibri"/>
      <family val="2"/>
    </font>
    <font>
      <b/>
      <sz val="14"/>
      <color rgb="FFFFFFFF"/>
      <name val="Calibri"/>
      <family val="2"/>
    </font>
    <font>
      <b/>
      <sz val="11"/>
      <name val="Calibri"/>
      <family val="2"/>
    </font>
    <font>
      <b/>
      <sz val="12"/>
      <color rgb="FF0D47A1"/>
      <name val="Calibri"/>
      <family val="2"/>
    </font>
    <font>
      <i/>
      <sz val="9"/>
      <color rgb="FF888888"/>
      <name val="Calibri"/>
      <family val="2"/>
    </font>
    <font>
      <b/>
      <sz val="12"/>
      <color rgb="FF1F3A5F"/>
      <name val="Calibri"/>
      <family val="2"/>
    </font>
    <font>
      <sz val="9"/>
      <color rgb="FF666666"/>
      <name val="Calibri"/>
      <family val="2"/>
    </font>
    <font>
      <b/>
      <sz val="16"/>
      <color rgb="FFFFFFFF"/>
      <name val="Calibri"/>
      <family val="2"/>
    </font>
    <font>
      <b/>
      <sz val="10"/>
      <color rgb="FF1F3A5F"/>
      <name val="Calibri"/>
      <family val="2"/>
    </font>
    <font>
      <b/>
      <sz val="14"/>
      <color rgb="FF1F3A5F"/>
      <name val="Calibri"/>
      <family val="2"/>
    </font>
    <font>
      <i/>
      <sz val="9"/>
      <color rgb="FF666666"/>
      <name val="Calibri"/>
      <family val="2"/>
    </font>
    <font>
      <b/>
      <sz val="10"/>
      <color rgb="FF0D47A1"/>
      <name val="Calibri"/>
      <family val="2"/>
    </font>
    <font>
      <b/>
      <u/>
      <sz val="10"/>
      <color rgb="FFFFFFFF"/>
      <name val="Calibri"/>
      <family val="2"/>
    </font>
    <font>
      <b/>
      <sz val="11"/>
      <color rgb="FF2E7D32"/>
      <name val="Calibri"/>
      <family val="2"/>
    </font>
    <font>
      <b/>
      <sz val="11"/>
      <color rgb="FFC62828"/>
      <name val="Calibri"/>
      <family val="2"/>
    </font>
    <font>
      <sz val="10"/>
      <color theme="0"/>
      <name val="Times New Roman"/>
      <family val="1"/>
    </font>
    <font>
      <sz val="11"/>
      <color theme="1"/>
      <name val="Times New Roman"/>
      <family val="1"/>
    </font>
    <font>
      <sz val="11"/>
      <color theme="0"/>
      <name val="Calibri"/>
      <family val="2"/>
      <scheme val="minor"/>
    </font>
    <font>
      <b/>
      <sz val="12"/>
      <color theme="1"/>
      <name val="Times New Roman"/>
      <family val="1"/>
    </font>
    <font>
      <sz val="12"/>
      <color theme="1"/>
      <name val="Times New Roman"/>
      <family val="1"/>
    </font>
    <font>
      <sz val="11"/>
      <color rgb="FF000000"/>
      <name val="Calibri"/>
      <family val="2"/>
      <scheme val="minor"/>
    </font>
    <font>
      <sz val="12"/>
      <color theme="1"/>
      <name val="Arial"/>
      <family val="2"/>
    </font>
  </fonts>
  <fills count="19">
    <fill>
      <patternFill patternType="none"/>
    </fill>
    <fill>
      <patternFill patternType="gray125"/>
    </fill>
    <fill>
      <patternFill patternType="solid">
        <fgColor rgb="FFB7E1CD"/>
        <bgColor rgb="FFB7E1CD"/>
      </patternFill>
    </fill>
    <fill>
      <patternFill patternType="solid">
        <fgColor theme="6"/>
        <bgColor theme="6"/>
      </patternFill>
    </fill>
    <fill>
      <patternFill patternType="solid">
        <fgColor rgb="FFD9D9D9"/>
        <bgColor rgb="FFD9D9D9"/>
      </patternFill>
    </fill>
    <fill>
      <patternFill patternType="solid">
        <fgColor rgb="FFA61C00"/>
        <bgColor rgb="FFA61C00"/>
      </patternFill>
    </fill>
    <fill>
      <patternFill patternType="solid">
        <fgColor rgb="FF000000"/>
        <bgColor rgb="FF000000"/>
      </patternFill>
    </fill>
    <fill>
      <patternFill patternType="solid">
        <fgColor rgb="FFD9E2F3"/>
        <bgColor rgb="FFD9E2F3"/>
      </patternFill>
    </fill>
    <fill>
      <patternFill patternType="solid">
        <fgColor theme="8" tint="0.79998168889431442"/>
        <bgColor indexed="64"/>
      </patternFill>
    </fill>
    <fill>
      <patternFill patternType="solid">
        <fgColor rgb="FFFCE8B2"/>
        <bgColor rgb="FFFCE8B2"/>
      </patternFill>
    </fill>
    <fill>
      <patternFill patternType="solid">
        <fgColor theme="8" tint="0.79998168889431442"/>
        <bgColor rgb="FFD9E2F3"/>
      </patternFill>
    </fill>
    <fill>
      <patternFill patternType="solid">
        <fgColor rgb="FFB6D7A8"/>
        <bgColor rgb="FFB6D7A8"/>
      </patternFill>
    </fill>
    <fill>
      <patternFill patternType="solid">
        <fgColor theme="4"/>
        <bgColor theme="4"/>
      </patternFill>
    </fill>
    <fill>
      <patternFill patternType="solid">
        <fgColor rgb="FF1F3A5F"/>
      </patternFill>
    </fill>
    <fill>
      <patternFill patternType="solid">
        <fgColor rgb="FFF57C00"/>
      </patternFill>
    </fill>
    <fill>
      <patternFill patternType="solid">
        <fgColor rgb="FFFFF59D"/>
      </patternFill>
    </fill>
    <fill>
      <patternFill patternType="solid">
        <fgColor rgb="FF0D47A1"/>
      </patternFill>
    </fill>
    <fill>
      <patternFill patternType="solid">
        <fgColor rgb="FFFF0000"/>
        <bgColor indexed="64"/>
      </patternFill>
    </fill>
    <fill>
      <patternFill patternType="solid">
        <fgColor theme="5" tint="-0.249977111117893"/>
        <bgColor theme="4"/>
      </patternFill>
    </fill>
  </fills>
  <borders count="45">
    <border>
      <left/>
      <right/>
      <top/>
      <bottom/>
      <diagonal/>
    </border>
    <border>
      <left/>
      <right/>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bottom style="thin">
        <color rgb="FF000000"/>
      </bottom>
      <diagonal/>
    </border>
    <border>
      <left/>
      <right/>
      <top style="thin">
        <color theme="4"/>
      </top>
      <bottom/>
      <diagonal/>
    </border>
    <border>
      <left style="thin">
        <color theme="4"/>
      </left>
      <right/>
      <top/>
      <bottom/>
      <diagonal/>
    </border>
    <border>
      <left style="thin">
        <color theme="4"/>
      </left>
      <right/>
      <top style="thin">
        <color theme="4"/>
      </top>
      <bottom/>
      <diagonal/>
    </border>
    <border>
      <left/>
      <right style="thin">
        <color theme="4"/>
      </right>
      <top style="thin">
        <color theme="4"/>
      </top>
      <bottom/>
      <diagonal/>
    </border>
    <border>
      <left style="thin">
        <color theme="4"/>
      </left>
      <right style="thin">
        <color theme="4"/>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s>
  <cellStyleXfs count="11">
    <xf numFmtId="0" fontId="0" fillId="0" borderId="0"/>
    <xf numFmtId="41" fontId="3" fillId="0" borderId="0" applyFont="0" applyFill="0" applyBorder="0" applyAlignment="0" applyProtection="0"/>
    <xf numFmtId="43" fontId="3" fillId="0" borderId="0" applyFont="0" applyFill="0" applyBorder="0" applyAlignment="0" applyProtection="0"/>
    <xf numFmtId="0" fontId="5" fillId="0" borderId="0"/>
    <xf numFmtId="43"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cellStyleXfs>
  <cellXfs count="230">
    <xf numFmtId="0" fontId="0" fillId="0" borderId="0" xfId="0"/>
    <xf numFmtId="0" fontId="0" fillId="0" borderId="0" xfId="0" applyProtection="1">
      <protection locked="0"/>
    </xf>
    <xf numFmtId="0" fontId="4" fillId="0" borderId="0" xfId="0" applyFont="1" applyAlignment="1">
      <alignment horizontal="center"/>
    </xf>
    <xf numFmtId="14" fontId="7" fillId="0" borderId="0" xfId="3" applyNumberFormat="1" applyFont="1" applyAlignment="1">
      <alignment horizontal="center" vertical="center"/>
    </xf>
    <xf numFmtId="0" fontId="5" fillId="0" borderId="0" xfId="3"/>
    <xf numFmtId="169" fontId="7" fillId="2" borderId="9" xfId="3" applyNumberFormat="1" applyFont="1" applyFill="1" applyBorder="1" applyAlignment="1">
      <alignment horizontal="center" vertical="center"/>
    </xf>
    <xf numFmtId="169" fontId="7" fillId="3" borderId="9" xfId="3" applyNumberFormat="1" applyFont="1" applyFill="1" applyBorder="1" applyAlignment="1">
      <alignment horizontal="center" vertical="center"/>
    </xf>
    <xf numFmtId="14" fontId="9" fillId="4" borderId="11" xfId="3" applyNumberFormat="1" applyFont="1" applyFill="1" applyBorder="1" applyAlignment="1">
      <alignment horizontal="left" vertical="center"/>
    </xf>
    <xf numFmtId="169" fontId="1" fillId="4" borderId="11" xfId="3" applyNumberFormat="1" applyFont="1" applyFill="1" applyBorder="1" applyAlignment="1" applyProtection="1">
      <alignment horizontal="center" vertical="center"/>
      <protection locked="0"/>
    </xf>
    <xf numFmtId="169" fontId="10" fillId="5" borderId="11" xfId="3" applyNumberFormat="1" applyFont="1" applyFill="1" applyBorder="1" applyAlignment="1">
      <alignment horizontal="center" vertical="center"/>
    </xf>
    <xf numFmtId="4" fontId="10" fillId="5" borderId="11" xfId="3" applyNumberFormat="1" applyFont="1" applyFill="1" applyBorder="1" applyAlignment="1">
      <alignment horizontal="center" vertical="center"/>
    </xf>
    <xf numFmtId="4" fontId="1" fillId="6" borderId="12" xfId="3" applyNumberFormat="1" applyFont="1" applyFill="1" applyBorder="1" applyAlignment="1">
      <alignment horizontal="center" vertical="center"/>
    </xf>
    <xf numFmtId="14" fontId="9" fillId="7" borderId="14" xfId="3" applyNumberFormat="1" applyFont="1" applyFill="1" applyBorder="1" applyAlignment="1">
      <alignment horizontal="left" vertical="center"/>
    </xf>
    <xf numFmtId="0" fontId="8" fillId="0" borderId="16" xfId="3" applyFont="1" applyBorder="1"/>
    <xf numFmtId="169" fontId="7" fillId="7" borderId="15" xfId="3" applyNumberFormat="1" applyFont="1" applyFill="1" applyBorder="1" applyAlignment="1">
      <alignment vertical="center"/>
    </xf>
    <xf numFmtId="0" fontId="8" fillId="8" borderId="16" xfId="3" applyFont="1" applyFill="1" applyBorder="1"/>
    <xf numFmtId="4" fontId="11" fillId="5" borderId="17" xfId="3" applyNumberFormat="1" applyFont="1" applyFill="1" applyBorder="1" applyAlignment="1">
      <alignment horizontal="center" vertical="center"/>
    </xf>
    <xf numFmtId="169" fontId="7" fillId="9" borderId="15" xfId="3" applyNumberFormat="1" applyFont="1" applyFill="1" applyBorder="1" applyAlignment="1">
      <alignment vertical="center"/>
    </xf>
    <xf numFmtId="4" fontId="10" fillId="5" borderId="17" xfId="3" applyNumberFormat="1" applyFont="1" applyFill="1" applyBorder="1" applyAlignment="1">
      <alignment horizontal="center" vertical="center"/>
    </xf>
    <xf numFmtId="0" fontId="9" fillId="7" borderId="14" xfId="3" applyFont="1" applyFill="1" applyBorder="1" applyAlignment="1">
      <alignment horizontal="left" vertical="center"/>
    </xf>
    <xf numFmtId="10" fontId="1" fillId="7" borderId="15" xfId="3" applyNumberFormat="1" applyFont="1" applyFill="1" applyBorder="1" applyAlignment="1">
      <alignment vertical="center"/>
    </xf>
    <xf numFmtId="4" fontId="1" fillId="6" borderId="17" xfId="3" applyNumberFormat="1" applyFont="1" applyFill="1" applyBorder="1" applyAlignment="1">
      <alignment horizontal="center" vertical="center"/>
    </xf>
    <xf numFmtId="14" fontId="9" fillId="7" borderId="9" xfId="3" applyNumberFormat="1" applyFont="1" applyFill="1" applyBorder="1" applyAlignment="1">
      <alignment horizontal="left" vertical="center"/>
    </xf>
    <xf numFmtId="0" fontId="8" fillId="0" borderId="19" xfId="3" applyFont="1" applyBorder="1"/>
    <xf numFmtId="169" fontId="7" fillId="9" borderId="18" xfId="3" applyNumberFormat="1" applyFont="1" applyFill="1" applyBorder="1" applyAlignment="1">
      <alignment vertical="center"/>
    </xf>
    <xf numFmtId="4" fontId="1" fillId="6" borderId="20" xfId="3" applyNumberFormat="1" applyFont="1" applyFill="1" applyBorder="1" applyAlignment="1">
      <alignment horizontal="center" vertical="center"/>
    </xf>
    <xf numFmtId="10" fontId="1" fillId="10" borderId="15" xfId="3" applyNumberFormat="1" applyFont="1" applyFill="1" applyBorder="1" applyAlignment="1">
      <alignment vertical="center"/>
    </xf>
    <xf numFmtId="14" fontId="12" fillId="0" borderId="0" xfId="3" applyNumberFormat="1" applyFont="1" applyAlignment="1">
      <alignment vertical="center"/>
    </xf>
    <xf numFmtId="14" fontId="12" fillId="0" borderId="0" xfId="3" applyNumberFormat="1" applyFont="1" applyAlignment="1">
      <alignment horizontal="left" vertical="center"/>
    </xf>
    <xf numFmtId="170" fontId="12" fillId="0" borderId="0" xfId="3" applyNumberFormat="1" applyFont="1" applyAlignment="1">
      <alignment vertical="center"/>
    </xf>
    <xf numFmtId="169" fontId="12" fillId="0" borderId="0" xfId="3" applyNumberFormat="1" applyFont="1" applyAlignment="1">
      <alignment vertical="center"/>
    </xf>
    <xf numFmtId="4" fontId="12" fillId="0" borderId="0" xfId="3" applyNumberFormat="1" applyFont="1" applyAlignment="1">
      <alignment horizontal="center" vertical="center"/>
    </xf>
    <xf numFmtId="4" fontId="7" fillId="0" borderId="24" xfId="3" applyNumberFormat="1" applyFont="1" applyBorder="1" applyAlignment="1">
      <alignment horizontal="right" vertical="center"/>
    </xf>
    <xf numFmtId="4" fontId="7" fillId="0" borderId="25" xfId="3" applyNumberFormat="1" applyFont="1" applyBorder="1" applyAlignment="1">
      <alignment horizontal="right" vertical="center"/>
    </xf>
    <xf numFmtId="4" fontId="12" fillId="0" borderId="0" xfId="3" applyNumberFormat="1" applyFont="1" applyAlignment="1">
      <alignment vertical="center"/>
    </xf>
    <xf numFmtId="4" fontId="7" fillId="0" borderId="14" xfId="3" applyNumberFormat="1" applyFont="1" applyBorder="1" applyAlignment="1">
      <alignment horizontal="right" vertical="center"/>
    </xf>
    <xf numFmtId="4" fontId="7" fillId="0" borderId="17" xfId="3" applyNumberFormat="1" applyFont="1" applyBorder="1" applyAlignment="1">
      <alignment horizontal="right" vertical="center"/>
    </xf>
    <xf numFmtId="169" fontId="7" fillId="0" borderId="14" xfId="3" applyNumberFormat="1" applyFont="1" applyBorder="1" applyAlignment="1">
      <alignment horizontal="right" vertical="center"/>
    </xf>
    <xf numFmtId="169" fontId="7" fillId="0" borderId="17" xfId="3" applyNumberFormat="1" applyFont="1" applyBorder="1" applyAlignment="1">
      <alignment horizontal="right" vertical="center"/>
    </xf>
    <xf numFmtId="10" fontId="7" fillId="0" borderId="14" xfId="3" applyNumberFormat="1" applyFont="1" applyBorder="1" applyAlignment="1">
      <alignment horizontal="right" vertical="center"/>
    </xf>
    <xf numFmtId="10" fontId="7" fillId="0" borderId="17" xfId="3" applyNumberFormat="1" applyFont="1" applyBorder="1" applyAlignment="1">
      <alignment horizontal="right" vertical="center"/>
    </xf>
    <xf numFmtId="169" fontId="7" fillId="7" borderId="14" xfId="3" applyNumberFormat="1" applyFont="1" applyFill="1" applyBorder="1" applyAlignment="1">
      <alignment horizontal="right" vertical="center"/>
    </xf>
    <xf numFmtId="169" fontId="7" fillId="7" borderId="17" xfId="3" applyNumberFormat="1" applyFont="1" applyFill="1" applyBorder="1" applyAlignment="1">
      <alignment horizontal="right" vertical="center"/>
    </xf>
    <xf numFmtId="169" fontId="1" fillId="11" borderId="14" xfId="3" applyNumberFormat="1" applyFont="1" applyFill="1" applyBorder="1" applyAlignment="1">
      <alignment horizontal="right" vertical="center"/>
    </xf>
    <xf numFmtId="169" fontId="1" fillId="11" borderId="17" xfId="3" applyNumberFormat="1" applyFont="1" applyFill="1" applyBorder="1" applyAlignment="1">
      <alignment horizontal="right" vertical="center"/>
    </xf>
    <xf numFmtId="169" fontId="9" fillId="0" borderId="14" xfId="3" applyNumberFormat="1" applyFont="1" applyBorder="1" applyAlignment="1">
      <alignment horizontal="center" vertical="center"/>
    </xf>
    <xf numFmtId="169" fontId="9" fillId="0" borderId="17" xfId="3" applyNumberFormat="1" applyFont="1" applyBorder="1" applyAlignment="1">
      <alignment horizontal="center" vertical="center"/>
    </xf>
    <xf numFmtId="169" fontId="9" fillId="0" borderId="9" xfId="3" applyNumberFormat="1" applyFont="1" applyBorder="1" applyAlignment="1">
      <alignment horizontal="center" vertical="center"/>
    </xf>
    <xf numFmtId="169" fontId="9" fillId="0" borderId="20" xfId="3" applyNumberFormat="1" applyFont="1" applyBorder="1" applyAlignment="1">
      <alignment horizontal="center" vertical="center"/>
    </xf>
    <xf numFmtId="14" fontId="12" fillId="0" borderId="29" xfId="3" applyNumberFormat="1" applyFont="1" applyBorder="1" applyAlignment="1">
      <alignment horizontal="left" vertical="center"/>
    </xf>
    <xf numFmtId="14" fontId="12" fillId="0" borderId="29" xfId="3" applyNumberFormat="1" applyFont="1" applyBorder="1" applyAlignment="1">
      <alignment vertical="center"/>
    </xf>
    <xf numFmtId="14" fontId="12" fillId="0" borderId="30" xfId="3" applyNumberFormat="1" applyFont="1" applyBorder="1" applyAlignment="1">
      <alignment vertical="center"/>
    </xf>
    <xf numFmtId="1" fontId="12" fillId="0" borderId="0" xfId="3" applyNumberFormat="1" applyFont="1" applyAlignment="1">
      <alignment vertical="center"/>
    </xf>
    <xf numFmtId="1" fontId="15" fillId="0" borderId="26" xfId="3" quotePrefix="1" applyNumberFormat="1" applyFont="1" applyBorder="1" applyAlignment="1">
      <alignment vertical="center"/>
    </xf>
    <xf numFmtId="1" fontId="5" fillId="0" borderId="0" xfId="3" applyNumberFormat="1"/>
    <xf numFmtId="1" fontId="7" fillId="7" borderId="9" xfId="3" applyNumberFormat="1" applyFont="1" applyFill="1" applyBorder="1" applyAlignment="1">
      <alignment horizontal="center" vertical="center"/>
    </xf>
    <xf numFmtId="1" fontId="7" fillId="7" borderId="20" xfId="3" applyNumberFormat="1" applyFont="1" applyFill="1" applyBorder="1" applyAlignment="1">
      <alignment horizontal="center" vertical="center"/>
    </xf>
    <xf numFmtId="0" fontId="6" fillId="0" borderId="0" xfId="0" applyFont="1"/>
    <xf numFmtId="169" fontId="7" fillId="8" borderId="14" xfId="3" applyNumberFormat="1" applyFont="1" applyFill="1" applyBorder="1" applyAlignment="1">
      <alignment horizontal="right" vertical="center"/>
    </xf>
    <xf numFmtId="0" fontId="18" fillId="0" borderId="0" xfId="0" applyFont="1"/>
    <xf numFmtId="41" fontId="0" fillId="0" borderId="0" xfId="1" applyFont="1" applyProtection="1"/>
    <xf numFmtId="0" fontId="6" fillId="12" borderId="0" xfId="0" applyFont="1" applyFill="1"/>
    <xf numFmtId="0" fontId="19" fillId="12" borderId="0" xfId="0" applyFont="1" applyFill="1"/>
    <xf numFmtId="0" fontId="20" fillId="12" borderId="0" xfId="0" applyFont="1" applyFill="1" applyAlignment="1">
      <alignment horizontal="center" vertical="center"/>
    </xf>
    <xf numFmtId="0" fontId="21" fillId="12" borderId="0" xfId="0" applyFont="1" applyFill="1" applyAlignment="1">
      <alignment horizontal="center" vertical="center"/>
    </xf>
    <xf numFmtId="171" fontId="0" fillId="0" borderId="0" xfId="1" applyNumberFormat="1" applyFont="1" applyProtection="1">
      <protection locked="0"/>
    </xf>
    <xf numFmtId="2" fontId="0" fillId="0" borderId="0" xfId="0" applyNumberFormat="1"/>
    <xf numFmtId="166" fontId="0" fillId="0" borderId="0" xfId="0" applyNumberFormat="1"/>
    <xf numFmtId="0" fontId="0" fillId="0" borderId="0" xfId="1" applyNumberFormat="1" applyFont="1" applyProtection="1">
      <protection locked="0"/>
    </xf>
    <xf numFmtId="0" fontId="22" fillId="0" borderId="0" xfId="0" applyFont="1" applyAlignment="1">
      <alignment horizontal="center" vertical="center"/>
    </xf>
    <xf numFmtId="0" fontId="0" fillId="0" borderId="40" xfId="0" applyBorder="1"/>
    <xf numFmtId="0" fontId="6" fillId="12" borderId="38" xfId="0" applyFont="1" applyFill="1" applyBorder="1" applyAlignment="1">
      <alignment horizontal="center" vertical="center"/>
    </xf>
    <xf numFmtId="0" fontId="6" fillId="12" borderId="41" xfId="0" applyFont="1" applyFill="1" applyBorder="1" applyAlignment="1">
      <alignment horizontal="center" vertical="center"/>
    </xf>
    <xf numFmtId="165" fontId="23" fillId="0" borderId="0" xfId="2" applyNumberFormat="1" applyFont="1" applyFill="1" applyBorder="1" applyAlignment="1" applyProtection="1"/>
    <xf numFmtId="164" fontId="23" fillId="0" borderId="0" xfId="2" applyNumberFormat="1" applyFont="1" applyFill="1" applyBorder="1" applyAlignment="1" applyProtection="1"/>
    <xf numFmtId="167" fontId="23" fillId="0" borderId="0" xfId="2" applyNumberFormat="1" applyFont="1" applyFill="1" applyBorder="1" applyAlignment="1" applyProtection="1"/>
    <xf numFmtId="168" fontId="23" fillId="0" borderId="0" xfId="2" applyNumberFormat="1" applyFont="1" applyFill="1" applyBorder="1" applyAlignment="1" applyProtection="1"/>
    <xf numFmtId="165" fontId="23" fillId="0" borderId="0" xfId="2" applyNumberFormat="1" applyFont="1" applyFill="1" applyBorder="1" applyProtection="1"/>
    <xf numFmtId="0" fontId="0" fillId="0" borderId="0" xfId="0" applyAlignment="1">
      <alignment horizontal="center"/>
    </xf>
    <xf numFmtId="0" fontId="0" fillId="0" borderId="0" xfId="0" pivotButton="1"/>
    <xf numFmtId="172" fontId="0" fillId="0" borderId="0" xfId="0" applyNumberFormat="1"/>
    <xf numFmtId="0" fontId="22" fillId="0" borderId="0" xfId="0" pivotButton="1" applyFont="1" applyAlignment="1">
      <alignment horizontal="center" vertical="center"/>
    </xf>
    <xf numFmtId="0" fontId="26" fillId="13" borderId="43" xfId="0" applyFont="1" applyFill="1" applyBorder="1" applyAlignment="1">
      <alignment horizontal="center" vertical="center" wrapText="1"/>
    </xf>
    <xf numFmtId="0" fontId="27" fillId="13" borderId="43" xfId="0" applyFont="1" applyFill="1" applyBorder="1" applyAlignment="1">
      <alignment horizontal="center" vertical="center"/>
    </xf>
    <xf numFmtId="0" fontId="28" fillId="0" borderId="0" xfId="0" applyFont="1" applyAlignment="1">
      <alignment horizontal="left" indent="1"/>
    </xf>
    <xf numFmtId="0" fontId="10" fillId="0" borderId="0" xfId="0" applyFont="1" applyAlignment="1">
      <alignment horizontal="center"/>
    </xf>
    <xf numFmtId="0" fontId="29" fillId="0" borderId="0" xfId="0" applyFont="1" applyAlignment="1">
      <alignment horizontal="center"/>
    </xf>
    <xf numFmtId="0" fontId="30" fillId="0" borderId="0" xfId="0" applyFont="1" applyAlignment="1">
      <alignment horizontal="center"/>
    </xf>
    <xf numFmtId="174" fontId="31" fillId="0" borderId="0" xfId="0" applyNumberFormat="1" applyFont="1" applyAlignment="1">
      <alignment horizontal="center"/>
    </xf>
    <xf numFmtId="0" fontId="32" fillId="0" borderId="0" xfId="0" applyFont="1" applyAlignment="1">
      <alignment horizontal="center"/>
    </xf>
    <xf numFmtId="0" fontId="34" fillId="0" borderId="0" xfId="0" applyFont="1"/>
    <xf numFmtId="174" fontId="35" fillId="15" borderId="43" xfId="0" applyNumberFormat="1" applyFont="1" applyFill="1" applyBorder="1" applyAlignment="1">
      <alignment horizontal="center"/>
    </xf>
    <xf numFmtId="0" fontId="36" fillId="0" borderId="0" xfId="0" applyFont="1"/>
    <xf numFmtId="0" fontId="10" fillId="13" borderId="43" xfId="0" applyFont="1" applyFill="1" applyBorder="1" applyAlignment="1">
      <alignment horizontal="center"/>
    </xf>
    <xf numFmtId="0" fontId="31" fillId="0" borderId="0" xfId="0" applyFont="1"/>
    <xf numFmtId="0" fontId="0" fillId="0" borderId="43" xfId="0" applyBorder="1" applyAlignment="1">
      <alignment horizontal="center"/>
    </xf>
    <xf numFmtId="174" fontId="0" fillId="0" borderId="43" xfId="0" applyNumberFormat="1" applyBorder="1" applyAlignment="1">
      <alignment horizontal="center"/>
    </xf>
    <xf numFmtId="0" fontId="38" fillId="0" borderId="0" xfId="0" applyFont="1"/>
    <xf numFmtId="0" fontId="29" fillId="0" borderId="0" xfId="0" applyFont="1"/>
    <xf numFmtId="175" fontId="40" fillId="0" borderId="0" xfId="0" applyNumberFormat="1" applyFont="1"/>
    <xf numFmtId="0" fontId="10" fillId="13" borderId="43" xfId="0" applyFont="1" applyFill="1" applyBorder="1" applyAlignment="1">
      <alignment horizontal="center" vertical="center"/>
    </xf>
    <xf numFmtId="0" fontId="0" fillId="0" borderId="43" xfId="0" applyBorder="1" applyAlignment="1">
      <alignment horizontal="center" vertical="center"/>
    </xf>
    <xf numFmtId="0" fontId="28" fillId="0" borderId="43" xfId="0" applyFont="1" applyBorder="1" applyAlignment="1">
      <alignment horizontal="left" vertical="center" indent="1"/>
    </xf>
    <xf numFmtId="0" fontId="42" fillId="0" borderId="43" xfId="0" applyFont="1" applyBorder="1" applyAlignment="1">
      <alignment horizontal="left" vertical="center" indent="1"/>
    </xf>
    <xf numFmtId="0" fontId="43" fillId="0" borderId="43" xfId="0" applyFont="1" applyBorder="1" applyAlignment="1">
      <alignment horizontal="center" vertical="center"/>
    </xf>
    <xf numFmtId="174" fontId="40" fillId="0" borderId="43" xfId="0" applyNumberFormat="1" applyFont="1" applyBorder="1" applyAlignment="1">
      <alignment horizontal="center" vertical="center"/>
    </xf>
    <xf numFmtId="0" fontId="44" fillId="16" borderId="43" xfId="0" applyFont="1" applyFill="1" applyBorder="1" applyAlignment="1">
      <alignment horizontal="center" vertical="center"/>
    </xf>
    <xf numFmtId="0" fontId="29" fillId="0" borderId="43" xfId="0" applyFont="1" applyBorder="1" applyAlignment="1">
      <alignment horizontal="center"/>
    </xf>
    <xf numFmtId="0" fontId="45" fillId="0" borderId="43" xfId="0" applyFont="1" applyBorder="1" applyAlignment="1">
      <alignment horizontal="center"/>
    </xf>
    <xf numFmtId="0" fontId="30" fillId="0" borderId="43" xfId="0" applyFont="1" applyBorder="1" applyAlignment="1">
      <alignment horizontal="center"/>
    </xf>
    <xf numFmtId="0" fontId="46" fillId="0" borderId="43" xfId="0" applyFont="1" applyBorder="1" applyAlignment="1">
      <alignment horizontal="center"/>
    </xf>
    <xf numFmtId="174" fontId="29" fillId="0" borderId="43" xfId="0" applyNumberFormat="1" applyFont="1" applyBorder="1" applyAlignment="1">
      <alignment horizontal="center"/>
    </xf>
    <xf numFmtId="0" fontId="29" fillId="15" borderId="43" xfId="0" applyFont="1" applyFill="1" applyBorder="1" applyAlignment="1" applyProtection="1">
      <alignment horizontal="center"/>
      <protection locked="0"/>
    </xf>
    <xf numFmtId="0" fontId="0" fillId="0" borderId="38" xfId="0" applyBorder="1"/>
    <xf numFmtId="0" fontId="0" fillId="0" borderId="41" xfId="0" applyBorder="1"/>
    <xf numFmtId="41" fontId="0" fillId="0" borderId="0" xfId="1" applyFont="1"/>
    <xf numFmtId="10" fontId="0" fillId="0" borderId="0" xfId="0" applyNumberFormat="1"/>
    <xf numFmtId="9" fontId="0" fillId="0" borderId="0" xfId="0" applyNumberFormat="1"/>
    <xf numFmtId="173" fontId="0" fillId="0" borderId="0" xfId="0" applyNumberFormat="1"/>
    <xf numFmtId="0" fontId="16" fillId="12" borderId="0" xfId="0" applyFont="1" applyFill="1" applyAlignment="1">
      <alignment horizontal="center" vertical="center"/>
    </xf>
    <xf numFmtId="0" fontId="25" fillId="0" borderId="0" xfId="0" applyFont="1"/>
    <xf numFmtId="0" fontId="26" fillId="13" borderId="44" xfId="0" applyFont="1" applyFill="1" applyBorder="1" applyAlignment="1">
      <alignment horizontal="center" vertical="center" wrapText="1"/>
    </xf>
    <xf numFmtId="41" fontId="6" fillId="12" borderId="0" xfId="1" applyFont="1" applyFill="1" applyBorder="1"/>
    <xf numFmtId="0" fontId="23" fillId="0" borderId="0" xfId="2" applyNumberFormat="1" applyFont="1" applyFill="1" applyBorder="1" applyAlignment="1" applyProtection="1"/>
    <xf numFmtId="0" fontId="23" fillId="0" borderId="0" xfId="2" applyNumberFormat="1" applyFont="1" applyFill="1" applyBorder="1" applyProtection="1"/>
    <xf numFmtId="0" fontId="23" fillId="0" borderId="0" xfId="0" applyFont="1" applyAlignment="1">
      <alignment horizontal="left"/>
    </xf>
    <xf numFmtId="0" fontId="23" fillId="0" borderId="0" xfId="0" applyFont="1" applyAlignment="1">
      <alignment horizontal="center" vertical="center" wrapText="1"/>
    </xf>
    <xf numFmtId="0" fontId="23" fillId="0" borderId="0" xfId="0" applyFont="1"/>
    <xf numFmtId="0" fontId="23" fillId="0" borderId="0" xfId="0" applyFont="1" applyAlignment="1">
      <alignment horizontal="left" readingOrder="1"/>
    </xf>
    <xf numFmtId="0" fontId="0" fillId="17" borderId="0" xfId="0" applyFill="1"/>
    <xf numFmtId="173" fontId="23" fillId="0" borderId="0" xfId="2" applyNumberFormat="1" applyFont="1" applyFill="1" applyBorder="1" applyAlignment="1" applyProtection="1"/>
    <xf numFmtId="0" fontId="47" fillId="0" borderId="0" xfId="0" applyFont="1" applyAlignment="1">
      <alignment horizontal="center" vertical="center" wrapText="1" readingOrder="1"/>
    </xf>
    <xf numFmtId="0" fontId="47" fillId="0" borderId="0" xfId="0" applyFont="1" applyAlignment="1">
      <alignment horizontal="left" vertical="center" wrapText="1" readingOrder="1"/>
    </xf>
    <xf numFmtId="0" fontId="23" fillId="0" borderId="0" xfId="0" applyFont="1" applyAlignment="1">
      <alignment horizontal="center" vertical="center" wrapText="1" readingOrder="1"/>
    </xf>
    <xf numFmtId="0" fontId="23" fillId="0" borderId="0" xfId="0" applyFont="1" applyAlignment="1">
      <alignment readingOrder="1"/>
    </xf>
    <xf numFmtId="0" fontId="23" fillId="0" borderId="0" xfId="0" applyFont="1" applyAlignment="1">
      <alignment horizontal="center" vertical="center" readingOrder="1"/>
    </xf>
    <xf numFmtId="0" fontId="23" fillId="0" borderId="0" xfId="1" applyNumberFormat="1" applyFont="1" applyFill="1" applyBorder="1"/>
    <xf numFmtId="2" fontId="23" fillId="0" borderId="0" xfId="0" applyNumberFormat="1" applyFont="1"/>
    <xf numFmtId="0" fontId="48" fillId="0" borderId="0" xfId="0" applyFont="1"/>
    <xf numFmtId="0" fontId="23" fillId="0" borderId="0" xfId="0" applyFont="1" applyAlignment="1">
      <alignment horizontal="left" wrapText="1"/>
    </xf>
    <xf numFmtId="0" fontId="23" fillId="0" borderId="0" xfId="0" applyFont="1" applyAlignment="1">
      <alignment wrapText="1"/>
    </xf>
    <xf numFmtId="166" fontId="23" fillId="0" borderId="0" xfId="0" applyNumberFormat="1" applyFont="1"/>
    <xf numFmtId="0" fontId="23" fillId="0" borderId="0" xfId="1" applyNumberFormat="1" applyFont="1" applyFill="1" applyBorder="1" applyAlignment="1">
      <alignment readingOrder="1"/>
    </xf>
    <xf numFmtId="41" fontId="23" fillId="0" borderId="0" xfId="1" applyFont="1" applyFill="1" applyBorder="1" applyAlignment="1">
      <alignment readingOrder="1"/>
    </xf>
    <xf numFmtId="41" fontId="23" fillId="0" borderId="0" xfId="1" applyFont="1" applyFill="1" applyBorder="1" applyAlignment="1">
      <alignment horizontal="left"/>
    </xf>
    <xf numFmtId="41" fontId="23" fillId="0" borderId="0" xfId="1" applyFont="1" applyFill="1" applyBorder="1"/>
    <xf numFmtId="0" fontId="24" fillId="0" borderId="0" xfId="0" applyFont="1" applyAlignment="1">
      <alignment horizontal="left" vertical="top"/>
    </xf>
    <xf numFmtId="0" fontId="23" fillId="0" borderId="0" xfId="0" quotePrefix="1" applyFont="1" applyAlignment="1">
      <alignment horizontal="left" readingOrder="1"/>
    </xf>
    <xf numFmtId="0" fontId="50" fillId="0" borderId="0" xfId="0" applyFont="1"/>
    <xf numFmtId="0" fontId="51" fillId="0" borderId="0" xfId="0" applyFont="1" applyAlignment="1">
      <alignment horizontal="left" wrapText="1"/>
    </xf>
    <xf numFmtId="2" fontId="23" fillId="0" borderId="0" xfId="2" applyNumberFormat="1" applyFont="1" applyFill="1" applyBorder="1" applyAlignment="1" applyProtection="1"/>
    <xf numFmtId="0" fontId="49" fillId="0" borderId="0" xfId="0" applyFont="1"/>
    <xf numFmtId="0" fontId="23" fillId="0" borderId="40" xfId="0" applyFont="1" applyBorder="1" applyAlignment="1">
      <alignment horizontal="left"/>
    </xf>
    <xf numFmtId="0" fontId="0" fillId="0" borderId="39" xfId="1" applyNumberFormat="1" applyFont="1" applyFill="1" applyBorder="1"/>
    <xf numFmtId="0" fontId="0" fillId="0" borderId="39" xfId="1" applyNumberFormat="1" applyFont="1" applyFill="1" applyBorder="1" applyProtection="1">
      <protection locked="0"/>
    </xf>
    <xf numFmtId="41" fontId="0" fillId="0" borderId="0" xfId="1" applyFont="1" applyFill="1" applyProtection="1"/>
    <xf numFmtId="0" fontId="6" fillId="18" borderId="0" xfId="0" applyFont="1" applyFill="1"/>
    <xf numFmtId="0" fontId="52" fillId="0" borderId="0" xfId="0" applyFont="1" applyAlignment="1">
      <alignment horizontal="center"/>
    </xf>
    <xf numFmtId="0" fontId="23" fillId="0" borderId="14" xfId="0" applyFont="1" applyBorder="1" applyAlignment="1">
      <alignment horizontal="left"/>
    </xf>
    <xf numFmtId="165" fontId="23" fillId="0" borderId="0" xfId="2" applyNumberFormat="1" applyFont="1" applyFill="1" applyAlignment="1" applyProtection="1"/>
    <xf numFmtId="173" fontId="49" fillId="0" borderId="0" xfId="0" applyNumberFormat="1" applyFont="1"/>
    <xf numFmtId="0" fontId="0" fillId="0" borderId="39" xfId="0" applyBorder="1"/>
    <xf numFmtId="0" fontId="0" fillId="0" borderId="39" xfId="0" applyBorder="1" applyProtection="1">
      <protection locked="0"/>
    </xf>
    <xf numFmtId="2" fontId="0" fillId="0" borderId="39" xfId="0" applyNumberFormat="1" applyBorder="1"/>
    <xf numFmtId="0" fontId="0" fillId="0" borderId="42" xfId="0" applyBorder="1"/>
    <xf numFmtId="0" fontId="47" fillId="0" borderId="40" xfId="0" applyFont="1" applyBorder="1" applyAlignment="1">
      <alignment horizontal="left"/>
    </xf>
    <xf numFmtId="0" fontId="0" fillId="0" borderId="0" xfId="1" applyNumberFormat="1" applyFont="1"/>
    <xf numFmtId="176" fontId="0" fillId="0" borderId="0" xfId="0" applyNumberFormat="1"/>
    <xf numFmtId="0" fontId="0" fillId="0" borderId="39" xfId="1" applyNumberFormat="1" applyFont="1" applyBorder="1"/>
    <xf numFmtId="0" fontId="53" fillId="0" borderId="0" xfId="0" applyFont="1"/>
    <xf numFmtId="3" fontId="0" fillId="0" borderId="0" xfId="1" applyNumberFormat="1" applyFont="1" applyProtection="1">
      <protection locked="0"/>
    </xf>
    <xf numFmtId="0" fontId="0" fillId="0" borderId="0" xfId="1" applyNumberFormat="1" applyFont="1" applyAlignment="1" applyProtection="1">
      <alignment horizontal="right"/>
      <protection locked="0"/>
    </xf>
    <xf numFmtId="0" fontId="52" fillId="0" borderId="0" xfId="3" applyFont="1"/>
    <xf numFmtId="0" fontId="4" fillId="0" borderId="0" xfId="0" applyFont="1"/>
    <xf numFmtId="0" fontId="15" fillId="0" borderId="0" xfId="0" applyFont="1"/>
    <xf numFmtId="0" fontId="39" fillId="16" borderId="0" xfId="0" applyFont="1" applyFill="1" applyAlignment="1">
      <alignment horizontal="center" vertical="center"/>
    </xf>
    <xf numFmtId="0" fontId="0" fillId="0" borderId="0" xfId="0"/>
    <xf numFmtId="0" fontId="41" fillId="0" borderId="0" xfId="0" applyFont="1"/>
    <xf numFmtId="0" fontId="37" fillId="0" borderId="0" xfId="0" applyFont="1"/>
    <xf numFmtId="0" fontId="33" fillId="14" borderId="0" xfId="0" applyFont="1" applyFill="1" applyAlignment="1">
      <alignment horizontal="center" vertical="center"/>
    </xf>
    <xf numFmtId="1" fontId="7" fillId="2" borderId="2" xfId="3" applyNumberFormat="1" applyFont="1" applyFill="1" applyBorder="1" applyAlignment="1">
      <alignment horizontal="center" vertical="center"/>
    </xf>
    <xf numFmtId="1" fontId="8" fillId="0" borderId="7" xfId="3" applyNumberFormat="1" applyFont="1" applyBorder="1"/>
    <xf numFmtId="14" fontId="7" fillId="2" borderId="3" xfId="3" applyNumberFormat="1" applyFont="1" applyFill="1" applyBorder="1" applyAlignment="1">
      <alignment horizontal="center" vertical="center"/>
    </xf>
    <xf numFmtId="0" fontId="8" fillId="0" borderId="8" xfId="3" applyFont="1" applyBorder="1"/>
    <xf numFmtId="169" fontId="7" fillId="2" borderId="4" xfId="3" applyNumberFormat="1" applyFont="1" applyFill="1" applyBorder="1" applyAlignment="1">
      <alignment horizontal="center" vertical="center"/>
    </xf>
    <xf numFmtId="0" fontId="8" fillId="0" borderId="5" xfId="3" applyFont="1" applyBorder="1"/>
    <xf numFmtId="169" fontId="7" fillId="9" borderId="15" xfId="3" applyNumberFormat="1" applyFont="1" applyFill="1" applyBorder="1" applyAlignment="1">
      <alignment horizontal="center" vertical="center"/>
    </xf>
    <xf numFmtId="169" fontId="7" fillId="9" borderId="16" xfId="3" applyNumberFormat="1" applyFont="1" applyFill="1" applyBorder="1" applyAlignment="1">
      <alignment horizontal="center" vertical="center"/>
    </xf>
    <xf numFmtId="169" fontId="7" fillId="7" borderId="15" xfId="3" applyNumberFormat="1" applyFont="1" applyFill="1" applyBorder="1" applyAlignment="1">
      <alignment horizontal="center" vertical="center"/>
    </xf>
    <xf numFmtId="169" fontId="7" fillId="7" borderId="16" xfId="3" applyNumberFormat="1" applyFont="1" applyFill="1" applyBorder="1" applyAlignment="1">
      <alignment horizontal="center" vertical="center"/>
    </xf>
    <xf numFmtId="169" fontId="7" fillId="3" borderId="4" xfId="3" applyNumberFormat="1" applyFont="1" applyFill="1" applyBorder="1" applyAlignment="1">
      <alignment horizontal="center" vertical="center" wrapText="1"/>
    </xf>
    <xf numFmtId="169" fontId="7" fillId="3" borderId="5" xfId="3" applyNumberFormat="1" applyFont="1" applyFill="1" applyBorder="1" applyAlignment="1">
      <alignment horizontal="center" vertical="center" wrapText="1"/>
    </xf>
    <xf numFmtId="4" fontId="7" fillId="3" borderId="6" xfId="3" applyNumberFormat="1" applyFont="1" applyFill="1" applyBorder="1" applyAlignment="1">
      <alignment horizontal="center" vertical="center" wrapText="1"/>
    </xf>
    <xf numFmtId="0" fontId="8" fillId="0" borderId="10" xfId="3" applyFont="1" applyBorder="1"/>
    <xf numFmtId="10" fontId="1" fillId="7" borderId="15" xfId="3" applyNumberFormat="1" applyFont="1" applyFill="1" applyBorder="1" applyAlignment="1">
      <alignment horizontal="center" vertical="center"/>
    </xf>
    <xf numFmtId="10" fontId="1" fillId="7" borderId="16" xfId="3" applyNumberFormat="1" applyFont="1" applyFill="1" applyBorder="1" applyAlignment="1">
      <alignment horizontal="center" vertical="center"/>
    </xf>
    <xf numFmtId="169" fontId="7" fillId="9" borderId="18" xfId="3" applyNumberFormat="1" applyFont="1" applyFill="1" applyBorder="1" applyAlignment="1">
      <alignment horizontal="center" vertical="center"/>
    </xf>
    <xf numFmtId="169" fontId="7" fillId="9" borderId="19" xfId="3" applyNumberFormat="1" applyFont="1" applyFill="1" applyBorder="1" applyAlignment="1">
      <alignment horizontal="center" vertical="center"/>
    </xf>
    <xf numFmtId="1" fontId="7" fillId="7" borderId="2" xfId="3" applyNumberFormat="1" applyFont="1" applyFill="1" applyBorder="1" applyAlignment="1">
      <alignment horizontal="center" vertical="center"/>
    </xf>
    <xf numFmtId="1" fontId="8" fillId="0" borderId="13" xfId="3" applyNumberFormat="1" applyFont="1" applyBorder="1"/>
    <xf numFmtId="14" fontId="15" fillId="0" borderId="26" xfId="3" applyNumberFormat="1" applyFont="1" applyBorder="1" applyAlignment="1">
      <alignment vertical="center"/>
    </xf>
    <xf numFmtId="0" fontId="8" fillId="0" borderId="16" xfId="3" applyFont="1" applyBorder="1"/>
    <xf numFmtId="1" fontId="7" fillId="7" borderId="18" xfId="3" applyNumberFormat="1" applyFont="1" applyFill="1" applyBorder="1" applyAlignment="1">
      <alignment horizontal="left" vertical="center"/>
    </xf>
    <xf numFmtId="1" fontId="7" fillId="7" borderId="19" xfId="3" applyNumberFormat="1" applyFont="1" applyFill="1" applyBorder="1" applyAlignment="1">
      <alignment horizontal="left" vertical="center"/>
    </xf>
    <xf numFmtId="0" fontId="8" fillId="0" borderId="29" xfId="3" applyFont="1" applyBorder="1"/>
    <xf numFmtId="0" fontId="8" fillId="0" borderId="30" xfId="3" applyFont="1" applyBorder="1"/>
    <xf numFmtId="14" fontId="7" fillId="7" borderId="26" xfId="3" applyNumberFormat="1" applyFont="1" applyFill="1" applyBorder="1" applyAlignment="1">
      <alignment vertical="center"/>
    </xf>
    <xf numFmtId="14" fontId="14" fillId="0" borderId="28" xfId="3" applyNumberFormat="1" applyFont="1" applyBorder="1" applyAlignment="1">
      <alignment vertical="center"/>
    </xf>
    <xf numFmtId="14" fontId="7" fillId="8" borderId="26" xfId="3" applyNumberFormat="1" applyFont="1" applyFill="1" applyBorder="1" applyAlignment="1">
      <alignment vertical="center"/>
    </xf>
    <xf numFmtId="0" fontId="17" fillId="8" borderId="16" xfId="3" applyFont="1" applyFill="1" applyBorder="1"/>
    <xf numFmtId="14" fontId="7" fillId="7" borderId="31" xfId="3" quotePrefix="1" applyNumberFormat="1" applyFont="1" applyFill="1" applyBorder="1" applyAlignment="1">
      <alignment vertical="center"/>
    </xf>
    <xf numFmtId="0" fontId="8" fillId="0" borderId="32" xfId="3" applyFont="1" applyBorder="1"/>
    <xf numFmtId="0" fontId="8" fillId="0" borderId="33" xfId="3" applyFont="1" applyBorder="1"/>
    <xf numFmtId="14" fontId="15" fillId="0" borderId="34" xfId="3" applyNumberFormat="1" applyFont="1" applyBorder="1" applyAlignment="1">
      <alignment vertical="center" wrapText="1"/>
    </xf>
    <xf numFmtId="0" fontId="8" fillId="0" borderId="35" xfId="3" applyFont="1" applyBorder="1"/>
    <xf numFmtId="0" fontId="8" fillId="0" borderId="36" xfId="3" applyFont="1" applyBorder="1"/>
    <xf numFmtId="14" fontId="12" fillId="0" borderId="37" xfId="3" applyNumberFormat="1" applyFont="1" applyBorder="1" applyAlignment="1">
      <alignment vertical="center"/>
    </xf>
    <xf numFmtId="0" fontId="8" fillId="0" borderId="1" xfId="3" applyFont="1" applyBorder="1"/>
    <xf numFmtId="0" fontId="8" fillId="0" borderId="23" xfId="3" applyFont="1" applyBorder="1"/>
    <xf numFmtId="14" fontId="13" fillId="7" borderId="28" xfId="3" applyNumberFormat="1" applyFont="1" applyFill="1" applyBorder="1" applyAlignment="1">
      <alignment vertical="center"/>
    </xf>
    <xf numFmtId="0" fontId="8" fillId="0" borderId="21" xfId="3" applyFont="1" applyBorder="1"/>
    <xf numFmtId="0" fontId="8" fillId="0" borderId="22" xfId="3" applyFont="1" applyBorder="1"/>
    <xf numFmtId="14" fontId="15" fillId="0" borderId="26" xfId="3" quotePrefix="1" applyNumberFormat="1" applyFont="1" applyBorder="1" applyAlignment="1">
      <alignment vertical="center"/>
    </xf>
    <xf numFmtId="14" fontId="7" fillId="7" borderId="26" xfId="3" quotePrefix="1" applyNumberFormat="1" applyFont="1" applyFill="1" applyBorder="1" applyAlignment="1">
      <alignment vertical="center"/>
    </xf>
    <xf numFmtId="169" fontId="15" fillId="11" borderId="26" xfId="3" applyNumberFormat="1" applyFont="1" applyFill="1" applyBorder="1" applyAlignment="1">
      <alignment vertical="center"/>
    </xf>
    <xf numFmtId="169" fontId="15" fillId="0" borderId="26" xfId="3" applyNumberFormat="1" applyFont="1" applyBorder="1" applyAlignment="1">
      <alignment vertical="center"/>
    </xf>
    <xf numFmtId="169" fontId="7" fillId="7" borderId="26" xfId="3" applyNumberFormat="1" applyFont="1" applyFill="1" applyBorder="1" applyAlignment="1">
      <alignment vertical="center"/>
    </xf>
    <xf numFmtId="169" fontId="7" fillId="7" borderId="27" xfId="3" applyNumberFormat="1" applyFont="1" applyFill="1" applyBorder="1" applyAlignment="1">
      <alignment vertical="center"/>
    </xf>
    <xf numFmtId="0" fontId="8" fillId="0" borderId="19" xfId="3" applyFont="1" applyBorder="1"/>
    <xf numFmtId="0" fontId="0" fillId="0" borderId="0" xfId="0" applyNumberFormat="1"/>
  </cellXfs>
  <cellStyles count="11">
    <cellStyle name="Comma" xfId="2" builtinId="3"/>
    <cellStyle name="Comma [0]" xfId="1" builtinId="6"/>
    <cellStyle name="Comma [0] 2" xfId="5" xr:uid="{C39736A7-8989-4A61-8D0A-D417714DE7C7}"/>
    <cellStyle name="Comma 2" xfId="6" xr:uid="{230817EA-E549-4D01-91E7-61701B025EE9}"/>
    <cellStyle name="Comma 3" xfId="4" xr:uid="{0410EBCD-A219-4866-9A5E-81697DA95A88}"/>
    <cellStyle name="Comma 4" xfId="7" xr:uid="{B9223D03-36CA-48E4-ABC5-1FAD48DAAFE0}"/>
    <cellStyle name="Comma 5" xfId="8" xr:uid="{D628929D-DD9C-495F-B936-7527DA081162}"/>
    <cellStyle name="Comma 6" xfId="9" xr:uid="{D9B25FA9-25E7-4889-86C2-F7A2F8270A38}"/>
    <cellStyle name="Comma 7" xfId="10" xr:uid="{3E567481-78F1-4719-843E-DBDBA4AC5F4C}"/>
    <cellStyle name="Normal" xfId="0" builtinId="0"/>
    <cellStyle name="Normal 2" xfId="3" xr:uid="{4B687FA2-604B-4411-9A25-79E02B06EA1B}"/>
  </cellStyles>
  <dxfs count="541">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4"/>
      </font>
    </dxf>
    <dxf>
      <font>
        <sz val="14"/>
      </font>
    </dxf>
    <dxf>
      <font>
        <sz val="14"/>
      </font>
    </dxf>
    <dxf>
      <font>
        <sz val="14"/>
      </font>
    </dxf>
    <dxf>
      <font>
        <sz val="14"/>
      </font>
    </dxf>
    <dxf>
      <numFmt numFmtId="176" formatCode="#,##0_ ;[Red]\-#,##0\ "/>
    </dxf>
    <dxf>
      <font>
        <b val="0"/>
        <i val="0"/>
        <strike val="0"/>
        <condense val="0"/>
        <extend val="0"/>
        <outline val="0"/>
        <shadow val="0"/>
        <u val="none"/>
        <vertAlign val="baseline"/>
        <sz val="11"/>
        <color theme="1"/>
        <name val="Calibri"/>
        <family val="2"/>
        <scheme val="minor"/>
      </font>
      <border diagonalUp="0" diagonalDown="0">
        <left style="thin">
          <color theme="4"/>
        </left>
        <right style="thin">
          <color theme="4"/>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bottom/>
        <vertical/>
        <horizontal/>
      </border>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style="thin">
          <color theme="4"/>
        </left>
        <right/>
        <top/>
        <bottom/>
        <vertical/>
        <horizontal/>
      </border>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font>
        <b/>
      </font>
      <fill>
        <patternFill patternType="solid">
          <fgColor rgb="FFF4C7C3"/>
          <bgColor rgb="FFF4C7C3"/>
        </patternFill>
      </fill>
    </dxf>
    <dxf>
      <font>
        <b/>
      </font>
      <fill>
        <patternFill patternType="solid">
          <fgColor rgb="FFFCE8B2"/>
          <bgColor rgb="FFFCE8B2"/>
        </patternFill>
      </fill>
    </dxf>
    <dxf>
      <font>
        <b/>
      </font>
      <fill>
        <patternFill patternType="solid">
          <fgColor rgb="FFB7E1CD"/>
          <bgColor rgb="FFB7E1CD"/>
        </patternFill>
      </fill>
    </dxf>
    <dxf>
      <font>
        <b/>
      </font>
      <fill>
        <patternFill patternType="solid">
          <fgColor rgb="FFF4C7C3"/>
          <bgColor rgb="FFF4C7C3"/>
        </patternFill>
      </fill>
    </dxf>
    <dxf>
      <font>
        <b/>
      </font>
      <fill>
        <patternFill patternType="solid">
          <fgColor rgb="FFFCE8B2"/>
          <bgColor rgb="FFFCE8B2"/>
        </patternFill>
      </fill>
    </dxf>
    <dxf>
      <font>
        <b/>
      </font>
      <fill>
        <patternFill patternType="solid">
          <fgColor rgb="FFB7E1CD"/>
          <bgColor rgb="FFB7E1CD"/>
        </patternFill>
      </fill>
    </dxf>
    <dxf>
      <font>
        <b/>
      </font>
      <fill>
        <patternFill patternType="solid">
          <fgColor rgb="FFF4C7C3"/>
          <bgColor rgb="FFF4C7C3"/>
        </patternFill>
      </fill>
    </dxf>
    <dxf>
      <font>
        <b/>
      </font>
      <fill>
        <patternFill patternType="solid">
          <fgColor rgb="FFB7E1CD"/>
          <bgColor rgb="FFB7E1CD"/>
        </patternFill>
      </fill>
    </dxf>
    <dxf>
      <font>
        <b/>
      </font>
      <fill>
        <patternFill patternType="solid">
          <fgColor rgb="FFFCE8B2"/>
          <bgColor rgb="FFFCE8B2"/>
        </patternFill>
      </fill>
    </dxf>
    <dxf>
      <numFmt numFmtId="0" formatCode="General"/>
    </dxf>
    <dxf>
      <numFmt numFmtId="0" formatCode="General"/>
    </dxf>
    <dxf>
      <border outline="0">
        <right style="thin">
          <color theme="4"/>
        </right>
      </border>
    </dxf>
    <dxf>
      <font>
        <strike val="0"/>
        <color theme="1"/>
      </font>
      <fill>
        <patternFill>
          <bgColor theme="4" tint="0.59996337778862885"/>
        </patternFill>
      </fill>
    </dxf>
    <dxf>
      <numFmt numFmtId="0" formatCode="General"/>
    </dxf>
    <dxf>
      <font>
        <b/>
        <i val="0"/>
        <color theme="1"/>
      </font>
      <fill>
        <gradientFill degree="135">
          <stop position="0">
            <color theme="0"/>
          </stop>
          <stop position="1">
            <color theme="4" tint="0.59999389629810485"/>
          </stop>
        </gradientFill>
      </fill>
    </dxf>
    <dxf>
      <font>
        <b/>
        <i val="0"/>
        <color theme="1"/>
      </font>
      <fill>
        <gradientFill degree="135">
          <stop position="0">
            <color theme="0"/>
          </stop>
          <stop position="1">
            <color theme="9" tint="0.40000610370189521"/>
          </stop>
        </gradientFill>
      </fill>
    </dxf>
    <dxf>
      <font>
        <b/>
        <i val="0"/>
        <color theme="1"/>
      </font>
      <fill>
        <gradientFill degree="135">
          <stop position="0">
            <color theme="0"/>
          </stop>
          <stop position="1">
            <color theme="5" tint="0.40000610370189521"/>
          </stop>
        </gradientFill>
      </fill>
    </dxf>
    <dxf>
      <font>
        <color theme="0"/>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border outline="0">
        <right style="thin">
          <color theme="4"/>
        </right>
      </border>
    </dxf>
    <dxf>
      <numFmt numFmtId="0" formatCode="General"/>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color theme="1"/>
      </font>
      <fill>
        <gradientFill degree="135">
          <stop position="0">
            <color theme="0"/>
          </stop>
          <stop position="1">
            <color theme="4" tint="0.59999389629810485"/>
          </stop>
        </gradientFill>
      </fill>
    </dxf>
    <dxf>
      <font>
        <b/>
        <i val="0"/>
        <color theme="1"/>
      </font>
      <fill>
        <gradientFill degree="135">
          <stop position="0">
            <color theme="0"/>
          </stop>
          <stop position="1">
            <color theme="9" tint="0.40000610370189521"/>
          </stop>
        </gradientFill>
      </fill>
    </dxf>
    <dxf>
      <font>
        <b/>
        <i val="0"/>
        <color theme="1"/>
      </font>
      <fill>
        <gradientFill degree="135">
          <stop position="0">
            <color theme="0"/>
          </stop>
          <stop position="1">
            <color theme="5" tint="0.40000610370189521"/>
          </stop>
        </gradientFill>
      </fill>
    </dxf>
    <dxf>
      <font>
        <color theme="0"/>
      </font>
    </dxf>
    <dxf>
      <numFmt numFmtId="0" formatCode="General"/>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color theme="1"/>
      </font>
      <fill>
        <gradientFill degree="135">
          <stop position="0">
            <color theme="0"/>
          </stop>
          <stop position="1">
            <color theme="4" tint="0.59999389629810485"/>
          </stop>
        </gradientFill>
      </fill>
    </dxf>
    <dxf>
      <font>
        <b/>
        <i val="0"/>
        <color theme="1"/>
      </font>
      <fill>
        <gradientFill degree="135">
          <stop position="0">
            <color theme="0"/>
          </stop>
          <stop position="1">
            <color theme="9" tint="0.40000610370189521"/>
          </stop>
        </gradientFill>
      </fill>
    </dxf>
    <dxf>
      <font>
        <b/>
        <i val="0"/>
        <color theme="1"/>
      </font>
      <fill>
        <gradientFill degree="135">
          <stop position="0">
            <color theme="0"/>
          </stop>
          <stop position="1">
            <color theme="5" tint="0.40000610370189521"/>
          </stop>
        </gradientFill>
      </fill>
    </dxf>
    <dxf>
      <font>
        <color theme="0"/>
      </font>
    </dxf>
    <dxf>
      <numFmt numFmtId="0" formatCode="General"/>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color theme="1"/>
      </font>
      <fill>
        <gradientFill degree="135">
          <stop position="0">
            <color theme="0"/>
          </stop>
          <stop position="1">
            <color theme="4" tint="0.59999389629810485"/>
          </stop>
        </gradientFill>
      </fill>
    </dxf>
    <dxf>
      <font>
        <b/>
        <i val="0"/>
        <color theme="1"/>
      </font>
      <fill>
        <gradientFill degree="135">
          <stop position="0">
            <color theme="0"/>
          </stop>
          <stop position="1">
            <color theme="9" tint="0.40000610370189521"/>
          </stop>
        </gradientFill>
      </fill>
    </dxf>
    <dxf>
      <font>
        <b/>
        <i val="0"/>
        <color theme="1"/>
      </font>
      <fill>
        <gradientFill degree="135">
          <stop position="0">
            <color theme="0"/>
          </stop>
          <stop position="1">
            <color theme="5" tint="0.40000610370189521"/>
          </stop>
        </gradientFill>
      </fill>
    </dxf>
    <dxf>
      <font>
        <color theme="0"/>
      </font>
    </dxf>
    <dxf>
      <numFmt numFmtId="0" formatCode="General"/>
    </dxf>
    <dxf>
      <numFmt numFmtId="0" formatCode="General"/>
    </dxf>
    <dxf>
      <numFmt numFmtId="0" formatCode="General"/>
    </dxf>
    <dxf>
      <numFmt numFmtId="0" formatCode="General"/>
    </dxf>
    <dxf>
      <protection locked="0" hidden="0"/>
    </dxf>
    <dxf>
      <font>
        <b/>
        <i val="0"/>
        <strike val="0"/>
        <condense val="0"/>
        <extend val="0"/>
        <outline val="0"/>
        <shadow val="0"/>
        <u val="none"/>
        <vertAlign val="baseline"/>
        <sz val="11"/>
        <color theme="0"/>
        <name val="Calibri"/>
        <family val="2"/>
        <scheme val="minor"/>
      </font>
      <fill>
        <patternFill patternType="solid">
          <fgColor theme="4"/>
          <bgColor theme="5" tint="-0.249977111117893"/>
        </patternFill>
      </fill>
    </dxf>
    <dxf>
      <font>
        <b/>
        <i/>
        <strike val="0"/>
        <u val="none"/>
        <color theme="1"/>
      </font>
      <fill>
        <patternFill patternType="solid">
          <fgColor auto="1"/>
          <bgColor theme="8" tint="0.79998168889431442"/>
        </patternFill>
      </fill>
      <border>
        <right style="thin">
          <color theme="8" tint="-0.24994659260841701"/>
        </right>
        <top style="thin">
          <color theme="8" tint="-0.24994659260841701"/>
        </top>
      </border>
    </dxf>
    <dxf>
      <font>
        <b/>
        <i/>
        <strike val="0"/>
        <u val="none"/>
        <color theme="1"/>
      </font>
      <fill>
        <patternFill patternType="solid">
          <fgColor auto="1"/>
          <bgColor theme="8" tint="0.79998168889431442"/>
        </patternFill>
      </fill>
      <border>
        <right style="thin">
          <color theme="8" tint="-0.24994659260841701"/>
        </right>
        <top style="thin">
          <color theme="8" tint="-0.24994659260841701"/>
        </top>
      </border>
    </dxf>
    <dxf>
      <font>
        <b/>
        <i/>
        <strike val="0"/>
        <u val="none"/>
        <color theme="1"/>
      </font>
      <fill>
        <patternFill patternType="solid">
          <fgColor auto="1"/>
          <bgColor theme="8" tint="0.79998168889431442"/>
        </patternFill>
      </fill>
      <border>
        <right/>
        <top style="thin">
          <color theme="8" tint="-0.24994659260841701"/>
        </top>
      </border>
    </dxf>
    <dxf>
      <fill>
        <patternFill patternType="solid">
          <fgColor rgb="FFFFEBEE"/>
        </patternFill>
      </fill>
    </dxf>
    <dxf>
      <numFmt numFmtId="0" formatCode="General"/>
    </dxf>
    <dxf>
      <numFmt numFmtId="0" formatCode="General"/>
    </dxf>
    <dxf>
      <font>
        <b/>
        <i/>
        <color rgb="FFC62828"/>
      </font>
      <fill>
        <patternFill patternType="solid">
          <fgColor rgb="FFFFEBE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border outline="0">
        <left style="thin">
          <color theme="4"/>
        </left>
        <top style="thin">
          <color theme="4"/>
        </top>
        <bottom style="thin">
          <color theme="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theme="0"/>
        <name val="Calibri"/>
        <family val="2"/>
        <scheme val="minor"/>
      </font>
      <numFmt numFmtId="33" formatCode="_-* #,##0_-;\-* #,##0_-;_-* &quot;-&quot;_-;_-@_-"/>
      <fill>
        <patternFill patternType="solid">
          <fgColor theme="4"/>
          <bgColor theme="4"/>
        </patternFill>
      </fill>
    </dxf>
    <dxf>
      <fill>
        <patternFill patternType="solid">
          <fgColor auto="1"/>
          <bgColor theme="8" tint="0.79998168889431442"/>
        </patternFill>
      </fill>
      <border>
        <top/>
        <bottom style="thin">
          <color theme="4"/>
        </bottom>
        <vertical/>
        <horizontal/>
      </border>
    </dxf>
    <dxf>
      <fill>
        <patternFill patternType="solid">
          <fgColor auto="1"/>
          <bgColor theme="8" tint="0.79998168889431442"/>
        </patternFill>
      </fill>
      <border>
        <top/>
        <bottom style="thin">
          <color theme="4"/>
        </bottom>
        <vertical/>
        <horizontal/>
      </border>
    </dxf>
    <dxf>
      <fill>
        <patternFill patternType="solid">
          <fgColor auto="1"/>
          <bgColor theme="8" tint="0.79998168889431442"/>
        </patternFill>
      </fill>
      <border>
        <top/>
        <bottom style="thin">
          <color theme="4"/>
        </bottom>
        <vertical/>
        <horizontal/>
      </border>
    </dxf>
    <dxf>
      <fill>
        <patternFill patternType="solid">
          <fgColor auto="1"/>
          <bgColor theme="8" tint="0.79998168889431442"/>
        </patternFill>
      </fill>
      <border>
        <top/>
        <bottom style="thin">
          <color theme="4"/>
        </bottom>
        <vertical/>
        <horizontal/>
      </border>
    </dxf>
    <dxf>
      <fill>
        <patternFill patternType="solid">
          <fgColor auto="1"/>
          <bgColor theme="8" tint="0.79998168889431442"/>
        </patternFill>
      </fill>
      <border>
        <top/>
        <bottom style="thin">
          <color theme="4"/>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color theme="1"/>
      </font>
      <fill>
        <gradientFill degree="135">
          <stop position="0">
            <color theme="0"/>
          </stop>
          <stop position="1">
            <color theme="4" tint="0.59999389629810485"/>
          </stop>
        </gradientFill>
      </fill>
    </dxf>
    <dxf>
      <font>
        <b/>
        <i val="0"/>
        <color theme="1"/>
      </font>
      <fill>
        <gradientFill degree="135">
          <stop position="0">
            <color theme="0"/>
          </stop>
          <stop position="1">
            <color theme="9" tint="0.40000610370189521"/>
          </stop>
        </gradientFill>
      </fill>
    </dxf>
    <dxf>
      <font>
        <b/>
        <i val="0"/>
        <color theme="1"/>
      </font>
      <fill>
        <gradientFill degree="135">
          <stop position="0">
            <color theme="0"/>
          </stop>
          <stop position="1">
            <color theme="5" tint="0.40000610370189521"/>
          </stop>
        </gradientFill>
      </fill>
    </dxf>
    <dxf>
      <font>
        <color theme="0"/>
      </font>
    </dxf>
    <dxf>
      <numFmt numFmtId="0" formatCode="General"/>
    </dxf>
    <dxf>
      <numFmt numFmtId="0" formatCode="General"/>
    </dxf>
    <dxf>
      <numFmt numFmtId="0" formatCode="General"/>
    </dxf>
    <dxf>
      <numFmt numFmtId="0" formatCode="General"/>
    </dxf>
    <dxf>
      <protection locked="0" hidden="0"/>
    </dxf>
    <dxf>
      <font>
        <b/>
        <i val="0"/>
        <strike val="0"/>
        <condense val="0"/>
        <extend val="0"/>
        <outline val="0"/>
        <shadow val="0"/>
        <u val="none"/>
        <vertAlign val="baseline"/>
        <sz val="11"/>
        <color theme="0"/>
        <name val="Calibri"/>
        <family val="2"/>
        <scheme val="minor"/>
      </font>
      <fill>
        <patternFill patternType="solid">
          <fgColor theme="4"/>
          <bgColor theme="5" tint="-0.249977111117893"/>
        </patternFill>
      </fill>
    </dxf>
    <dxf>
      <font>
        <b/>
        <i/>
        <strike val="0"/>
        <u val="none"/>
        <color theme="1"/>
      </font>
      <fill>
        <patternFill patternType="solid">
          <fgColor auto="1"/>
          <bgColor theme="8" tint="0.79998168889431442"/>
        </patternFill>
      </fill>
      <border>
        <right style="thin">
          <color theme="8" tint="-0.24994659260841701"/>
        </right>
        <top style="thin">
          <color theme="8" tint="-0.24994659260841701"/>
        </top>
      </border>
    </dxf>
    <dxf>
      <font>
        <b/>
        <i/>
        <strike val="0"/>
        <u val="none"/>
        <color theme="1"/>
      </font>
      <fill>
        <patternFill patternType="solid">
          <fgColor auto="1"/>
          <bgColor theme="8" tint="0.79998168889431442"/>
        </patternFill>
      </fill>
      <border>
        <right/>
        <top style="thin">
          <color theme="8" tint="-0.24994659260841701"/>
        </top>
      </border>
    </dxf>
    <dxf>
      <font>
        <b/>
        <i/>
        <strike val="0"/>
        <u val="none"/>
        <color theme="1"/>
      </font>
      <fill>
        <patternFill patternType="solid">
          <fgColor auto="1"/>
          <bgColor theme="8" tint="0.79998168889431442"/>
        </patternFill>
      </fill>
      <border>
        <right style="thin">
          <color theme="8" tint="-0.24994659260841701"/>
        </right>
        <top style="thin">
          <color theme="8" tint="-0.24994659260841701"/>
        </top>
      </border>
    </dxf>
    <dxf>
      <font>
        <b/>
        <i/>
        <strike val="0"/>
        <u val="none"/>
        <color theme="1"/>
      </font>
      <fill>
        <patternFill patternType="solid">
          <fgColor auto="1"/>
          <bgColor theme="8" tint="0.79998168889431442"/>
        </patternFill>
      </fill>
      <border>
        <right/>
        <top style="thin">
          <color theme="8" tint="-0.24994659260841701"/>
        </top>
      </border>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dxf>
    <dxf>
      <numFmt numFmtId="0" formatCode="General"/>
    </dxf>
    <dxf>
      <numFmt numFmtId="0" formatCode="General"/>
    </dxf>
    <dxf>
      <numFmt numFmtId="0" formatCode="General"/>
    </dxf>
    <dxf>
      <protection locked="0" hidden="0"/>
    </dxf>
    <dxf>
      <font>
        <b/>
        <i val="0"/>
        <strike val="0"/>
        <condense val="0"/>
        <extend val="0"/>
        <outline val="0"/>
        <shadow val="0"/>
        <u val="none"/>
        <vertAlign val="baseline"/>
        <sz val="11"/>
        <color theme="0"/>
        <name val="Calibri"/>
        <family val="2"/>
        <scheme val="minor"/>
      </font>
      <fill>
        <patternFill patternType="solid">
          <fgColor theme="4"/>
          <bgColor theme="5" tint="-0.249977111117893"/>
        </patternFill>
      </fill>
    </dxf>
    <dxf>
      <font>
        <b/>
        <i/>
        <strike val="0"/>
        <u val="none"/>
        <color theme="1"/>
      </font>
      <fill>
        <patternFill patternType="solid">
          <fgColor auto="1"/>
          <bgColor theme="8" tint="0.79998168889431442"/>
        </patternFill>
      </fill>
      <border>
        <right style="thin">
          <color theme="8" tint="-0.24994659260841701"/>
        </right>
        <top style="thin">
          <color theme="8" tint="-0.24994659260841701"/>
        </top>
      </border>
    </dxf>
    <dxf>
      <font>
        <b/>
        <i/>
        <strike val="0"/>
        <u val="none"/>
        <color theme="1"/>
      </font>
      <fill>
        <patternFill patternType="solid">
          <fgColor auto="1"/>
          <bgColor theme="8" tint="0.79998168889431442"/>
        </patternFill>
      </fill>
      <border>
        <right style="thin">
          <color theme="8" tint="-0.24994659260841701"/>
        </right>
        <top style="thin">
          <color theme="8" tint="-0.24994659260841701"/>
        </top>
      </border>
    </dxf>
    <dxf>
      <font>
        <b/>
        <i/>
        <strike val="0"/>
        <u val="none"/>
        <color theme="1"/>
      </font>
      <fill>
        <patternFill patternType="solid">
          <fgColor auto="1"/>
          <bgColor theme="8" tint="0.79998168889431442"/>
        </patternFill>
      </fill>
      <border>
        <right/>
        <top style="thin">
          <color theme="8" tint="-0.24994659260841701"/>
        </top>
      </border>
    </dxf>
    <dxf>
      <font>
        <b/>
        <i/>
        <strike val="0"/>
        <u val="none"/>
        <color theme="1"/>
      </font>
      <fill>
        <patternFill patternType="solid">
          <fgColor auto="1"/>
          <bgColor theme="8" tint="0.79998168889431442"/>
        </patternFill>
      </fill>
      <border>
        <right/>
        <top style="thin">
          <color theme="8" tint="-0.24994659260841701"/>
        </top>
      </border>
    </dxf>
    <dxf>
      <numFmt numFmtId="176" formatCode="#,##0_ ;[Red]\-#,##0\ "/>
    </dxf>
    <dxf>
      <font>
        <sz val="14"/>
      </font>
    </dxf>
    <dxf>
      <font>
        <sz val="14"/>
      </font>
    </dxf>
    <dxf>
      <font>
        <sz val="14"/>
      </font>
    </dxf>
    <dxf>
      <font>
        <sz val="14"/>
      </font>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trike val="0"/>
        <outline val="0"/>
        <shadow val="0"/>
        <u val="none"/>
        <vertAlign val="baseline"/>
        <sz val="11"/>
        <color theme="0"/>
        <name val="Calibri"/>
        <family val="2"/>
        <scheme val="minor"/>
      </font>
    </dxf>
    <dxf>
      <font>
        <strike val="0"/>
        <outline val="0"/>
        <shadow val="0"/>
        <u val="none"/>
        <vertAlign val="baseline"/>
        <sz val="11"/>
        <color theme="0"/>
        <name val="Calibri"/>
        <family val="2"/>
        <scheme val="minor"/>
      </font>
    </dxf>
    <dxf>
      <font>
        <strike val="0"/>
        <outline val="0"/>
        <shadow val="0"/>
        <u val="none"/>
        <vertAlign val="baseline"/>
        <sz val="11"/>
        <color theme="0"/>
        <name val="Calibri"/>
        <family val="2"/>
        <scheme val="minor"/>
      </font>
    </dxf>
    <dxf>
      <font>
        <strike val="0"/>
        <outline val="0"/>
        <shadow val="0"/>
        <u val="none"/>
        <vertAlign val="baseline"/>
        <sz val="11"/>
        <color theme="0"/>
        <name val="Calibri"/>
        <family val="2"/>
        <scheme val="minor"/>
      </font>
    </dxf>
    <dxf>
      <font>
        <strike val="0"/>
        <outline val="0"/>
        <shadow val="0"/>
        <u val="none"/>
        <vertAlign val="baseline"/>
        <sz val="11"/>
        <color theme="0"/>
        <name val="Calibri"/>
        <family val="2"/>
        <scheme val="minor"/>
      </font>
    </dxf>
    <dxf>
      <font>
        <strike val="0"/>
        <outline val="0"/>
        <shadow val="0"/>
        <u val="none"/>
        <vertAlign val="baseline"/>
        <sz val="11"/>
        <color theme="0"/>
        <name val="Calibri"/>
        <family val="2"/>
        <scheme val="minor"/>
      </font>
    </dxf>
    <dxf>
      <font>
        <b/>
        <i val="0"/>
      </font>
      <fill>
        <patternFill>
          <bgColor theme="8" tint="0.79998168889431442"/>
        </patternFill>
      </fill>
    </dxf>
    <dxf>
      <font>
        <b/>
        <i val="0"/>
        <color theme="1"/>
      </font>
      <fill>
        <gradientFill degree="135">
          <stop position="0">
            <color theme="0"/>
          </stop>
          <stop position="1">
            <color theme="4" tint="0.59999389629810485"/>
          </stop>
        </gradientFill>
      </fill>
    </dxf>
    <dxf>
      <font>
        <b/>
        <i val="0"/>
        <color theme="1"/>
      </font>
      <fill>
        <gradientFill degree="135">
          <stop position="0">
            <color theme="0"/>
          </stop>
          <stop position="1">
            <color theme="9" tint="0.40000610370189521"/>
          </stop>
        </gradientFill>
      </fill>
    </dxf>
    <dxf>
      <font>
        <b/>
        <i val="0"/>
        <color theme="1"/>
      </font>
      <fill>
        <gradientFill degree="135">
          <stop position="0">
            <color theme="0"/>
          </stop>
          <stop position="1">
            <color theme="5" tint="0.40000610370189521"/>
          </stop>
        </gradientFill>
      </fill>
    </dxf>
    <dxf>
      <font>
        <color theme="0"/>
      </font>
    </dxf>
    <dxf>
      <font>
        <b/>
        <i val="0"/>
        <color theme="1"/>
      </font>
      <fill>
        <gradientFill degree="135">
          <stop position="0">
            <color theme="0"/>
          </stop>
          <stop position="1">
            <color theme="4" tint="0.59999389629810485"/>
          </stop>
        </gradientFill>
      </fill>
    </dxf>
    <dxf>
      <font>
        <b/>
        <i val="0"/>
        <color theme="1"/>
      </font>
      <fill>
        <gradientFill degree="135">
          <stop position="0">
            <color theme="0"/>
          </stop>
          <stop position="1">
            <color theme="9" tint="0.40000610370189521"/>
          </stop>
        </gradientFill>
      </fill>
    </dxf>
    <dxf>
      <font>
        <b/>
        <i val="0"/>
        <color theme="1"/>
      </font>
      <fill>
        <gradientFill degree="135">
          <stop position="0">
            <color theme="0"/>
          </stop>
          <stop position="1">
            <color theme="5" tint="0.40000610370189521"/>
          </stop>
        </gradientFill>
      </fill>
    </dxf>
    <dxf>
      <font>
        <color theme="0"/>
      </font>
    </dxf>
    <dxf>
      <font>
        <b val="0"/>
        <i val="0"/>
        <strike val="0"/>
        <condense val="0"/>
        <extend val="0"/>
        <outline val="0"/>
        <shadow val="0"/>
        <u val="none"/>
        <vertAlign val="baseline"/>
        <sz val="10"/>
        <color theme="1"/>
        <name val="Times New Roman"/>
        <family val="1"/>
        <scheme val="none"/>
      </font>
      <fill>
        <patternFill patternType="none">
          <fgColor indexed="64"/>
          <bgColor auto="1"/>
        </patternFill>
      </fill>
      <alignment horizontal="general" vertical="bottom" textRotation="0" wrapText="0" indent="0" justifyLastLine="0" shrinkToFit="0" readingOrder="1"/>
    </dxf>
    <dxf>
      <font>
        <b val="0"/>
        <i val="0"/>
        <strike val="0"/>
        <condense val="0"/>
        <extend val="0"/>
        <outline val="0"/>
        <shadow val="0"/>
        <u val="none"/>
        <vertAlign val="baseline"/>
        <sz val="10"/>
        <color theme="1"/>
        <name val="Times New Roman"/>
        <family val="1"/>
        <scheme val="none"/>
      </font>
      <fill>
        <patternFill patternType="none">
          <fgColor indexed="64"/>
          <bgColor auto="1"/>
        </patternFill>
      </fill>
      <alignment horizontal="general" vertical="bottom" textRotation="0" wrapText="0" indent="0" justifyLastLine="0" shrinkToFit="0" readingOrder="1"/>
    </dxf>
    <dxf>
      <font>
        <b val="0"/>
        <i val="0"/>
        <strike val="0"/>
        <condense val="0"/>
        <extend val="0"/>
        <outline val="0"/>
        <shadow val="0"/>
        <u val="none"/>
        <vertAlign val="baseline"/>
        <sz val="10"/>
        <color theme="1"/>
        <name val="Times New Roman"/>
        <family val="1"/>
        <scheme val="none"/>
      </font>
      <fill>
        <patternFill patternType="none">
          <fgColor indexed="64"/>
          <bgColor auto="1"/>
        </patternFill>
      </fill>
      <alignment horizontal="general" vertical="bottom" textRotation="0" wrapText="0" indent="0" justifyLastLine="0" shrinkToFit="0" readingOrder="1"/>
    </dxf>
    <dxf>
      <font>
        <b val="0"/>
        <i val="0"/>
        <strike val="0"/>
        <condense val="0"/>
        <extend val="0"/>
        <outline val="0"/>
        <shadow val="0"/>
        <u val="none"/>
        <vertAlign val="baseline"/>
        <sz val="10"/>
        <color theme="1"/>
        <name val="Times New Roman"/>
        <family val="1"/>
        <scheme val="none"/>
      </font>
      <fill>
        <patternFill patternType="none">
          <fgColor indexed="64"/>
          <bgColor auto="1"/>
        </patternFill>
      </fill>
      <alignment horizontal="general" vertical="bottom" textRotation="0" wrapText="0" indent="0" justifyLastLine="0" shrinkToFit="0" readingOrder="1"/>
    </dxf>
    <dxf>
      <font>
        <b val="0"/>
        <i val="0"/>
        <strike val="0"/>
        <condense val="0"/>
        <extend val="0"/>
        <outline val="0"/>
        <shadow val="0"/>
        <u val="none"/>
        <vertAlign val="baseline"/>
        <sz val="10"/>
        <color theme="1"/>
        <name val="Times New Roman"/>
        <family val="1"/>
        <scheme val="none"/>
      </font>
      <fill>
        <patternFill patternType="none">
          <fgColor indexed="64"/>
          <bgColor auto="1"/>
        </patternFill>
      </fill>
      <alignment horizontal="general" vertical="bottom" textRotation="0" wrapText="0" indent="0" justifyLastLine="0" shrinkToFit="0" readingOrder="1"/>
    </dxf>
    <dxf>
      <font>
        <b val="0"/>
        <i val="0"/>
        <strike val="0"/>
        <condense val="0"/>
        <extend val="0"/>
        <outline val="0"/>
        <shadow val="0"/>
        <u val="none"/>
        <vertAlign val="baseline"/>
        <sz val="10"/>
        <color theme="1"/>
        <name val="Times New Roman"/>
        <family val="1"/>
        <scheme val="none"/>
      </font>
      <fill>
        <patternFill patternType="none">
          <fgColor indexed="64"/>
          <bgColor auto="1"/>
        </patternFill>
      </fill>
      <alignment horizontal="general" vertical="bottom" textRotation="0" wrapText="0" indent="0" justifyLastLine="0" shrinkToFit="0" readingOrder="1"/>
    </dxf>
    <dxf>
      <font>
        <b val="0"/>
        <i val="0"/>
        <strike val="0"/>
        <condense val="0"/>
        <extend val="0"/>
        <outline val="0"/>
        <shadow val="0"/>
        <u val="none"/>
        <vertAlign val="baseline"/>
        <sz val="10"/>
        <color theme="1"/>
        <name val="Times New Roman"/>
        <family val="1"/>
        <scheme val="none"/>
      </font>
      <fill>
        <patternFill patternType="none">
          <fgColor indexed="64"/>
          <bgColor auto="1"/>
        </patternFill>
      </fill>
      <alignment horizontal="general" vertical="bottom" textRotation="0" wrapText="0" indent="0" justifyLastLine="0" shrinkToFit="0" readingOrder="1"/>
    </dxf>
    <dxf>
      <font>
        <b val="0"/>
        <i val="0"/>
        <strike val="0"/>
        <condense val="0"/>
        <extend val="0"/>
        <outline val="0"/>
        <shadow val="0"/>
        <u val="none"/>
        <vertAlign val="baseline"/>
        <sz val="10"/>
        <color theme="1"/>
        <name val="Times New Roman"/>
        <family val="1"/>
        <scheme val="none"/>
      </font>
      <fill>
        <patternFill patternType="none">
          <fgColor indexed="64"/>
          <bgColor auto="1"/>
        </patternFill>
      </fill>
      <alignment horizontal="general" vertical="bottom" textRotation="0" wrapText="0" indent="0" justifyLastLine="0" shrinkToFit="0" readingOrder="1"/>
    </dxf>
    <dxf>
      <font>
        <b val="0"/>
        <i val="0"/>
        <strike val="0"/>
        <condense val="0"/>
        <extend val="0"/>
        <outline val="0"/>
        <shadow val="0"/>
        <u val="none"/>
        <vertAlign val="baseline"/>
        <sz val="10"/>
        <color theme="1"/>
        <name val="Times New Roman"/>
        <family val="1"/>
        <scheme val="none"/>
      </font>
      <fill>
        <patternFill patternType="none">
          <fgColor indexed="64"/>
          <bgColor auto="1"/>
        </patternFill>
      </fill>
      <alignment horizontal="general" vertical="bottom" textRotation="0" wrapText="0" indent="0" justifyLastLine="0" shrinkToFit="0" readingOrder="1"/>
    </dxf>
    <dxf>
      <font>
        <b val="0"/>
        <i val="0"/>
        <strike val="0"/>
        <condense val="0"/>
        <extend val="0"/>
        <outline val="0"/>
        <shadow val="0"/>
        <u val="none"/>
        <vertAlign val="baseline"/>
        <sz val="10"/>
        <color theme="1"/>
        <name val="Times New Roman"/>
        <family val="1"/>
        <scheme val="none"/>
      </font>
      <fill>
        <patternFill patternType="none">
          <fgColor indexed="64"/>
          <bgColor auto="1"/>
        </patternFill>
      </fill>
      <alignment horizontal="general" vertical="bottom" textRotation="0" wrapText="0" indent="0" justifyLastLine="0" shrinkToFit="0" readingOrder="1"/>
    </dxf>
    <dxf>
      <font>
        <b val="0"/>
        <i val="0"/>
        <strike val="0"/>
        <condense val="0"/>
        <extend val="0"/>
        <outline val="0"/>
        <shadow val="0"/>
        <u val="none"/>
        <vertAlign val="baseline"/>
        <sz val="10"/>
        <color theme="1"/>
        <name val="Times New Roman"/>
        <family val="1"/>
        <scheme val="none"/>
      </font>
      <numFmt numFmtId="165" formatCode="_-* #,##0.0_-;\-* #,##0.0_-;_-* &quot;-&quot;??_-;_-@_-"/>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theme="1"/>
        <name val="Times New Roman"/>
        <family val="1"/>
        <scheme val="none"/>
      </font>
      <numFmt numFmtId="0" formatCode="General"/>
      <fill>
        <patternFill patternType="none">
          <fgColor indexed="64"/>
          <bgColor auto="1"/>
        </patternFill>
      </fill>
      <alignment horizontal="general" vertical="bottom" textRotation="0" wrapText="0" indent="0" justifyLastLine="0" shrinkToFit="0" readingOrder="1"/>
    </dxf>
    <dxf>
      <font>
        <b val="0"/>
        <i val="0"/>
        <strike val="0"/>
        <condense val="0"/>
        <extend val="0"/>
        <outline val="0"/>
        <shadow val="0"/>
        <u val="none"/>
        <vertAlign val="baseline"/>
        <sz val="10"/>
        <color theme="1"/>
        <name val="Times New Roman"/>
        <family val="1"/>
        <scheme val="none"/>
      </font>
      <fill>
        <patternFill patternType="none">
          <fgColor indexed="64"/>
          <bgColor auto="1"/>
        </patternFill>
      </fill>
      <alignment horizontal="general" vertical="bottom" textRotation="0" wrapText="0" indent="0" justifyLastLine="0" shrinkToFit="0" readingOrder="1"/>
    </dxf>
    <dxf>
      <font>
        <b val="0"/>
        <i val="0"/>
        <strike val="0"/>
        <condense val="0"/>
        <extend val="0"/>
        <outline val="0"/>
        <shadow val="0"/>
        <u val="none"/>
        <vertAlign val="baseline"/>
        <sz val="10"/>
        <color theme="1"/>
        <name val="Times New Roman"/>
        <family val="1"/>
        <scheme val="none"/>
      </font>
      <numFmt numFmtId="0" formatCode="General"/>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Times New Roman"/>
        <family val="1"/>
        <scheme val="none"/>
      </font>
      <numFmt numFmtId="0" formatCode="General"/>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Times New Roman"/>
        <family val="1"/>
        <scheme val="none"/>
      </font>
      <numFmt numFmtId="0" formatCode="General"/>
      <fill>
        <patternFill patternType="none">
          <fgColor indexed="64"/>
          <bgColor auto="1"/>
        </patternFill>
      </fill>
      <alignment horizontal="general" vertical="bottom" textRotation="0" wrapText="0" indent="0" justifyLastLine="0" shrinkToFit="0" readingOrder="1"/>
    </dxf>
    <dxf>
      <font>
        <b val="0"/>
        <i val="0"/>
        <strike val="0"/>
        <condense val="0"/>
        <extend val="0"/>
        <outline val="0"/>
        <shadow val="0"/>
        <u val="none"/>
        <vertAlign val="baseline"/>
        <sz val="10"/>
        <color theme="1"/>
        <name val="Times New Roman"/>
        <family val="1"/>
        <scheme val="none"/>
      </font>
      <fill>
        <patternFill patternType="none">
          <fgColor indexed="64"/>
          <bgColor auto="1"/>
        </patternFill>
      </fill>
      <alignment horizontal="general" vertical="bottom" textRotation="0" wrapText="0" indent="0" justifyLastLine="0" shrinkToFit="0" readingOrder="1"/>
    </dxf>
    <dxf>
      <font>
        <b val="0"/>
        <i val="0"/>
        <strike val="0"/>
        <condense val="0"/>
        <extend val="0"/>
        <outline val="0"/>
        <shadow val="0"/>
        <u val="none"/>
        <vertAlign val="baseline"/>
        <sz val="10"/>
        <color theme="0"/>
        <name val="Times New Roman"/>
        <family val="1"/>
        <scheme val="none"/>
      </font>
      <fill>
        <patternFill patternType="none">
          <fgColor indexed="64"/>
          <bgColor auto="1"/>
        </patternFill>
      </fill>
      <alignment horizontal="center" vertical="center" textRotation="0" wrapText="1" indent="0" justifyLastLine="0" shrinkToFit="0" readingOrder="1"/>
    </dxf>
    <dxf>
      <font>
        <color rgb="FF9C0006"/>
      </font>
      <fill>
        <patternFill>
          <bgColor rgb="FFFFC7CE"/>
        </patternFill>
      </fill>
    </dxf>
    <dxf>
      <fill>
        <patternFill>
          <bgColor rgb="FFFFFF00"/>
        </patternFill>
      </fill>
    </dxf>
    <dxf>
      <font>
        <b/>
        <i val="0"/>
      </font>
      <fill>
        <patternFill>
          <bgColor theme="8" tint="0.79998168889431442"/>
        </patternFill>
      </fill>
    </dxf>
  </dxfs>
  <tableStyles count="0" defaultTableStyle="TableStyleMedium2" defaultPivotStyle="PivotStyleLight16"/>
  <colors>
    <mruColors>
      <color rgb="FF66FFFF"/>
      <color rgb="FF6CD2B1"/>
      <color rgb="FFF6BCBC"/>
      <color rgb="FFFDE9EE"/>
      <color rgb="FFFFD5D5"/>
      <color rgb="FF6C86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41"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33" xr16:uid="{962A75B9-8CC6-404C-B060-721CE5D7EF1C}" autoFormatId="16" applyNumberFormats="0" applyBorderFormats="0" applyFontFormats="0" applyPatternFormats="0" applyAlignmentFormats="0" applyWidthHeightFormats="0">
  <queryTableRefresh nextId="51" unboundColumnsRight="31">
    <queryTableFields count="36">
      <queryTableField id="1" name="NAMA BARANG" tableColumnId="1"/>
      <queryTableField id="2" name="KODE BARANG" tableColumnId="2"/>
      <queryTableField id="41" name="ITEM STOCK OPNAME" tableColumnId="3"/>
      <queryTableField id="4" name="SATUAN" tableColumnId="4"/>
      <queryTableField id="5" name="Konversi" tableColumnId="5"/>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 id="32" dataBound="0" tableColumnId="32"/>
      <queryTableField id="33" dataBound="0" tableColumnId="33"/>
      <queryTableField id="34" dataBound="0" tableColumnId="34"/>
      <queryTableField id="35" dataBound="0" tableColumnId="35"/>
      <queryTableField id="36" dataBound="0" tableColumnId="36"/>
      <queryTableField id="37" dataBound="0" tableColumnId="37"/>
      <queryTableField id="38" dataBound="0" tableColumnId="3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32" xr16:uid="{9411BE34-DA2B-410E-A9E2-7B1E7B9F8C9F}" autoFormatId="16" applyNumberFormats="0" applyBorderFormats="0" applyFontFormats="0" applyPatternFormats="0" applyAlignmentFormats="0" applyWidthHeightFormats="0">
  <queryTableRefresh nextId="43" unboundColumnsRight="31">
    <queryTableFields count="36">
      <queryTableField id="1" name="NAMA BARANG" tableColumnId="1"/>
      <queryTableField id="2" name="KODE BARANG" tableColumnId="2"/>
      <queryTableField id="3" name="ITEM STOCK OPNAME" tableColumnId="3"/>
      <queryTableField id="4" name="SATUAN" tableColumnId="4"/>
      <queryTableField id="5" name="Konversi" tableColumnId="5"/>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 id="32" dataBound="0" tableColumnId="32"/>
      <queryTableField id="33" dataBound="0" tableColumnId="33"/>
      <queryTableField id="34" dataBound="0" tableColumnId="34"/>
      <queryTableField id="35" dataBound="0" tableColumnId="35"/>
      <queryTableField id="36" dataBound="0" tableColumnId="36"/>
      <queryTableField id="37" dataBound="0" tableColumnId="37"/>
      <queryTableField id="38" dataBound="0" tableColumnId="3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22" xr16:uid="{97E582EC-0338-40DA-887A-CDA8D02BAD1C}" autoFormatId="16" applyNumberFormats="0" applyBorderFormats="0" applyFontFormats="0" applyPatternFormats="0" applyAlignmentFormats="0" applyWidthHeightFormats="0">
  <queryTableRefresh nextId="33" unboundColumnsRight="31">
    <queryTableFields count="32">
      <queryTableField id="1" name="Menu" tableColumnId="1"/>
      <queryTableField id="2" dataBound="0" tableColumnId="2"/>
      <queryTableField id="3" dataBound="0"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 id="32" dataBound="0" tableColumnId="3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20" xr16:uid="{F4685456-B2BC-4D5A-A684-A91441EA2405}" autoFormatId="16" applyNumberFormats="0" applyBorderFormats="0" applyFontFormats="0" applyPatternFormats="0" applyAlignmentFormats="0" applyWidthHeightFormats="0">
  <queryTableRefresh nextId="44">
    <queryTableFields count="39">
      <queryTableField id="1" name="KATEGORI" tableColumnId="1"/>
      <queryTableField id="2" name="SOURCE DATA" tableColumnId="2"/>
      <queryTableField id="3" name="JENIS" tableColumnId="3"/>
      <queryTableField id="4" name="STATUS" tableColumnId="4"/>
      <queryTableField id="5" name="NAMA BARANG" tableColumnId="5"/>
      <queryTableField id="6" name="KETERANGAN" tableColumnId="6"/>
      <queryTableField id="7" name="PENYEBAB TERJADINYA WASTE" tableColumnId="7"/>
      <queryTableField id="8" name="SATUAN" tableColumnId="8"/>
      <queryTableField id="9" name="1" tableColumnId="9"/>
      <queryTableField id="10" name="2" tableColumnId="10"/>
      <queryTableField id="11" name="3" tableColumnId="11"/>
      <queryTableField id="12" name="4" tableColumnId="12"/>
      <queryTableField id="13" name="5" tableColumnId="13"/>
      <queryTableField id="14" name="6" tableColumnId="14"/>
      <queryTableField id="15" name="7" tableColumnId="15"/>
      <queryTableField id="16" name="8" tableColumnId="16"/>
      <queryTableField id="17" name="9" tableColumnId="17"/>
      <queryTableField id="18" name="10" tableColumnId="18"/>
      <queryTableField id="19" name="11" tableColumnId="19"/>
      <queryTableField id="20" name="12" tableColumnId="20"/>
      <queryTableField id="21" name="13" tableColumnId="21"/>
      <queryTableField id="22" name="14" tableColumnId="22"/>
      <queryTableField id="23" name="15" tableColumnId="23"/>
      <queryTableField id="24" name="16" tableColumnId="24"/>
      <queryTableField id="25" name="17" tableColumnId="25"/>
      <queryTableField id="26" name="18" tableColumnId="26"/>
      <queryTableField id="27" name="19" tableColumnId="27"/>
      <queryTableField id="28" name="20" tableColumnId="28"/>
      <queryTableField id="29" name="21" tableColumnId="29"/>
      <queryTableField id="30" name="22" tableColumnId="30"/>
      <queryTableField id="31" name="23" tableColumnId="31"/>
      <queryTableField id="32" name="24" tableColumnId="32"/>
      <queryTableField id="33" name="25" tableColumnId="33"/>
      <queryTableField id="34" name="26" tableColumnId="34"/>
      <queryTableField id="35" name="27" tableColumnId="35"/>
      <queryTableField id="36" name="28" tableColumnId="36"/>
      <queryTableField id="37" name="29" tableColumnId="37"/>
      <queryTableField id="38" name="30" tableColumnId="38"/>
      <queryTableField id="39" name="31" tableColumnId="3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29" xr16:uid="{35C6454F-9436-46E7-9280-612B38ECD253}" autoFormatId="16" applyNumberFormats="0" applyBorderFormats="0" applyFontFormats="0" applyPatternFormats="0" applyAlignmentFormats="0" applyWidthHeightFormats="0">
  <queryTableRefresh nextId="39" unboundColumnsRight="31">
    <queryTableFields count="36">
      <queryTableField id="2" name="NAMA BARANG" tableColumnId="2"/>
      <queryTableField id="3" name="KETERANGAN" tableColumnId="3"/>
      <queryTableField id="4" name="PENYEBAB TERJADINYA WASTE" tableColumnId="4"/>
      <queryTableField id="5" name="SATUAN" tableColumnId="5"/>
      <queryTableField id="7" name="KONVERSI"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 id="32" dataBound="0" tableColumnId="32"/>
      <queryTableField id="33" dataBound="0" tableColumnId="33"/>
      <queryTableField id="34" dataBound="0" tableColumnId="34"/>
      <queryTableField id="35" dataBound="0" tableColumnId="35"/>
      <queryTableField id="36" dataBound="0" tableColumnId="36"/>
      <queryTableField id="37" dataBound="0" tableColumnId="37"/>
      <queryTableField id="38" dataBound="0" tableColumnId="3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34" xr16:uid="{0B5C3AB9-BCC4-431D-B5D1-D2135DFC4006}" autoFormatId="16" applyNumberFormats="0" applyBorderFormats="0" applyFontFormats="0" applyPatternFormats="0" applyAlignmentFormats="0" applyWidthHeightFormats="0">
  <queryTableRefresh nextId="31" unboundColumnsRight="1">
    <queryTableFields count="3">
      <queryTableField id="4" name="NAMA BARANG" tableColumnId="4"/>
      <queryTableField id="26" name="SATUAN" tableColumnId="5"/>
      <queryTableField id="3" dataBound="0"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31" xr16:uid="{8184BBA2-AD45-4070-BF28-B36F960C10F9}" autoFormatId="16" applyNumberFormats="0" applyBorderFormats="0" applyFontFormats="0" applyPatternFormats="0" applyAlignmentFormats="0" applyWidthHeightFormats="0">
  <queryTableRefresh nextId="43" unboundColumnsRight="31">
    <queryTableFields count="36">
      <queryTableField id="1" name="NAMA BARANG" tableColumnId="1"/>
      <queryTableField id="2" name="KODE BARANG" tableColumnId="2"/>
      <queryTableField id="3" name="ITEM STOCK OPNAME" tableColumnId="3"/>
      <queryTableField id="4" name="SATUAN" tableColumnId="4"/>
      <queryTableField id="5" name="Konversi" tableColumnId="5"/>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 id="32" dataBound="0" tableColumnId="32"/>
      <queryTableField id="33" dataBound="0" tableColumnId="33"/>
      <queryTableField id="34" dataBound="0" tableColumnId="34"/>
      <queryTableField id="35" dataBound="0" tableColumnId="35"/>
      <queryTableField id="36" dataBound="0" tableColumnId="36"/>
      <queryTableField id="37" dataBound="0" tableColumnId="37"/>
      <queryTableField id="38" dataBound="0" tableColumnId="38"/>
      <queryTableField id="39" dataBound="0" tableColumnId="39"/>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23" xr16:uid="{F913B785-973E-4BDF-A571-87056AF4156D}" autoFormatId="16" applyNumberFormats="0" applyBorderFormats="0" applyFontFormats="0" applyPatternFormats="0" applyAlignmentFormats="0" applyWidthHeightFormats="0">
  <queryTableRefresh nextId="33" unboundColumnsRight="31">
    <queryTableFields count="32">
      <queryTableField id="1" name="Menu" tableColumnId="1"/>
      <queryTableField id="2" dataBound="0" tableColumnId="2"/>
      <queryTableField id="3" dataBound="0"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 id="32" dataBound="0" tableColumnId="3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26" xr16:uid="{9F431F28-EAF7-4084-BEA7-5A145BB90544}" autoFormatId="16" applyNumberFormats="0" applyBorderFormats="0" applyFontFormats="0" applyPatternFormats="0" applyAlignmentFormats="0" applyWidthHeightFormats="0">
  <queryTableRefresh nextId="33" unboundColumnsRight="31">
    <queryTableFields count="32">
      <queryTableField id="1" name="Menu" tableColumnId="1"/>
      <queryTableField id="2" dataBound="0" tableColumnId="2"/>
      <queryTableField id="3" dataBound="0"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 id="32" dataBound="0" tableColumnId="3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25" xr16:uid="{E4BCDDA4-AF61-488D-A709-5749A3C066CF}" autoFormatId="16" applyNumberFormats="0" applyBorderFormats="0" applyFontFormats="0" applyPatternFormats="0" applyAlignmentFormats="0" applyWidthHeightFormats="0">
  <queryTableRefresh nextId="33" unboundColumnsRight="31">
    <queryTableFields count="32">
      <queryTableField id="1" name="Menu" tableColumnId="1"/>
      <queryTableField id="2" dataBound="0" tableColumnId="2"/>
      <queryTableField id="3" dataBound="0"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 id="32" dataBound="0" tableColumnId="3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28" xr16:uid="{C430AC2D-466F-427D-8EE0-ADBF866D1BED}" autoFormatId="16" applyNumberFormats="0" applyBorderFormats="0" applyFontFormats="0" applyPatternFormats="0" applyAlignmentFormats="0" applyWidthHeightFormats="0">
  <queryTableRefresh nextId="36" unboundColumnsRight="31">
    <queryTableFields count="35">
      <queryTableField id="1" name="NAMA BARANG" tableColumnId="1"/>
      <queryTableField id="2" name="KETERANGAN" tableColumnId="2"/>
      <queryTableField id="3" name="SATUAN" tableColumnId="3"/>
      <queryTableField id="4" name="KONVERSI"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 id="32" dataBound="0" tableColumnId="32"/>
      <queryTableField id="33" dataBound="0" tableColumnId="33"/>
      <queryTableField id="34" dataBound="0" tableColumnId="34"/>
      <queryTableField id="35" dataBound="0" tableColumnId="35"/>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 adjustColumnWidth="0" connectionId="24" xr16:uid="{F2122570-61EB-4AB0-BFFA-734E2F242C95}" autoFormatId="16" applyNumberFormats="0" applyBorderFormats="0" applyFontFormats="0" applyPatternFormats="0" applyAlignmentFormats="0" applyWidthHeightFormats="0">
  <queryTableRefresh nextId="33" unboundColumnsRight="31">
    <queryTableFields count="32">
      <queryTableField id="1" name="Menu" tableColumnId="1"/>
      <queryTableField id="2" dataBound="0" tableColumnId="2"/>
      <queryTableField id="3" dataBound="0"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 id="32" dataBound="0" tableColumnId="32"/>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2" adjustColumnWidth="0" connectionId="27" xr16:uid="{2A31E175-4139-4ACC-BF28-BEB9A87AABF6}" autoFormatId="16" applyNumberFormats="0" applyBorderFormats="0" applyFontFormats="0" applyPatternFormats="0" applyAlignmentFormats="0" applyWidthHeightFormats="0">
  <queryTableRefresh nextId="39" unboundColumnsRight="31">
    <queryTableFields count="35">
      <queryTableField id="2" name="NAMA BARANG" tableColumnId="2"/>
      <queryTableField id="3" name="KETERANGAN" tableColumnId="3"/>
      <queryTableField id="4" name="SATUAN" tableColumnId="4"/>
      <queryTableField id="38" name="KONVERSI" tableColumnId="38"/>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 id="32" dataBound="0" tableColumnId="32"/>
      <queryTableField id="33" dataBound="0" tableColumnId="33"/>
      <queryTableField id="34" dataBound="0" tableColumnId="34"/>
      <queryTableField id="35" dataBound="0" tableColumnId="35"/>
      <queryTableField id="36" dataBound="0" tableColumnId="36"/>
      <queryTableField id="37" dataBound="0" tableColumnId="37"/>
    </queryTableFields>
  </queryTableRefresh>
</queryTable>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0F598E-24E0-4482-8D50-048BBB09698D}" name="Database_Konversi" displayName="Database_Konversi" ref="A1:P502" totalsRowShown="0" headerRowDxfId="537" dataDxfId="536">
  <autoFilter ref="A1:P502" xr:uid="{940F598E-24E0-4482-8D50-048BBB09698D}"/>
  <sortState xmlns:xlrd2="http://schemas.microsoft.com/office/spreadsheetml/2017/richdata2" ref="A2:P502">
    <sortCondition ref="A2:A502"/>
  </sortState>
  <tableColumns count="16">
    <tableColumn id="1" xr3:uid="{424659C6-5C34-4ACE-B9CF-729064D5CB22}" name="NAMA BARANG" dataDxfId="535"/>
    <tableColumn id="3" xr3:uid="{600736F3-835B-4FA9-9BFB-9C0397AE5A08}" name="KODE BARANG" dataDxfId="534"/>
    <tableColumn id="7" xr3:uid="{ABFFCE32-1B9D-4285-8F86-3E9398F3AC7E}" name="ITEM STOCK OPNAME" dataDxfId="533"/>
    <tableColumn id="4" xr3:uid="{7CB69CCE-A2B1-45ED-85E6-D2DC4CA41823}" name="SATUAN" dataDxfId="532"/>
    <tableColumn id="5" xr3:uid="{9826CE65-8B6A-4243-B414-E6080D350DFE}" name="Konversi" dataDxfId="531"/>
    <tableColumn id="8" xr3:uid="{41B55A6A-5DBF-4F6D-AB1D-C3FFDE2C453F}" name="SATUAN 2" dataDxfId="530" dataCellStyle="Comma"/>
    <tableColumn id="2" xr3:uid="{4261EB54-6075-46E0-8E39-2A97B747F3EC}" name="INPUT SO HARIAN" dataDxfId="529"/>
    <tableColumn id="9" xr3:uid="{E7882857-1842-496B-9417-F9DAC233DE2C}" name="INPUT BARANG MASUK/KELUAR" dataDxfId="528"/>
    <tableColumn id="6" xr3:uid="{E421F4A1-7187-44B8-95CF-FA156A234B16}" name="LINK" dataDxfId="527"/>
    <tableColumn id="13" xr3:uid="{BA559AB0-04FC-4147-B55D-9E85DF5FC9EF}" name="Helper" dataDxfId="526"/>
    <tableColumn id="10" xr3:uid="{16F2BBF6-0B93-4847-9F34-432C3FB75B4E}" name="KATEGORI" dataDxfId="525"/>
    <tableColumn id="11" xr3:uid="{7E8B2134-91F8-4BF4-8BA0-7B4B1F8EFDFF}" name="STATUS" dataDxfId="524"/>
    <tableColumn id="21" xr3:uid="{5C5253C6-9FC0-4D31-BD13-2E09BC338EBE}" name="BOM [Promix 00 &amp; 04]" dataDxfId="523"/>
    <tableColumn id="22" xr3:uid="{E26C44A4-96DB-4892-98E2-B121BF8EA5A8}" name="Cancel Nota [Waste CN Dine In &amp; TA]" dataDxfId="522"/>
    <tableColumn id="23" xr3:uid="{B2F382A8-9883-44EB-BBD2-901C256BD415}" name="Trial Porsi [Trial Porsi]" dataDxfId="521"/>
    <tableColumn id="24" xr3:uid="{69A35E5B-8240-4FFB-ADD7-BE0C451A3EF6}" name="Waste Handling [Waste Handling]" dataDxfId="520"/>
  </tableColumns>
  <tableStyleInfo name="TableStyleLight9"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E167DE-6D4D-4CC4-8618-7D9C357BF095}" name="DBS_BOM" displayName="DBS_BOM" ref="A1:D762" totalsRowShown="0" headerRowDxfId="510" dataDxfId="509">
  <autoFilter ref="A1:D762" xr:uid="{CFE167DE-6D4D-4CC4-8618-7D9C357BF095}"/>
  <tableColumns count="4">
    <tableColumn id="1" xr3:uid="{24473B05-9C3C-446F-AE04-8005C082A43A}" name="Nama Barang Grup Barang" dataDxfId="508"/>
    <tableColumn id="2" xr3:uid="{3F4CD71E-D3F3-47A9-BDD3-6724BF6EF17E}" name="NAMA BARANG" dataDxfId="507"/>
    <tableColumn id="3" xr3:uid="{5869F3E6-1625-4792-8742-0782F20B922C}" name="Kuantitas" dataDxfId="506"/>
    <tableColumn id="4" xr3:uid="{1B9AB032-5BDB-4E60-9C50-8D08ED5D9283}" name="Satuan2" dataDxfId="505"/>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44921F-450C-4CC6-836D-E1C5EFBDA27D}" name="DBS_TRIAL_DAN_SUSUT" displayName="DBS_TRIAL_DAN_SUSUT" ref="A1:F85" totalsRowShown="0">
  <sortState xmlns:xlrd2="http://schemas.microsoft.com/office/spreadsheetml/2017/richdata2" ref="A2:F85">
    <sortCondition ref="B2:B85"/>
  </sortState>
  <tableColumns count="6">
    <tableColumn id="7" xr3:uid="{36C28487-2E9B-4A05-9795-A122AA9C1F95}" name="Helper"/>
    <tableColumn id="1" xr3:uid="{4D8142FD-0D85-434A-AF97-272F71581D47}" name="NAMA BARANG"/>
    <tableColumn id="2" xr3:uid="{29E54AFC-18D2-4237-B8AE-F3E13A83A6A1}" name="KETERANGAN"/>
    <tableColumn id="3" xr3:uid="{1A066089-696A-4A92-BC33-79DB7BE364D4}" name="SATUAN"/>
    <tableColumn id="4" xr3:uid="{91B9EAA5-CCF3-45A4-885C-3D0560E82971}" name="KONVERSI"/>
    <tableColumn id="5" xr3:uid="{8B69691D-1713-4EA3-9F46-3CDEFE0D6149}" name="LINK BARANG"/>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A59DBA1-AFCA-4659-91A9-DCA00C13657A}" name="SRC_WASTE_Bnp" displayName="SRC_WASTE_Bnp" ref="A1:G508" totalsRowShown="0">
  <autoFilter ref="A1:G508" xr:uid="{BA59DBA1-AFCA-4659-91A9-DCA00C13657A}"/>
  <sortState xmlns:xlrd2="http://schemas.microsoft.com/office/spreadsheetml/2017/richdata2" ref="A2:G441">
    <sortCondition ref="B2:B441"/>
  </sortState>
  <tableColumns count="7">
    <tableColumn id="1" xr3:uid="{93EE23F3-B78A-4E9A-9C85-DDE45A09F6DA}" name="Helper"/>
    <tableColumn id="2" xr3:uid="{D9F40D96-B5A8-403F-B2C2-55C7B2EBE7EB}" name="NAMA BARANG"/>
    <tableColumn id="3" xr3:uid="{25FA2475-B314-4116-B28D-9C7EF9709FE1}" name="KETERANGAN"/>
    <tableColumn id="4" xr3:uid="{D11EDFD1-F690-47CF-B13F-29B01AE9ED7D}" name="PENYEBAB TERJADINYA WASTE"/>
    <tableColumn id="5" xr3:uid="{B94F2073-4345-4FD1-B062-BFDDED0C24FC}" name="SATUAN"/>
    <tableColumn id="6" xr3:uid="{7DBEC022-8E5B-4E6B-81FE-5A073603D4A3}" name="LINK BARANG"/>
    <tableColumn id="7" xr3:uid="{D1480768-A675-4FF2-BD2E-93D2B9872EB7}" name="KONVERSI"/>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AE7A504-E512-4F4F-A76F-0A5AA49CCCAD}" name="Table11" displayName="Table11" ref="A3:R4" totalsRowShown="0">
  <autoFilter ref="A3:R4" xr:uid="{AAE7A504-E512-4F4F-A76F-0A5AA49CCCAD}"/>
  <tableColumns count="18">
    <tableColumn id="1" xr3:uid="{8693F7B1-2412-4817-B208-A9E17A3735D7}" name="KATEGORI"/>
    <tableColumn id="2" xr3:uid="{3A6343FA-96F6-4A54-9849-A86E0B2F3CB2}" name="NAMA BARANG"/>
    <tableColumn id="3" xr3:uid="{D97BC162-A0B3-4F78-A6EF-2E7D12DDAA69}" name="JENIS"/>
    <tableColumn id="4" xr3:uid="{E02E1176-277C-47A3-8E48-3AD04EDB36CC}" name="SATUAN"/>
    <tableColumn id="5" xr3:uid="{193F742D-9562-470E-9415-D134427F9D8E}" name="Attribute"/>
    <tableColumn id="6" xr3:uid="{3DEE8959-96E1-4B40-8382-57CDABD94CEF}" name="SO_KEMARIN"/>
    <tableColumn id="7" xr3:uid="{5AD167D5-7619-4335-BAB7-31DF5834FB98}" name="WASTE"/>
    <tableColumn id="8" xr3:uid="{CE7D49A1-68AE-40D5-9807-496BA41A0FD6}" name="TRIAL"/>
    <tableColumn id="9" xr3:uid="{993666A5-4E2C-40C0-9971-653C5A8DDF8E}" name="SUSUT"/>
    <tableColumn id="10" xr3:uid="{E2C9E957-648F-4778-B814-8A9D26C7F1B5}" name="STOCK AWAL"/>
    <tableColumn id="11" xr3:uid="{4BA5BC6A-9DED-4EDB-BF54-AB5238ECFB4C}" name="BARANG MASUK"/>
    <tableColumn id="12" xr3:uid="{54208A97-CF3A-4C35-B769-58C1616C1FFE}" name="BARANG KELUAR"/>
    <tableColumn id="13" xr3:uid="{ADE779E3-848A-433B-88DF-ADC00BA30D32}" name="BOM"/>
    <tableColumn id="14" xr3:uid="{62D5F813-CFB2-485D-BAAA-BA6E9C57FE33}" name="Stock Seharusnya (SO_Kemarin + Barang Masuk - Barang Keluar - BOM)"/>
    <tableColumn id="15" xr3:uid="{8C4E0965-DC46-4B3A-B458-9FE16EE3612E}" name="SO"/>
    <tableColumn id="16" xr3:uid="{D91D8BD1-6676-4B3C-9FE9-9BBCB1E274CE}" name="Value"/>
    <tableColumn id="17" xr3:uid="{53287299-7A1B-4E34-8C51-754138B67075}" name="Keterangan"/>
    <tableColumn id="18" xr3:uid="{633B1043-5739-4408-9808-9F18E336A72A}" name="Indikasi"/>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496D30-9EE9-4390-B90B-B2027D210AA6}" name="IPT_SO_HARIAN" displayName="IPT_SO_HARIAN" ref="A1:AJ345" tableType="queryTable" headerRowDxfId="484" dataDxfId="483" dataCellStyle="Comma [0]">
  <autoFilter ref="A1:AJ345" xr:uid="{CF496D30-9EE9-4390-B90B-B2027D210AA6}"/>
  <tableColumns count="36">
    <tableColumn id="1" xr3:uid="{4E8A5A32-EF33-4E1D-BC25-0D4A20C9124A}" uniqueName="1" name="NAMA BARANG" totalsRowLabel="Total" queryTableFieldId="1" dataDxfId="482"/>
    <tableColumn id="2" xr3:uid="{403EE944-1B0D-4681-AAA9-D659418243B6}" uniqueName="2" name="KODE BARANG" queryTableFieldId="2" dataDxfId="481"/>
    <tableColumn id="3" xr3:uid="{EC688798-8A11-4F61-9360-B55BDBB49FE9}" uniqueName="3" name="ITEM STOCK OPNAME" queryTableFieldId="41" dataDxfId="480"/>
    <tableColumn id="4" xr3:uid="{16FF1919-A816-4A1A-8E3D-0C5EEDC21598}" uniqueName="4" name="SATUAN" queryTableFieldId="4" dataDxfId="479"/>
    <tableColumn id="5" xr3:uid="{9AFD838D-EEA7-4C7E-9D08-6407D2CB3B83}" uniqueName="5" name="Konversi" queryTableFieldId="5"/>
    <tableColumn id="8" xr3:uid="{A9AAB38E-E81A-4B78-87CF-8BE4CF3F36D3}" uniqueName="8" name="1" queryTableFieldId="8" dataDxfId="478" totalsRowDxfId="477" dataCellStyle="Comma [0]"/>
    <tableColumn id="9" xr3:uid="{A5A6515F-4CBF-446C-976A-BCF11A8D011E}" uniqueName="9" name="2" queryTableFieldId="9" dataDxfId="329" totalsRowDxfId="476" dataCellStyle="Comma [0]"/>
    <tableColumn id="10" xr3:uid="{182B68AA-B557-486C-8063-7A921CBAAF42}" uniqueName="10" name="3" queryTableFieldId="10" dataDxfId="328" totalsRowDxfId="475" dataCellStyle="Comma [0]"/>
    <tableColumn id="11" xr3:uid="{19819563-B0C0-41C2-8002-032295FF9B3E}" uniqueName="11" name="4" queryTableFieldId="11" dataDxfId="327" dataCellStyle="Comma [0]"/>
    <tableColumn id="12" xr3:uid="{28F44295-9789-48F5-A4A8-6511627660C4}" uniqueName="12" name="5" queryTableFieldId="12" dataDxfId="326" totalsRowDxfId="474" dataCellStyle="Comma [0]"/>
    <tableColumn id="13" xr3:uid="{7724DC15-FE7A-4EA3-AEDF-00D71546AB7F}" uniqueName="13" name="6" queryTableFieldId="13" dataDxfId="325" totalsRowDxfId="473" dataCellStyle="Comma [0]"/>
    <tableColumn id="14" xr3:uid="{171570C3-5487-4E48-AB81-B428D4665335}" uniqueName="14" name="7" queryTableFieldId="14" dataDxfId="324" totalsRowDxfId="472" dataCellStyle="Comma [0]"/>
    <tableColumn id="15" xr3:uid="{E78F8EE6-62DD-45CF-BFFC-950CA221FB0C}" uniqueName="15" name="8" queryTableFieldId="15" dataDxfId="323" totalsRowDxfId="471" dataCellStyle="Comma [0]"/>
    <tableColumn id="16" xr3:uid="{90A9952B-BBC2-43AE-9D3F-A55C3B1BD543}" uniqueName="16" name="9" queryTableFieldId="16" dataDxfId="322" totalsRowDxfId="470" dataCellStyle="Comma [0]"/>
    <tableColumn id="17" xr3:uid="{D27DFC89-1A36-4EAD-A6E1-930068182F07}" uniqueName="17" name="10" queryTableFieldId="17" dataDxfId="321" totalsRowDxfId="469" dataCellStyle="Comma [0]"/>
    <tableColumn id="18" xr3:uid="{037027C3-AA16-49A5-AE63-F849ADA70DFD}" uniqueName="18" name="11" queryTableFieldId="18" dataDxfId="320" totalsRowDxfId="468" dataCellStyle="Comma [0]"/>
    <tableColumn id="19" xr3:uid="{02CB56B3-7037-45CF-BF46-0C1962D0B118}" uniqueName="19" name="12" queryTableFieldId="19" dataDxfId="319" totalsRowDxfId="467" dataCellStyle="Comma [0]"/>
    <tableColumn id="20" xr3:uid="{68616784-CE4D-4F93-A994-45FFD2BBAEFF}" uniqueName="20" name="13" queryTableFieldId="20" dataDxfId="318" totalsRowDxfId="466" dataCellStyle="Comma [0]"/>
    <tableColumn id="21" xr3:uid="{D3A87733-D202-4384-996A-07CBA205B3B2}" uniqueName="21" name="14" queryTableFieldId="21" dataDxfId="317" totalsRowDxfId="465" dataCellStyle="Comma [0]"/>
    <tableColumn id="22" xr3:uid="{76BDC7CC-D83E-409C-899E-DA43ACEE3EFD}" uniqueName="22" name="15" queryTableFieldId="22" dataDxfId="316" totalsRowDxfId="464" dataCellStyle="Comma [0]"/>
    <tableColumn id="23" xr3:uid="{86DE532F-05A9-4C4B-9F56-9017DCC52CDD}" uniqueName="23" name="16" queryTableFieldId="23" dataDxfId="315" totalsRowDxfId="463" dataCellStyle="Comma [0]"/>
    <tableColumn id="24" xr3:uid="{5D54E0C2-F0A4-425E-A0DF-A3FA6BE4B119}" uniqueName="24" name="17" queryTableFieldId="24" dataDxfId="314" totalsRowDxfId="462" dataCellStyle="Comma [0]"/>
    <tableColumn id="25" xr3:uid="{E412C10F-3C47-4F35-AD08-25FCABC017C3}" uniqueName="25" name="18" queryTableFieldId="25" dataDxfId="313" totalsRowDxfId="461" dataCellStyle="Comma [0]"/>
    <tableColumn id="26" xr3:uid="{7AD66A1C-BF94-4215-9A7C-5E7AC77A1616}" uniqueName="26" name="19" queryTableFieldId="26" dataDxfId="312" totalsRowDxfId="460" dataCellStyle="Comma [0]"/>
    <tableColumn id="27" xr3:uid="{F50C1F55-64A2-49F1-AFCC-97FB21D45D5F}" uniqueName="27" name="20" queryTableFieldId="27" dataDxfId="311" totalsRowDxfId="459" dataCellStyle="Comma [0]"/>
    <tableColumn id="28" xr3:uid="{8E51F648-5D0D-4C1C-9E56-2FAAE01BCFA2}" uniqueName="28" name="21" queryTableFieldId="28" dataDxfId="310" totalsRowDxfId="458" dataCellStyle="Comma [0]"/>
    <tableColumn id="29" xr3:uid="{39135F38-04E1-42EE-8E2E-148014B468F3}" uniqueName="29" name="22" queryTableFieldId="29" dataDxfId="309" totalsRowDxfId="457" dataCellStyle="Comma [0]"/>
    <tableColumn id="30" xr3:uid="{A259C425-4F16-4B21-9584-2F1FBF09AA0F}" uniqueName="30" name="23" queryTableFieldId="30" dataDxfId="308" totalsRowDxfId="456" dataCellStyle="Comma [0]"/>
    <tableColumn id="31" xr3:uid="{014BDF22-7B92-461A-9137-997DD22DDBDD}" uniqueName="31" name="24" queryTableFieldId="31" dataDxfId="307" totalsRowDxfId="455" dataCellStyle="Comma [0]"/>
    <tableColumn id="32" xr3:uid="{1AE14D82-3E5D-41B1-9786-1109DEA1D328}" uniqueName="32" name="25" queryTableFieldId="32" dataDxfId="306" totalsRowDxfId="454" dataCellStyle="Comma [0]"/>
    <tableColumn id="33" xr3:uid="{C5D764C4-553D-48A2-A23F-2B891B49F470}" uniqueName="33" name="26" queryTableFieldId="33" dataDxfId="305" totalsRowDxfId="453" dataCellStyle="Comma [0]"/>
    <tableColumn id="34" xr3:uid="{0EE9FA73-7116-4740-B3D9-F52945181F13}" uniqueName="34" name="27" queryTableFieldId="34" dataDxfId="304" totalsRowDxfId="452" dataCellStyle="Comma [0]"/>
    <tableColumn id="35" xr3:uid="{66DEB7B4-EFCB-41A7-B088-79499571B560}" uniqueName="35" name="28" queryTableFieldId="35" dataDxfId="303" totalsRowDxfId="451" dataCellStyle="Comma [0]"/>
    <tableColumn id="36" xr3:uid="{5639CC2B-C119-4662-8462-541D8552078F}" uniqueName="36" name="29" queryTableFieldId="36" dataDxfId="302" totalsRowDxfId="450" dataCellStyle="Comma [0]"/>
    <tableColumn id="37" xr3:uid="{B1A6B141-10BF-47BF-B15C-3994F75614B8}" uniqueName="37" name="30" queryTableFieldId="37" dataDxfId="301" totalsRowDxfId="449" dataCellStyle="Comma [0]"/>
    <tableColumn id="38" xr3:uid="{92A2F393-F9ED-4DAB-BA81-3ABAE27B6833}" uniqueName="38" name="31" totalsRowFunction="count" queryTableFieldId="38" dataDxfId="300" totalsRowDxfId="448" dataCellStyle="Comma [0]"/>
  </tableColumns>
  <tableStyleInfo name="TableStyleLight9" showFirstColumn="0" showLastColumn="0" showRowStripes="0" showColumnStripes="1"/>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4759D24-041F-4938-B5F3-5A19C01C9B94}" name="IPT_BARANG_MASUK" displayName="IPT_BARANG_MASUK" ref="A1:AJ328" tableType="queryTable" totalsRowShown="0" headerRowDxfId="443" dataDxfId="442" dataCellStyle="Comma [0]">
  <autoFilter ref="A1:AJ328" xr:uid="{74759D24-041F-4938-B5F3-5A19C01C9B94}"/>
  <tableColumns count="36">
    <tableColumn id="1" xr3:uid="{131BCF25-A2DD-40F2-8C10-6BC329A3CFD5}" uniqueName="1" name="NAMA BARANG" queryTableFieldId="1" dataDxfId="441"/>
    <tableColumn id="2" xr3:uid="{699575BE-9BB9-454A-9BFA-92B61AA4EF29}" uniqueName="2" name="KODE BARANG" queryTableFieldId="2" dataDxfId="440"/>
    <tableColumn id="3" xr3:uid="{809DEA40-EC4E-49F0-9CE7-2C4E0C837547}" uniqueName="3" name="ITEM STOCK OPNAME" queryTableFieldId="3" dataDxfId="439"/>
    <tableColumn id="4" xr3:uid="{71075CE9-721E-47E6-97AD-1AD7D0A3DBC5}" uniqueName="4" name="SATUAN" queryTableFieldId="4" dataDxfId="438"/>
    <tableColumn id="5" xr3:uid="{B6876B0C-D7A8-4E00-9E34-E7AFB2A6575D}" uniqueName="5" name="Konversi" queryTableFieldId="5"/>
    <tableColumn id="8" xr3:uid="{727B07AF-EB95-4D10-A1B3-F3B6106E511E}" uniqueName="8" name="1" queryTableFieldId="8" dataDxfId="299" dataCellStyle="Comma [0]"/>
    <tableColumn id="9" xr3:uid="{C28AB0AF-E109-48C0-B97B-B6A42A7D8683}" uniqueName="9" name="2" queryTableFieldId="9" dataDxfId="298" dataCellStyle="Comma [0]"/>
    <tableColumn id="10" xr3:uid="{FF5ED113-07D8-4593-BFF7-03C986165DF1}" uniqueName="10" name="3" queryTableFieldId="10" dataDxfId="297" dataCellStyle="Comma [0]"/>
    <tableColumn id="11" xr3:uid="{017A3DE0-B820-494E-92FC-DB3CC4E0777F}" uniqueName="11" name="4" queryTableFieldId="11" dataDxfId="296" dataCellStyle="Comma [0]"/>
    <tableColumn id="12" xr3:uid="{AB689B98-0D67-44F4-9385-844AFEA55972}" uniqueName="12" name="5" queryTableFieldId="12" dataDxfId="295" dataCellStyle="Comma [0]"/>
    <tableColumn id="13" xr3:uid="{A4C7E16A-A4FC-4E2D-A6D1-56EBE440F63C}" uniqueName="13" name="6" queryTableFieldId="13" dataDxfId="294" dataCellStyle="Comma [0]"/>
    <tableColumn id="14" xr3:uid="{845ACCC5-EE66-4C9A-A8E5-456F18A0F0B1}" uniqueName="14" name="7" queryTableFieldId="14" dataDxfId="293" dataCellStyle="Comma [0]"/>
    <tableColumn id="15" xr3:uid="{057A674E-15EE-4B3D-BD34-5EF73EA53627}" uniqueName="15" name="8" queryTableFieldId="15" dataDxfId="292" dataCellStyle="Comma [0]"/>
    <tableColumn id="16" xr3:uid="{84730782-EBC6-4C71-A448-8718BA406367}" uniqueName="16" name="9" queryTableFieldId="16" dataDxfId="291" dataCellStyle="Comma [0]"/>
    <tableColumn id="17" xr3:uid="{88C98B56-7C05-4984-854E-61A56758D7A1}" uniqueName="17" name="10" queryTableFieldId="17" dataDxfId="290" dataCellStyle="Comma [0]"/>
    <tableColumn id="18" xr3:uid="{C4E18596-2584-43D5-9AB8-9954042F6578}" uniqueName="18" name="11" queryTableFieldId="18" dataDxfId="289" dataCellStyle="Comma [0]"/>
    <tableColumn id="19" xr3:uid="{2F47CE01-4633-4E0B-B9CF-90E2F928D270}" uniqueName="19" name="12" queryTableFieldId="19" dataDxfId="288" dataCellStyle="Comma [0]"/>
    <tableColumn id="20" xr3:uid="{5CFACC34-3633-4832-9719-DCB086930063}" uniqueName="20" name="13" queryTableFieldId="20" dataDxfId="287" dataCellStyle="Comma [0]"/>
    <tableColumn id="21" xr3:uid="{BB96636B-6E98-415B-A929-09D562D0CB72}" uniqueName="21" name="14" queryTableFieldId="21" dataDxfId="286" dataCellStyle="Comma [0]"/>
    <tableColumn id="22" xr3:uid="{916B4F05-1BA8-4311-B3D6-58FDA810971A}" uniqueName="22" name="15" queryTableFieldId="22" dataDxfId="285" dataCellStyle="Comma [0]"/>
    <tableColumn id="23" xr3:uid="{010A5631-6F3E-4B31-9629-0A3451C5449F}" uniqueName="23" name="16" queryTableFieldId="23" dataDxfId="284" dataCellStyle="Comma [0]"/>
    <tableColumn id="24" xr3:uid="{7020029E-70A0-4DFB-8E7A-4F817521A839}" uniqueName="24" name="17" queryTableFieldId="24" dataDxfId="283" dataCellStyle="Comma [0]"/>
    <tableColumn id="25" xr3:uid="{E50A7B40-A189-4C4A-845F-9BB8191238CC}" uniqueName="25" name="18" queryTableFieldId="25" dataDxfId="282" dataCellStyle="Comma [0]"/>
    <tableColumn id="26" xr3:uid="{40F8A758-2D09-442C-B6D6-21FF5AEE351D}" uniqueName="26" name="19" queryTableFieldId="26" dataDxfId="281" dataCellStyle="Comma [0]"/>
    <tableColumn id="27" xr3:uid="{E24510FA-03A5-48FD-9F53-0741CB61C263}" uniqueName="27" name="20" queryTableFieldId="27" dataDxfId="280" dataCellStyle="Comma [0]"/>
    <tableColumn id="28" xr3:uid="{32629E24-57D7-4303-BC45-C361804235C6}" uniqueName="28" name="21" queryTableFieldId="28" dataDxfId="279" dataCellStyle="Comma [0]"/>
    <tableColumn id="29" xr3:uid="{5CC4EE35-1A58-47D3-85E3-8F4E34EFF320}" uniqueName="29" name="22" queryTableFieldId="29" dataDxfId="278" dataCellStyle="Comma [0]"/>
    <tableColumn id="30" xr3:uid="{405E5353-92B9-450E-B9EB-E98D37D0CF9F}" uniqueName="30" name="23" queryTableFieldId="30" dataDxfId="277" dataCellStyle="Comma [0]"/>
    <tableColumn id="31" xr3:uid="{A1E74061-1D09-40CF-969A-A23939EB2C30}" uniqueName="31" name="24" queryTableFieldId="31" dataDxfId="276" dataCellStyle="Comma [0]"/>
    <tableColumn id="32" xr3:uid="{E6A9A032-CDC3-44E7-9AD6-96D9F5F5BBA9}" uniqueName="32" name="25" queryTableFieldId="32" dataDxfId="275" dataCellStyle="Comma [0]"/>
    <tableColumn id="33" xr3:uid="{F3642F83-2937-4282-B97E-5A55146F2D30}" uniqueName="33" name="26" queryTableFieldId="33" dataDxfId="274" dataCellStyle="Comma [0]"/>
    <tableColumn id="34" xr3:uid="{EB613EF7-20B0-4F6A-AA11-E1655646D62A}" uniqueName="34" name="27" queryTableFieldId="34" dataDxfId="273" dataCellStyle="Comma [0]"/>
    <tableColumn id="35" xr3:uid="{9B6D694B-F2C2-40C2-8291-EC0310F51ACD}" uniqueName="35" name="28" queryTableFieldId="35" dataDxfId="272" dataCellStyle="Comma [0]"/>
    <tableColumn id="36" xr3:uid="{49C6D328-BC76-4C7F-A8FB-3724F54388C9}" uniqueName="36" name="29" queryTableFieldId="36" dataDxfId="271" dataCellStyle="Comma [0]"/>
    <tableColumn id="37" xr3:uid="{5995A6EA-735F-4406-8165-547299272B68}" uniqueName="37" name="30" queryTableFieldId="37" dataDxfId="270" dataCellStyle="Comma [0]"/>
    <tableColumn id="38" xr3:uid="{2548D1D6-0ED6-4FA1-9E74-C28DBD581D4C}" uniqueName="38" name="31" queryTableFieldId="38" dataDxfId="269" dataCellStyle="Comma [0]"/>
  </tableColumns>
  <tableStyleInfo name="TableStyleLight9" showFirstColumn="0" showLastColumn="0" showRowStripes="0" showColumnStripes="1"/>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8FD756F-3D13-4144-BB5F-7BEB50CE4FC4}" name="IPT_PROMIX_00" displayName="IPT_PROMIX_00" ref="A1:AF55" tableType="queryTable" totalsRowShown="0" headerRowDxfId="433">
  <autoFilter ref="A1:AF55" xr:uid="{E8FD756F-3D13-4144-BB5F-7BEB50CE4FC4}"/>
  <tableColumns count="32">
    <tableColumn id="1" xr3:uid="{7839CD3C-696B-43BC-BE64-C2B62EFD2EA8}" uniqueName="1" name="Menu" queryTableFieldId="1" dataDxfId="432"/>
    <tableColumn id="2" xr3:uid="{3A18B5AF-77F2-48FA-97B1-EB3D7C74ACF9}" uniqueName="2" name="1" queryTableFieldId="2" dataDxfId="268"/>
    <tableColumn id="3" xr3:uid="{4E93CC73-980A-4808-B803-2C2CED580227}" uniqueName="3" name="2" queryTableFieldId="3" dataDxfId="267"/>
    <tableColumn id="4" xr3:uid="{9DB2BCAB-81B1-49AC-8D4A-9E7C1FD87149}" uniqueName="4" name="3" queryTableFieldId="4" dataDxfId="266"/>
    <tableColumn id="5" xr3:uid="{45DFD8D6-E0D2-456D-A579-B5D773A10CEC}" uniqueName="5" name="4" queryTableFieldId="5" dataDxfId="265"/>
    <tableColumn id="6" xr3:uid="{3668F89A-CDF2-4CF0-8036-17AF80F7FB03}" uniqueName="6" name="5" queryTableFieldId="6" dataDxfId="264"/>
    <tableColumn id="7" xr3:uid="{2F18E43F-0CA4-46A4-8427-025FD3EF06B7}" uniqueName="7" name="6" queryTableFieldId="7" dataDxfId="263"/>
    <tableColumn id="8" xr3:uid="{AECD25F6-39D1-4699-A175-FE49379BE63F}" uniqueName="8" name="7" queryTableFieldId="8" dataDxfId="262"/>
    <tableColumn id="9" xr3:uid="{538C6A5E-FDB7-4AC6-96F6-7A3811B05936}" uniqueName="9" name="8" queryTableFieldId="9" dataDxfId="261"/>
    <tableColumn id="10" xr3:uid="{2E9A2665-099B-4012-8AF5-A29F20BEA1FB}" uniqueName="10" name="9" queryTableFieldId="10" dataDxfId="260"/>
    <tableColumn id="11" xr3:uid="{122E39F1-E11B-4CB8-AA54-42679C195F01}" uniqueName="11" name="10" queryTableFieldId="11" dataDxfId="259"/>
    <tableColumn id="12" xr3:uid="{A722BB1C-FD67-46D8-A57C-406DC98B1C48}" uniqueName="12" name="11" queryTableFieldId="12" dataDxfId="258"/>
    <tableColumn id="13" xr3:uid="{C3AC3879-C02B-411F-9BA6-C135E959439D}" uniqueName="13" name="12" queryTableFieldId="13" dataDxfId="257"/>
    <tableColumn id="14" xr3:uid="{2E635D00-CB55-48B9-9243-AC9F3C6BBC61}" uniqueName="14" name="13" queryTableFieldId="14" dataDxfId="256"/>
    <tableColumn id="15" xr3:uid="{1C2703E6-F666-4BF3-AE69-62EC4556FA05}" uniqueName="15" name="14" queryTableFieldId="15" dataDxfId="255"/>
    <tableColumn id="16" xr3:uid="{54280243-C4DD-4F25-A613-02BEA6382FB7}" uniqueName="16" name="15" queryTableFieldId="16" dataDxfId="254"/>
    <tableColumn id="17" xr3:uid="{AF395405-D19E-476C-B06A-18533E69B3D8}" uniqueName="17" name="16" queryTableFieldId="17" dataDxfId="253"/>
    <tableColumn id="18" xr3:uid="{37C2860D-7F8A-4229-AAF4-08E682655A0E}" uniqueName="18" name="17" queryTableFieldId="18" dataDxfId="252"/>
    <tableColumn id="19" xr3:uid="{8BE07B65-9B97-4D08-A0C2-B293A8F8386A}" uniqueName="19" name="18" queryTableFieldId="19" dataDxfId="251"/>
    <tableColumn id="20" xr3:uid="{35B4A4BB-F972-41DE-BE79-A8418F717E1F}" uniqueName="20" name="19" queryTableFieldId="20" dataDxfId="250"/>
    <tableColumn id="21" xr3:uid="{B3685235-7F10-49DD-8DFE-5AADE27BF431}" uniqueName="21" name="20" queryTableFieldId="21" dataDxfId="249"/>
    <tableColumn id="22" xr3:uid="{C41AAA98-0813-428B-900D-6BD3F4BAAF37}" uniqueName="22" name="21" queryTableFieldId="22" dataDxfId="248"/>
    <tableColumn id="23" xr3:uid="{73A758A0-399B-4024-9349-F5576D49B4A2}" uniqueName="23" name="22" queryTableFieldId="23" dataDxfId="247"/>
    <tableColumn id="24" xr3:uid="{107C56C5-9684-41D1-898E-A2B40169A923}" uniqueName="24" name="23" queryTableFieldId="24" dataDxfId="246"/>
    <tableColumn id="25" xr3:uid="{0AACE823-D6BE-46EE-9AEC-09ED5E091278}" uniqueName="25" name="24" queryTableFieldId="25" dataDxfId="245"/>
    <tableColumn id="26" xr3:uid="{5E40C1A4-1FF2-4B85-B96B-6A97B293A9F4}" uniqueName="26" name="25" queryTableFieldId="26" dataDxfId="244"/>
    <tableColumn id="27" xr3:uid="{DE487A35-ED35-40E9-8C3B-BE106D713EE8}" uniqueName="27" name="26" queryTableFieldId="27" dataDxfId="243"/>
    <tableColumn id="28" xr3:uid="{4F27F6DF-2A8D-4B10-9FE1-164684A07283}" uniqueName="28" name="27" queryTableFieldId="28" dataDxfId="242"/>
    <tableColumn id="29" xr3:uid="{189127D9-34BB-4540-B482-AAB09CE87658}" uniqueName="29" name="28" queryTableFieldId="29" dataDxfId="241"/>
    <tableColumn id="30" xr3:uid="{A625219A-5593-4402-84D6-EA408882D574}" uniqueName="30" name="29" queryTableFieldId="30" dataDxfId="240"/>
    <tableColumn id="31" xr3:uid="{C282762E-D129-4684-B41E-E6664A9A5D37}" uniqueName="31" name="30" queryTableFieldId="31" dataDxfId="239"/>
    <tableColumn id="32" xr3:uid="{D431663B-D980-44CB-BF2A-5FBF115CCAC7}" uniqueName="32" name="31" queryTableFieldId="32" dataDxfId="238"/>
  </tableColumns>
  <tableStyleInfo name="TableStyleLight9" showFirstColumn="0" showLastColumn="0" showRowStripes="1" showColumnStripes="1"/>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2BBC428-ADC4-4324-853D-CC741A42C3AC}" name="Raw_Rekap_Mentah__FINAL" displayName="Raw_Rekap_Mentah__FINAL" ref="A1:AM1217" tableType="queryTable" totalsRowShown="0">
  <autoFilter ref="A1:AM1217" xr:uid="{52BBC428-ADC4-4324-853D-CC741A42C3AC}"/>
  <tableColumns count="39">
    <tableColumn id="1" xr3:uid="{B3D5C8DC-1D22-4C89-BA46-B0EA342C4B48}" uniqueName="1" name="KATEGORI" queryTableFieldId="1" dataDxfId="431"/>
    <tableColumn id="2" xr3:uid="{46B4EA29-1FB7-4944-9232-A4C24492FAA3}" uniqueName="2" name="SOURCE DATA" queryTableFieldId="2" dataDxfId="430"/>
    <tableColumn id="3" xr3:uid="{509B820B-8BF0-4BE1-B4E4-55713C239D33}" uniqueName="3" name="JENIS" queryTableFieldId="3" dataDxfId="429"/>
    <tableColumn id="4" xr3:uid="{08F31E5B-B2EE-42CA-ADBC-39A7D07888F4}" uniqueName="4" name="STATUS" queryTableFieldId="4" dataDxfId="428"/>
    <tableColumn id="5" xr3:uid="{9B2C28A5-ED38-45E7-A9C7-3896D26B223C}" uniqueName="5" name="NAMA BARANG" queryTableFieldId="5" dataDxfId="427"/>
    <tableColumn id="6" xr3:uid="{A8CA44F3-4DB1-4452-AD91-75EEF8D475C0}" uniqueName="6" name="KETERANGAN" queryTableFieldId="6" dataDxfId="426"/>
    <tableColumn id="7" xr3:uid="{66473251-B818-4C09-9A90-D1CC0280A630}" uniqueName="7" name="PENYEBAB TERJADINYA WASTE" queryTableFieldId="7" dataDxfId="425"/>
    <tableColumn id="8" xr3:uid="{79DCA564-398D-4538-91C0-6039F7E79474}" uniqueName="8" name="SATUAN" queryTableFieldId="8" dataDxfId="424"/>
    <tableColumn id="9" xr3:uid="{F35C767D-76F5-451C-A414-063620870F8C}" uniqueName="9" name="1" queryTableFieldId="9"/>
    <tableColumn id="10" xr3:uid="{C3E89D96-10D0-4600-BAA0-4A7D6DC43830}" uniqueName="10" name="2" queryTableFieldId="10"/>
    <tableColumn id="11" xr3:uid="{B95D379D-7C15-459D-BF8D-72E285AB10A8}" uniqueName="11" name="3" queryTableFieldId="11"/>
    <tableColumn id="12" xr3:uid="{E810841E-2A68-42F0-A401-BF37DF9B1A61}" uniqueName="12" name="4" queryTableFieldId="12"/>
    <tableColumn id="13" xr3:uid="{E8E458EA-95FF-4546-8E79-EE4ED9005C60}" uniqueName="13" name="5" queryTableFieldId="13"/>
    <tableColumn id="14" xr3:uid="{90E2633B-31B8-42A4-9C23-FE1F7A0F132D}" uniqueName="14" name="6" queryTableFieldId="14"/>
    <tableColumn id="15" xr3:uid="{FC19131A-C82A-45F9-8697-CD6267485100}" uniqueName="15" name="7" queryTableFieldId="15"/>
    <tableColumn id="16" xr3:uid="{F9467E64-3774-4B5F-898A-E6835B8AE5EC}" uniqueName="16" name="8" queryTableFieldId="16"/>
    <tableColumn id="17" xr3:uid="{7C1DC957-0BDF-4A2F-B924-BD63FC6924F9}" uniqueName="17" name="9" queryTableFieldId="17"/>
    <tableColumn id="18" xr3:uid="{23C1CAC2-1247-46DA-A4C5-ED83CA52B189}" uniqueName="18" name="10" queryTableFieldId="18"/>
    <tableColumn id="19" xr3:uid="{D7FD3AC5-9D5C-4746-8B05-F89DE5CD392E}" uniqueName="19" name="11" queryTableFieldId="19"/>
    <tableColumn id="20" xr3:uid="{9EAB1D08-DCD2-4034-B719-D58EE98103A2}" uniqueName="20" name="12" queryTableFieldId="20"/>
    <tableColumn id="21" xr3:uid="{3577CA4F-C3EF-47D8-8BAE-E9F09D1B26FE}" uniqueName="21" name="13" queryTableFieldId="21"/>
    <tableColumn id="22" xr3:uid="{EC7F3F07-B355-4C9B-BD68-E0FC7C63A449}" uniqueName="22" name="14" queryTableFieldId="22"/>
    <tableColumn id="23" xr3:uid="{78395C38-02AE-4C1A-85A4-2F2CD205A95C}" uniqueName="23" name="15" queryTableFieldId="23"/>
    <tableColumn id="24" xr3:uid="{DBCA6783-70D0-4677-AEC5-646DC4E88E9E}" uniqueName="24" name="16" queryTableFieldId="24"/>
    <tableColumn id="25" xr3:uid="{5F541697-24D0-4DCE-B366-9C85369E21F0}" uniqueName="25" name="17" queryTableFieldId="25"/>
    <tableColumn id="26" xr3:uid="{80FC1042-6ACF-4427-9F54-8B42889CDAEC}" uniqueName="26" name="18" queryTableFieldId="26"/>
    <tableColumn id="27" xr3:uid="{525924D6-DBFD-481D-9B0D-42D118F36463}" uniqueName="27" name="19" queryTableFieldId="27"/>
    <tableColumn id="28" xr3:uid="{7E232795-B08B-4473-BF03-786427F0BA15}" uniqueName="28" name="20" queryTableFieldId="28"/>
    <tableColumn id="29" xr3:uid="{A2DACA20-0646-4560-A60D-45B5B8924F2A}" uniqueName="29" name="21" queryTableFieldId="29"/>
    <tableColumn id="30" xr3:uid="{A8DDFA89-B812-488C-8E96-A4D9AC4994E7}" uniqueName="30" name="22" queryTableFieldId="30"/>
    <tableColumn id="31" xr3:uid="{4DA79D4F-D557-4C20-A2DF-C466ADD1CD0A}" uniqueName="31" name="23" queryTableFieldId="31"/>
    <tableColumn id="32" xr3:uid="{16C89617-B026-425B-8F3A-06841C21C5E4}" uniqueName="32" name="24" queryTableFieldId="32"/>
    <tableColumn id="33" xr3:uid="{8E759361-F0C9-4FA4-A2F4-5D9892FDA8F6}" uniqueName="33" name="25" queryTableFieldId="33"/>
    <tableColumn id="34" xr3:uid="{84909594-793E-4BB2-8837-4976BAD8CBB7}" uniqueName="34" name="26" queryTableFieldId="34"/>
    <tableColumn id="35" xr3:uid="{9A4BC70C-F576-4189-9F73-011E475765D0}" uniqueName="35" name="27" queryTableFieldId="35"/>
    <tableColumn id="36" xr3:uid="{24DA35D7-A749-44B4-99FD-D4A56FDC8811}" uniqueName="36" name="28" queryTableFieldId="36"/>
    <tableColumn id="37" xr3:uid="{BE226002-4827-498F-9ADA-3C37FDF8398D}" uniqueName="37" name="29" queryTableFieldId="37"/>
    <tableColumn id="38" xr3:uid="{936C0456-60AF-48F0-8CBA-F779BDE23268}" uniqueName="38" name="30" queryTableFieldId="38"/>
    <tableColumn id="39" xr3:uid="{0B15E2A4-09F8-4E4D-8E37-0A696B1BD482}" uniqueName="39" name="31" queryTableFieldId="39"/>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C9590EE-C584-4CE4-B065-EA572F982A04}" name="IPT_WASTE_BAHAN_DAN_PACKAGING" displayName="IPT_WASTE_BAHAN_DAN_PACKAGING" ref="A1:AJ485" tableType="queryTable" totalsRowShown="0" headerRowDxfId="418" dataDxfId="417" tableBorderDxfId="416" headerRowCellStyle="Comma [0]" dataCellStyle="Comma [0]">
  <autoFilter ref="A1:AJ485" xr:uid="{2C9590EE-C584-4CE4-B065-EA572F982A04}"/>
  <tableColumns count="36">
    <tableColumn id="2" xr3:uid="{D91FB08A-4B9D-4BDA-B0D9-8BEB98038851}" uniqueName="2" name="NAMA BARANG" queryTableFieldId="2" dataDxfId="237" dataCellStyle="Comma [0]"/>
    <tableColumn id="3" xr3:uid="{6400F7FD-369B-4F95-B4AD-FC255BAE3ABB}" uniqueName="3" name="KETERANGAN" queryTableFieldId="3" dataDxfId="236" dataCellStyle="Comma [0]"/>
    <tableColumn id="4" xr3:uid="{28C6A3D6-9BEF-4D9D-B588-4F981D168FDB}" uniqueName="4" name="PENYEBAB TERJADINYA WASTE" queryTableFieldId="4" dataDxfId="235" dataCellStyle="Comma [0]"/>
    <tableColumn id="5" xr3:uid="{6309C240-3415-4BD1-916D-5E8B1D6B61DD}" uniqueName="5" name="SATUAN" queryTableFieldId="5" dataDxfId="234" dataCellStyle="Comma [0]"/>
    <tableColumn id="7" xr3:uid="{4D3C2A40-BB60-403F-B86A-51894285AE94}" uniqueName="7" name="KONVERSI" queryTableFieldId="7" dataDxfId="233"/>
    <tableColumn id="8" xr3:uid="{3E2EA590-F54F-405A-8645-B28A762273D2}" uniqueName="8" name="1" queryTableFieldId="8" dataDxfId="232" dataCellStyle="Comma [0]"/>
    <tableColumn id="9" xr3:uid="{1A6357A5-2C33-4173-97B0-FC9F5CB3084C}" uniqueName="9" name="2" queryTableFieldId="9" dataDxfId="231" dataCellStyle="Comma [0]"/>
    <tableColumn id="10" xr3:uid="{AF6B03F5-4B0F-4BAC-838C-16100180959B}" uniqueName="10" name="3" queryTableFieldId="10" dataDxfId="230" dataCellStyle="Comma [0]"/>
    <tableColumn id="11" xr3:uid="{33CC2E24-766B-47E4-AE54-0F054F018405}" uniqueName="11" name="4" queryTableFieldId="11" dataDxfId="229" dataCellStyle="Comma [0]"/>
    <tableColumn id="12" xr3:uid="{E7C6454D-4A51-4578-A563-1A205CA33ADC}" uniqueName="12" name="5" queryTableFieldId="12" dataDxfId="228" dataCellStyle="Comma [0]"/>
    <tableColumn id="13" xr3:uid="{853D195F-B5DD-43E3-9865-9E0A9F608E21}" uniqueName="13" name="6" queryTableFieldId="13" dataDxfId="227" dataCellStyle="Comma [0]"/>
    <tableColumn id="14" xr3:uid="{54C52F4D-D900-48FF-A25D-FF78D36F5A79}" uniqueName="14" name="7" queryTableFieldId="14" dataDxfId="226" dataCellStyle="Comma [0]"/>
    <tableColumn id="15" xr3:uid="{11378CDF-7E38-4962-8487-4C133B5B0206}" uniqueName="15" name="8" queryTableFieldId="15" dataDxfId="225" dataCellStyle="Comma [0]"/>
    <tableColumn id="16" xr3:uid="{EFB9411D-80B4-46D8-BDF1-8129EAFAC037}" uniqueName="16" name="9" queryTableFieldId="16" dataDxfId="224" dataCellStyle="Comma [0]"/>
    <tableColumn id="17" xr3:uid="{EB417349-6502-4474-B8BF-8361A283D311}" uniqueName="17" name="10" queryTableFieldId="17" dataDxfId="223" dataCellStyle="Comma [0]"/>
    <tableColumn id="18" xr3:uid="{A78E0FBD-926C-4403-A75C-11A419711277}" uniqueName="18" name="11" queryTableFieldId="18" dataDxfId="222" dataCellStyle="Comma [0]"/>
    <tableColumn id="19" xr3:uid="{0580CFB0-7EB1-4525-96C8-7FB0C947324B}" uniqueName="19" name="12" queryTableFieldId="19" dataDxfId="221" dataCellStyle="Comma [0]"/>
    <tableColumn id="20" xr3:uid="{765D86DE-8F2E-4471-819A-F8188FC2F6D1}" uniqueName="20" name="13" queryTableFieldId="20" dataDxfId="220" dataCellStyle="Comma [0]"/>
    <tableColumn id="21" xr3:uid="{DF441903-5BA8-43AD-9232-026391A302D3}" uniqueName="21" name="14" queryTableFieldId="21" dataDxfId="219" dataCellStyle="Comma [0]"/>
    <tableColumn id="22" xr3:uid="{B8DA54AE-8FF9-4220-AFF9-87968EE84A50}" uniqueName="22" name="15" queryTableFieldId="22" dataDxfId="218" dataCellStyle="Comma [0]"/>
    <tableColumn id="23" xr3:uid="{EA50EDBE-2A03-4514-AFF9-62163CCE200A}" uniqueName="23" name="16" queryTableFieldId="23" dataDxfId="217" dataCellStyle="Comma [0]"/>
    <tableColumn id="24" xr3:uid="{A8EF1D86-537C-44E4-B6A4-846FE431B35E}" uniqueName="24" name="17" queryTableFieldId="24" dataDxfId="216" dataCellStyle="Comma [0]"/>
    <tableColumn id="25" xr3:uid="{A8575D07-1D2C-4580-8C87-0982A4C806EF}" uniqueName="25" name="18" queryTableFieldId="25" dataDxfId="215" dataCellStyle="Comma [0]"/>
    <tableColumn id="26" xr3:uid="{0C211CE3-770C-41D2-B417-1A4782296DAA}" uniqueName="26" name="19" queryTableFieldId="26" dataDxfId="214" dataCellStyle="Comma [0]"/>
    <tableColumn id="27" xr3:uid="{44211090-D448-4D1E-B3B4-AE987FDBEE04}" uniqueName="27" name="20" queryTableFieldId="27" dataDxfId="213" dataCellStyle="Comma [0]"/>
    <tableColumn id="28" xr3:uid="{B58C93A1-833B-4A22-A121-3CD50DF1DF96}" uniqueName="28" name="21" queryTableFieldId="28" dataDxfId="212" dataCellStyle="Comma [0]"/>
    <tableColumn id="29" xr3:uid="{7F0B3535-05AE-490F-8DB9-585BCA0F46EA}" uniqueName="29" name="22" queryTableFieldId="29" dataDxfId="211" dataCellStyle="Comma [0]"/>
    <tableColumn id="30" xr3:uid="{66629153-F6EF-4FDB-AE28-C2E383171BCC}" uniqueName="30" name="23" queryTableFieldId="30" dataDxfId="210" dataCellStyle="Comma [0]"/>
    <tableColumn id="31" xr3:uid="{6B932678-FCF7-4004-A7D7-A4146BAA5790}" uniqueName="31" name="24" queryTableFieldId="31" dataDxfId="209" dataCellStyle="Comma [0]"/>
    <tableColumn id="32" xr3:uid="{620E44BF-33B7-4C01-8928-8E8DA7F10654}" uniqueName="32" name="25" queryTableFieldId="32" dataDxfId="208" dataCellStyle="Comma [0]"/>
    <tableColumn id="33" xr3:uid="{675B11F1-D62C-4316-9CF6-1DC5DD200C52}" uniqueName="33" name="26" queryTableFieldId="33" dataDxfId="207" dataCellStyle="Comma [0]"/>
    <tableColumn id="34" xr3:uid="{DCFEEB83-F3CF-42C1-9739-4946B6A6311B}" uniqueName="34" name="27" queryTableFieldId="34" dataDxfId="206" dataCellStyle="Comma [0]"/>
    <tableColumn id="35" xr3:uid="{3285BA47-97CE-401D-83F7-FBA35823354F}" uniqueName="35" name="28" queryTableFieldId="35" dataDxfId="205" dataCellStyle="Comma [0]"/>
    <tableColumn id="36" xr3:uid="{F1BB8FB5-12F8-4F28-800D-311715C3CD44}" uniqueName="36" name="29" queryTableFieldId="36" dataDxfId="204" dataCellStyle="Comma [0]"/>
    <tableColumn id="37" xr3:uid="{2FCAA672-C7B2-4D85-9259-647C06B1BE76}" uniqueName="37" name="30" queryTableFieldId="37" dataDxfId="203" dataCellStyle="Comma [0]"/>
    <tableColumn id="38" xr3:uid="{059B53D6-E623-43ED-BE25-FED9C3D1BC75}" uniqueName="38" name="31" queryTableFieldId="38" dataDxfId="202" dataCellStyle="Comma [0]"/>
  </tableColumns>
  <tableStyleInfo name="TableStyleLight9" showFirstColumn="0" showLastColumn="0" showRowStripes="0" showColumnStripes="1"/>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5EEA292-4704-46CD-8821-CA2AE9186FA5}" name="IPT_STOCK_AWAL" displayName="IPT_STOCK_AWAL" ref="A1:C103" tableType="queryTable" totalsRowShown="0">
  <autoFilter ref="A1:C103" xr:uid="{05EEA292-4704-46CD-8821-CA2AE9186FA5}"/>
  <tableColumns count="3">
    <tableColumn id="4" xr3:uid="{E1343977-C5C1-414B-A617-00626A599947}" uniqueName="4" name="NAMA BARANG" queryTableFieldId="4"/>
    <tableColumn id="5" xr3:uid="{9CF3E5B9-4896-4EB9-9644-9B1982C6EDCB}" uniqueName="5" name="SATUAN" queryTableFieldId="26" dataDxfId="411"/>
    <tableColumn id="3" xr3:uid="{B71088F9-468C-4FFC-9329-82256DAA9FE0}" uniqueName="3" name="STOCK AWAL" queryTableFieldId="3" dataDxfId="410"/>
  </tableColumns>
  <tableStyleInfo name="TableStyleLight9" showFirstColumn="0" showLastColumn="0" showRowStripes="1" showColumnStripes="1"/>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22C782E-18D7-4BCD-B8F7-2150C0B201C4}" name="IPT_BARANG_KELUAR" displayName="IPT_BARANG_KELUAR" ref="A1:AJ328" tableType="queryTable" totalsRowShown="0" headerRowDxfId="405" dataDxfId="404" dataCellStyle="Comma [0]">
  <autoFilter ref="A1:AJ328" xr:uid="{B22C782E-18D7-4BCD-B8F7-2150C0B201C4}"/>
  <tableColumns count="36">
    <tableColumn id="1" xr3:uid="{43C48287-92BF-4BF8-A59F-F103B0AEFE23}" uniqueName="1" name="NAMA BARANG" queryTableFieldId="1" dataDxfId="403"/>
    <tableColumn id="2" xr3:uid="{0001E421-584A-4DA4-BD6E-353B94FEF271}" uniqueName="2" name="KODE BARANG" queryTableFieldId="2" dataDxfId="402"/>
    <tableColumn id="3" xr3:uid="{065D6CD5-1D69-45F9-8A37-0DE09710E70B}" uniqueName="3" name="ITEM STOCK OPNAME" queryTableFieldId="3" dataDxfId="401"/>
    <tableColumn id="4" xr3:uid="{970A2044-8F1A-478D-8A93-826311FC8791}" uniqueName="4" name="SATUAN" queryTableFieldId="4" dataDxfId="400"/>
    <tableColumn id="5" xr3:uid="{754DD9A8-B7F7-4E43-8687-39BD43D52B32}" uniqueName="5" name="Konversi" queryTableFieldId="5"/>
    <tableColumn id="8" xr3:uid="{D4A01FE7-6394-4C58-8F83-55678B2B4005}" uniqueName="8" name="1" queryTableFieldId="8" dataDxfId="201" dataCellStyle="Comma [0]"/>
    <tableColumn id="9" xr3:uid="{BBCCAE29-5A1C-441B-BF69-1B46FA6AACB4}" uniqueName="9" name="2" queryTableFieldId="9" dataDxfId="200" dataCellStyle="Comma [0]"/>
    <tableColumn id="10" xr3:uid="{2432DA51-BC2D-4A08-A810-226AAB3A7E27}" uniqueName="10" name="3" queryTableFieldId="10" dataDxfId="199" dataCellStyle="Comma [0]"/>
    <tableColumn id="11" xr3:uid="{DD39097C-DCB1-4D30-8370-9621BF57DA36}" uniqueName="11" name="4" queryTableFieldId="11" dataDxfId="198" dataCellStyle="Comma [0]"/>
    <tableColumn id="12" xr3:uid="{3C37D1AB-F1BD-4E2A-A0AC-2EEAAB537C6D}" uniqueName="12" name="5" queryTableFieldId="12" dataDxfId="197" dataCellStyle="Comma [0]"/>
    <tableColumn id="13" xr3:uid="{BD698A61-1FED-474D-96E1-426D26F8A912}" uniqueName="13" name="6" queryTableFieldId="13" dataDxfId="196" dataCellStyle="Comma [0]"/>
    <tableColumn id="14" xr3:uid="{61ABD369-D6F1-4838-B2C4-BF82F746FB52}" uniqueName="14" name="7" queryTableFieldId="14" dataDxfId="195" dataCellStyle="Comma [0]"/>
    <tableColumn id="15" xr3:uid="{A8DD920B-6927-4242-8AE5-2CF749C31CAF}" uniqueName="15" name="8" queryTableFieldId="15" dataDxfId="194" dataCellStyle="Comma [0]"/>
    <tableColumn id="16" xr3:uid="{D7D61250-B960-4FD4-92D5-CB5757DFA172}" uniqueName="16" name="9" queryTableFieldId="16" dataDxfId="193" dataCellStyle="Comma [0]"/>
    <tableColumn id="17" xr3:uid="{D592D812-245A-4AF4-A688-C29DD08AFA57}" uniqueName="17" name="10" queryTableFieldId="17" dataDxfId="192" dataCellStyle="Comma [0]"/>
    <tableColumn id="18" xr3:uid="{77C62F6C-CEF9-446C-8F2D-4E9C91042EB6}" uniqueName="18" name="11" queryTableFieldId="18" dataDxfId="191" dataCellStyle="Comma [0]"/>
    <tableColumn id="19" xr3:uid="{BD305191-374F-4E0E-8367-A4491EB5A356}" uniqueName="19" name="12" queryTableFieldId="19" dataDxfId="190" dataCellStyle="Comma [0]"/>
    <tableColumn id="20" xr3:uid="{7EC53CCE-0675-4337-BD4F-BB3BB20E97CC}" uniqueName="20" name="13" queryTableFieldId="20" dataDxfId="189" dataCellStyle="Comma [0]"/>
    <tableColumn id="22" xr3:uid="{957183BE-BD48-4728-977A-E5ECB0B549F3}" uniqueName="22" name="14" queryTableFieldId="22" dataDxfId="188" dataCellStyle="Comma [0]"/>
    <tableColumn id="23" xr3:uid="{6772969E-487B-456C-AD41-0BB989397B22}" uniqueName="23" name="15" queryTableFieldId="23" dataDxfId="187" dataCellStyle="Comma [0]"/>
    <tableColumn id="24" xr3:uid="{6CB56A8A-6C4D-4EC1-80A2-5A3AB02252B2}" uniqueName="24" name="16" queryTableFieldId="24" dataDxfId="186" dataCellStyle="Comma [0]"/>
    <tableColumn id="25" xr3:uid="{7E6C53A5-8013-433F-AEA6-678283218511}" uniqueName="25" name="17" queryTableFieldId="25" dataDxfId="185" dataCellStyle="Comma [0]"/>
    <tableColumn id="26" xr3:uid="{B2F3C325-DA45-4B8C-8A3E-306F5C95D2B9}" uniqueName="26" name="18" queryTableFieldId="26" dataDxfId="184" dataCellStyle="Comma [0]"/>
    <tableColumn id="27" xr3:uid="{4E80EB5E-CC15-481F-8EAF-DF9E5D2ADFF8}" uniqueName="27" name="19" queryTableFieldId="27" dataDxfId="183" dataCellStyle="Comma [0]"/>
    <tableColumn id="28" xr3:uid="{C6B1F048-CF76-4531-AF1A-343BCD88465D}" uniqueName="28" name="20" queryTableFieldId="28" dataDxfId="182" dataCellStyle="Comma [0]"/>
    <tableColumn id="29" xr3:uid="{B3A87659-DF3F-4588-9C9F-D118A4D167FF}" uniqueName="29" name="21" queryTableFieldId="29" dataDxfId="181" dataCellStyle="Comma [0]"/>
    <tableColumn id="30" xr3:uid="{A10880E2-4F68-4D7F-BDC6-4B78C2301F43}" uniqueName="30" name="22" queryTableFieldId="30" dataDxfId="180" dataCellStyle="Comma [0]"/>
    <tableColumn id="31" xr3:uid="{36C56DDE-5D94-4807-92B5-58D0A99EC2C6}" uniqueName="31" name="23" queryTableFieldId="31" dataDxfId="179" dataCellStyle="Comma [0]"/>
    <tableColumn id="32" xr3:uid="{046C88B7-6B9F-4666-94EC-887F168705DB}" uniqueName="32" name="24" queryTableFieldId="32" dataDxfId="178" dataCellStyle="Comma [0]"/>
    <tableColumn id="33" xr3:uid="{554FFB0A-9EC2-4196-95BC-D55C529E6EDC}" uniqueName="33" name="25" queryTableFieldId="33" dataDxfId="177" dataCellStyle="Comma [0]"/>
    <tableColumn id="34" xr3:uid="{19AAC764-146D-4EEC-A745-3415C79CBF7E}" uniqueName="34" name="26" queryTableFieldId="34" dataDxfId="176" dataCellStyle="Comma [0]"/>
    <tableColumn id="35" xr3:uid="{9B09E592-13D8-4034-BB02-5FE218C90D63}" uniqueName="35" name="27" queryTableFieldId="35" dataDxfId="175" dataCellStyle="Comma [0]"/>
    <tableColumn id="36" xr3:uid="{9A485FCD-C1BA-4BBF-851C-B9FBBC47AD3B}" uniqueName="36" name="28" queryTableFieldId="36" dataDxfId="174" dataCellStyle="Comma [0]"/>
    <tableColumn id="37" xr3:uid="{90412DAB-C7E8-474B-B872-095055A768D6}" uniqueName="37" name="29" queryTableFieldId="37" dataDxfId="173" dataCellStyle="Comma [0]"/>
    <tableColumn id="38" xr3:uid="{E9CA3FE3-CC67-45A7-BC2C-191471C8941E}" uniqueName="38" name="30" queryTableFieldId="38" dataDxfId="172" dataCellStyle="Comma [0]"/>
    <tableColumn id="39" xr3:uid="{5583B844-FE25-420E-8805-397C01B78A51}" uniqueName="39" name="31" queryTableFieldId="39" dataDxfId="171" dataCellStyle="Comma [0]"/>
  </tableColumns>
  <tableStyleInfo name="TableStyleLight9"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4DA104-944C-4449-9194-621107F4316F}" name="IPT_PROMIX_04" displayName="IPT_PROMIX_04" ref="A1:AF55" tableType="queryTable" totalsRowShown="0" headerRowDxfId="395">
  <autoFilter ref="A1:AF55" xr:uid="{954DA104-944C-4449-9194-621107F4316F}"/>
  <tableColumns count="32">
    <tableColumn id="1" xr3:uid="{F5E729A1-12B7-4149-ABF0-BBC827AF2A90}" uniqueName="1" name="Menu" queryTableFieldId="1" dataDxfId="394"/>
    <tableColumn id="2" xr3:uid="{BB2EE2AF-75FA-4250-B032-FA82BC78F603}" uniqueName="2" name="2" queryTableFieldId="2" dataDxfId="170"/>
    <tableColumn id="3" xr3:uid="{7E2DF870-FF42-43A9-B5EE-237A69CB2B10}" uniqueName="3" name="3" queryTableFieldId="3" dataDxfId="169"/>
    <tableColumn id="4" xr3:uid="{67FA1643-59D0-4DC1-B0C9-B281A30A48C8}" uniqueName="4" name="4" queryTableFieldId="4" dataDxfId="168"/>
    <tableColumn id="5" xr3:uid="{539E57EB-18E5-4EC2-BDD9-01FAECBAE9C4}" uniqueName="5" name="5" queryTableFieldId="5" dataDxfId="167"/>
    <tableColumn id="6" xr3:uid="{10739C3A-1906-417C-B769-FFE29E1D3CCD}" uniqueName="6" name="6" queryTableFieldId="6" dataDxfId="166"/>
    <tableColumn id="7" xr3:uid="{8360B991-914F-46AB-87E7-14DACCEDE7AA}" uniqueName="7" name="7" queryTableFieldId="7" dataDxfId="165"/>
    <tableColumn id="8" xr3:uid="{965DA26A-D8D8-42DB-9795-F8BE0E537A2C}" uniqueName="8" name="8" queryTableFieldId="8" dataDxfId="164"/>
    <tableColumn id="9" xr3:uid="{0546747C-1595-4BFA-9C0B-62E5F75D5EA7}" uniqueName="9" name="9" queryTableFieldId="9" dataDxfId="163"/>
    <tableColumn id="10" xr3:uid="{0C6FB9D8-185A-4CCA-B059-8DAAE75E8FF1}" uniqueName="10" name="10" queryTableFieldId="10" dataDxfId="162"/>
    <tableColumn id="11" xr3:uid="{2F5A8B85-8A94-452B-856A-55463D9258FA}" uniqueName="11" name="11" queryTableFieldId="11" dataDxfId="161"/>
    <tableColumn id="12" xr3:uid="{F898555F-29BE-4384-97B4-91316B6CD10D}" uniqueName="12" name="12" queryTableFieldId="12" dataDxfId="160"/>
    <tableColumn id="13" xr3:uid="{6432F309-122C-42C1-9F6B-469B45473644}" uniqueName="13" name="13" queryTableFieldId="13" dataDxfId="159"/>
    <tableColumn id="14" xr3:uid="{471622D0-037D-4761-9125-9FA8C72F30F0}" uniqueName="14" name="14" queryTableFieldId="14" dataDxfId="158"/>
    <tableColumn id="15" xr3:uid="{B79A3B2D-A4BC-4196-862F-1468B144657C}" uniqueName="15" name="15" queryTableFieldId="15" dataDxfId="157"/>
    <tableColumn id="16" xr3:uid="{8103FC78-A242-4E97-BF6C-20BF64C1BEF4}" uniqueName="16" name="16" queryTableFieldId="16" dataDxfId="156"/>
    <tableColumn id="17" xr3:uid="{A1CCCC1C-D976-4ECC-9475-2CD35E163BE7}" uniqueName="17" name="17" queryTableFieldId="17" dataDxfId="155"/>
    <tableColumn id="18" xr3:uid="{C6F46CB1-237C-4D6B-81D2-90C81B40E91B}" uniqueName="18" name="18" queryTableFieldId="18" dataDxfId="154"/>
    <tableColumn id="19" xr3:uid="{45B1EE23-B89D-4EF7-9652-6E19A7BE43AB}" uniqueName="19" name="19" queryTableFieldId="19" dataDxfId="153"/>
    <tableColumn id="20" xr3:uid="{897029FD-9024-4368-A944-5E06D209B40D}" uniqueName="20" name="20" queryTableFieldId="20" dataDxfId="152"/>
    <tableColumn id="21" xr3:uid="{D93C26A0-4722-4D65-8DCC-51D3C0E63F33}" uniqueName="21" name="21" queryTableFieldId="21" dataDxfId="151"/>
    <tableColumn id="22" xr3:uid="{FFEFF544-2A04-4F87-B878-37A98117CECC}" uniqueName="22" name="22" queryTableFieldId="22" dataDxfId="150"/>
    <tableColumn id="23" xr3:uid="{B0E7218E-3582-4A9C-82A2-9661CDE2CF82}" uniqueName="23" name="23" queryTableFieldId="23" dataDxfId="149"/>
    <tableColumn id="24" xr3:uid="{F299BD97-0CB1-4F0A-81FF-D1F17901093A}" uniqueName="24" name="24" queryTableFieldId="24" dataDxfId="148"/>
    <tableColumn id="25" xr3:uid="{7522A900-756E-4745-A1F9-646D18606509}" uniqueName="25" name="25" queryTableFieldId="25" dataDxfId="147"/>
    <tableColumn id="26" xr3:uid="{1D3C1CFB-A4FD-4C04-B6AE-552E70277878}" uniqueName="26" name="26" queryTableFieldId="26" dataDxfId="146"/>
    <tableColumn id="27" xr3:uid="{40E69AA7-189B-4389-8482-1DAFA6CF8A44}" uniqueName="27" name="27" queryTableFieldId="27" dataDxfId="145"/>
    <tableColumn id="28" xr3:uid="{F2EDB4ED-6663-4085-9393-E1BE8EF7EF6A}" uniqueName="28" name="28" queryTableFieldId="28" dataDxfId="144"/>
    <tableColumn id="29" xr3:uid="{79DBE133-8A04-4C09-B357-60358D847A4C}" uniqueName="29" name="29" queryTableFieldId="29" dataDxfId="143"/>
    <tableColumn id="30" xr3:uid="{FE514718-69D9-4C24-90EE-2FE199CDBB2B}" uniqueName="30" name="30" queryTableFieldId="30" dataDxfId="142"/>
    <tableColumn id="31" xr3:uid="{529404FB-4B8F-47A3-9EF3-2DB175A7DA14}" uniqueName="31" name="31" queryTableFieldId="31" dataDxfId="141"/>
    <tableColumn id="32" xr3:uid="{D8FC6CE4-0830-4ECE-9C07-7F39F8BA67AA}" uniqueName="32" name="1" queryTableFieldId="32" dataDxfId="140"/>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DDFCBDD-CDCC-4A89-A050-AABA24F5AB88}" name="IPT_WASTE_HANDLING_DINE_IN" displayName="IPT_WASTE_HANDLING_DINE_IN" ref="A1:AF55" tableType="queryTable" totalsRowShown="0" headerRowDxfId="389">
  <autoFilter ref="A1:AF55" xr:uid="{8DDFCBDD-CDCC-4A89-A050-AABA24F5AB88}"/>
  <tableColumns count="32">
    <tableColumn id="1" xr3:uid="{ABD3C90B-5F09-47FA-B7D1-4B675CDD4BE2}" uniqueName="1" name="Menu" queryTableFieldId="1" dataDxfId="388"/>
    <tableColumn id="2" xr3:uid="{FD45F764-6387-49D9-A485-3028DFF76A51}" uniqueName="2" name="1" queryTableFieldId="2" dataDxfId="139"/>
    <tableColumn id="3" xr3:uid="{30729353-97BB-460B-8032-53519A894113}" uniqueName="3" name="2" queryTableFieldId="3" dataDxfId="138"/>
    <tableColumn id="4" xr3:uid="{0C18279C-026E-40CF-9B13-EE254DF200DB}" uniqueName="4" name="3" queryTableFieldId="4" dataDxfId="137"/>
    <tableColumn id="5" xr3:uid="{A4531D31-89D3-4D45-8554-2973DA269DD3}" uniqueName="5" name="4" queryTableFieldId="5" dataDxfId="136"/>
    <tableColumn id="6" xr3:uid="{3094CAC5-F7BB-4BE4-A4EA-CD0604AB8CAB}" uniqueName="6" name="5" queryTableFieldId="6" dataDxfId="135"/>
    <tableColumn id="7" xr3:uid="{9F5BEC3A-F79A-42CD-A047-53060C4957CA}" uniqueName="7" name="6" queryTableFieldId="7" dataDxfId="134"/>
    <tableColumn id="8" xr3:uid="{CCA5CB42-D3D6-4396-826A-2EB4638ECA55}" uniqueName="8" name="7" queryTableFieldId="8" dataDxfId="133"/>
    <tableColumn id="9" xr3:uid="{01F126DC-A2BD-40A4-BAF0-FC047B80C31B}" uniqueName="9" name="8" queryTableFieldId="9" dataDxfId="132"/>
    <tableColumn id="10" xr3:uid="{924C34F4-C991-4384-B650-EB9614E2377E}" uniqueName="10" name="9" queryTableFieldId="10" dataDxfId="131"/>
    <tableColumn id="11" xr3:uid="{06643932-A32D-4AA5-86A9-A6C686B5CFB0}" uniqueName="11" name="10" queryTableFieldId="11" dataDxfId="130"/>
    <tableColumn id="12" xr3:uid="{B6153A1D-A0B7-4552-A3DA-EE521AB998BF}" uniqueName="12" name="11" queryTableFieldId="12" dataDxfId="129"/>
    <tableColumn id="13" xr3:uid="{A6195889-F0EC-446F-A28D-A926F7F3F4BA}" uniqueName="13" name="12" queryTableFieldId="13" dataDxfId="128"/>
    <tableColumn id="14" xr3:uid="{4673034D-0589-4BDB-BC83-81FA20617F4A}" uniqueName="14" name="13" queryTableFieldId="14" dataDxfId="127"/>
    <tableColumn id="15" xr3:uid="{C70EE3E9-A0D7-4CC2-9E1C-4B28CF6A5A12}" uniqueName="15" name="14" queryTableFieldId="15" dataDxfId="126"/>
    <tableColumn id="16" xr3:uid="{C7677E63-A76C-40DC-BA28-B26EAF83725E}" uniqueName="16" name="15" queryTableFieldId="16" dataDxfId="125"/>
    <tableColumn id="17" xr3:uid="{B7E3E970-9DCD-4751-ADC4-19876170A552}" uniqueName="17" name="16" queryTableFieldId="17" dataDxfId="124"/>
    <tableColumn id="18" xr3:uid="{BB7FB4E5-3924-4682-B074-439DC5568FBB}" uniqueName="18" name="17" queryTableFieldId="18" dataDxfId="123"/>
    <tableColumn id="19" xr3:uid="{F9F4C824-0570-4E7B-A271-F63499572BCF}" uniqueName="19" name="18" queryTableFieldId="19" dataDxfId="122"/>
    <tableColumn id="20" xr3:uid="{9A27244F-FF10-44FB-B9CD-91D367BAD4D1}" uniqueName="20" name="19" queryTableFieldId="20" dataDxfId="121"/>
    <tableColumn id="21" xr3:uid="{BE7F31FF-5277-4FA7-B5E6-AD0E10BB00E6}" uniqueName="21" name="20" queryTableFieldId="21" dataDxfId="120"/>
    <tableColumn id="22" xr3:uid="{ADF83A8A-8EA6-4DC8-8B2A-AB6780091A1A}" uniqueName="22" name="21" queryTableFieldId="22" dataDxfId="119"/>
    <tableColumn id="23" xr3:uid="{DA07ABD4-8BE3-4E19-A92D-171EAA0957A9}" uniqueName="23" name="22" queryTableFieldId="23" dataDxfId="118"/>
    <tableColumn id="24" xr3:uid="{C2C97DB8-F11C-4025-98B0-F1D68F5185B0}" uniqueName="24" name="23" queryTableFieldId="24" dataDxfId="117"/>
    <tableColumn id="25" xr3:uid="{7D8F671C-51EE-4A1E-B9EA-B551FEE97DA4}" uniqueName="25" name="24" queryTableFieldId="25" dataDxfId="116"/>
    <tableColumn id="26" xr3:uid="{AE67E3B8-C7D8-462E-A307-DAA881342D0A}" uniqueName="26" name="25" queryTableFieldId="26" dataDxfId="115"/>
    <tableColumn id="27" xr3:uid="{339ECE57-18F2-4CD0-A088-BCBFC91079F6}" uniqueName="27" name="26" queryTableFieldId="27" dataDxfId="114"/>
    <tableColumn id="28" xr3:uid="{94FADC5C-6DBA-43CF-B0E2-916B885ED06D}" uniqueName="28" name="27" queryTableFieldId="28" dataDxfId="113"/>
    <tableColumn id="29" xr3:uid="{E7018DD9-BAE7-4C51-8F59-7009606BBE21}" uniqueName="29" name="28" queryTableFieldId="29" dataDxfId="112"/>
    <tableColumn id="30" xr3:uid="{889B0055-083B-4A2A-A8A2-164E8DDC7753}" uniqueName="30" name="29" queryTableFieldId="30" dataDxfId="111"/>
    <tableColumn id="31" xr3:uid="{6DAD05FA-B4BE-4906-8EB1-F4371844AA5D}" uniqueName="31" name="30" queryTableFieldId="31" dataDxfId="110"/>
    <tableColumn id="32" xr3:uid="{45A543CB-E1A0-463B-8E9C-F31ABD1D5DFF}" uniqueName="32" name="31" queryTableFieldId="32" dataDxfId="109"/>
  </tableColumns>
  <tableStyleInfo name="TableStyleLight9" showFirstColumn="0" showLastColumn="0" showRowStripes="1" showColumnStripes="1"/>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7759BE0-66E3-435D-9282-E0F6AF06940D}" name="IPT_WASTE_CN" displayName="IPT_WASTE_CN" ref="A1:AF55" tableType="queryTable" totalsRowShown="0" headerRowDxfId="383">
  <autoFilter ref="A1:AF55" xr:uid="{67759BE0-66E3-435D-9282-E0F6AF06940D}"/>
  <tableColumns count="32">
    <tableColumn id="1" xr3:uid="{1F5A8CB1-E8CD-4007-B61B-3FEF2A4889E5}" uniqueName="1" name="Menu" queryTableFieldId="1" dataDxfId="382"/>
    <tableColumn id="2" xr3:uid="{7C05F782-28E4-4664-8FC5-0C6F0C099C93}" uniqueName="2" name="1" queryTableFieldId="2" dataDxfId="108"/>
    <tableColumn id="3" xr3:uid="{15ED2156-A207-464F-89DD-41AA45639265}" uniqueName="3" name="2" queryTableFieldId="3" dataDxfId="107"/>
    <tableColumn id="4" xr3:uid="{004A7F27-C462-4AEB-A70E-BBF53D16DDF6}" uniqueName="4" name="3" queryTableFieldId="4" dataDxfId="106"/>
    <tableColumn id="5" xr3:uid="{A4FA413A-7B08-4004-BF22-DCE545649FD8}" uniqueName="5" name="4" queryTableFieldId="5" dataDxfId="105"/>
    <tableColumn id="6" xr3:uid="{8BF0EABE-A416-4B9E-850B-DC3C6283C66F}" uniqueName="6" name="5" queryTableFieldId="6" dataDxfId="104"/>
    <tableColumn id="7" xr3:uid="{6C0C44AE-2261-4492-BF11-122FDE7E7BF7}" uniqueName="7" name="6" queryTableFieldId="7" dataDxfId="103"/>
    <tableColumn id="8" xr3:uid="{4EAE3056-2EA8-4A47-9471-473CCD3E68E3}" uniqueName="8" name="7" queryTableFieldId="8" dataDxfId="102"/>
    <tableColumn id="9" xr3:uid="{C9D7FF85-4021-401B-98B5-F1F6BB686371}" uniqueName="9" name="8" queryTableFieldId="9" dataDxfId="101"/>
    <tableColumn id="10" xr3:uid="{48E37F85-05B9-47AC-A699-2B3300BFDAD3}" uniqueName="10" name="9" queryTableFieldId="10" dataDxfId="100"/>
    <tableColumn id="11" xr3:uid="{A46AFC75-77E7-4667-9CCD-7E8CF2631505}" uniqueName="11" name="10" queryTableFieldId="11" dataDxfId="99"/>
    <tableColumn id="12" xr3:uid="{BE38D59F-7EC6-44C0-84B3-7D06D1EE3224}" uniqueName="12" name="11" queryTableFieldId="12" dataDxfId="98"/>
    <tableColumn id="13" xr3:uid="{32687687-4747-4DEF-8343-E6C10F723A99}" uniqueName="13" name="12" queryTableFieldId="13" dataDxfId="97"/>
    <tableColumn id="14" xr3:uid="{BF2EE1D1-4BEC-4F89-9787-9D3887FDFE1C}" uniqueName="14" name="13" queryTableFieldId="14" dataDxfId="96"/>
    <tableColumn id="15" xr3:uid="{2AA5FDB9-40CF-4B7D-B2E8-45C5176334B6}" uniqueName="15" name="14" queryTableFieldId="15" dataDxfId="95"/>
    <tableColumn id="16" xr3:uid="{7EB49694-BB6C-498A-B017-9EA79091B2FE}" uniqueName="16" name="15" queryTableFieldId="16" dataDxfId="94"/>
    <tableColumn id="17" xr3:uid="{CC1486A2-FC15-4070-A149-D7947272113D}" uniqueName="17" name="16" queryTableFieldId="17" dataDxfId="93"/>
    <tableColumn id="18" xr3:uid="{F9880DD7-B7E6-4590-ADD8-E9C89CE066B3}" uniqueName="18" name="17" queryTableFieldId="18" dataDxfId="92"/>
    <tableColumn id="19" xr3:uid="{EF4A3D37-9A5A-4267-9BCE-46E1CD03F151}" uniqueName="19" name="18" queryTableFieldId="19" dataDxfId="91"/>
    <tableColumn id="20" xr3:uid="{8C6B5ECD-7833-4555-B0C6-42E7058BF1BC}" uniqueName="20" name="19" queryTableFieldId="20" dataDxfId="90"/>
    <tableColumn id="21" xr3:uid="{DB7B5042-EDEE-4F6E-A206-896B9DF98468}" uniqueName="21" name="20" queryTableFieldId="21" dataDxfId="89"/>
    <tableColumn id="22" xr3:uid="{EF34E0CB-2DEC-490B-9C59-57198D16023F}" uniqueName="22" name="21" queryTableFieldId="22" dataDxfId="88"/>
    <tableColumn id="23" xr3:uid="{61718421-C55A-4AE5-B1F3-4C31D77CBF32}" uniqueName="23" name="22" queryTableFieldId="23" dataDxfId="87"/>
    <tableColumn id="24" xr3:uid="{10D66B73-A49B-4753-BFCB-9230E82B635B}" uniqueName="24" name="23" queryTableFieldId="24" dataDxfId="86"/>
    <tableColumn id="25" xr3:uid="{0A5F58B9-193C-4280-B180-94775786A4AF}" uniqueName="25" name="24" queryTableFieldId="25" dataDxfId="85"/>
    <tableColumn id="26" xr3:uid="{5D3040A1-4BFA-4ACF-A927-740CE0F00989}" uniqueName="26" name="25" queryTableFieldId="26" dataDxfId="84"/>
    <tableColumn id="27" xr3:uid="{DCF33E0E-921C-4854-9FA9-8C9C05B08FEB}" uniqueName="27" name="26" queryTableFieldId="27" dataDxfId="83"/>
    <tableColumn id="28" xr3:uid="{60AD5D97-056B-4D36-A078-A7F3CAA66D72}" uniqueName="28" name="27" queryTableFieldId="28" dataDxfId="82"/>
    <tableColumn id="29" xr3:uid="{176F1D8A-F9DC-400A-8626-2729B1DB758C}" uniqueName="29" name="28" queryTableFieldId="29" dataDxfId="81"/>
    <tableColumn id="30" xr3:uid="{1F91C54E-719B-4E65-A92C-0479A60D1EDF}" uniqueName="30" name="29" queryTableFieldId="30" dataDxfId="80"/>
    <tableColumn id="31" xr3:uid="{3F776EFD-3376-4A66-8D15-EBCBD73214B4}" uniqueName="31" name="30" queryTableFieldId="31" dataDxfId="79"/>
    <tableColumn id="32" xr3:uid="{3A85088D-C66E-4C3B-BE1B-A31C1BD46DDF}" uniqueName="32" name="31" queryTableFieldId="32" dataDxfId="78"/>
  </tableColumns>
  <tableStyleInfo name="TableStyleLight9" showFirstColumn="0" showLastColumn="0" showRowStripes="1" showColumnStripes="1"/>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32DAE5A-672C-4079-A25C-B3D1A4694F9B}" name="TRIAL_BAHAN" displayName="TRIAL_BAHAN" ref="A1:AI72" tableType="queryTable" totalsRowShown="0" tableBorderDxfId="381">
  <autoFilter ref="A1:AI72" xr:uid="{532DAE5A-672C-4079-A25C-B3D1A4694F9B}"/>
  <tableColumns count="35">
    <tableColumn id="1" xr3:uid="{820871F6-5E25-43EB-9AB7-3B9F242D21DE}" uniqueName="1" name="NAMA BARANG" queryTableFieldId="1" dataDxfId="380"/>
    <tableColumn id="2" xr3:uid="{6FE2C612-1BE8-4FE6-BDD0-5C543CB0C783}" uniqueName="2" name="KETERANGAN" queryTableFieldId="2"/>
    <tableColumn id="3" xr3:uid="{4197532D-2D45-4DF7-ABF2-FB4DFEBA6521}" uniqueName="3" name="SATUAN" queryTableFieldId="3" dataDxfId="379"/>
    <tableColumn id="4" xr3:uid="{5C27B693-5720-4129-B974-5775AF2F80CE}" uniqueName="4" name="KONVERSI" queryTableFieldId="4"/>
    <tableColumn id="5" xr3:uid="{858CC714-EF8B-44DD-BD7F-EAD0C93439CA}" uniqueName="5" name="1" queryTableFieldId="5" dataDxfId="378"/>
    <tableColumn id="6" xr3:uid="{BC23ADC2-FDC3-42EC-A0BE-BB197CD6CEA2}" uniqueName="6" name="2" queryTableFieldId="6" dataDxfId="377"/>
    <tableColumn id="7" xr3:uid="{298DE099-3AED-4C60-AD33-1AFC8389164D}" uniqueName="7" name="3" queryTableFieldId="7" dataDxfId="376"/>
    <tableColumn id="8" xr3:uid="{B6B27EA7-D7D5-4DF7-A834-E6BFFFBD4815}" uniqueName="8" name="4" queryTableFieldId="8" dataDxfId="375"/>
    <tableColumn id="9" xr3:uid="{2EF7BDA6-B924-44DC-9390-65C45F7D85EA}" uniqueName="9" name="5" queryTableFieldId="9" dataDxfId="374"/>
    <tableColumn id="10" xr3:uid="{CAEF9868-C2F8-4E05-850A-1C438A6F2739}" uniqueName="10" name="6" queryTableFieldId="10" dataDxfId="373"/>
    <tableColumn id="11" xr3:uid="{2FDDCB54-0DD3-4C70-9E83-BEB99044C795}" uniqueName="11" name="7" queryTableFieldId="11" dataDxfId="372"/>
    <tableColumn id="12" xr3:uid="{C09FF1D3-0B8E-4384-B278-AF9C718B1C14}" uniqueName="12" name="8" queryTableFieldId="12" dataDxfId="371"/>
    <tableColumn id="13" xr3:uid="{D3F95DB9-46FE-4F33-A86F-6007845DDCDB}" uniqueName="13" name="9" queryTableFieldId="13" dataDxfId="370"/>
    <tableColumn id="14" xr3:uid="{AEC80007-1B98-4D55-BE6D-74C0C8A4F00D}" uniqueName="14" name="10" queryTableFieldId="14" dataDxfId="369"/>
    <tableColumn id="15" xr3:uid="{1181F6D3-7BFE-40D2-A227-A2C221499161}" uniqueName="15" name="11" queryTableFieldId="15" dataDxfId="368"/>
    <tableColumn id="16" xr3:uid="{62744897-8875-41F9-9B21-1EEBD715D1A8}" uniqueName="16" name="12" queryTableFieldId="16" dataDxfId="367"/>
    <tableColumn id="17" xr3:uid="{29BEEB73-6966-4402-853B-E6755E771CF6}" uniqueName="17" name="13" queryTableFieldId="17" dataDxfId="366"/>
    <tableColumn id="18" xr3:uid="{37FD4450-E0FA-4948-8C99-3D3068F8BBE2}" uniqueName="18" name="14" queryTableFieldId="18" dataDxfId="365"/>
    <tableColumn id="19" xr3:uid="{A49A9E14-7376-42CD-A698-7AB1C33700DE}" uniqueName="19" name="15" queryTableFieldId="19" dataDxfId="364"/>
    <tableColumn id="20" xr3:uid="{DB44261E-3A1B-4C81-B05F-0EC8656E3F80}" uniqueName="20" name="16" queryTableFieldId="20" dataDxfId="363"/>
    <tableColumn id="21" xr3:uid="{51DD3AEF-B802-47CC-B187-33501F2B3F7D}" uniqueName="21" name="17" queryTableFieldId="21" dataDxfId="362"/>
    <tableColumn id="22" xr3:uid="{E7931744-D0D6-4986-8D82-E398571F1D52}" uniqueName="22" name="18" queryTableFieldId="22" dataDxfId="361"/>
    <tableColumn id="23" xr3:uid="{E7A1D22E-3430-4AF5-B4FE-AFE4C8021D05}" uniqueName="23" name="19" queryTableFieldId="23" dataDxfId="360"/>
    <tableColumn id="24" xr3:uid="{DD9B57FD-2858-4FB8-96D3-7B0DD282CC2B}" uniqueName="24" name="20" queryTableFieldId="24" dataDxfId="359"/>
    <tableColumn id="25" xr3:uid="{304D1FA5-7EB2-4919-8FF3-753B54128899}" uniqueName="25" name="21" queryTableFieldId="25" dataDxfId="358"/>
    <tableColumn id="26" xr3:uid="{2042E733-B9EC-4034-A9CD-EFA3D9D5CA09}" uniqueName="26" name="22" queryTableFieldId="26" dataDxfId="357"/>
    <tableColumn id="27" xr3:uid="{C7A946FF-0960-44F7-84B8-C3E7498A9FDF}" uniqueName="27" name="23" queryTableFieldId="27" dataDxfId="356"/>
    <tableColumn id="28" xr3:uid="{FE30E091-FFB9-4F27-88D5-3E578243705D}" uniqueName="28" name="24" queryTableFieldId="28" dataDxfId="355"/>
    <tableColumn id="29" xr3:uid="{64B7AA73-536D-4804-8FDF-CD156A28F405}" uniqueName="29" name="25" queryTableFieldId="29" dataDxfId="354"/>
    <tableColumn id="30" xr3:uid="{1555E37A-C0D5-493E-9C4A-E390AB57695D}" uniqueName="30" name="26" queryTableFieldId="30" dataDxfId="353"/>
    <tableColumn id="31" xr3:uid="{C3466F88-7807-4A84-A811-DE2B88570859}" uniqueName="31" name="27" queryTableFieldId="31" dataDxfId="352"/>
    <tableColumn id="32" xr3:uid="{8B066C92-3825-4D9D-B9E0-8E80F8BE8BB2}" uniqueName="32" name="28" queryTableFieldId="32" dataDxfId="351"/>
    <tableColumn id="33" xr3:uid="{97147887-D7A8-4968-BBEC-6512007742C0}" uniqueName="33" name="29" queryTableFieldId="33" dataDxfId="350"/>
    <tableColumn id="34" xr3:uid="{CDB508CD-38C9-41EE-B857-08A5E5EDAF63}" uniqueName="34" name="30" queryTableFieldId="34" dataDxfId="349"/>
    <tableColumn id="35" xr3:uid="{0ACE6FE4-57AC-494E-B756-449478AD7DE5}" uniqueName="35" name="31" queryTableFieldId="35" dataDxfId="348"/>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93EC924-0860-49C1-BA58-55B910133548}" name="IPT_TRIAL_PORSI" displayName="IPT_TRIAL_PORSI" ref="A1:AF62" tableType="queryTable" totalsRowShown="0">
  <autoFilter ref="A1:AF62" xr:uid="{B93EC924-0860-49C1-BA58-55B910133548}"/>
  <tableColumns count="32">
    <tableColumn id="1" xr3:uid="{2EA4D961-8500-4FEA-BB4C-4E52BA600E25}" uniqueName="1" name="Menu" queryTableFieldId="1" dataDxfId="343"/>
    <tableColumn id="2" xr3:uid="{04F0A3A7-B81F-4FB2-9290-D68C13FA4A49}" uniqueName="2" name="1" queryTableFieldId="2" dataDxfId="77"/>
    <tableColumn id="3" xr3:uid="{A742A24F-450C-4AF2-ABC7-DA8EBE23C10F}" uniqueName="3" name="2" queryTableFieldId="3" dataDxfId="76"/>
    <tableColumn id="4" xr3:uid="{3FEE070D-58CA-4102-9A01-83D785C37D0B}" uniqueName="4" name="3" queryTableFieldId="4" dataDxfId="75"/>
    <tableColumn id="5" xr3:uid="{CDA1CA40-BF35-4F68-830D-B0FA085515B5}" uniqueName="5" name="4" queryTableFieldId="5" dataDxfId="74"/>
    <tableColumn id="6" xr3:uid="{34333290-47C1-4E8D-BD5C-BBA594696D70}" uniqueName="6" name="5" queryTableFieldId="6" dataDxfId="73"/>
    <tableColumn id="7" xr3:uid="{1894807D-135D-4C6B-A5F7-A7B58CF132E1}" uniqueName="7" name="6" queryTableFieldId="7" dataDxfId="72"/>
    <tableColumn id="8" xr3:uid="{A9449568-3DD0-45F4-9FCE-09F7E8AB20D7}" uniqueName="8" name="7" queryTableFieldId="8" dataDxfId="71"/>
    <tableColumn id="9" xr3:uid="{FD0B9289-DEB1-43F0-BD2E-B1DA392BD665}" uniqueName="9" name="8" queryTableFieldId="9" dataDxfId="70"/>
    <tableColumn id="10" xr3:uid="{962635D8-B753-4A17-AE5A-CBE9E0008C78}" uniqueName="10" name="9" queryTableFieldId="10" dataDxfId="69"/>
    <tableColumn id="11" xr3:uid="{FC6D713B-5751-45DD-B2F1-B14E83FFB3C2}" uniqueName="11" name="10" queryTableFieldId="11" dataDxfId="68"/>
    <tableColumn id="12" xr3:uid="{9DF0B9BB-1C1F-43AE-A5EB-D4505E9D1462}" uniqueName="12" name="11" queryTableFieldId="12" dataDxfId="67"/>
    <tableColumn id="13" xr3:uid="{E17A95B2-0024-4224-A124-864685CDA3B3}" uniqueName="13" name="12" queryTableFieldId="13" dataDxfId="66"/>
    <tableColumn id="14" xr3:uid="{FEBE9B7D-501A-488B-8169-A9529D90710F}" uniqueName="14" name="13" queryTableFieldId="14" dataDxfId="65"/>
    <tableColumn id="15" xr3:uid="{4D899024-7859-4FC3-9CA3-BC45CF013641}" uniqueName="15" name="14" queryTableFieldId="15" dataDxfId="64"/>
    <tableColumn id="16" xr3:uid="{E4BE9CA7-3690-4D6C-937F-DC4B2B8B57AF}" uniqueName="16" name="15" queryTableFieldId="16" dataDxfId="63"/>
    <tableColumn id="17" xr3:uid="{D094A652-CA9D-4909-961D-E70CB9F563B9}" uniqueName="17" name="16" queryTableFieldId="17" dataDxfId="62"/>
    <tableColumn id="18" xr3:uid="{562C9D41-622A-462F-89A0-1474DD1BD99D}" uniqueName="18" name="17" queryTableFieldId="18" dataDxfId="61"/>
    <tableColumn id="19" xr3:uid="{262F3D9A-BCE4-4480-BB6B-A256916C5ECB}" uniqueName="19" name="18" queryTableFieldId="19" dataDxfId="60"/>
    <tableColumn id="20" xr3:uid="{472BA15F-E33D-4C6A-A6C6-0DB8A4149D30}" uniqueName="20" name="19" queryTableFieldId="20" dataDxfId="59"/>
    <tableColumn id="21" xr3:uid="{B91B0303-CA42-4C2B-B963-B02C232F6C94}" uniqueName="21" name="20" queryTableFieldId="21" dataDxfId="58"/>
    <tableColumn id="22" xr3:uid="{249F5F14-D099-44C2-838B-9DBA89B113A3}" uniqueName="22" name="21" queryTableFieldId="22" dataDxfId="57"/>
    <tableColumn id="23" xr3:uid="{AF1ECAAA-3227-4127-8507-A5ACCC6DC57F}" uniqueName="23" name="22" queryTableFieldId="23" dataDxfId="56"/>
    <tableColumn id="24" xr3:uid="{19F6C637-F123-479F-9229-4B3574643376}" uniqueName="24" name="23" queryTableFieldId="24" dataDxfId="55"/>
    <tableColumn id="25" xr3:uid="{CAB97764-CDBE-4B94-9AB4-78C0D3FBAE4E}" uniqueName="25" name="24" queryTableFieldId="25" dataDxfId="54"/>
    <tableColumn id="26" xr3:uid="{3508888C-24F7-4E86-B748-E2100526C973}" uniqueName="26" name="25" queryTableFieldId="26" dataDxfId="53"/>
    <tableColumn id="27" xr3:uid="{6922C14B-4183-4EBE-AA69-C9EB2D59FC51}" uniqueName="27" name="26" queryTableFieldId="27" dataDxfId="52"/>
    <tableColumn id="28" xr3:uid="{6BC6215E-538B-4C03-AE66-27432916C803}" uniqueName="28" name="27" queryTableFieldId="28" dataDxfId="51"/>
    <tableColumn id="29" xr3:uid="{220F2013-7C02-4333-B56F-1F7B526A3A07}" uniqueName="29" name="28" queryTableFieldId="29" dataDxfId="50"/>
    <tableColumn id="30" xr3:uid="{0081C35A-EC0F-4184-836D-D412B63CFC0B}" uniqueName="30" name="29" queryTableFieldId="30" dataDxfId="49"/>
    <tableColumn id="31" xr3:uid="{ADDCCD7A-B2BC-493E-B8E3-49DCEEB31593}" uniqueName="31" name="30" queryTableFieldId="31" dataDxfId="48"/>
    <tableColumn id="32" xr3:uid="{1854285D-FD44-4BD4-BC27-B7198F48DA5B}" uniqueName="32" name="31" queryTableFieldId="32" dataDxfId="47"/>
  </tableColumns>
  <tableStyleInfo name="TableStyleLight9" showFirstColumn="0" showLastColumn="0" showRowStripes="1" showColumnStripes="1"/>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E60EDA3-C610-4917-B5B8-8176CB18629F}" name="SUSUT" displayName="SUSUT" ref="A1:AI72" tableType="queryTable" totalsRowShown="0" tableBorderDxfId="341">
  <autoFilter ref="A1:AI72" xr:uid="{DE60EDA3-C610-4917-B5B8-8176CB18629F}"/>
  <tableColumns count="35">
    <tableColumn id="2" xr3:uid="{12E40C47-9068-4EFE-AB2B-962471E507E4}" uniqueName="2" name="NAMA BARANG" queryTableFieldId="2" dataDxfId="340"/>
    <tableColumn id="3" xr3:uid="{A57BCDEF-3B96-4A48-B879-FCBAD85B530B}" uniqueName="3" name="KETERANGAN" queryTableFieldId="3"/>
    <tableColumn id="4" xr3:uid="{2348583E-BDEC-4561-999B-A6F8D3970406}" uniqueName="4" name="SATUAN" queryTableFieldId="4" dataDxfId="339"/>
    <tableColumn id="38" xr3:uid="{4CC0FF07-00F6-4109-92B3-6569395C8C39}" uniqueName="38" name="KONVERSI" queryTableFieldId="38"/>
    <tableColumn id="7" xr3:uid="{0ECDB228-BA30-4879-8B32-6A1CA2B14729}" uniqueName="7" name="1" queryTableFieldId="7" dataDxfId="46"/>
    <tableColumn id="8" xr3:uid="{BE56B7A0-3E57-4368-89CD-BBDF91DF3BBB}" uniqueName="8" name="2" queryTableFieldId="8" dataDxfId="45"/>
    <tableColumn id="9" xr3:uid="{28784A3F-C4D5-4E3E-86F4-031920519BF1}" uniqueName="9" name="3" queryTableFieldId="9" dataDxfId="44"/>
    <tableColumn id="10" xr3:uid="{40C67776-7DA7-4FD0-91E0-76DF55D21635}" uniqueName="10" name="4" queryTableFieldId="10" dataDxfId="43"/>
    <tableColumn id="11" xr3:uid="{9423902E-570D-4C19-8D12-A8D68397D559}" uniqueName="11" name="5" queryTableFieldId="11" dataDxfId="42"/>
    <tableColumn id="12" xr3:uid="{910ACAC5-E2E2-4915-B533-D6F23EF9468D}" uniqueName="12" name="6" queryTableFieldId="12" dataDxfId="41"/>
    <tableColumn id="13" xr3:uid="{36A1FA56-07C4-454B-8938-22053E352DBA}" uniqueName="13" name="7" queryTableFieldId="13" dataDxfId="40"/>
    <tableColumn id="14" xr3:uid="{C9A78EA4-6FF6-4393-8869-B4D158D85440}" uniqueName="14" name="8" queryTableFieldId="14" dataDxfId="39"/>
    <tableColumn id="15" xr3:uid="{75D21D9E-AF8C-4C4A-BEAC-3F9865C0BD40}" uniqueName="15" name="9" queryTableFieldId="15" dataDxfId="38"/>
    <tableColumn id="16" xr3:uid="{04825F1D-BD1D-4E82-B462-B5082E52EF18}" uniqueName="16" name="10" queryTableFieldId="16" dataDxfId="37"/>
    <tableColumn id="17" xr3:uid="{5F9A7251-6D03-4445-917B-B90B2C044904}" uniqueName="17" name="11" queryTableFieldId="17" dataDxfId="36"/>
    <tableColumn id="18" xr3:uid="{5FD1B269-6036-4411-A53E-88C40101DD1E}" uniqueName="18" name="12" queryTableFieldId="18" dataDxfId="35"/>
    <tableColumn id="19" xr3:uid="{A534A7D1-B729-4BF3-AB97-681E6157DDF0}" uniqueName="19" name="13" queryTableFieldId="19" dataDxfId="34"/>
    <tableColumn id="20" xr3:uid="{1B49AD82-DAE8-450F-8ED9-DC215AD6E6BF}" uniqueName="20" name="14" queryTableFieldId="20" dataDxfId="33"/>
    <tableColumn id="21" xr3:uid="{A6FB6D44-D9BE-4B8C-BE30-F91E8AC40BCE}" uniqueName="21" name="15" queryTableFieldId="21" dataDxfId="32"/>
    <tableColumn id="22" xr3:uid="{51B5C42D-5EEE-4652-82C4-B32992CD30D5}" uniqueName="22" name="16" queryTableFieldId="22" dataDxfId="31"/>
    <tableColumn id="23" xr3:uid="{E05D5744-8475-4EF4-8E0C-972A171E31F3}" uniqueName="23" name="17" queryTableFieldId="23" dataDxfId="30"/>
    <tableColumn id="24" xr3:uid="{FD5A5541-4A6E-46AF-9CD7-A94326AD53D7}" uniqueName="24" name="18" queryTableFieldId="24" dataDxfId="29"/>
    <tableColumn id="25" xr3:uid="{A830B173-3AE0-46F3-89CC-931E0F117556}" uniqueName="25" name="19" queryTableFieldId="25" dataDxfId="28"/>
    <tableColumn id="26" xr3:uid="{3A09AE27-4E78-4E2D-A8F1-90D4D3A1EB94}" uniqueName="26" name="20" queryTableFieldId="26" dataDxfId="27"/>
    <tableColumn id="27" xr3:uid="{03F86395-EECC-45DB-9E5A-A38441CB3A6A}" uniqueName="27" name="21" queryTableFieldId="27" dataDxfId="26"/>
    <tableColumn id="28" xr3:uid="{53253098-C6E0-4218-A330-9FD2A484380C}" uniqueName="28" name="22" queryTableFieldId="28" dataDxfId="25"/>
    <tableColumn id="29" xr3:uid="{EFA05DB2-B76B-4766-9C53-F1F546A39DCB}" uniqueName="29" name="23" queryTableFieldId="29" dataDxfId="24"/>
    <tableColumn id="30" xr3:uid="{32BE19F8-520C-4E8C-A9D6-D396ECDCCFE3}" uniqueName="30" name="24" queryTableFieldId="30" dataDxfId="23"/>
    <tableColumn id="31" xr3:uid="{B7B45D91-BCE6-4F18-8752-89E12E486B5E}" uniqueName="31" name="25" queryTableFieldId="31" dataDxfId="22"/>
    <tableColumn id="32" xr3:uid="{7D4D6364-E23F-4F98-A1ED-B14B0A58C362}" uniqueName="32" name="26" queryTableFieldId="32" dataDxfId="21"/>
    <tableColumn id="33" xr3:uid="{1F5AF33D-3CFB-4B38-85D4-7A573CD929B5}" uniqueName="33" name="27" queryTableFieldId="33" dataDxfId="20"/>
    <tableColumn id="34" xr3:uid="{28AA0F7D-5EEA-432B-A154-9D80C6807D17}" uniqueName="34" name="28" queryTableFieldId="34" dataDxfId="19"/>
    <tableColumn id="35" xr3:uid="{59949533-D9B7-4EF9-AE0C-6D928799C176}" uniqueName="35" name="29" queryTableFieldId="35" dataDxfId="18"/>
    <tableColumn id="36" xr3:uid="{8F616F43-DB00-47AC-BAC2-043DC396B548}" uniqueName="36" name="30" queryTableFieldId="36" dataDxfId="17"/>
    <tableColumn id="37" xr3:uid="{A90BDC99-E0A4-4BE2-A583-24CF604BC93E}" uniqueName="37" name="31" queryTableFieldId="37" dataDxfId="16"/>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6CDC189-5108-4132-A3AE-380937058ECF}" name="DBS_BARANG_TRIAL" displayName="DBS_BARANG_TRIAL" ref="A1:G7" totalsRowShown="0">
  <autoFilter ref="A1:G7" xr:uid="{76CDC189-5108-4132-A3AE-380937058ECF}"/>
  <tableColumns count="7">
    <tableColumn id="1" xr3:uid="{2A5D365E-2494-4ED5-A4BD-27CB5029E052}" name="Nama Barang Grup Barang"/>
    <tableColumn id="2" xr3:uid="{6C93521C-DE35-4FD4-A7F1-077690ED570D}" name="NAMA BARANG"/>
    <tableColumn id="3" xr3:uid="{C55C0D1A-80B9-4D49-96B7-A280238C28F6}" name="Kuantitas"/>
    <tableColumn id="4" xr3:uid="{F313B7BC-B0A4-420C-A7EA-ED6309F926D7}" name="BOM [Promix 00 &amp; 04]"/>
    <tableColumn id="5" xr3:uid="{64B82E82-2D2A-43C8-B79B-C28A5CD92572}" name="Cancel Nota [Waste CN Dine In &amp; TA]"/>
    <tableColumn id="6" xr3:uid="{616A4FB7-939B-4FEB-89DD-7C874106CE8D}" name="Trial Porsi [Trial Porsi]"/>
    <tableColumn id="7" xr3:uid="{26A1521C-9AE8-4FAA-A800-3D5060F86379}" name="Waste Handling [Waste Handling]"/>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3F805E0-52E2-4C8D-9E77-4E7114666810}" name="DBS_MENU" displayName="DBS_MENU" ref="A1:E99" totalsRowShown="0">
  <autoFilter ref="A1:E99" xr:uid="{63F805E0-52E2-4C8D-9E77-4E7114666810}"/>
  <tableColumns count="5">
    <tableColumn id="1" xr3:uid="{6A4D4110-364F-41D7-8C61-C88F77312B6E}" name="No"/>
    <tableColumn id="2" xr3:uid="{A2191A30-0EC3-4397-AB63-655AFFBBD2DF}" name="Menu"/>
    <tableColumn id="3" xr3:uid="{70FBA953-C75D-4293-80AC-B57E1227A2D2}" name="Dine In/Take Away"/>
    <tableColumn id="4" xr3:uid="{57A9785E-0F9D-45FF-8ACF-E446A519A7BE}" name="Grup Menu"/>
    <tableColumn id="5" xr3:uid="{92BC09C2-9090-4C58-B3EB-B6E82AE4CB74}" name="Aktif"/>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s>
</file>

<file path=xl/worksheets/_rels/sheet1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580BB-0180-4034-82BB-B2C36EAA8A0B}">
  <sheetPr codeName="Sheet2">
    <tabColor rgb="FFFFFF00"/>
  </sheetPr>
  <dimension ref="A1:P502"/>
  <sheetViews>
    <sheetView zoomScale="70" zoomScaleNormal="70" workbookViewId="0">
      <pane xSplit="3" ySplit="1" topLeftCell="D68" activePane="bottomRight" state="frozen"/>
      <selection pane="topRight" activeCell="D1" sqref="D1"/>
      <selection pane="bottomLeft" activeCell="A2" sqref="A2"/>
      <selection pane="bottomRight" activeCell="C58" sqref="C58"/>
    </sheetView>
  </sheetViews>
  <sheetFormatPr defaultColWidth="8.7265625" defaultRowHeight="13" x14ac:dyDescent="0.3"/>
  <cols>
    <col min="1" max="1" width="39.81640625" style="127" bestFit="1" customWidth="1"/>
    <col min="2" max="2" width="17.453125" style="125" bestFit="1" customWidth="1"/>
    <col min="3" max="3" width="44.453125" style="127" bestFit="1" customWidth="1"/>
    <col min="4" max="4" width="14.453125" style="127" bestFit="1" customWidth="1"/>
    <col min="5" max="5" width="14.54296875" style="127" bestFit="1" customWidth="1"/>
    <col min="6" max="6" width="15.81640625" style="127" customWidth="1"/>
    <col min="7" max="7" width="15.54296875" style="127" customWidth="1"/>
    <col min="8" max="8" width="21.54296875" style="127" customWidth="1"/>
    <col min="9" max="9" width="36.7265625" style="127" customWidth="1"/>
    <col min="10" max="10" width="12.7265625" style="127" customWidth="1"/>
    <col min="11" max="11" width="27.54296875" style="127" customWidth="1"/>
    <col min="12" max="12" width="14" style="127" customWidth="1"/>
    <col min="13" max="13" width="26.1796875" style="127" customWidth="1"/>
    <col min="14" max="14" width="39.1796875" style="127" customWidth="1"/>
    <col min="15" max="15" width="26.1796875" style="127" customWidth="1"/>
    <col min="16" max="16" width="35.26953125" style="127" customWidth="1"/>
    <col min="17" max="17" width="8.7265625" style="127" customWidth="1"/>
    <col min="18" max="16384" width="8.7265625" style="127"/>
  </cols>
  <sheetData>
    <row r="1" spans="1:16" s="126" customFormat="1" ht="42.65" customHeight="1" x14ac:dyDescent="0.35">
      <c r="A1" s="131" t="s">
        <v>172</v>
      </c>
      <c r="B1" s="132" t="s">
        <v>0</v>
      </c>
      <c r="C1" s="131" t="s">
        <v>170</v>
      </c>
      <c r="D1" s="131" t="s">
        <v>1</v>
      </c>
      <c r="E1" s="133" t="s">
        <v>168</v>
      </c>
      <c r="F1" s="131" t="s">
        <v>169</v>
      </c>
      <c r="G1" s="131" t="s">
        <v>337</v>
      </c>
      <c r="H1" s="131" t="s">
        <v>343</v>
      </c>
      <c r="I1" s="131" t="s">
        <v>236</v>
      </c>
      <c r="J1" s="131" t="s">
        <v>460</v>
      </c>
      <c r="K1" s="131" t="s">
        <v>171</v>
      </c>
      <c r="L1" s="131" t="s">
        <v>314</v>
      </c>
      <c r="M1" s="131" t="s">
        <v>467</v>
      </c>
      <c r="N1" s="131" t="s">
        <v>468</v>
      </c>
      <c r="O1" s="131" t="s">
        <v>469</v>
      </c>
      <c r="P1" s="131" t="s">
        <v>470</v>
      </c>
    </row>
    <row r="2" spans="1:16" ht="13.15" customHeight="1" x14ac:dyDescent="0.35">
      <c r="A2" s="134" t="s">
        <v>1316</v>
      </c>
      <c r="C2" s="125" t="s">
        <v>1432</v>
      </c>
      <c r="D2" s="127" t="s">
        <v>103</v>
      </c>
      <c r="E2" s="166">
        <v>15000</v>
      </c>
      <c r="F2" s="73" t="s">
        <v>29</v>
      </c>
      <c r="G2" s="134" t="s">
        <v>342</v>
      </c>
      <c r="H2" s="134" t="s">
        <v>342</v>
      </c>
      <c r="I2" s="134"/>
      <c r="J2" s="134" t="s">
        <v>463</v>
      </c>
      <c r="K2" s="134" t="s">
        <v>174</v>
      </c>
      <c r="L2" s="134" t="s">
        <v>315</v>
      </c>
      <c r="M2" s="135" t="b">
        <v>1</v>
      </c>
      <c r="N2" s="135" t="b">
        <v>1</v>
      </c>
      <c r="O2" s="135" t="b">
        <v>1</v>
      </c>
      <c r="P2" s="135" t="b">
        <v>1</v>
      </c>
    </row>
    <row r="3" spans="1:16" ht="13.15" customHeight="1" x14ac:dyDescent="0.35">
      <c r="A3" s="134" t="s">
        <v>1316</v>
      </c>
      <c r="C3" s="125" t="s">
        <v>1433</v>
      </c>
      <c r="D3" s="134" t="s">
        <v>101</v>
      </c>
      <c r="E3">
        <v>1000</v>
      </c>
      <c r="F3" s="73" t="s">
        <v>29</v>
      </c>
      <c r="G3" s="134" t="s">
        <v>342</v>
      </c>
      <c r="H3" s="134" t="s">
        <v>342</v>
      </c>
      <c r="I3" s="134"/>
      <c r="J3" s="134" t="s">
        <v>463</v>
      </c>
      <c r="K3" s="134" t="s">
        <v>174</v>
      </c>
      <c r="L3" s="134" t="s">
        <v>315</v>
      </c>
      <c r="M3" s="135" t="b">
        <v>1</v>
      </c>
      <c r="N3" s="135" t="b">
        <v>1</v>
      </c>
      <c r="O3" s="135" t="b">
        <v>1</v>
      </c>
      <c r="P3" s="135" t="b">
        <v>1</v>
      </c>
    </row>
    <row r="4" spans="1:16" ht="13.15" customHeight="1" x14ac:dyDescent="0.35">
      <c r="A4" s="134" t="s">
        <v>1316</v>
      </c>
      <c r="C4" s="125" t="s">
        <v>1317</v>
      </c>
      <c r="D4" s="134" t="s">
        <v>29</v>
      </c>
      <c r="E4">
        <v>1</v>
      </c>
      <c r="F4" s="73" t="s">
        <v>29</v>
      </c>
      <c r="G4" s="134" t="s">
        <v>342</v>
      </c>
      <c r="H4" s="134" t="s">
        <v>342</v>
      </c>
      <c r="I4" s="134"/>
      <c r="J4" s="134" t="s">
        <v>463</v>
      </c>
      <c r="K4" s="134" t="s">
        <v>174</v>
      </c>
      <c r="L4" s="134" t="s">
        <v>315</v>
      </c>
      <c r="M4" s="135" t="b">
        <v>1</v>
      </c>
      <c r="N4" s="135" t="b">
        <v>1</v>
      </c>
      <c r="O4" s="135" t="b">
        <v>1</v>
      </c>
      <c r="P4" s="135" t="b">
        <v>1</v>
      </c>
    </row>
    <row r="5" spans="1:16" ht="13.15" customHeight="1" x14ac:dyDescent="0.35">
      <c r="A5" s="134" t="s">
        <v>1316</v>
      </c>
      <c r="C5" s="125" t="s">
        <v>1417</v>
      </c>
      <c r="D5" s="134" t="s">
        <v>29</v>
      </c>
      <c r="E5">
        <v>17</v>
      </c>
      <c r="F5" s="73" t="s">
        <v>29</v>
      </c>
      <c r="G5" s="134" t="s">
        <v>341</v>
      </c>
      <c r="H5" s="134" t="s">
        <v>341</v>
      </c>
      <c r="I5" s="125" t="s">
        <v>1431</v>
      </c>
      <c r="J5" s="134" t="s">
        <v>457</v>
      </c>
      <c r="K5" s="134" t="s">
        <v>174</v>
      </c>
      <c r="L5" s="134" t="s">
        <v>315</v>
      </c>
      <c r="M5" s="135" t="b">
        <v>1</v>
      </c>
      <c r="N5" s="135" t="b">
        <v>1</v>
      </c>
      <c r="O5" s="135" t="b">
        <v>1</v>
      </c>
      <c r="P5" s="135" t="b">
        <v>1</v>
      </c>
    </row>
    <row r="6" spans="1:16" ht="13.15" customHeight="1" x14ac:dyDescent="0.35">
      <c r="A6" s="134" t="s">
        <v>1316</v>
      </c>
      <c r="B6" s="125">
        <v>100434</v>
      </c>
      <c r="C6" s="125" t="s">
        <v>1316</v>
      </c>
      <c r="D6" s="134" t="s">
        <v>35</v>
      </c>
      <c r="E6"/>
      <c r="F6" s="73"/>
      <c r="G6" s="134" t="s">
        <v>342</v>
      </c>
      <c r="H6" s="134" t="s">
        <v>342</v>
      </c>
      <c r="I6" s="134"/>
      <c r="J6" s="134" t="s">
        <v>463</v>
      </c>
      <c r="K6" s="134" t="s">
        <v>174</v>
      </c>
      <c r="L6" s="134" t="s">
        <v>315</v>
      </c>
      <c r="M6" s="135" t="b">
        <v>1</v>
      </c>
      <c r="N6" s="135" t="b">
        <v>1</v>
      </c>
      <c r="O6" s="135" t="b">
        <v>1</v>
      </c>
      <c r="P6" s="135" t="b">
        <v>1</v>
      </c>
    </row>
    <row r="7" spans="1:16" x14ac:dyDescent="0.3">
      <c r="A7" s="134" t="s">
        <v>837</v>
      </c>
      <c r="C7" s="125" t="s">
        <v>841</v>
      </c>
      <c r="D7" s="134" t="s">
        <v>103</v>
      </c>
      <c r="E7" s="134">
        <v>24</v>
      </c>
      <c r="F7" s="73" t="s">
        <v>358</v>
      </c>
      <c r="G7" s="134" t="s">
        <v>342</v>
      </c>
      <c r="H7" s="134" t="s">
        <v>342</v>
      </c>
      <c r="I7" s="134"/>
      <c r="J7" s="134"/>
      <c r="K7" s="134" t="s">
        <v>174</v>
      </c>
      <c r="L7" s="134" t="s">
        <v>315</v>
      </c>
      <c r="M7" s="135" t="b">
        <v>1</v>
      </c>
      <c r="N7" s="135" t="b">
        <v>1</v>
      </c>
      <c r="O7" s="135" t="b">
        <v>1</v>
      </c>
      <c r="P7" s="135" t="b">
        <v>1</v>
      </c>
    </row>
    <row r="8" spans="1:16" x14ac:dyDescent="0.3">
      <c r="A8" s="134" t="s">
        <v>837</v>
      </c>
      <c r="C8" s="125" t="s">
        <v>1123</v>
      </c>
      <c r="D8" s="134" t="s">
        <v>358</v>
      </c>
      <c r="E8" s="134">
        <v>1</v>
      </c>
      <c r="F8" s="73" t="s">
        <v>358</v>
      </c>
      <c r="G8" s="134" t="s">
        <v>342</v>
      </c>
      <c r="H8" s="134" t="s">
        <v>342</v>
      </c>
      <c r="I8" s="134"/>
      <c r="J8" s="134"/>
      <c r="K8" s="134" t="s">
        <v>174</v>
      </c>
      <c r="L8" s="134" t="s">
        <v>315</v>
      </c>
      <c r="M8" s="135" t="b">
        <v>1</v>
      </c>
      <c r="N8" s="135" t="b">
        <v>1</v>
      </c>
      <c r="O8" s="135" t="b">
        <v>1</v>
      </c>
      <c r="P8" s="135" t="b">
        <v>1</v>
      </c>
    </row>
    <row r="9" spans="1:16" x14ac:dyDescent="0.3">
      <c r="A9" s="134" t="s">
        <v>837</v>
      </c>
      <c r="B9" s="125" t="s">
        <v>842</v>
      </c>
      <c r="C9" s="125" t="s">
        <v>837</v>
      </c>
      <c r="D9" s="134" t="s">
        <v>69</v>
      </c>
      <c r="E9" s="134"/>
      <c r="F9" s="73"/>
      <c r="G9" s="134" t="s">
        <v>342</v>
      </c>
      <c r="H9" s="134" t="s">
        <v>342</v>
      </c>
      <c r="I9" s="134"/>
      <c r="J9" s="134"/>
      <c r="K9" s="134" t="s">
        <v>174</v>
      </c>
      <c r="L9" s="134" t="s">
        <v>315</v>
      </c>
      <c r="M9" s="135" t="b">
        <v>1</v>
      </c>
      <c r="N9" s="135" t="b">
        <v>1</v>
      </c>
      <c r="O9" s="135" t="b">
        <v>1</v>
      </c>
      <c r="P9" s="135" t="b">
        <v>1</v>
      </c>
    </row>
    <row r="10" spans="1:16" x14ac:dyDescent="0.3">
      <c r="A10" s="134" t="s">
        <v>550</v>
      </c>
      <c r="C10" s="134" t="s">
        <v>1116</v>
      </c>
      <c r="D10" s="134" t="s">
        <v>103</v>
      </c>
      <c r="E10" s="134">
        <v>10000</v>
      </c>
      <c r="F10" s="134" t="s">
        <v>29</v>
      </c>
      <c r="G10" s="134" t="s">
        <v>342</v>
      </c>
      <c r="H10" s="134" t="s">
        <v>342</v>
      </c>
      <c r="I10" s="134"/>
      <c r="J10" s="134" t="s">
        <v>463</v>
      </c>
      <c r="K10" s="134" t="s">
        <v>744</v>
      </c>
      <c r="L10" s="134" t="s">
        <v>623</v>
      </c>
      <c r="M10" s="135" t="s">
        <v>1193</v>
      </c>
      <c r="N10" s="135" t="s">
        <v>1193</v>
      </c>
      <c r="O10" s="135" t="s">
        <v>1193</v>
      </c>
      <c r="P10" s="135" t="s">
        <v>1193</v>
      </c>
    </row>
    <row r="11" spans="1:16" s="128" customFormat="1" x14ac:dyDescent="0.3">
      <c r="A11" s="134" t="s">
        <v>550</v>
      </c>
      <c r="C11" s="134" t="s">
        <v>1072</v>
      </c>
      <c r="D11" s="134" t="s">
        <v>29</v>
      </c>
      <c r="E11" s="134">
        <v>1</v>
      </c>
      <c r="F11" s="134" t="s">
        <v>29</v>
      </c>
      <c r="G11" s="134" t="s">
        <v>342</v>
      </c>
      <c r="H11" s="134" t="s">
        <v>342</v>
      </c>
      <c r="I11" s="134"/>
      <c r="J11" s="134" t="s">
        <v>463</v>
      </c>
      <c r="K11" s="134" t="s">
        <v>744</v>
      </c>
      <c r="L11" s="134" t="s">
        <v>623</v>
      </c>
      <c r="M11" s="135" t="s">
        <v>1193</v>
      </c>
      <c r="N11" s="135" t="s">
        <v>1193</v>
      </c>
      <c r="O11" s="135" t="s">
        <v>1193</v>
      </c>
      <c r="P11" s="135" t="s">
        <v>1193</v>
      </c>
    </row>
    <row r="12" spans="1:16" x14ac:dyDescent="0.3">
      <c r="A12" s="134" t="s">
        <v>550</v>
      </c>
      <c r="B12" s="125">
        <v>100351</v>
      </c>
      <c r="C12" s="125" t="s">
        <v>550</v>
      </c>
      <c r="D12" s="127" t="s">
        <v>35</v>
      </c>
      <c r="F12" s="73"/>
      <c r="G12" s="134" t="s">
        <v>342</v>
      </c>
      <c r="H12" s="134" t="s">
        <v>342</v>
      </c>
      <c r="I12" s="134"/>
      <c r="J12" s="134" t="s">
        <v>463</v>
      </c>
      <c r="K12" s="134" t="s">
        <v>744</v>
      </c>
      <c r="L12" s="134" t="s">
        <v>623</v>
      </c>
      <c r="M12" s="135" t="s">
        <v>1193</v>
      </c>
      <c r="N12" s="135" t="s">
        <v>1193</v>
      </c>
      <c r="O12" s="135" t="s">
        <v>1193</v>
      </c>
      <c r="P12" s="135" t="s">
        <v>1193</v>
      </c>
    </row>
    <row r="13" spans="1:16" x14ac:dyDescent="0.3">
      <c r="A13" s="134" t="s">
        <v>914</v>
      </c>
      <c r="C13" s="125" t="s">
        <v>987</v>
      </c>
      <c r="D13" s="134" t="s">
        <v>103</v>
      </c>
      <c r="E13" s="134">
        <v>12000</v>
      </c>
      <c r="F13" s="134" t="s">
        <v>29</v>
      </c>
      <c r="G13" s="134" t="s">
        <v>342</v>
      </c>
      <c r="H13" s="134" t="s">
        <v>342</v>
      </c>
      <c r="I13" s="134"/>
      <c r="J13" s="134"/>
      <c r="K13" s="134" t="s">
        <v>174</v>
      </c>
      <c r="L13" s="134" t="s">
        <v>315</v>
      </c>
      <c r="M13" s="135" t="s">
        <v>1193</v>
      </c>
      <c r="N13" s="135" t="s">
        <v>1193</v>
      </c>
      <c r="O13" s="135" t="s">
        <v>1193</v>
      </c>
      <c r="P13" s="135" t="s">
        <v>1193</v>
      </c>
    </row>
    <row r="14" spans="1:16" x14ac:dyDescent="0.3">
      <c r="A14" s="134" t="s">
        <v>914</v>
      </c>
      <c r="C14" s="125" t="s">
        <v>988</v>
      </c>
      <c r="D14" s="134" t="s">
        <v>101</v>
      </c>
      <c r="E14" s="134">
        <v>1000</v>
      </c>
      <c r="F14" s="134" t="s">
        <v>29</v>
      </c>
      <c r="G14" s="134" t="s">
        <v>342</v>
      </c>
      <c r="H14" s="134" t="s">
        <v>342</v>
      </c>
      <c r="I14" s="134"/>
      <c r="J14" s="134"/>
      <c r="K14" s="134" t="s">
        <v>174</v>
      </c>
      <c r="L14" s="134" t="s">
        <v>315</v>
      </c>
      <c r="M14" s="135" t="s">
        <v>1193</v>
      </c>
      <c r="N14" s="135" t="s">
        <v>1193</v>
      </c>
      <c r="O14" s="135" t="s">
        <v>1193</v>
      </c>
      <c r="P14" s="135" t="s">
        <v>1193</v>
      </c>
    </row>
    <row r="15" spans="1:16" s="128" customFormat="1" x14ac:dyDescent="0.3">
      <c r="A15" s="134" t="s">
        <v>914</v>
      </c>
      <c r="B15" s="125"/>
      <c r="C15" s="125" t="s">
        <v>989</v>
      </c>
      <c r="D15" s="134" t="s">
        <v>29</v>
      </c>
      <c r="E15" s="134">
        <v>1</v>
      </c>
      <c r="F15" s="134" t="s">
        <v>29</v>
      </c>
      <c r="G15" s="134" t="s">
        <v>342</v>
      </c>
      <c r="H15" s="134" t="s">
        <v>342</v>
      </c>
      <c r="I15" s="134"/>
      <c r="J15" s="134"/>
      <c r="K15" s="134" t="s">
        <v>174</v>
      </c>
      <c r="L15" s="134" t="s">
        <v>315</v>
      </c>
      <c r="M15" s="135" t="s">
        <v>1193</v>
      </c>
      <c r="N15" s="135" t="s">
        <v>1193</v>
      </c>
      <c r="O15" s="135" t="s">
        <v>1193</v>
      </c>
      <c r="P15" s="135" t="s">
        <v>1193</v>
      </c>
    </row>
    <row r="16" spans="1:16" x14ac:dyDescent="0.3">
      <c r="A16" s="134" t="s">
        <v>914</v>
      </c>
      <c r="B16" s="125">
        <v>100386</v>
      </c>
      <c r="C16" s="125" t="s">
        <v>914</v>
      </c>
      <c r="D16" s="134" t="s">
        <v>35</v>
      </c>
      <c r="E16" s="134"/>
      <c r="F16" s="73"/>
      <c r="G16" s="134" t="s">
        <v>342</v>
      </c>
      <c r="H16" s="134" t="s">
        <v>342</v>
      </c>
      <c r="I16" s="134"/>
      <c r="J16" s="134"/>
      <c r="K16" s="134" t="s">
        <v>174</v>
      </c>
      <c r="L16" s="134" t="s">
        <v>315</v>
      </c>
      <c r="M16" s="135" t="s">
        <v>1193</v>
      </c>
      <c r="N16" s="135" t="s">
        <v>1193</v>
      </c>
      <c r="O16" s="135" t="s">
        <v>1193</v>
      </c>
      <c r="P16" s="135" t="s">
        <v>1193</v>
      </c>
    </row>
    <row r="17" spans="1:16" x14ac:dyDescent="0.3">
      <c r="A17" s="134" t="s">
        <v>484</v>
      </c>
      <c r="B17" s="128"/>
      <c r="C17" s="134" t="s">
        <v>1031</v>
      </c>
      <c r="D17" s="134" t="s">
        <v>103</v>
      </c>
      <c r="E17" s="134">
        <v>480</v>
      </c>
      <c r="F17" s="134" t="s">
        <v>102</v>
      </c>
      <c r="G17" s="134" t="s">
        <v>342</v>
      </c>
      <c r="H17" s="134" t="s">
        <v>342</v>
      </c>
      <c r="I17" s="134"/>
      <c r="J17" s="134" t="s">
        <v>463</v>
      </c>
      <c r="K17" s="134" t="s">
        <v>174</v>
      </c>
      <c r="L17" s="134" t="s">
        <v>315</v>
      </c>
      <c r="M17" s="135" t="b">
        <v>1</v>
      </c>
      <c r="N17" s="135" t="b">
        <v>1</v>
      </c>
      <c r="O17" s="135" t="b">
        <v>1</v>
      </c>
      <c r="P17" s="135" t="b">
        <v>1</v>
      </c>
    </row>
    <row r="18" spans="1:16" x14ac:dyDescent="0.3">
      <c r="A18" s="134" t="s">
        <v>484</v>
      </c>
      <c r="B18" s="128"/>
      <c r="C18" s="134" t="s">
        <v>1043</v>
      </c>
      <c r="D18" s="134" t="s">
        <v>101</v>
      </c>
      <c r="E18" s="134">
        <v>40</v>
      </c>
      <c r="F18" s="134" t="s">
        <v>102</v>
      </c>
      <c r="G18" s="134" t="s">
        <v>342</v>
      </c>
      <c r="H18" s="134" t="s">
        <v>342</v>
      </c>
      <c r="I18" s="134"/>
      <c r="J18" s="134" t="s">
        <v>463</v>
      </c>
      <c r="K18" s="134" t="s">
        <v>174</v>
      </c>
      <c r="L18" s="134" t="s">
        <v>315</v>
      </c>
      <c r="M18" s="135" t="b">
        <v>1</v>
      </c>
      <c r="N18" s="135" t="b">
        <v>1</v>
      </c>
      <c r="O18" s="135" t="b">
        <v>1</v>
      </c>
      <c r="P18" s="135" t="b">
        <v>1</v>
      </c>
    </row>
    <row r="19" spans="1:16" x14ac:dyDescent="0.3">
      <c r="A19" s="134" t="s">
        <v>484</v>
      </c>
      <c r="B19" s="128"/>
      <c r="C19" s="134" t="s">
        <v>1029</v>
      </c>
      <c r="D19" s="134" t="s">
        <v>102</v>
      </c>
      <c r="E19" s="134">
        <v>1</v>
      </c>
      <c r="F19" s="134" t="s">
        <v>102</v>
      </c>
      <c r="G19" s="134" t="s">
        <v>342</v>
      </c>
      <c r="H19" s="134" t="s">
        <v>342</v>
      </c>
      <c r="I19" s="134"/>
      <c r="J19" s="128"/>
      <c r="K19" s="134" t="s">
        <v>174</v>
      </c>
      <c r="L19" s="134" t="s">
        <v>315</v>
      </c>
      <c r="M19" s="135" t="b">
        <v>1</v>
      </c>
      <c r="N19" s="135" t="b">
        <v>1</v>
      </c>
      <c r="O19" s="135" t="b">
        <v>1</v>
      </c>
      <c r="P19" s="135" t="b">
        <v>1</v>
      </c>
    </row>
    <row r="20" spans="1:16" x14ac:dyDescent="0.3">
      <c r="A20" s="134" t="s">
        <v>484</v>
      </c>
      <c r="B20" s="125">
        <v>100389</v>
      </c>
      <c r="C20" s="125" t="s">
        <v>484</v>
      </c>
      <c r="D20" s="127" t="s">
        <v>67</v>
      </c>
      <c r="F20" s="73"/>
      <c r="G20" s="134" t="s">
        <v>342</v>
      </c>
      <c r="H20" s="134" t="s">
        <v>342</v>
      </c>
      <c r="I20" s="134"/>
      <c r="J20" s="134" t="s">
        <v>463</v>
      </c>
      <c r="K20" s="134" t="s">
        <v>174</v>
      </c>
      <c r="L20" s="134" t="s">
        <v>315</v>
      </c>
      <c r="M20" s="135" t="b">
        <v>1</v>
      </c>
      <c r="N20" s="135" t="b">
        <v>1</v>
      </c>
      <c r="O20" s="135" t="b">
        <v>1</v>
      </c>
      <c r="P20" s="135" t="b">
        <v>1</v>
      </c>
    </row>
    <row r="21" spans="1:16" x14ac:dyDescent="0.3">
      <c r="A21" s="134" t="s">
        <v>507</v>
      </c>
      <c r="B21" s="128"/>
      <c r="C21" s="134" t="s">
        <v>1032</v>
      </c>
      <c r="D21" s="134" t="s">
        <v>103</v>
      </c>
      <c r="E21" s="134">
        <v>480</v>
      </c>
      <c r="F21" s="134" t="s">
        <v>102</v>
      </c>
      <c r="G21" s="134" t="s">
        <v>342</v>
      </c>
      <c r="H21" s="134" t="s">
        <v>342</v>
      </c>
      <c r="I21" s="134"/>
      <c r="J21" s="134" t="s">
        <v>463</v>
      </c>
      <c r="K21" s="134" t="s">
        <v>174</v>
      </c>
      <c r="L21" s="134" t="s">
        <v>315</v>
      </c>
      <c r="M21" s="135" t="b">
        <v>1</v>
      </c>
      <c r="N21" s="135" t="b">
        <v>1</v>
      </c>
      <c r="O21" s="135" t="b">
        <v>1</v>
      </c>
      <c r="P21" s="135" t="b">
        <v>1</v>
      </c>
    </row>
    <row r="22" spans="1:16" x14ac:dyDescent="0.3">
      <c r="A22" s="134" t="s">
        <v>507</v>
      </c>
      <c r="B22" s="128"/>
      <c r="C22" s="134" t="s">
        <v>1044</v>
      </c>
      <c r="D22" s="134" t="s">
        <v>101</v>
      </c>
      <c r="E22" s="134">
        <v>40</v>
      </c>
      <c r="F22" s="134" t="s">
        <v>102</v>
      </c>
      <c r="G22" s="134" t="s">
        <v>342</v>
      </c>
      <c r="H22" s="134" t="s">
        <v>342</v>
      </c>
      <c r="I22" s="134"/>
      <c r="J22" s="134" t="s">
        <v>463</v>
      </c>
      <c r="K22" s="134" t="s">
        <v>174</v>
      </c>
      <c r="L22" s="134" t="s">
        <v>315</v>
      </c>
      <c r="M22" s="135" t="b">
        <v>1</v>
      </c>
      <c r="N22" s="135" t="b">
        <v>1</v>
      </c>
      <c r="O22" s="135" t="b">
        <v>1</v>
      </c>
      <c r="P22" s="135" t="b">
        <v>1</v>
      </c>
    </row>
    <row r="23" spans="1:16" x14ac:dyDescent="0.3">
      <c r="A23" s="134" t="s">
        <v>507</v>
      </c>
      <c r="B23" s="128"/>
      <c r="C23" s="134" t="s">
        <v>1030</v>
      </c>
      <c r="D23" s="134" t="s">
        <v>102</v>
      </c>
      <c r="E23" s="134">
        <v>1</v>
      </c>
      <c r="F23" s="134" t="s">
        <v>102</v>
      </c>
      <c r="G23" s="134" t="s">
        <v>342</v>
      </c>
      <c r="H23" s="134" t="s">
        <v>342</v>
      </c>
      <c r="I23" s="134"/>
      <c r="J23" s="128"/>
      <c r="K23" s="134" t="s">
        <v>174</v>
      </c>
      <c r="L23" s="134" t="s">
        <v>315</v>
      </c>
      <c r="M23" s="135" t="b">
        <v>1</v>
      </c>
      <c r="N23" s="135" t="b">
        <v>1</v>
      </c>
      <c r="O23" s="135" t="b">
        <v>1</v>
      </c>
      <c r="P23" s="135" t="b">
        <v>1</v>
      </c>
    </row>
    <row r="24" spans="1:16" x14ac:dyDescent="0.3">
      <c r="A24" s="134" t="s">
        <v>507</v>
      </c>
      <c r="B24" s="125">
        <v>100388</v>
      </c>
      <c r="C24" s="125" t="s">
        <v>507</v>
      </c>
      <c r="D24" s="127" t="s">
        <v>67</v>
      </c>
      <c r="F24" s="73"/>
      <c r="G24" s="134" t="s">
        <v>342</v>
      </c>
      <c r="H24" s="134" t="s">
        <v>342</v>
      </c>
      <c r="I24" s="134"/>
      <c r="J24" s="134" t="s">
        <v>463</v>
      </c>
      <c r="K24" s="134" t="s">
        <v>174</v>
      </c>
      <c r="L24" s="134" t="s">
        <v>315</v>
      </c>
      <c r="M24" s="135" t="b">
        <v>1</v>
      </c>
      <c r="N24" s="135" t="b">
        <v>1</v>
      </c>
      <c r="O24" s="135" t="b">
        <v>1</v>
      </c>
      <c r="P24" s="135" t="b">
        <v>1</v>
      </c>
    </row>
    <row r="25" spans="1:16" x14ac:dyDescent="0.3">
      <c r="A25" s="134" t="s">
        <v>915</v>
      </c>
      <c r="C25" s="125" t="s">
        <v>990</v>
      </c>
      <c r="D25" s="134" t="s">
        <v>101</v>
      </c>
      <c r="E25" s="134">
        <v>1000</v>
      </c>
      <c r="F25" s="134" t="s">
        <v>29</v>
      </c>
      <c r="G25" s="134" t="s">
        <v>342</v>
      </c>
      <c r="H25" s="134" t="s">
        <v>342</v>
      </c>
      <c r="I25" s="134"/>
      <c r="J25" s="134"/>
      <c r="K25" s="134" t="s">
        <v>174</v>
      </c>
      <c r="L25" s="134" t="s">
        <v>315</v>
      </c>
      <c r="M25" s="135" t="s">
        <v>1193</v>
      </c>
      <c r="N25" s="135" t="s">
        <v>1193</v>
      </c>
      <c r="O25" s="135" t="s">
        <v>1193</v>
      </c>
      <c r="P25" s="135" t="s">
        <v>1193</v>
      </c>
    </row>
    <row r="26" spans="1:16" x14ac:dyDescent="0.3">
      <c r="A26" s="134" t="s">
        <v>915</v>
      </c>
      <c r="C26" s="125" t="s">
        <v>991</v>
      </c>
      <c r="D26" s="134" t="s">
        <v>29</v>
      </c>
      <c r="E26" s="134">
        <v>1</v>
      </c>
      <c r="F26" s="134" t="s">
        <v>29</v>
      </c>
      <c r="G26" s="134" t="s">
        <v>342</v>
      </c>
      <c r="H26" s="134" t="s">
        <v>342</v>
      </c>
      <c r="I26" s="134"/>
      <c r="J26" s="134"/>
      <c r="K26" s="134" t="s">
        <v>174</v>
      </c>
      <c r="L26" s="134" t="s">
        <v>315</v>
      </c>
      <c r="M26" s="135" t="s">
        <v>1193</v>
      </c>
      <c r="N26" s="135" t="s">
        <v>1193</v>
      </c>
      <c r="O26" s="135" t="s">
        <v>1193</v>
      </c>
      <c r="P26" s="135" t="s">
        <v>1193</v>
      </c>
    </row>
    <row r="27" spans="1:16" x14ac:dyDescent="0.3">
      <c r="A27" s="134" t="s">
        <v>915</v>
      </c>
      <c r="B27" s="125">
        <v>100406</v>
      </c>
      <c r="C27" s="125" t="s">
        <v>915</v>
      </c>
      <c r="D27" s="134" t="s">
        <v>35</v>
      </c>
      <c r="E27" s="134"/>
      <c r="F27" s="73"/>
      <c r="G27" s="134" t="s">
        <v>342</v>
      </c>
      <c r="H27" s="134" t="s">
        <v>342</v>
      </c>
      <c r="I27" s="134"/>
      <c r="J27" s="134"/>
      <c r="K27" s="134" t="s">
        <v>174</v>
      </c>
      <c r="L27" s="134" t="s">
        <v>315</v>
      </c>
      <c r="M27" s="135" t="s">
        <v>1193</v>
      </c>
      <c r="N27" s="135" t="s">
        <v>1193</v>
      </c>
      <c r="O27" s="135" t="s">
        <v>1193</v>
      </c>
      <c r="P27" s="135" t="s">
        <v>1193</v>
      </c>
    </row>
    <row r="28" spans="1:16" x14ac:dyDescent="0.3">
      <c r="A28" s="134" t="s">
        <v>540</v>
      </c>
      <c r="C28" s="125" t="s">
        <v>1067</v>
      </c>
      <c r="D28" s="127" t="s">
        <v>103</v>
      </c>
      <c r="E28" s="127">
        <v>150</v>
      </c>
      <c r="F28" s="73" t="s">
        <v>102</v>
      </c>
      <c r="G28" s="134" t="s">
        <v>342</v>
      </c>
      <c r="H28" s="134" t="s">
        <v>342</v>
      </c>
      <c r="I28" s="134"/>
      <c r="J28" s="134"/>
      <c r="K28" s="134" t="s">
        <v>174</v>
      </c>
      <c r="L28" s="134" t="s">
        <v>315</v>
      </c>
      <c r="M28" s="135" t="b">
        <v>1</v>
      </c>
      <c r="N28" s="135" t="b">
        <v>1</v>
      </c>
      <c r="O28" s="135" t="b">
        <v>1</v>
      </c>
      <c r="P28" s="135" t="b">
        <v>1</v>
      </c>
    </row>
    <row r="29" spans="1:16" x14ac:dyDescent="0.3">
      <c r="A29" s="134" t="s">
        <v>540</v>
      </c>
      <c r="C29" s="125" t="s">
        <v>1066</v>
      </c>
      <c r="D29" s="127" t="s">
        <v>101</v>
      </c>
      <c r="E29" s="127">
        <v>15</v>
      </c>
      <c r="F29" s="73" t="s">
        <v>102</v>
      </c>
      <c r="G29" s="134" t="s">
        <v>342</v>
      </c>
      <c r="H29" s="134" t="s">
        <v>342</v>
      </c>
      <c r="I29" s="134"/>
      <c r="J29" s="125"/>
      <c r="K29" s="134" t="s">
        <v>174</v>
      </c>
      <c r="L29" s="134" t="s">
        <v>315</v>
      </c>
      <c r="M29" s="135" t="b">
        <v>1</v>
      </c>
      <c r="N29" s="135" t="b">
        <v>1</v>
      </c>
      <c r="O29" s="135" t="b">
        <v>1</v>
      </c>
      <c r="P29" s="135" t="b">
        <v>1</v>
      </c>
    </row>
    <row r="30" spans="1:16" ht="14.65" customHeight="1" x14ac:dyDescent="0.3">
      <c r="A30" s="134" t="s">
        <v>540</v>
      </c>
      <c r="B30" s="158"/>
      <c r="C30" s="125" t="s">
        <v>548</v>
      </c>
      <c r="D30" s="127" t="s">
        <v>101</v>
      </c>
      <c r="E30" s="127">
        <v>1</v>
      </c>
      <c r="F30" s="73" t="s">
        <v>102</v>
      </c>
      <c r="G30" s="134" t="s">
        <v>342</v>
      </c>
      <c r="H30" s="134" t="s">
        <v>342</v>
      </c>
      <c r="I30" s="134"/>
      <c r="J30" s="134" t="s">
        <v>463</v>
      </c>
      <c r="K30" s="134" t="s">
        <v>174</v>
      </c>
      <c r="L30" s="134" t="s">
        <v>315</v>
      </c>
      <c r="M30" s="135" t="b">
        <v>1</v>
      </c>
      <c r="N30" s="135" t="b">
        <v>1</v>
      </c>
      <c r="O30" s="135" t="b">
        <v>1</v>
      </c>
      <c r="P30" s="135" t="b">
        <v>1</v>
      </c>
    </row>
    <row r="31" spans="1:16" x14ac:dyDescent="0.3">
      <c r="A31" s="134" t="s">
        <v>540</v>
      </c>
      <c r="B31" s="125" t="s">
        <v>544</v>
      </c>
      <c r="C31" s="125" t="s">
        <v>540</v>
      </c>
      <c r="D31" s="127" t="s">
        <v>67</v>
      </c>
      <c r="F31" s="73"/>
      <c r="G31" s="134" t="s">
        <v>342</v>
      </c>
      <c r="H31" s="134" t="s">
        <v>342</v>
      </c>
      <c r="I31" s="134"/>
      <c r="J31" s="134" t="s">
        <v>463</v>
      </c>
      <c r="K31" s="134" t="s">
        <v>174</v>
      </c>
      <c r="L31" s="134" t="s">
        <v>315</v>
      </c>
      <c r="M31" s="135" t="b">
        <v>1</v>
      </c>
      <c r="N31" s="135" t="b">
        <v>1</v>
      </c>
      <c r="O31" s="135" t="b">
        <v>1</v>
      </c>
      <c r="P31" s="135" t="b">
        <v>1</v>
      </c>
    </row>
    <row r="32" spans="1:16" ht="13.15" customHeight="1" x14ac:dyDescent="0.3">
      <c r="A32" s="134" t="s">
        <v>496</v>
      </c>
      <c r="B32" s="128"/>
      <c r="C32" s="134" t="s">
        <v>1033</v>
      </c>
      <c r="D32" s="134" t="s">
        <v>103</v>
      </c>
      <c r="E32" s="134">
        <v>7500</v>
      </c>
      <c r="F32" s="73" t="s">
        <v>29</v>
      </c>
      <c r="G32" s="134" t="s">
        <v>342</v>
      </c>
      <c r="H32" s="134" t="s">
        <v>342</v>
      </c>
      <c r="I32" s="134"/>
      <c r="J32" s="134" t="s">
        <v>463</v>
      </c>
      <c r="K32" s="134" t="s">
        <v>174</v>
      </c>
      <c r="L32" s="134" t="s">
        <v>315</v>
      </c>
      <c r="M32" s="135" t="b">
        <v>1</v>
      </c>
      <c r="N32" s="135" t="b">
        <v>1</v>
      </c>
      <c r="O32" s="135" t="b">
        <v>1</v>
      </c>
      <c r="P32" s="135" t="b">
        <v>1</v>
      </c>
    </row>
    <row r="33" spans="1:16" ht="13.15" customHeight="1" x14ac:dyDescent="0.3">
      <c r="A33" s="134" t="s">
        <v>496</v>
      </c>
      <c r="B33" s="128"/>
      <c r="C33" s="134" t="s">
        <v>1068</v>
      </c>
      <c r="D33" s="134" t="s">
        <v>101</v>
      </c>
      <c r="E33" s="134">
        <v>500</v>
      </c>
      <c r="F33" s="73" t="s">
        <v>29</v>
      </c>
      <c r="G33" s="134" t="s">
        <v>342</v>
      </c>
      <c r="H33" s="134" t="s">
        <v>342</v>
      </c>
      <c r="I33" s="134"/>
      <c r="J33" s="134" t="s">
        <v>463</v>
      </c>
      <c r="K33" s="134" t="s">
        <v>174</v>
      </c>
      <c r="L33" s="134" t="s">
        <v>315</v>
      </c>
      <c r="M33" s="135" t="b">
        <v>1</v>
      </c>
      <c r="N33" s="135" t="b">
        <v>1</v>
      </c>
      <c r="O33" s="135" t="b">
        <v>1</v>
      </c>
      <c r="P33" s="135" t="b">
        <v>1</v>
      </c>
    </row>
    <row r="34" spans="1:16" ht="13.15" customHeight="1" x14ac:dyDescent="0.35">
      <c r="A34" s="134" t="s">
        <v>496</v>
      </c>
      <c r="B34" s="157"/>
      <c r="C34" s="134" t="s">
        <v>1069</v>
      </c>
      <c r="D34" s="134" t="s">
        <v>29</v>
      </c>
      <c r="E34" s="134">
        <v>1</v>
      </c>
      <c r="F34" s="73" t="s">
        <v>29</v>
      </c>
      <c r="G34" s="134" t="s">
        <v>342</v>
      </c>
      <c r="H34" s="134" t="s">
        <v>342</v>
      </c>
      <c r="I34" s="134"/>
      <c r="J34" s="134"/>
      <c r="K34" s="134" t="s">
        <v>174</v>
      </c>
      <c r="L34" s="134" t="s">
        <v>315</v>
      </c>
      <c r="M34" s="135" t="b">
        <v>1</v>
      </c>
      <c r="N34" s="135" t="b">
        <v>1</v>
      </c>
      <c r="O34" s="135" t="b">
        <v>1</v>
      </c>
      <c r="P34" s="135" t="b">
        <v>1</v>
      </c>
    </row>
    <row r="35" spans="1:16" x14ac:dyDescent="0.3">
      <c r="A35" s="134" t="s">
        <v>496</v>
      </c>
      <c r="B35" s="128"/>
      <c r="C35" s="134" t="s">
        <v>1304</v>
      </c>
      <c r="D35" s="134" t="s">
        <v>29</v>
      </c>
      <c r="E35" s="134">
        <f>12/3453</f>
        <v>3.4752389226759338E-3</v>
      </c>
      <c r="F35" s="73" t="s">
        <v>29</v>
      </c>
      <c r="G35" s="134" t="s">
        <v>342</v>
      </c>
      <c r="H35" s="134" t="s">
        <v>341</v>
      </c>
      <c r="I35" s="134" t="s">
        <v>1301</v>
      </c>
      <c r="J35" s="134" t="s">
        <v>457</v>
      </c>
      <c r="K35" s="134" t="s">
        <v>174</v>
      </c>
      <c r="L35" s="134" t="s">
        <v>315</v>
      </c>
      <c r="M35" s="135" t="b">
        <v>1</v>
      </c>
      <c r="N35" s="135" t="b">
        <v>1</v>
      </c>
      <c r="O35" s="135" t="b">
        <v>1</v>
      </c>
      <c r="P35" s="135" t="b">
        <v>1</v>
      </c>
    </row>
    <row r="36" spans="1:16" x14ac:dyDescent="0.3">
      <c r="A36" s="134" t="s">
        <v>496</v>
      </c>
      <c r="B36" s="128"/>
      <c r="C36" s="134" t="s">
        <v>1311</v>
      </c>
      <c r="D36" s="134" t="s">
        <v>29</v>
      </c>
      <c r="E36" s="134">
        <f>200/380664</f>
        <v>5.2539772607864159E-4</v>
      </c>
      <c r="F36" s="73" t="s">
        <v>29</v>
      </c>
      <c r="G36" s="134" t="s">
        <v>341</v>
      </c>
      <c r="H36" s="134" t="s">
        <v>341</v>
      </c>
      <c r="I36" s="134" t="s">
        <v>1073</v>
      </c>
      <c r="J36" s="134" t="s">
        <v>457</v>
      </c>
      <c r="K36" s="134" t="s">
        <v>174</v>
      </c>
      <c r="L36" s="134" t="s">
        <v>315</v>
      </c>
      <c r="M36" s="135" t="b">
        <v>1</v>
      </c>
      <c r="N36" s="135" t="b">
        <v>1</v>
      </c>
      <c r="O36" s="135" t="b">
        <v>1</v>
      </c>
      <c r="P36" s="135" t="b">
        <v>1</v>
      </c>
    </row>
    <row r="37" spans="1:16" x14ac:dyDescent="0.3">
      <c r="A37" s="134" t="s">
        <v>496</v>
      </c>
      <c r="B37" s="125">
        <v>100340</v>
      </c>
      <c r="C37" s="125" t="s">
        <v>496</v>
      </c>
      <c r="D37" s="127" t="s">
        <v>35</v>
      </c>
      <c r="F37" s="73"/>
      <c r="G37" s="134" t="s">
        <v>342</v>
      </c>
      <c r="H37" s="134" t="s">
        <v>342</v>
      </c>
      <c r="I37" s="134"/>
      <c r="J37" s="134" t="s">
        <v>463</v>
      </c>
      <c r="K37" s="134" t="s">
        <v>174</v>
      </c>
      <c r="L37" s="134" t="s">
        <v>315</v>
      </c>
      <c r="M37" s="135" t="b">
        <v>1</v>
      </c>
      <c r="N37" s="135" t="b">
        <v>1</v>
      </c>
      <c r="O37" s="135" t="b">
        <v>1</v>
      </c>
      <c r="P37" s="135" t="b">
        <v>1</v>
      </c>
    </row>
    <row r="38" spans="1:16" x14ac:dyDescent="0.3">
      <c r="A38" s="134" t="s">
        <v>1195</v>
      </c>
      <c r="C38" s="125" t="s">
        <v>1034</v>
      </c>
      <c r="D38" s="127" t="s">
        <v>557</v>
      </c>
      <c r="E38" s="127">
        <v>7500</v>
      </c>
      <c r="F38" s="73" t="s">
        <v>29</v>
      </c>
      <c r="G38" s="134" t="s">
        <v>342</v>
      </c>
      <c r="H38" s="134" t="s">
        <v>342</v>
      </c>
      <c r="I38" s="134"/>
      <c r="J38" s="134" t="s">
        <v>463</v>
      </c>
      <c r="K38" s="134" t="s">
        <v>174</v>
      </c>
      <c r="L38" s="134" t="s">
        <v>315</v>
      </c>
      <c r="M38" s="135" t="b">
        <v>1</v>
      </c>
      <c r="N38" s="135" t="b">
        <v>1</v>
      </c>
      <c r="O38" s="135" t="b">
        <v>1</v>
      </c>
      <c r="P38" s="135" t="b">
        <v>1</v>
      </c>
    </row>
    <row r="39" spans="1:16" x14ac:dyDescent="0.3">
      <c r="A39" s="134" t="s">
        <v>1195</v>
      </c>
      <c r="C39" s="125" t="s">
        <v>1045</v>
      </c>
      <c r="D39" s="127" t="s">
        <v>101</v>
      </c>
      <c r="E39" s="127">
        <v>500</v>
      </c>
      <c r="F39" s="73" t="s">
        <v>29</v>
      </c>
      <c r="G39" s="134" t="s">
        <v>342</v>
      </c>
      <c r="H39" s="134" t="s">
        <v>342</v>
      </c>
      <c r="I39" s="134"/>
      <c r="J39" s="134" t="s">
        <v>463</v>
      </c>
      <c r="K39" s="134" t="s">
        <v>174</v>
      </c>
      <c r="L39" s="134" t="s">
        <v>315</v>
      </c>
      <c r="M39" s="135" t="b">
        <v>1</v>
      </c>
      <c r="N39" s="135" t="b">
        <v>1</v>
      </c>
      <c r="O39" s="135" t="b">
        <v>1</v>
      </c>
      <c r="P39" s="135" t="b">
        <v>1</v>
      </c>
    </row>
    <row r="40" spans="1:16" x14ac:dyDescent="0.3">
      <c r="A40" s="134" t="s">
        <v>1195</v>
      </c>
      <c r="C40" s="134" t="s">
        <v>1070</v>
      </c>
      <c r="D40" s="127" t="s">
        <v>29</v>
      </c>
      <c r="E40" s="127">
        <v>1</v>
      </c>
      <c r="F40" s="73" t="s">
        <v>29</v>
      </c>
      <c r="G40" s="134" t="s">
        <v>342</v>
      </c>
      <c r="H40" s="134" t="s">
        <v>342</v>
      </c>
      <c r="I40" s="134"/>
      <c r="J40" s="134" t="s">
        <v>463</v>
      </c>
      <c r="K40" s="134" t="s">
        <v>174</v>
      </c>
      <c r="L40" s="134" t="s">
        <v>315</v>
      </c>
      <c r="M40" s="135" t="b">
        <v>1</v>
      </c>
      <c r="N40" s="135" t="b">
        <v>1</v>
      </c>
      <c r="O40" s="135" t="b">
        <v>1</v>
      </c>
      <c r="P40" s="135" t="b">
        <v>1</v>
      </c>
    </row>
    <row r="41" spans="1:16" x14ac:dyDescent="0.3">
      <c r="A41" s="134" t="s">
        <v>1195</v>
      </c>
      <c r="C41" s="134" t="s">
        <v>1305</v>
      </c>
      <c r="D41" s="127" t="s">
        <v>29</v>
      </c>
      <c r="E41" s="127">
        <f>6/3453</f>
        <v>1.7376194613379669E-3</v>
      </c>
      <c r="F41" s="73" t="s">
        <v>29</v>
      </c>
      <c r="G41" s="134" t="s">
        <v>342</v>
      </c>
      <c r="H41" s="134" t="s">
        <v>341</v>
      </c>
      <c r="I41" s="134" t="s">
        <v>1301</v>
      </c>
      <c r="J41" s="134" t="s">
        <v>457</v>
      </c>
      <c r="K41" s="134" t="s">
        <v>174</v>
      </c>
      <c r="L41" s="134" t="s">
        <v>315</v>
      </c>
      <c r="M41" s="135" t="b">
        <v>1</v>
      </c>
      <c r="N41" s="135" t="b">
        <v>1</v>
      </c>
      <c r="O41" s="135" t="b">
        <v>1</v>
      </c>
      <c r="P41" s="135" t="b">
        <v>1</v>
      </c>
    </row>
    <row r="42" spans="1:16" x14ac:dyDescent="0.3">
      <c r="A42" s="134" t="s">
        <v>1195</v>
      </c>
      <c r="C42" s="134" t="s">
        <v>1312</v>
      </c>
      <c r="D42" s="134" t="s">
        <v>29</v>
      </c>
      <c r="E42" s="134">
        <f>100/380664</f>
        <v>2.6269886303932079E-4</v>
      </c>
      <c r="F42" s="73" t="s">
        <v>29</v>
      </c>
      <c r="G42" s="134" t="s">
        <v>341</v>
      </c>
      <c r="H42" s="134" t="s">
        <v>341</v>
      </c>
      <c r="I42" s="134" t="s">
        <v>1073</v>
      </c>
      <c r="J42" s="134" t="s">
        <v>457</v>
      </c>
      <c r="K42" s="134" t="s">
        <v>174</v>
      </c>
      <c r="L42" s="134" t="s">
        <v>315</v>
      </c>
      <c r="M42" s="135" t="b">
        <v>1</v>
      </c>
      <c r="N42" s="135" t="b">
        <v>1</v>
      </c>
      <c r="O42" s="135" t="b">
        <v>1</v>
      </c>
      <c r="P42" s="135" t="b">
        <v>1</v>
      </c>
    </row>
    <row r="43" spans="1:16" x14ac:dyDescent="0.3">
      <c r="A43" s="134" t="s">
        <v>1195</v>
      </c>
      <c r="B43" s="125">
        <v>100430</v>
      </c>
      <c r="C43" s="125" t="s">
        <v>1195</v>
      </c>
      <c r="D43" s="127" t="s">
        <v>35</v>
      </c>
      <c r="E43" s="134"/>
      <c r="F43" s="73"/>
      <c r="G43" s="134" t="s">
        <v>342</v>
      </c>
      <c r="H43" s="134" t="s">
        <v>342</v>
      </c>
      <c r="I43" s="134"/>
      <c r="J43" s="134" t="s">
        <v>463</v>
      </c>
      <c r="K43" s="134" t="s">
        <v>174</v>
      </c>
      <c r="L43" s="134" t="s">
        <v>315</v>
      </c>
      <c r="M43" s="135" t="b">
        <v>1</v>
      </c>
      <c r="N43" s="135" t="b">
        <v>1</v>
      </c>
      <c r="O43" s="135" t="b">
        <v>1</v>
      </c>
      <c r="P43" s="135" t="b">
        <v>1</v>
      </c>
    </row>
    <row r="44" spans="1:16" x14ac:dyDescent="0.3">
      <c r="A44" s="134" t="s">
        <v>511</v>
      </c>
      <c r="C44" s="125" t="s">
        <v>551</v>
      </c>
      <c r="D44" s="127" t="s">
        <v>136</v>
      </c>
      <c r="E44" s="127">
        <v>25000</v>
      </c>
      <c r="F44" s="73" t="s">
        <v>29</v>
      </c>
      <c r="G44" s="134" t="s">
        <v>342</v>
      </c>
      <c r="H44" s="134" t="s">
        <v>342</v>
      </c>
      <c r="I44" s="134"/>
      <c r="J44" s="134" t="s">
        <v>463</v>
      </c>
      <c r="K44" s="134" t="s">
        <v>174</v>
      </c>
      <c r="L44" s="134" t="s">
        <v>315</v>
      </c>
      <c r="M44" s="135" t="b">
        <v>1</v>
      </c>
      <c r="N44" s="135" t="b">
        <v>1</v>
      </c>
      <c r="O44" s="135" t="b">
        <v>1</v>
      </c>
      <c r="P44" s="135" t="b">
        <v>1</v>
      </c>
    </row>
    <row r="45" spans="1:16" x14ac:dyDescent="0.3">
      <c r="A45" s="134" t="s">
        <v>511</v>
      </c>
      <c r="B45" s="128"/>
      <c r="C45" s="134" t="s">
        <v>1071</v>
      </c>
      <c r="D45" s="134" t="s">
        <v>29</v>
      </c>
      <c r="E45" s="127">
        <v>1</v>
      </c>
      <c r="F45" s="73" t="s">
        <v>29</v>
      </c>
      <c r="G45" s="134" t="s">
        <v>342</v>
      </c>
      <c r="H45" s="134" t="s">
        <v>342</v>
      </c>
      <c r="I45" s="134"/>
      <c r="J45" s="134" t="s">
        <v>463</v>
      </c>
      <c r="K45" s="134" t="s">
        <v>174</v>
      </c>
      <c r="L45" s="134" t="s">
        <v>315</v>
      </c>
      <c r="M45" s="135" t="b">
        <v>1</v>
      </c>
      <c r="N45" s="135" t="b">
        <v>1</v>
      </c>
      <c r="O45" s="135" t="b">
        <v>1</v>
      </c>
      <c r="P45" s="135" t="b">
        <v>1</v>
      </c>
    </row>
    <row r="46" spans="1:16" x14ac:dyDescent="0.3">
      <c r="A46" s="134" t="s">
        <v>511</v>
      </c>
      <c r="B46" s="128"/>
      <c r="C46" s="134" t="s">
        <v>634</v>
      </c>
      <c r="D46" s="134" t="s">
        <v>102</v>
      </c>
      <c r="E46" s="127">
        <f>70/150</f>
        <v>0.46666666666666667</v>
      </c>
      <c r="F46" s="73" t="s">
        <v>29</v>
      </c>
      <c r="G46" s="134" t="s">
        <v>342</v>
      </c>
      <c r="H46" s="134" t="s">
        <v>341</v>
      </c>
      <c r="I46" s="134"/>
      <c r="J46" s="134"/>
      <c r="K46" s="134" t="s">
        <v>174</v>
      </c>
      <c r="L46" s="134" t="s">
        <v>315</v>
      </c>
      <c r="M46" s="135" t="b">
        <v>1</v>
      </c>
      <c r="N46" s="135" t="b">
        <v>1</v>
      </c>
      <c r="O46" s="135" t="b">
        <v>1</v>
      </c>
      <c r="P46" s="135" t="b">
        <v>1</v>
      </c>
    </row>
    <row r="47" spans="1:16" x14ac:dyDescent="0.3">
      <c r="A47" s="134" t="s">
        <v>511</v>
      </c>
      <c r="B47" s="128"/>
      <c r="C47" s="127" t="s">
        <v>749</v>
      </c>
      <c r="D47" s="134" t="s">
        <v>102</v>
      </c>
      <c r="E47" s="127">
        <f>70/150</f>
        <v>0.46666666666666667</v>
      </c>
      <c r="F47" s="73" t="s">
        <v>29</v>
      </c>
      <c r="G47" s="134" t="s">
        <v>342</v>
      </c>
      <c r="H47" s="134" t="s">
        <v>341</v>
      </c>
      <c r="I47" s="134"/>
      <c r="J47" s="134"/>
      <c r="K47" s="134" t="s">
        <v>174</v>
      </c>
      <c r="L47" s="134" t="s">
        <v>315</v>
      </c>
      <c r="M47" s="135" t="b">
        <v>1</v>
      </c>
      <c r="N47" s="135" t="b">
        <v>1</v>
      </c>
      <c r="O47" s="135" t="b">
        <v>1</v>
      </c>
      <c r="P47" s="135" t="b">
        <v>1</v>
      </c>
    </row>
    <row r="48" spans="1:16" x14ac:dyDescent="0.3">
      <c r="A48" s="134" t="s">
        <v>511</v>
      </c>
      <c r="B48" s="125">
        <v>100369</v>
      </c>
      <c r="C48" s="125" t="s">
        <v>511</v>
      </c>
      <c r="D48" s="127" t="s">
        <v>35</v>
      </c>
      <c r="F48" s="73"/>
      <c r="G48" s="134" t="s">
        <v>342</v>
      </c>
      <c r="H48" s="134" t="s">
        <v>342</v>
      </c>
      <c r="I48" s="134"/>
      <c r="J48" s="134" t="s">
        <v>463</v>
      </c>
      <c r="K48" s="134" t="s">
        <v>174</v>
      </c>
      <c r="L48" s="134" t="s">
        <v>315</v>
      </c>
      <c r="M48" s="135" t="b">
        <v>1</v>
      </c>
      <c r="N48" s="135" t="b">
        <v>1</v>
      </c>
      <c r="O48" s="135" t="b">
        <v>1</v>
      </c>
      <c r="P48" s="135" t="b">
        <v>1</v>
      </c>
    </row>
    <row r="49" spans="1:16" x14ac:dyDescent="0.3">
      <c r="A49" s="134" t="s">
        <v>509</v>
      </c>
      <c r="C49" s="134" t="s">
        <v>1085</v>
      </c>
      <c r="D49" s="127" t="s">
        <v>557</v>
      </c>
      <c r="F49" s="73" t="s">
        <v>29</v>
      </c>
      <c r="G49" s="134" t="s">
        <v>341</v>
      </c>
      <c r="H49" s="134" t="s">
        <v>341</v>
      </c>
      <c r="I49" s="134"/>
      <c r="J49" s="134"/>
      <c r="K49" s="134" t="s">
        <v>174</v>
      </c>
      <c r="L49" s="134" t="s">
        <v>315</v>
      </c>
      <c r="M49" s="135" t="b">
        <v>1</v>
      </c>
      <c r="N49" s="135" t="b">
        <v>1</v>
      </c>
      <c r="O49" s="135" t="b">
        <v>1</v>
      </c>
      <c r="P49" s="135" t="b">
        <v>1</v>
      </c>
    </row>
    <row r="50" spans="1:16" x14ac:dyDescent="0.3">
      <c r="A50" s="134" t="s">
        <v>509</v>
      </c>
      <c r="B50" s="128"/>
      <c r="C50" s="134" t="s">
        <v>1086</v>
      </c>
      <c r="D50" s="134" t="s">
        <v>101</v>
      </c>
      <c r="E50" s="127">
        <v>810</v>
      </c>
      <c r="F50" s="73" t="s">
        <v>29</v>
      </c>
      <c r="G50" s="134" t="s">
        <v>342</v>
      </c>
      <c r="H50" s="134" t="s">
        <v>342</v>
      </c>
      <c r="I50" s="134"/>
      <c r="J50" s="134" t="s">
        <v>463</v>
      </c>
      <c r="K50" s="134" t="s">
        <v>174</v>
      </c>
      <c r="L50" s="134" t="s">
        <v>315</v>
      </c>
      <c r="M50" s="135" t="b">
        <v>1</v>
      </c>
      <c r="N50" s="135" t="b">
        <v>1</v>
      </c>
      <c r="O50" s="135" t="b">
        <v>1</v>
      </c>
      <c r="P50" s="135" t="b">
        <v>1</v>
      </c>
    </row>
    <row r="51" spans="1:16" ht="14.65" customHeight="1" x14ac:dyDescent="0.3">
      <c r="A51" s="134" t="s">
        <v>509</v>
      </c>
      <c r="B51" s="128"/>
      <c r="C51" s="134" t="s">
        <v>1117</v>
      </c>
      <c r="D51" s="134" t="s">
        <v>29</v>
      </c>
      <c r="E51" s="127">
        <v>1</v>
      </c>
      <c r="F51" s="73" t="s">
        <v>29</v>
      </c>
      <c r="G51" s="134" t="s">
        <v>342</v>
      </c>
      <c r="H51" s="134" t="s">
        <v>342</v>
      </c>
      <c r="I51" s="134"/>
      <c r="J51" s="134"/>
      <c r="K51" s="134" t="s">
        <v>174</v>
      </c>
      <c r="L51" s="134" t="s">
        <v>315</v>
      </c>
      <c r="M51" s="135" t="b">
        <v>1</v>
      </c>
      <c r="N51" s="135" t="b">
        <v>1</v>
      </c>
      <c r="O51" s="135" t="b">
        <v>1</v>
      </c>
      <c r="P51" s="135" t="b">
        <v>1</v>
      </c>
    </row>
    <row r="52" spans="1:16" x14ac:dyDescent="0.3">
      <c r="A52" s="134" t="s">
        <v>509</v>
      </c>
      <c r="B52" s="128"/>
      <c r="C52" s="134" t="s">
        <v>1303</v>
      </c>
      <c r="D52" s="134" t="s">
        <v>29</v>
      </c>
      <c r="E52" s="127">
        <f>50/3453</f>
        <v>1.4480162177816391E-2</v>
      </c>
      <c r="F52" s="73" t="s">
        <v>29</v>
      </c>
      <c r="G52" s="134" t="s">
        <v>342</v>
      </c>
      <c r="H52" s="134" t="s">
        <v>341</v>
      </c>
      <c r="I52" s="134" t="s">
        <v>1301</v>
      </c>
      <c r="J52" s="134" t="s">
        <v>457</v>
      </c>
      <c r="K52" s="134" t="s">
        <v>174</v>
      </c>
      <c r="L52" s="134" t="s">
        <v>315</v>
      </c>
      <c r="M52" s="135" t="b">
        <v>1</v>
      </c>
      <c r="N52" s="135" t="b">
        <v>1</v>
      </c>
      <c r="O52" s="135" t="b">
        <v>1</v>
      </c>
      <c r="P52" s="135" t="b">
        <v>1</v>
      </c>
    </row>
    <row r="53" spans="1:16" x14ac:dyDescent="0.3">
      <c r="A53" s="134" t="s">
        <v>509</v>
      </c>
      <c r="B53" s="128"/>
      <c r="C53" s="134" t="s">
        <v>1313</v>
      </c>
      <c r="D53" s="134" t="s">
        <v>29</v>
      </c>
      <c r="E53" s="134">
        <f>810.4/380664</f>
        <v>2.1289115860706554E-3</v>
      </c>
      <c r="F53" s="73" t="s">
        <v>29</v>
      </c>
      <c r="G53" s="134" t="s">
        <v>341</v>
      </c>
      <c r="H53" s="134" t="s">
        <v>341</v>
      </c>
      <c r="I53" s="134" t="s">
        <v>1073</v>
      </c>
      <c r="J53" s="134" t="s">
        <v>457</v>
      </c>
      <c r="K53" s="134" t="s">
        <v>174</v>
      </c>
      <c r="L53" s="134" t="s">
        <v>315</v>
      </c>
      <c r="M53" s="135" t="b">
        <v>1</v>
      </c>
      <c r="N53" s="135" t="b">
        <v>1</v>
      </c>
      <c r="O53" s="135" t="b">
        <v>1</v>
      </c>
      <c r="P53" s="135" t="b">
        <v>1</v>
      </c>
    </row>
    <row r="54" spans="1:16" x14ac:dyDescent="0.3">
      <c r="A54" s="134" t="s">
        <v>509</v>
      </c>
      <c r="B54" s="125">
        <v>100381</v>
      </c>
      <c r="C54" s="125" t="s">
        <v>509</v>
      </c>
      <c r="D54" s="127" t="s">
        <v>35</v>
      </c>
      <c r="F54" s="73"/>
      <c r="G54" s="134" t="s">
        <v>342</v>
      </c>
      <c r="H54" s="134" t="s">
        <v>342</v>
      </c>
      <c r="I54" s="134"/>
      <c r="J54" s="134" t="s">
        <v>463</v>
      </c>
      <c r="K54" s="134" t="s">
        <v>174</v>
      </c>
      <c r="L54" s="134" t="s">
        <v>315</v>
      </c>
      <c r="M54" s="135" t="b">
        <v>1</v>
      </c>
      <c r="N54" s="135" t="b">
        <v>1</v>
      </c>
      <c r="O54" s="135" t="b">
        <v>1</v>
      </c>
      <c r="P54" s="135" t="b">
        <v>1</v>
      </c>
    </row>
    <row r="55" spans="1:16" ht="13.15" customHeight="1" x14ac:dyDescent="0.35">
      <c r="A55" s="134" t="s">
        <v>1113</v>
      </c>
      <c r="B55" s="125">
        <v>0</v>
      </c>
      <c r="C55" s="125" t="s">
        <v>1113</v>
      </c>
      <c r="D55" s="134" t="s">
        <v>35</v>
      </c>
      <c r="E55"/>
      <c r="F55" s="73"/>
      <c r="G55" s="134" t="s">
        <v>341</v>
      </c>
      <c r="H55" s="134" t="s">
        <v>341</v>
      </c>
      <c r="I55" s="134"/>
      <c r="J55" s="134"/>
      <c r="K55" s="134" t="s">
        <v>1115</v>
      </c>
      <c r="L55" s="134" t="s">
        <v>1115</v>
      </c>
      <c r="M55" s="135" t="b">
        <v>0</v>
      </c>
      <c r="N55" s="135" t="b">
        <v>0</v>
      </c>
      <c r="O55" s="135" t="b">
        <v>0</v>
      </c>
      <c r="P55" s="135" t="b">
        <v>0</v>
      </c>
    </row>
    <row r="56" spans="1:16" x14ac:dyDescent="0.3">
      <c r="A56" s="134" t="s">
        <v>1345</v>
      </c>
      <c r="C56" s="125" t="s">
        <v>1387</v>
      </c>
      <c r="D56" s="127" t="s">
        <v>103</v>
      </c>
      <c r="E56" s="134">
        <v>7740</v>
      </c>
      <c r="F56" s="73" t="s">
        <v>29</v>
      </c>
      <c r="G56" s="134" t="s">
        <v>342</v>
      </c>
      <c r="H56" s="134" t="s">
        <v>342</v>
      </c>
      <c r="I56" s="134"/>
      <c r="J56" s="134" t="s">
        <v>463</v>
      </c>
      <c r="K56" s="134" t="s">
        <v>174</v>
      </c>
      <c r="L56" s="134" t="s">
        <v>315</v>
      </c>
      <c r="M56" s="135" t="b">
        <v>1</v>
      </c>
      <c r="N56" s="135" t="b">
        <v>1</v>
      </c>
      <c r="O56" s="135" t="b">
        <v>1</v>
      </c>
      <c r="P56" s="135" t="b">
        <v>1</v>
      </c>
    </row>
    <row r="57" spans="1:16" x14ac:dyDescent="0.3">
      <c r="A57" s="134" t="s">
        <v>1345</v>
      </c>
      <c r="C57" s="125" t="s">
        <v>1388</v>
      </c>
      <c r="D57" s="127" t="s">
        <v>101</v>
      </c>
      <c r="E57" s="134">
        <v>1290</v>
      </c>
      <c r="F57" s="73" t="s">
        <v>29</v>
      </c>
      <c r="G57" s="134" t="s">
        <v>342</v>
      </c>
      <c r="H57" s="134" t="s">
        <v>342</v>
      </c>
      <c r="I57" s="134"/>
      <c r="J57" s="134" t="s">
        <v>463</v>
      </c>
      <c r="K57" s="134" t="s">
        <v>174</v>
      </c>
      <c r="L57" s="134" t="s">
        <v>315</v>
      </c>
      <c r="M57" s="135" t="b">
        <v>1</v>
      </c>
      <c r="N57" s="135" t="b">
        <v>1</v>
      </c>
      <c r="O57" s="135" t="b">
        <v>1</v>
      </c>
      <c r="P57" s="135" t="b">
        <v>1</v>
      </c>
    </row>
    <row r="58" spans="1:16" x14ac:dyDescent="0.3">
      <c r="A58" s="134" t="s">
        <v>1345</v>
      </c>
      <c r="C58" s="125" t="s">
        <v>1389</v>
      </c>
      <c r="D58" s="127" t="s">
        <v>29</v>
      </c>
      <c r="E58" s="134">
        <v>1</v>
      </c>
      <c r="F58" s="73" t="s">
        <v>29</v>
      </c>
      <c r="G58" s="134" t="s">
        <v>342</v>
      </c>
      <c r="H58" s="134" t="s">
        <v>342</v>
      </c>
      <c r="I58" s="134"/>
      <c r="J58" s="134" t="s">
        <v>463</v>
      </c>
      <c r="K58" s="134" t="s">
        <v>174</v>
      </c>
      <c r="L58" s="134" t="s">
        <v>315</v>
      </c>
      <c r="M58" s="135" t="b">
        <v>1</v>
      </c>
      <c r="N58" s="135" t="b">
        <v>1</v>
      </c>
      <c r="O58" s="135" t="b">
        <v>1</v>
      </c>
      <c r="P58" s="135" t="b">
        <v>1</v>
      </c>
    </row>
    <row r="59" spans="1:16" ht="13.15" customHeight="1" x14ac:dyDescent="0.35">
      <c r="A59" s="134" t="s">
        <v>1345</v>
      </c>
      <c r="B59" s="125">
        <v>100423</v>
      </c>
      <c r="C59" s="125" t="s">
        <v>1345</v>
      </c>
      <c r="D59" s="134" t="s">
        <v>35</v>
      </c>
      <c r="E59"/>
      <c r="F59" s="73"/>
      <c r="G59" s="134" t="s">
        <v>342</v>
      </c>
      <c r="H59" s="134" t="s">
        <v>342</v>
      </c>
      <c r="I59" s="134"/>
      <c r="J59" s="134" t="s">
        <v>463</v>
      </c>
      <c r="K59" s="134" t="s">
        <v>174</v>
      </c>
      <c r="L59" s="134" t="s">
        <v>315</v>
      </c>
      <c r="M59" s="135" t="b">
        <v>1</v>
      </c>
      <c r="N59" s="135" t="b">
        <v>1</v>
      </c>
      <c r="O59" s="135" t="b">
        <v>1</v>
      </c>
      <c r="P59" s="135" t="b">
        <v>1</v>
      </c>
    </row>
    <row r="60" spans="1:16" x14ac:dyDescent="0.3">
      <c r="A60" s="134" t="s">
        <v>1344</v>
      </c>
      <c r="C60" s="125" t="s">
        <v>1383</v>
      </c>
      <c r="D60" s="127" t="s">
        <v>103</v>
      </c>
      <c r="E60" s="134">
        <v>6000</v>
      </c>
      <c r="F60" s="73" t="s">
        <v>29</v>
      </c>
      <c r="G60" s="134" t="s">
        <v>342</v>
      </c>
      <c r="H60" s="134" t="s">
        <v>342</v>
      </c>
      <c r="I60" s="134"/>
      <c r="J60" s="134" t="s">
        <v>463</v>
      </c>
      <c r="K60" s="134" t="s">
        <v>174</v>
      </c>
      <c r="L60" s="134" t="s">
        <v>315</v>
      </c>
      <c r="M60" s="135" t="b">
        <v>1</v>
      </c>
      <c r="N60" s="135" t="b">
        <v>1</v>
      </c>
      <c r="O60" s="135" t="b">
        <v>1</v>
      </c>
      <c r="P60" s="135" t="b">
        <v>1</v>
      </c>
    </row>
    <row r="61" spans="1:16" x14ac:dyDescent="0.3">
      <c r="A61" s="134" t="s">
        <v>1344</v>
      </c>
      <c r="C61" s="125" t="s">
        <v>1384</v>
      </c>
      <c r="D61" s="127" t="s">
        <v>101</v>
      </c>
      <c r="E61" s="134">
        <v>250</v>
      </c>
      <c r="F61" s="73" t="s">
        <v>29</v>
      </c>
      <c r="G61" s="134" t="s">
        <v>342</v>
      </c>
      <c r="H61" s="134" t="s">
        <v>342</v>
      </c>
      <c r="I61" s="134"/>
      <c r="J61" s="134" t="s">
        <v>463</v>
      </c>
      <c r="K61" s="134" t="s">
        <v>174</v>
      </c>
      <c r="L61" s="134" t="s">
        <v>315</v>
      </c>
      <c r="M61" s="135" t="b">
        <v>1</v>
      </c>
      <c r="N61" s="135" t="b">
        <v>1</v>
      </c>
      <c r="O61" s="135" t="b">
        <v>1</v>
      </c>
      <c r="P61" s="135" t="b">
        <v>1</v>
      </c>
    </row>
    <row r="62" spans="1:16" x14ac:dyDescent="0.3">
      <c r="A62" s="134" t="s">
        <v>1344</v>
      </c>
      <c r="C62" s="125" t="s">
        <v>1385</v>
      </c>
      <c r="D62" s="127" t="s">
        <v>29</v>
      </c>
      <c r="E62" s="134">
        <v>1</v>
      </c>
      <c r="F62" s="73" t="s">
        <v>29</v>
      </c>
      <c r="G62" s="134" t="s">
        <v>342</v>
      </c>
      <c r="H62" s="134" t="s">
        <v>342</v>
      </c>
      <c r="I62" s="134"/>
      <c r="J62" s="134" t="s">
        <v>463</v>
      </c>
      <c r="K62" s="134" t="s">
        <v>174</v>
      </c>
      <c r="L62" s="134" t="s">
        <v>315</v>
      </c>
      <c r="M62" s="135" t="b">
        <v>1</v>
      </c>
      <c r="N62" s="135" t="b">
        <v>1</v>
      </c>
      <c r="O62" s="135" t="b">
        <v>1</v>
      </c>
      <c r="P62" s="135" t="b">
        <v>1</v>
      </c>
    </row>
    <row r="63" spans="1:16" ht="13" customHeight="1" x14ac:dyDescent="0.35">
      <c r="A63" s="134" t="s">
        <v>1344</v>
      </c>
      <c r="B63" s="125">
        <v>100422</v>
      </c>
      <c r="C63" s="125" t="s">
        <v>1344</v>
      </c>
      <c r="D63" s="134" t="s">
        <v>35</v>
      </c>
      <c r="E63"/>
      <c r="F63" s="73"/>
      <c r="G63" s="134" t="s">
        <v>342</v>
      </c>
      <c r="H63" s="134" t="s">
        <v>342</v>
      </c>
      <c r="I63" s="134"/>
      <c r="J63" s="134" t="s">
        <v>463</v>
      </c>
      <c r="K63" s="134" t="s">
        <v>174</v>
      </c>
      <c r="L63" s="134" t="s">
        <v>315</v>
      </c>
      <c r="M63" s="135" t="b">
        <v>1</v>
      </c>
      <c r="N63" s="135" t="b">
        <v>1</v>
      </c>
      <c r="O63" s="135" t="b">
        <v>1</v>
      </c>
      <c r="P63" s="135" t="b">
        <v>1</v>
      </c>
    </row>
    <row r="64" spans="1:16" ht="13" customHeight="1" x14ac:dyDescent="0.35">
      <c r="A64" s="134" t="s">
        <v>1343</v>
      </c>
      <c r="C64" s="125" t="s">
        <v>1379</v>
      </c>
      <c r="D64" s="127" t="s">
        <v>103</v>
      </c>
      <c r="E64">
        <v>12000</v>
      </c>
      <c r="F64" s="73" t="s">
        <v>29</v>
      </c>
      <c r="G64" s="134" t="s">
        <v>342</v>
      </c>
      <c r="H64" s="134" t="s">
        <v>342</v>
      </c>
      <c r="I64" s="134"/>
      <c r="J64" s="134" t="s">
        <v>463</v>
      </c>
      <c r="K64" s="134" t="s">
        <v>174</v>
      </c>
      <c r="L64" s="134" t="s">
        <v>315</v>
      </c>
      <c r="M64" s="135" t="b">
        <v>1</v>
      </c>
      <c r="N64" s="135" t="b">
        <v>1</v>
      </c>
      <c r="O64" s="135" t="b">
        <v>1</v>
      </c>
      <c r="P64" s="135" t="b">
        <v>1</v>
      </c>
    </row>
    <row r="65" spans="1:16" ht="13" customHeight="1" x14ac:dyDescent="0.35">
      <c r="A65" s="134" t="s">
        <v>1343</v>
      </c>
      <c r="C65" s="125" t="s">
        <v>1380</v>
      </c>
      <c r="D65" s="127" t="s">
        <v>101</v>
      </c>
      <c r="E65">
        <v>100</v>
      </c>
      <c r="F65" s="73" t="s">
        <v>29</v>
      </c>
      <c r="G65" s="134" t="s">
        <v>342</v>
      </c>
      <c r="H65" s="134" t="s">
        <v>342</v>
      </c>
      <c r="I65" s="134"/>
      <c r="J65" s="134" t="s">
        <v>463</v>
      </c>
      <c r="K65" s="134" t="s">
        <v>174</v>
      </c>
      <c r="L65" s="134" t="s">
        <v>315</v>
      </c>
      <c r="M65" s="135" t="b">
        <v>1</v>
      </c>
      <c r="N65" s="135" t="b">
        <v>1</v>
      </c>
      <c r="O65" s="135" t="b">
        <v>1</v>
      </c>
      <c r="P65" s="135" t="b">
        <v>1</v>
      </c>
    </row>
    <row r="66" spans="1:16" ht="13" customHeight="1" x14ac:dyDescent="0.35">
      <c r="A66" s="134" t="s">
        <v>1343</v>
      </c>
      <c r="C66" s="125" t="s">
        <v>1381</v>
      </c>
      <c r="D66" s="127" t="s">
        <v>29</v>
      </c>
      <c r="E66">
        <v>1</v>
      </c>
      <c r="F66" s="73" t="s">
        <v>29</v>
      </c>
      <c r="G66" s="134" t="s">
        <v>342</v>
      </c>
      <c r="H66" s="134" t="s">
        <v>342</v>
      </c>
      <c r="I66" s="134"/>
      <c r="J66" s="134" t="s">
        <v>463</v>
      </c>
      <c r="K66" s="134" t="s">
        <v>174</v>
      </c>
      <c r="L66" s="134" t="s">
        <v>315</v>
      </c>
      <c r="M66" s="135" t="b">
        <v>1</v>
      </c>
      <c r="N66" s="135" t="b">
        <v>1</v>
      </c>
      <c r="O66" s="135" t="b">
        <v>1</v>
      </c>
      <c r="P66" s="135" t="b">
        <v>1</v>
      </c>
    </row>
    <row r="67" spans="1:16" ht="13" customHeight="1" x14ac:dyDescent="0.35">
      <c r="A67" s="134" t="s">
        <v>1343</v>
      </c>
      <c r="B67" s="125">
        <v>100421</v>
      </c>
      <c r="C67" s="125" t="s">
        <v>1343</v>
      </c>
      <c r="D67" s="134" t="s">
        <v>35</v>
      </c>
      <c r="E67"/>
      <c r="F67" s="73"/>
      <c r="G67" s="134" t="s">
        <v>342</v>
      </c>
      <c r="H67" s="134" t="s">
        <v>342</v>
      </c>
      <c r="I67" s="134"/>
      <c r="J67" s="134" t="s">
        <v>463</v>
      </c>
      <c r="K67" s="134" t="s">
        <v>174</v>
      </c>
      <c r="L67" s="134" t="s">
        <v>315</v>
      </c>
      <c r="M67" s="135" t="b">
        <v>1</v>
      </c>
      <c r="N67" s="135" t="b">
        <v>1</v>
      </c>
      <c r="O67" s="135" t="b">
        <v>1</v>
      </c>
      <c r="P67" s="135" t="b">
        <v>1</v>
      </c>
    </row>
    <row r="68" spans="1:16" x14ac:dyDescent="0.3">
      <c r="A68" s="134" t="s">
        <v>1196</v>
      </c>
      <c r="C68" s="134" t="s">
        <v>1087</v>
      </c>
      <c r="D68" s="127" t="s">
        <v>557</v>
      </c>
      <c r="E68" s="136">
        <v>21000</v>
      </c>
      <c r="F68" s="73" t="s">
        <v>29</v>
      </c>
      <c r="G68" s="134" t="s">
        <v>342</v>
      </c>
      <c r="H68" s="134" t="s">
        <v>342</v>
      </c>
      <c r="I68" s="134"/>
      <c r="J68" s="134" t="s">
        <v>463</v>
      </c>
      <c r="K68" s="134" t="s">
        <v>174</v>
      </c>
      <c r="L68" s="134" t="s">
        <v>315</v>
      </c>
      <c r="M68" s="135" t="b">
        <v>1</v>
      </c>
      <c r="N68" s="135" t="b">
        <v>1</v>
      </c>
      <c r="O68" s="135" t="b">
        <v>1</v>
      </c>
      <c r="P68" s="135" t="b">
        <v>1</v>
      </c>
    </row>
    <row r="69" spans="1:16" x14ac:dyDescent="0.3">
      <c r="A69" s="134" t="s">
        <v>1196</v>
      </c>
      <c r="C69" s="134" t="s">
        <v>1088</v>
      </c>
      <c r="D69" s="127" t="s">
        <v>101</v>
      </c>
      <c r="E69" s="127">
        <v>1500</v>
      </c>
      <c r="F69" s="73" t="s">
        <v>29</v>
      </c>
      <c r="G69" s="134" t="s">
        <v>342</v>
      </c>
      <c r="H69" s="134" t="s">
        <v>342</v>
      </c>
      <c r="I69" s="134"/>
      <c r="J69" s="134" t="s">
        <v>463</v>
      </c>
      <c r="K69" s="134" t="s">
        <v>174</v>
      </c>
      <c r="L69" s="134" t="s">
        <v>315</v>
      </c>
      <c r="M69" s="135" t="b">
        <v>1</v>
      </c>
      <c r="N69" s="135" t="b">
        <v>1</v>
      </c>
      <c r="O69" s="135" t="b">
        <v>1</v>
      </c>
      <c r="P69" s="135" t="b">
        <v>1</v>
      </c>
    </row>
    <row r="70" spans="1:16" x14ac:dyDescent="0.3">
      <c r="A70" s="134" t="s">
        <v>1196</v>
      </c>
      <c r="B70" s="128"/>
      <c r="C70" s="134" t="s">
        <v>1089</v>
      </c>
      <c r="D70" s="134" t="s">
        <v>29</v>
      </c>
      <c r="E70" s="127">
        <v>1000</v>
      </c>
      <c r="F70" s="73" t="s">
        <v>29</v>
      </c>
      <c r="G70" s="134" t="s">
        <v>342</v>
      </c>
      <c r="H70" s="134" t="s">
        <v>342</v>
      </c>
      <c r="I70" s="134"/>
      <c r="J70" s="134" t="s">
        <v>463</v>
      </c>
      <c r="K70" s="134" t="s">
        <v>174</v>
      </c>
      <c r="L70" s="134" t="s">
        <v>315</v>
      </c>
      <c r="M70" s="135" t="b">
        <v>1</v>
      </c>
      <c r="N70" s="135" t="b">
        <v>1</v>
      </c>
      <c r="O70" s="135" t="b">
        <v>1</v>
      </c>
      <c r="P70" s="135" t="b">
        <v>1</v>
      </c>
    </row>
    <row r="71" spans="1:16" x14ac:dyDescent="0.3">
      <c r="A71" s="134" t="s">
        <v>1196</v>
      </c>
      <c r="B71" s="128"/>
      <c r="C71" s="134" t="s">
        <v>1074</v>
      </c>
      <c r="D71" s="134" t="s">
        <v>29</v>
      </c>
      <c r="E71" s="127">
        <f>E69/(2500+1500)</f>
        <v>0.375</v>
      </c>
      <c r="F71" s="73" t="s">
        <v>29</v>
      </c>
      <c r="G71" s="134" t="s">
        <v>342</v>
      </c>
      <c r="H71" s="134" t="s">
        <v>341</v>
      </c>
      <c r="I71" s="134"/>
      <c r="J71" s="134" t="s">
        <v>463</v>
      </c>
      <c r="K71" s="134" t="s">
        <v>174</v>
      </c>
      <c r="L71" s="134" t="s">
        <v>315</v>
      </c>
      <c r="M71" s="135" t="b">
        <v>1</v>
      </c>
      <c r="N71" s="135" t="b">
        <v>1</v>
      </c>
      <c r="O71" s="135" t="b">
        <v>1</v>
      </c>
      <c r="P71" s="135" t="b">
        <v>1</v>
      </c>
    </row>
    <row r="72" spans="1:16" x14ac:dyDescent="0.3">
      <c r="A72" s="134" t="s">
        <v>1196</v>
      </c>
      <c r="B72" s="128"/>
      <c r="C72" s="134" t="s">
        <v>1075</v>
      </c>
      <c r="D72" s="134" t="s">
        <v>29</v>
      </c>
      <c r="E72" s="127">
        <f>96/100</f>
        <v>0.96</v>
      </c>
      <c r="F72" s="73" t="s">
        <v>29</v>
      </c>
      <c r="G72" s="134" t="s">
        <v>342</v>
      </c>
      <c r="H72" s="134" t="s">
        <v>341</v>
      </c>
      <c r="I72" s="134"/>
      <c r="J72" s="134"/>
      <c r="K72" s="134" t="s">
        <v>174</v>
      </c>
      <c r="L72" s="134" t="s">
        <v>315</v>
      </c>
      <c r="M72" s="135" t="b">
        <v>1</v>
      </c>
      <c r="N72" s="135" t="b">
        <v>1</v>
      </c>
      <c r="O72" s="135" t="b">
        <v>1</v>
      </c>
      <c r="P72" s="135" t="b">
        <v>1</v>
      </c>
    </row>
    <row r="73" spans="1:16" x14ac:dyDescent="0.3">
      <c r="A73" s="134" t="s">
        <v>1196</v>
      </c>
      <c r="B73" s="128"/>
      <c r="C73" s="134" t="s">
        <v>1076</v>
      </c>
      <c r="D73" s="134" t="s">
        <v>29</v>
      </c>
      <c r="E73" s="127">
        <f>92/100</f>
        <v>0.92</v>
      </c>
      <c r="F73" s="73" t="s">
        <v>29</v>
      </c>
      <c r="G73" s="134" t="s">
        <v>342</v>
      </c>
      <c r="H73" s="134" t="s">
        <v>341</v>
      </c>
      <c r="I73" s="134"/>
      <c r="J73" s="134"/>
      <c r="K73" s="134" t="s">
        <v>174</v>
      </c>
      <c r="L73" s="134" t="s">
        <v>315</v>
      </c>
      <c r="M73" s="135" t="b">
        <v>1</v>
      </c>
      <c r="N73" s="135" t="b">
        <v>1</v>
      </c>
      <c r="O73" s="135" t="b">
        <v>1</v>
      </c>
      <c r="P73" s="135" t="b">
        <v>1</v>
      </c>
    </row>
    <row r="74" spans="1:16" x14ac:dyDescent="0.3">
      <c r="A74" s="134" t="s">
        <v>1196</v>
      </c>
      <c r="B74" s="128"/>
      <c r="C74" s="134" t="s">
        <v>1077</v>
      </c>
      <c r="D74" s="134" t="s">
        <v>29</v>
      </c>
      <c r="E74" s="127">
        <f>80/100</f>
        <v>0.8</v>
      </c>
      <c r="F74" s="73" t="s">
        <v>29</v>
      </c>
      <c r="G74" s="134" t="s">
        <v>342</v>
      </c>
      <c r="H74" s="134" t="s">
        <v>341</v>
      </c>
      <c r="I74" s="134"/>
      <c r="J74" s="134"/>
      <c r="K74" s="134" t="s">
        <v>174</v>
      </c>
      <c r="L74" s="134" t="s">
        <v>315</v>
      </c>
      <c r="M74" s="135" t="b">
        <v>1</v>
      </c>
      <c r="N74" s="135" t="b">
        <v>1</v>
      </c>
      <c r="O74" s="135" t="b">
        <v>1</v>
      </c>
      <c r="P74" s="135" t="b">
        <v>1</v>
      </c>
    </row>
    <row r="75" spans="1:16" x14ac:dyDescent="0.3">
      <c r="A75" s="134" t="s">
        <v>1196</v>
      </c>
      <c r="B75" s="125">
        <v>100431</v>
      </c>
      <c r="C75" s="125" t="s">
        <v>1196</v>
      </c>
      <c r="D75" s="127" t="s">
        <v>35</v>
      </c>
      <c r="F75" s="73"/>
      <c r="G75" s="134" t="s">
        <v>342</v>
      </c>
      <c r="H75" s="134" t="s">
        <v>342</v>
      </c>
      <c r="I75" s="134"/>
      <c r="J75" s="134" t="s">
        <v>463</v>
      </c>
      <c r="K75" s="134" t="s">
        <v>174</v>
      </c>
      <c r="L75" s="134" t="s">
        <v>315</v>
      </c>
      <c r="M75" s="135" t="b">
        <v>1</v>
      </c>
      <c r="N75" s="135" t="b">
        <v>1</v>
      </c>
      <c r="O75" s="135" t="b">
        <v>1</v>
      </c>
      <c r="P75" s="135" t="b">
        <v>1</v>
      </c>
    </row>
    <row r="76" spans="1:16" x14ac:dyDescent="0.3">
      <c r="A76" s="134" t="s">
        <v>1194</v>
      </c>
      <c r="C76" s="134" t="s">
        <v>1090</v>
      </c>
      <c r="D76" s="127" t="s">
        <v>103</v>
      </c>
      <c r="E76" s="127">
        <v>14000</v>
      </c>
      <c r="F76" s="73" t="s">
        <v>29</v>
      </c>
      <c r="G76" s="134" t="s">
        <v>342</v>
      </c>
      <c r="H76" s="134" t="s">
        <v>342</v>
      </c>
      <c r="I76" s="134"/>
      <c r="J76" s="134" t="s">
        <v>463</v>
      </c>
      <c r="K76" s="134" t="s">
        <v>174</v>
      </c>
      <c r="L76" s="134" t="s">
        <v>315</v>
      </c>
      <c r="M76" s="135" t="b">
        <v>1</v>
      </c>
      <c r="N76" s="135" t="b">
        <v>1</v>
      </c>
      <c r="O76" s="135" t="b">
        <v>1</v>
      </c>
      <c r="P76" s="135" t="b">
        <v>1</v>
      </c>
    </row>
    <row r="77" spans="1:16" x14ac:dyDescent="0.3">
      <c r="A77" s="134" t="s">
        <v>1194</v>
      </c>
      <c r="B77" s="128"/>
      <c r="C77" s="134" t="s">
        <v>1091</v>
      </c>
      <c r="D77" s="134" t="s">
        <v>101</v>
      </c>
      <c r="E77" s="134">
        <v>1000</v>
      </c>
      <c r="F77" s="73" t="s">
        <v>29</v>
      </c>
      <c r="G77" s="134" t="s">
        <v>342</v>
      </c>
      <c r="H77" s="134" t="s">
        <v>342</v>
      </c>
      <c r="I77" s="134"/>
      <c r="J77" s="134" t="s">
        <v>463</v>
      </c>
      <c r="K77" s="134" t="s">
        <v>174</v>
      </c>
      <c r="L77" s="134" t="s">
        <v>315</v>
      </c>
      <c r="M77" s="135" t="b">
        <v>1</v>
      </c>
      <c r="N77" s="135" t="b">
        <v>1</v>
      </c>
      <c r="O77" s="135" t="b">
        <v>1</v>
      </c>
      <c r="P77" s="135" t="b">
        <v>1</v>
      </c>
    </row>
    <row r="78" spans="1:16" x14ac:dyDescent="0.3">
      <c r="A78" s="134" t="s">
        <v>1194</v>
      </c>
      <c r="B78" s="128"/>
      <c r="C78" s="134" t="s">
        <v>1124</v>
      </c>
      <c r="D78" s="134" t="s">
        <v>29</v>
      </c>
      <c r="E78" s="134">
        <v>1</v>
      </c>
      <c r="F78" s="73" t="s">
        <v>29</v>
      </c>
      <c r="G78" s="134" t="s">
        <v>342</v>
      </c>
      <c r="H78" s="134" t="s">
        <v>342</v>
      </c>
      <c r="I78" s="134"/>
      <c r="J78" s="134"/>
      <c r="K78" s="134" t="s">
        <v>174</v>
      </c>
      <c r="L78" s="134" t="s">
        <v>315</v>
      </c>
      <c r="M78" s="135" t="b">
        <v>1</v>
      </c>
      <c r="N78" s="135" t="b">
        <v>1</v>
      </c>
      <c r="O78" s="135" t="b">
        <v>1</v>
      </c>
      <c r="P78" s="135" t="b">
        <v>1</v>
      </c>
    </row>
    <row r="79" spans="1:16" x14ac:dyDescent="0.3">
      <c r="A79" s="134" t="s">
        <v>1194</v>
      </c>
      <c r="B79" s="128"/>
      <c r="C79" s="134" t="s">
        <v>1302</v>
      </c>
      <c r="D79" s="134" t="s">
        <v>29</v>
      </c>
      <c r="E79" s="134">
        <f>59/3453</f>
        <v>1.7086591369823344E-2</v>
      </c>
      <c r="F79" s="73" t="s">
        <v>29</v>
      </c>
      <c r="G79" s="134" t="s">
        <v>342</v>
      </c>
      <c r="H79" s="134" t="s">
        <v>341</v>
      </c>
      <c r="I79" s="134" t="s">
        <v>1301</v>
      </c>
      <c r="J79" s="134" t="s">
        <v>457</v>
      </c>
      <c r="K79" s="134" t="s">
        <v>174</v>
      </c>
      <c r="L79" s="134" t="s">
        <v>315</v>
      </c>
      <c r="M79" s="135" t="b">
        <v>1</v>
      </c>
      <c r="N79" s="135" t="b">
        <v>1</v>
      </c>
      <c r="O79" s="135" t="b">
        <v>1</v>
      </c>
      <c r="P79" s="135" t="b">
        <v>1</v>
      </c>
    </row>
    <row r="80" spans="1:16" x14ac:dyDescent="0.3">
      <c r="A80" s="134" t="s">
        <v>1194</v>
      </c>
      <c r="B80" s="128"/>
      <c r="C80" s="134" t="s">
        <v>1314</v>
      </c>
      <c r="D80" s="134" t="s">
        <v>29</v>
      </c>
      <c r="E80" s="134">
        <f>956/380664</f>
        <v>2.5114011306559066E-3</v>
      </c>
      <c r="F80" s="73" t="s">
        <v>29</v>
      </c>
      <c r="G80" s="134" t="s">
        <v>341</v>
      </c>
      <c r="H80" s="134" t="s">
        <v>341</v>
      </c>
      <c r="I80" s="134" t="s">
        <v>1073</v>
      </c>
      <c r="J80" s="134" t="s">
        <v>457</v>
      </c>
      <c r="K80" s="134" t="s">
        <v>174</v>
      </c>
      <c r="L80" s="134" t="s">
        <v>315</v>
      </c>
      <c r="M80" s="135" t="b">
        <v>1</v>
      </c>
      <c r="N80" s="135" t="b">
        <v>1</v>
      </c>
      <c r="O80" s="135" t="b">
        <v>1</v>
      </c>
      <c r="P80" s="135" t="b">
        <v>1</v>
      </c>
    </row>
    <row r="81" spans="1:16" x14ac:dyDescent="0.3">
      <c r="A81" s="134" t="s">
        <v>1194</v>
      </c>
      <c r="B81" s="125">
        <v>100429</v>
      </c>
      <c r="C81" s="125" t="s">
        <v>1194</v>
      </c>
      <c r="D81" s="127" t="s">
        <v>35</v>
      </c>
      <c r="F81" s="73"/>
      <c r="G81" s="134" t="s">
        <v>342</v>
      </c>
      <c r="H81" s="134" t="s">
        <v>342</v>
      </c>
      <c r="I81" s="134"/>
      <c r="J81" s="134" t="s">
        <v>463</v>
      </c>
      <c r="K81" s="134" t="s">
        <v>174</v>
      </c>
      <c r="L81" s="134" t="s">
        <v>315</v>
      </c>
      <c r="M81" s="135" t="b">
        <v>1</v>
      </c>
      <c r="N81" s="135" t="b">
        <v>1</v>
      </c>
      <c r="O81" s="135" t="b">
        <v>1</v>
      </c>
      <c r="P81" s="135" t="b">
        <v>1</v>
      </c>
    </row>
    <row r="82" spans="1:16" x14ac:dyDescent="0.3">
      <c r="A82" s="134" t="s">
        <v>2</v>
      </c>
      <c r="C82" s="127" t="s">
        <v>1093</v>
      </c>
      <c r="D82" s="127" t="s">
        <v>29</v>
      </c>
      <c r="E82" s="123">
        <v>1</v>
      </c>
      <c r="F82" s="73" t="s">
        <v>29</v>
      </c>
      <c r="G82" s="134" t="s">
        <v>342</v>
      </c>
      <c r="H82" s="134" t="s">
        <v>342</v>
      </c>
      <c r="I82" s="134"/>
      <c r="J82" s="134"/>
      <c r="K82" s="134" t="s">
        <v>174</v>
      </c>
      <c r="L82" s="134" t="s">
        <v>315</v>
      </c>
      <c r="M82" s="135" t="b">
        <v>1</v>
      </c>
      <c r="N82" s="135" t="b">
        <v>1</v>
      </c>
      <c r="O82" s="135" t="b">
        <v>1</v>
      </c>
      <c r="P82" s="135" t="b">
        <v>1</v>
      </c>
    </row>
    <row r="83" spans="1:16" x14ac:dyDescent="0.3">
      <c r="A83" s="134" t="s">
        <v>2</v>
      </c>
      <c r="C83" s="127" t="s">
        <v>1092</v>
      </c>
      <c r="D83" s="127" t="s">
        <v>29</v>
      </c>
      <c r="E83" s="123">
        <v>1</v>
      </c>
      <c r="F83" s="73" t="s">
        <v>29</v>
      </c>
      <c r="G83" s="134" t="s">
        <v>342</v>
      </c>
      <c r="H83" s="134" t="s">
        <v>341</v>
      </c>
      <c r="I83" s="134"/>
      <c r="J83" s="134"/>
      <c r="K83" s="134" t="s">
        <v>174</v>
      </c>
      <c r="L83" s="134" t="s">
        <v>315</v>
      </c>
      <c r="M83" s="135" t="b">
        <v>1</v>
      </c>
      <c r="N83" s="135" t="b">
        <v>1</v>
      </c>
      <c r="O83" s="135" t="b">
        <v>1</v>
      </c>
      <c r="P83" s="135" t="b">
        <v>1</v>
      </c>
    </row>
    <row r="84" spans="1:16" x14ac:dyDescent="0.3">
      <c r="A84" s="134" t="s">
        <v>2</v>
      </c>
      <c r="C84" s="127" t="s">
        <v>1300</v>
      </c>
      <c r="D84" s="127" t="s">
        <v>29</v>
      </c>
      <c r="E84" s="123">
        <f>1100/3453</f>
        <v>0.31856356791196061</v>
      </c>
      <c r="F84" s="73" t="s">
        <v>29</v>
      </c>
      <c r="G84" s="134" t="s">
        <v>342</v>
      </c>
      <c r="H84" s="134" t="s">
        <v>341</v>
      </c>
      <c r="I84" s="134" t="s">
        <v>1301</v>
      </c>
      <c r="J84" s="134" t="s">
        <v>457</v>
      </c>
      <c r="K84" s="134" t="s">
        <v>174</v>
      </c>
      <c r="L84" s="134" t="s">
        <v>315</v>
      </c>
      <c r="M84" s="135" t="b">
        <v>1</v>
      </c>
      <c r="N84" s="135" t="b">
        <v>1</v>
      </c>
      <c r="O84" s="135" t="b">
        <v>1</v>
      </c>
      <c r="P84" s="135" t="b">
        <v>1</v>
      </c>
    </row>
    <row r="85" spans="1:16" x14ac:dyDescent="0.3">
      <c r="A85" s="134" t="s">
        <v>2</v>
      </c>
      <c r="C85" s="127" t="s">
        <v>1078</v>
      </c>
      <c r="D85" s="127" t="s">
        <v>29</v>
      </c>
      <c r="E85" s="123">
        <f>4/100</f>
        <v>0.04</v>
      </c>
      <c r="F85" s="73" t="s">
        <v>29</v>
      </c>
      <c r="G85" s="134" t="s">
        <v>342</v>
      </c>
      <c r="H85" s="134" t="s">
        <v>341</v>
      </c>
      <c r="I85" s="134" t="s">
        <v>1075</v>
      </c>
      <c r="J85" s="134" t="s">
        <v>457</v>
      </c>
      <c r="K85" s="134" t="s">
        <v>174</v>
      </c>
      <c r="L85" s="134" t="s">
        <v>315</v>
      </c>
      <c r="M85" s="135" t="b">
        <v>1</v>
      </c>
      <c r="N85" s="135" t="b">
        <v>1</v>
      </c>
      <c r="O85" s="135" t="b">
        <v>1</v>
      </c>
      <c r="P85" s="135" t="b">
        <v>1</v>
      </c>
    </row>
    <row r="86" spans="1:16" x14ac:dyDescent="0.3">
      <c r="A86" s="134" t="s">
        <v>2</v>
      </c>
      <c r="C86" s="127" t="s">
        <v>1079</v>
      </c>
      <c r="D86" s="127" t="s">
        <v>29</v>
      </c>
      <c r="E86" s="123">
        <f>8/100</f>
        <v>0.08</v>
      </c>
      <c r="F86" s="73" t="s">
        <v>29</v>
      </c>
      <c r="G86" s="134" t="s">
        <v>342</v>
      </c>
      <c r="H86" s="134" t="s">
        <v>341</v>
      </c>
      <c r="I86" s="134" t="s">
        <v>1076</v>
      </c>
      <c r="J86" s="134" t="s">
        <v>457</v>
      </c>
      <c r="K86" s="134" t="s">
        <v>174</v>
      </c>
      <c r="L86" s="134" t="s">
        <v>315</v>
      </c>
      <c r="M86" s="135" t="b">
        <v>1</v>
      </c>
      <c r="N86" s="135" t="b">
        <v>1</v>
      </c>
      <c r="O86" s="135" t="b">
        <v>1</v>
      </c>
      <c r="P86" s="135" t="b">
        <v>1</v>
      </c>
    </row>
    <row r="87" spans="1:16" x14ac:dyDescent="0.3">
      <c r="A87" s="134" t="s">
        <v>2</v>
      </c>
      <c r="C87" s="127" t="s">
        <v>1080</v>
      </c>
      <c r="D87" s="127" t="s">
        <v>29</v>
      </c>
      <c r="E87" s="150">
        <f>20/100</f>
        <v>0.2</v>
      </c>
      <c r="F87" s="73" t="s">
        <v>29</v>
      </c>
      <c r="G87" s="134" t="s">
        <v>342</v>
      </c>
      <c r="H87" s="134" t="s">
        <v>341</v>
      </c>
      <c r="I87" s="134" t="s">
        <v>1077</v>
      </c>
      <c r="J87" s="134" t="s">
        <v>457</v>
      </c>
      <c r="K87" s="134" t="s">
        <v>174</v>
      </c>
      <c r="L87" s="134" t="s">
        <v>315</v>
      </c>
      <c r="M87" s="135" t="b">
        <v>1</v>
      </c>
      <c r="N87" s="135" t="b">
        <v>1</v>
      </c>
      <c r="O87" s="135" t="b">
        <v>1</v>
      </c>
      <c r="P87" s="135" t="b">
        <v>1</v>
      </c>
    </row>
    <row r="88" spans="1:16" ht="14.65" customHeight="1" x14ac:dyDescent="0.3">
      <c r="A88" s="134" t="s">
        <v>2</v>
      </c>
      <c r="B88" s="125" t="s">
        <v>73</v>
      </c>
      <c r="C88" s="125" t="s">
        <v>2</v>
      </c>
      <c r="D88" s="137" t="s">
        <v>35</v>
      </c>
      <c r="G88" s="134" t="s">
        <v>342</v>
      </c>
      <c r="H88" s="134" t="s">
        <v>342</v>
      </c>
      <c r="I88" s="134"/>
      <c r="J88" s="134" t="s">
        <v>463</v>
      </c>
      <c r="K88" s="134" t="s">
        <v>174</v>
      </c>
      <c r="L88" s="134" t="s">
        <v>315</v>
      </c>
      <c r="M88" s="135" t="b">
        <v>1</v>
      </c>
      <c r="N88" s="135" t="b">
        <v>1</v>
      </c>
      <c r="O88" s="135" t="b">
        <v>1</v>
      </c>
      <c r="P88" s="135" t="b">
        <v>1</v>
      </c>
    </row>
    <row r="89" spans="1:16" x14ac:dyDescent="0.3">
      <c r="A89" s="134" t="s">
        <v>353</v>
      </c>
      <c r="B89" s="128"/>
      <c r="C89" s="134" t="s">
        <v>368</v>
      </c>
      <c r="D89" s="134" t="s">
        <v>103</v>
      </c>
      <c r="E89" s="134">
        <v>1800</v>
      </c>
      <c r="F89" s="134" t="s">
        <v>29</v>
      </c>
      <c r="G89" s="134" t="s">
        <v>342</v>
      </c>
      <c r="H89" s="134" t="s">
        <v>342</v>
      </c>
      <c r="I89" s="134"/>
      <c r="J89" s="134" t="s">
        <v>463</v>
      </c>
      <c r="K89" s="134" t="s">
        <v>174</v>
      </c>
      <c r="L89" s="134" t="s">
        <v>315</v>
      </c>
      <c r="M89" s="135" t="b">
        <v>1</v>
      </c>
      <c r="N89" s="135" t="b">
        <v>1</v>
      </c>
      <c r="O89" s="135" t="b">
        <v>1</v>
      </c>
      <c r="P89" s="135" t="b">
        <v>1</v>
      </c>
    </row>
    <row r="90" spans="1:16" x14ac:dyDescent="0.3">
      <c r="A90" s="134" t="s">
        <v>353</v>
      </c>
      <c r="B90" s="128"/>
      <c r="C90" s="134" t="s">
        <v>369</v>
      </c>
      <c r="D90" s="134" t="s">
        <v>358</v>
      </c>
      <c r="E90" s="134">
        <v>60</v>
      </c>
      <c r="F90" s="134" t="s">
        <v>29</v>
      </c>
      <c r="G90" s="134" t="s">
        <v>342</v>
      </c>
      <c r="H90" s="134" t="s">
        <v>342</v>
      </c>
      <c r="I90" s="134"/>
      <c r="J90" s="134" t="s">
        <v>463</v>
      </c>
      <c r="K90" s="134" t="s">
        <v>174</v>
      </c>
      <c r="L90" s="134" t="s">
        <v>315</v>
      </c>
      <c r="M90" s="135" t="b">
        <v>1</v>
      </c>
      <c r="N90" s="135" t="b">
        <v>1</v>
      </c>
      <c r="O90" s="135" t="b">
        <v>1</v>
      </c>
      <c r="P90" s="135" t="b">
        <v>1</v>
      </c>
    </row>
    <row r="91" spans="1:16" x14ac:dyDescent="0.3">
      <c r="A91" s="134" t="s">
        <v>353</v>
      </c>
      <c r="B91" s="128"/>
      <c r="C91" s="134" t="s">
        <v>1094</v>
      </c>
      <c r="D91" s="134" t="s">
        <v>29</v>
      </c>
      <c r="E91" s="134">
        <v>1</v>
      </c>
      <c r="F91" s="134" t="s">
        <v>29</v>
      </c>
      <c r="G91" s="134" t="s">
        <v>342</v>
      </c>
      <c r="H91" s="134" t="s">
        <v>342</v>
      </c>
      <c r="I91" s="134"/>
      <c r="J91" s="134" t="s">
        <v>463</v>
      </c>
      <c r="K91" s="134" t="s">
        <v>174</v>
      </c>
      <c r="L91" s="134" t="s">
        <v>315</v>
      </c>
      <c r="M91" s="135" t="b">
        <v>1</v>
      </c>
      <c r="N91" s="135" t="b">
        <v>1</v>
      </c>
      <c r="O91" s="135" t="b">
        <v>1</v>
      </c>
      <c r="P91" s="135" t="b">
        <v>1</v>
      </c>
    </row>
    <row r="92" spans="1:16" ht="13.15" customHeight="1" x14ac:dyDescent="0.3">
      <c r="A92" s="134" t="s">
        <v>353</v>
      </c>
      <c r="B92" s="125">
        <v>100313</v>
      </c>
      <c r="C92" s="125" t="s">
        <v>353</v>
      </c>
      <c r="D92" s="137" t="s">
        <v>35</v>
      </c>
      <c r="E92" s="134"/>
      <c r="F92" s="134"/>
      <c r="G92" s="134" t="s">
        <v>342</v>
      </c>
      <c r="H92" s="134" t="s">
        <v>342</v>
      </c>
      <c r="I92" s="134"/>
      <c r="J92" s="134" t="s">
        <v>463</v>
      </c>
      <c r="K92" s="134" t="s">
        <v>174</v>
      </c>
      <c r="L92" s="134" t="s">
        <v>315</v>
      </c>
      <c r="M92" s="135" t="b">
        <v>1</v>
      </c>
      <c r="N92" s="135" t="b">
        <v>1</v>
      </c>
      <c r="O92" s="135" t="b">
        <v>1</v>
      </c>
      <c r="P92" s="135" t="b">
        <v>1</v>
      </c>
    </row>
    <row r="93" spans="1:16" x14ac:dyDescent="0.3">
      <c r="A93" s="134" t="s">
        <v>352</v>
      </c>
      <c r="B93" s="128"/>
      <c r="C93" s="134" t="s">
        <v>365</v>
      </c>
      <c r="D93" s="134" t="s">
        <v>103</v>
      </c>
      <c r="E93" s="134">
        <v>6000</v>
      </c>
      <c r="F93" s="134" t="s">
        <v>29</v>
      </c>
      <c r="G93" s="134" t="s">
        <v>342</v>
      </c>
      <c r="H93" s="134" t="s">
        <v>342</v>
      </c>
      <c r="I93" s="134"/>
      <c r="J93" s="134" t="s">
        <v>463</v>
      </c>
      <c r="K93" s="134" t="s">
        <v>174</v>
      </c>
      <c r="L93" s="134" t="s">
        <v>315</v>
      </c>
      <c r="M93" s="135" t="b">
        <v>1</v>
      </c>
      <c r="N93" s="135" t="b">
        <v>1</v>
      </c>
      <c r="O93" s="135" t="b">
        <v>1</v>
      </c>
      <c r="P93" s="135" t="b">
        <v>1</v>
      </c>
    </row>
    <row r="94" spans="1:16" x14ac:dyDescent="0.3">
      <c r="A94" s="134" t="s">
        <v>352</v>
      </c>
      <c r="B94" s="128"/>
      <c r="C94" s="134" t="s">
        <v>366</v>
      </c>
      <c r="D94" s="134" t="s">
        <v>358</v>
      </c>
      <c r="E94" s="134">
        <v>1000</v>
      </c>
      <c r="F94" s="134" t="s">
        <v>29</v>
      </c>
      <c r="G94" s="134" t="s">
        <v>342</v>
      </c>
      <c r="H94" s="134" t="s">
        <v>342</v>
      </c>
      <c r="I94" s="134"/>
      <c r="J94" s="134" t="s">
        <v>463</v>
      </c>
      <c r="K94" s="134" t="s">
        <v>174</v>
      </c>
      <c r="L94" s="134" t="s">
        <v>315</v>
      </c>
      <c r="M94" s="135" t="b">
        <v>1</v>
      </c>
      <c r="N94" s="135" t="b">
        <v>1</v>
      </c>
      <c r="O94" s="135" t="b">
        <v>1</v>
      </c>
      <c r="P94" s="135" t="b">
        <v>1</v>
      </c>
    </row>
    <row r="95" spans="1:16" x14ac:dyDescent="0.3">
      <c r="A95" s="134" t="s">
        <v>352</v>
      </c>
      <c r="B95" s="128"/>
      <c r="C95" s="134" t="s">
        <v>367</v>
      </c>
      <c r="D95" s="134" t="s">
        <v>29</v>
      </c>
      <c r="E95" s="134">
        <v>0.75142771265404273</v>
      </c>
      <c r="F95" s="134" t="s">
        <v>29</v>
      </c>
      <c r="G95" s="134" t="s">
        <v>342</v>
      </c>
      <c r="H95" s="134" t="s">
        <v>342</v>
      </c>
      <c r="I95" s="134"/>
      <c r="J95" s="134" t="s">
        <v>463</v>
      </c>
      <c r="K95" s="134" t="s">
        <v>174</v>
      </c>
      <c r="L95" s="134" t="s">
        <v>315</v>
      </c>
      <c r="M95" s="135" t="b">
        <v>1</v>
      </c>
      <c r="N95" s="135" t="b">
        <v>1</v>
      </c>
      <c r="O95" s="135" t="b">
        <v>1</v>
      </c>
      <c r="P95" s="135" t="b">
        <v>1</v>
      </c>
    </row>
    <row r="96" spans="1:16" x14ac:dyDescent="0.3">
      <c r="A96" s="134" t="s">
        <v>352</v>
      </c>
      <c r="B96" s="125">
        <v>100316</v>
      </c>
      <c r="C96" s="125" t="s">
        <v>352</v>
      </c>
      <c r="D96" s="137" t="s">
        <v>68</v>
      </c>
      <c r="E96" s="134"/>
      <c r="F96" s="134"/>
      <c r="G96" s="134" t="s">
        <v>342</v>
      </c>
      <c r="H96" s="134" t="s">
        <v>342</v>
      </c>
      <c r="I96" s="134"/>
      <c r="J96" s="134" t="s">
        <v>463</v>
      </c>
      <c r="K96" s="134" t="s">
        <v>174</v>
      </c>
      <c r="L96" s="134" t="s">
        <v>315</v>
      </c>
      <c r="M96" s="135" t="b">
        <v>1</v>
      </c>
      <c r="N96" s="135" t="b">
        <v>1</v>
      </c>
      <c r="O96" s="135" t="b">
        <v>1</v>
      </c>
      <c r="P96" s="135" t="b">
        <v>1</v>
      </c>
    </row>
    <row r="97" spans="1:16" x14ac:dyDescent="0.3">
      <c r="A97" s="134" t="s">
        <v>1346</v>
      </c>
      <c r="C97" s="125" t="s">
        <v>1391</v>
      </c>
      <c r="D97" s="127" t="s">
        <v>103</v>
      </c>
      <c r="E97" s="134">
        <v>4200</v>
      </c>
      <c r="F97" s="73" t="s">
        <v>29</v>
      </c>
      <c r="G97" s="134" t="s">
        <v>342</v>
      </c>
      <c r="H97" s="134" t="s">
        <v>342</v>
      </c>
      <c r="I97" s="134"/>
      <c r="J97" s="134" t="s">
        <v>463</v>
      </c>
      <c r="K97" s="134" t="s">
        <v>174</v>
      </c>
      <c r="L97" s="134" t="s">
        <v>315</v>
      </c>
      <c r="M97" s="135" t="b">
        <v>1</v>
      </c>
      <c r="N97" s="135" t="b">
        <v>1</v>
      </c>
      <c r="O97" s="135" t="b">
        <v>1</v>
      </c>
      <c r="P97" s="135" t="b">
        <v>1</v>
      </c>
    </row>
    <row r="98" spans="1:16" x14ac:dyDescent="0.3">
      <c r="A98" s="134" t="s">
        <v>1346</v>
      </c>
      <c r="C98" s="125" t="s">
        <v>1392</v>
      </c>
      <c r="D98" s="127" t="s">
        <v>101</v>
      </c>
      <c r="E98" s="134">
        <v>35</v>
      </c>
      <c r="F98" s="73" t="s">
        <v>29</v>
      </c>
      <c r="G98" s="134" t="s">
        <v>342</v>
      </c>
      <c r="H98" s="134" t="s">
        <v>342</v>
      </c>
      <c r="I98" s="134"/>
      <c r="J98" s="134" t="s">
        <v>463</v>
      </c>
      <c r="K98" s="134" t="s">
        <v>174</v>
      </c>
      <c r="L98" s="134" t="s">
        <v>315</v>
      </c>
      <c r="M98" s="135" t="b">
        <v>1</v>
      </c>
      <c r="N98" s="135" t="b">
        <v>1</v>
      </c>
      <c r="O98" s="135" t="b">
        <v>1</v>
      </c>
      <c r="P98" s="135" t="b">
        <v>1</v>
      </c>
    </row>
    <row r="99" spans="1:16" ht="13.15" customHeight="1" x14ac:dyDescent="0.3">
      <c r="A99" s="134" t="s">
        <v>1346</v>
      </c>
      <c r="C99" s="125" t="s">
        <v>1393</v>
      </c>
      <c r="D99" s="127" t="s">
        <v>29</v>
      </c>
      <c r="E99" s="134">
        <v>1</v>
      </c>
      <c r="F99" s="73" t="s">
        <v>29</v>
      </c>
      <c r="G99" s="134" t="s">
        <v>342</v>
      </c>
      <c r="H99" s="134" t="s">
        <v>342</v>
      </c>
      <c r="I99" s="134"/>
      <c r="J99" s="134" t="s">
        <v>463</v>
      </c>
      <c r="K99" s="134" t="s">
        <v>174</v>
      </c>
      <c r="L99" s="134" t="s">
        <v>315</v>
      </c>
      <c r="M99" s="135" t="b">
        <v>1</v>
      </c>
      <c r="N99" s="135" t="b">
        <v>1</v>
      </c>
      <c r="O99" s="135" t="b">
        <v>1</v>
      </c>
      <c r="P99" s="135" t="b">
        <v>1</v>
      </c>
    </row>
    <row r="100" spans="1:16" ht="13" customHeight="1" x14ac:dyDescent="0.35">
      <c r="A100" s="134" t="s">
        <v>1346</v>
      </c>
      <c r="B100" s="125">
        <v>100424</v>
      </c>
      <c r="C100" s="125" t="s">
        <v>1346</v>
      </c>
      <c r="D100" s="134" t="s">
        <v>35</v>
      </c>
      <c r="E100"/>
      <c r="F100" s="73"/>
      <c r="G100" s="134" t="s">
        <v>342</v>
      </c>
      <c r="H100" s="134" t="s">
        <v>342</v>
      </c>
      <c r="I100" s="134"/>
      <c r="J100" s="134" t="s">
        <v>463</v>
      </c>
      <c r="K100" s="134" t="s">
        <v>174</v>
      </c>
      <c r="L100" s="134" t="s">
        <v>315</v>
      </c>
      <c r="M100" s="135" t="b">
        <v>1</v>
      </c>
      <c r="N100" s="135" t="b">
        <v>1</v>
      </c>
      <c r="O100" s="135" t="b">
        <v>1</v>
      </c>
      <c r="P100" s="135" t="b">
        <v>1</v>
      </c>
    </row>
    <row r="101" spans="1:16" x14ac:dyDescent="0.3">
      <c r="A101" s="134" t="s">
        <v>922</v>
      </c>
      <c r="C101" s="125" t="s">
        <v>1002</v>
      </c>
      <c r="D101" s="134" t="s">
        <v>557</v>
      </c>
      <c r="E101" s="134">
        <v>500</v>
      </c>
      <c r="F101" s="73" t="s">
        <v>102</v>
      </c>
      <c r="G101" s="134" t="s">
        <v>342</v>
      </c>
      <c r="H101" s="134" t="s">
        <v>342</v>
      </c>
      <c r="I101" s="134"/>
      <c r="J101" s="134"/>
      <c r="K101" s="134" t="s">
        <v>175</v>
      </c>
      <c r="L101" s="134" t="s">
        <v>315</v>
      </c>
      <c r="M101" s="135" t="b">
        <v>1</v>
      </c>
      <c r="N101" s="135" t="b">
        <v>1</v>
      </c>
      <c r="O101" s="135" t="b">
        <v>0</v>
      </c>
      <c r="P101" s="135" t="b">
        <v>0</v>
      </c>
    </row>
    <row r="102" spans="1:16" x14ac:dyDescent="0.3">
      <c r="A102" s="134" t="s">
        <v>922</v>
      </c>
      <c r="C102" s="125" t="s">
        <v>1003</v>
      </c>
      <c r="D102" s="134" t="s">
        <v>101</v>
      </c>
      <c r="E102" s="134">
        <v>50</v>
      </c>
      <c r="F102" s="73" t="s">
        <v>102</v>
      </c>
      <c r="G102" s="134" t="s">
        <v>342</v>
      </c>
      <c r="H102" s="134" t="s">
        <v>342</v>
      </c>
      <c r="I102" s="134"/>
      <c r="J102" s="134"/>
      <c r="K102" s="134" t="s">
        <v>175</v>
      </c>
      <c r="L102" s="134" t="s">
        <v>315</v>
      </c>
      <c r="M102" s="135" t="b">
        <v>1</v>
      </c>
      <c r="N102" s="135" t="b">
        <v>1</v>
      </c>
      <c r="O102" s="135" t="b">
        <v>0</v>
      </c>
      <c r="P102" s="135" t="b">
        <v>0</v>
      </c>
    </row>
    <row r="103" spans="1:16" x14ac:dyDescent="0.3">
      <c r="A103" s="134" t="s">
        <v>922</v>
      </c>
      <c r="C103" s="125" t="s">
        <v>1004</v>
      </c>
      <c r="D103" s="134" t="s">
        <v>102</v>
      </c>
      <c r="E103" s="134">
        <v>1</v>
      </c>
      <c r="F103" s="73" t="s">
        <v>102</v>
      </c>
      <c r="G103" s="134" t="s">
        <v>342</v>
      </c>
      <c r="H103" s="134" t="s">
        <v>342</v>
      </c>
      <c r="I103" s="134"/>
      <c r="J103" s="134"/>
      <c r="K103" s="134" t="s">
        <v>175</v>
      </c>
      <c r="L103" s="134" t="s">
        <v>315</v>
      </c>
      <c r="M103" s="135" t="b">
        <v>1</v>
      </c>
      <c r="N103" s="135" t="b">
        <v>1</v>
      </c>
      <c r="O103" s="135" t="b">
        <v>0</v>
      </c>
      <c r="P103" s="135" t="b">
        <v>0</v>
      </c>
    </row>
    <row r="104" spans="1:16" x14ac:dyDescent="0.3">
      <c r="A104" s="134" t="s">
        <v>922</v>
      </c>
      <c r="B104" s="125">
        <v>100356</v>
      </c>
      <c r="C104" s="125" t="s">
        <v>922</v>
      </c>
      <c r="D104" s="134" t="s">
        <v>67</v>
      </c>
      <c r="E104" s="134"/>
      <c r="F104" s="73"/>
      <c r="G104" s="134" t="s">
        <v>342</v>
      </c>
      <c r="H104" s="134" t="s">
        <v>342</v>
      </c>
      <c r="I104" s="134"/>
      <c r="J104" s="134"/>
      <c r="K104" s="134" t="s">
        <v>175</v>
      </c>
      <c r="L104" s="134" t="s">
        <v>315</v>
      </c>
      <c r="M104" s="135" t="b">
        <v>1</v>
      </c>
      <c r="N104" s="135" t="b">
        <v>1</v>
      </c>
      <c r="O104" s="135" t="b">
        <v>0</v>
      </c>
      <c r="P104" s="135" t="b">
        <v>0</v>
      </c>
    </row>
    <row r="105" spans="1:16" ht="14" x14ac:dyDescent="0.3">
      <c r="A105" s="134" t="s">
        <v>3</v>
      </c>
      <c r="C105" s="125" t="s">
        <v>1174</v>
      </c>
      <c r="D105" s="134" t="s">
        <v>103</v>
      </c>
      <c r="E105" s="138">
        <v>1000</v>
      </c>
      <c r="F105" s="73" t="s">
        <v>102</v>
      </c>
      <c r="G105" s="134" t="s">
        <v>341</v>
      </c>
      <c r="H105" s="134" t="s">
        <v>341</v>
      </c>
      <c r="I105" s="134"/>
      <c r="J105" s="134" t="s">
        <v>463</v>
      </c>
      <c r="K105" s="134" t="s">
        <v>175</v>
      </c>
      <c r="L105" s="134" t="s">
        <v>315</v>
      </c>
      <c r="M105" s="135" t="s">
        <v>1193</v>
      </c>
      <c r="N105" s="135" t="s">
        <v>1193</v>
      </c>
      <c r="O105" s="135" t="s">
        <v>1193</v>
      </c>
      <c r="P105" s="135" t="s">
        <v>1193</v>
      </c>
    </row>
    <row r="106" spans="1:16" ht="14" x14ac:dyDescent="0.3">
      <c r="A106" s="134" t="s">
        <v>3</v>
      </c>
      <c r="C106" s="125" t="s">
        <v>1175</v>
      </c>
      <c r="D106" s="134" t="s">
        <v>969</v>
      </c>
      <c r="E106" s="138">
        <v>50</v>
      </c>
      <c r="F106" s="73" t="s">
        <v>102</v>
      </c>
      <c r="G106" s="134" t="s">
        <v>341</v>
      </c>
      <c r="H106" s="134" t="s">
        <v>341</v>
      </c>
      <c r="I106" s="134"/>
      <c r="J106" s="134" t="s">
        <v>463</v>
      </c>
      <c r="K106" s="134" t="s">
        <v>175</v>
      </c>
      <c r="L106" s="134" t="s">
        <v>315</v>
      </c>
      <c r="M106" s="135" t="s">
        <v>1193</v>
      </c>
      <c r="N106" s="135" t="s">
        <v>1193</v>
      </c>
      <c r="O106" s="135" t="s">
        <v>1193</v>
      </c>
      <c r="P106" s="135" t="s">
        <v>1193</v>
      </c>
    </row>
    <row r="107" spans="1:16" ht="14" x14ac:dyDescent="0.3">
      <c r="A107" s="134" t="s">
        <v>3</v>
      </c>
      <c r="C107" s="125" t="s">
        <v>1176</v>
      </c>
      <c r="D107" s="134" t="s">
        <v>102</v>
      </c>
      <c r="E107" s="138">
        <v>1</v>
      </c>
      <c r="F107" s="73" t="s">
        <v>102</v>
      </c>
      <c r="G107" s="134" t="s">
        <v>341</v>
      </c>
      <c r="H107" s="134" t="s">
        <v>341</v>
      </c>
      <c r="I107" s="134"/>
      <c r="J107" s="134" t="s">
        <v>463</v>
      </c>
      <c r="K107" s="134" t="s">
        <v>175</v>
      </c>
      <c r="L107" s="134" t="s">
        <v>315</v>
      </c>
      <c r="M107" s="135" t="s">
        <v>1193</v>
      </c>
      <c r="N107" s="135" t="s">
        <v>1193</v>
      </c>
      <c r="O107" s="135" t="s">
        <v>1193</v>
      </c>
      <c r="P107" s="135" t="s">
        <v>1193</v>
      </c>
    </row>
    <row r="108" spans="1:16" ht="13" customHeight="1" x14ac:dyDescent="0.35">
      <c r="A108" s="134" t="s">
        <v>3</v>
      </c>
      <c r="B108" s="125" t="s">
        <v>1177</v>
      </c>
      <c r="C108" s="125" t="s">
        <v>3</v>
      </c>
      <c r="D108" s="134" t="s">
        <v>67</v>
      </c>
      <c r="E108"/>
      <c r="F108" s="73"/>
      <c r="G108" s="134" t="s">
        <v>341</v>
      </c>
      <c r="H108" s="134" t="s">
        <v>341</v>
      </c>
      <c r="I108" s="134"/>
      <c r="J108" s="134" t="s">
        <v>463</v>
      </c>
      <c r="K108" s="134" t="s">
        <v>175</v>
      </c>
      <c r="L108" s="134" t="s">
        <v>315</v>
      </c>
      <c r="M108" s="135" t="s">
        <v>1193</v>
      </c>
      <c r="N108" s="135" t="s">
        <v>1193</v>
      </c>
      <c r="O108" s="135" t="s">
        <v>1193</v>
      </c>
      <c r="P108" s="135" t="s">
        <v>1193</v>
      </c>
    </row>
    <row r="109" spans="1:16" x14ac:dyDescent="0.3">
      <c r="A109" s="134" t="s">
        <v>923</v>
      </c>
      <c r="C109" s="125" t="s">
        <v>1005</v>
      </c>
      <c r="D109" s="134" t="s">
        <v>557</v>
      </c>
      <c r="E109" s="134"/>
      <c r="F109" s="73" t="s">
        <v>102</v>
      </c>
      <c r="G109" s="134" t="s">
        <v>341</v>
      </c>
      <c r="H109" s="134" t="s">
        <v>341</v>
      </c>
      <c r="I109" s="134"/>
      <c r="J109" s="134"/>
      <c r="K109" s="134" t="s">
        <v>175</v>
      </c>
      <c r="L109" s="134" t="s">
        <v>623</v>
      </c>
      <c r="M109" s="135" t="s">
        <v>1193</v>
      </c>
      <c r="N109" s="135" t="s">
        <v>1193</v>
      </c>
      <c r="O109" s="135" t="s">
        <v>1193</v>
      </c>
      <c r="P109" s="135" t="s">
        <v>1193</v>
      </c>
    </row>
    <row r="110" spans="1:16" x14ac:dyDescent="0.3">
      <c r="A110" s="134" t="s">
        <v>923</v>
      </c>
      <c r="C110" s="125" t="s">
        <v>1006</v>
      </c>
      <c r="D110" s="134" t="s">
        <v>101</v>
      </c>
      <c r="E110" s="134">
        <v>12</v>
      </c>
      <c r="F110" s="73" t="s">
        <v>102</v>
      </c>
      <c r="G110" s="134" t="s">
        <v>342</v>
      </c>
      <c r="H110" s="134" t="s">
        <v>342</v>
      </c>
      <c r="I110" s="134"/>
      <c r="J110" s="134"/>
      <c r="K110" s="134" t="s">
        <v>175</v>
      </c>
      <c r="L110" s="134" t="s">
        <v>623</v>
      </c>
      <c r="M110" s="135" t="s">
        <v>1193</v>
      </c>
      <c r="N110" s="135" t="s">
        <v>1193</v>
      </c>
      <c r="O110" s="135" t="s">
        <v>1193</v>
      </c>
      <c r="P110" s="135" t="s">
        <v>1193</v>
      </c>
    </row>
    <row r="111" spans="1:16" x14ac:dyDescent="0.3">
      <c r="A111" s="134" t="s">
        <v>923</v>
      </c>
      <c r="C111" s="125" t="s">
        <v>1007</v>
      </c>
      <c r="D111" s="134" t="s">
        <v>102</v>
      </c>
      <c r="E111" s="134">
        <v>1</v>
      </c>
      <c r="F111" s="73" t="s">
        <v>102</v>
      </c>
      <c r="G111" s="134" t="s">
        <v>342</v>
      </c>
      <c r="H111" s="134" t="s">
        <v>342</v>
      </c>
      <c r="I111" s="134"/>
      <c r="J111" s="134"/>
      <c r="K111" s="134" t="s">
        <v>175</v>
      </c>
      <c r="L111" s="134" t="s">
        <v>623</v>
      </c>
      <c r="M111" s="135" t="s">
        <v>1193</v>
      </c>
      <c r="N111" s="135" t="s">
        <v>1193</v>
      </c>
      <c r="O111" s="135" t="s">
        <v>1193</v>
      </c>
      <c r="P111" s="135" t="s">
        <v>1193</v>
      </c>
    </row>
    <row r="112" spans="1:16" x14ac:dyDescent="0.3">
      <c r="A112" s="134" t="s">
        <v>923</v>
      </c>
      <c r="B112" s="125">
        <v>100372</v>
      </c>
      <c r="C112" s="125" t="s">
        <v>923</v>
      </c>
      <c r="D112" s="134" t="s">
        <v>67</v>
      </c>
      <c r="E112" s="134"/>
      <c r="F112" s="73"/>
      <c r="G112" s="134" t="s">
        <v>342</v>
      </c>
      <c r="H112" s="134" t="s">
        <v>342</v>
      </c>
      <c r="I112" s="134"/>
      <c r="J112" s="134"/>
      <c r="K112" s="134" t="s">
        <v>175</v>
      </c>
      <c r="L112" s="134" t="s">
        <v>623</v>
      </c>
      <c r="M112" s="135" t="s">
        <v>1193</v>
      </c>
      <c r="N112" s="135" t="s">
        <v>1193</v>
      </c>
      <c r="O112" s="135" t="s">
        <v>1193</v>
      </c>
      <c r="P112" s="135" t="s">
        <v>1193</v>
      </c>
    </row>
    <row r="113" spans="1:16" x14ac:dyDescent="0.3">
      <c r="A113" s="134" t="s">
        <v>606</v>
      </c>
      <c r="C113" s="127" t="s">
        <v>604</v>
      </c>
      <c r="D113" s="127" t="s">
        <v>568</v>
      </c>
      <c r="E113" s="127">
        <v>1</v>
      </c>
      <c r="F113" s="125" t="s">
        <v>102</v>
      </c>
      <c r="G113" s="134" t="s">
        <v>342</v>
      </c>
      <c r="H113" s="134" t="s">
        <v>342</v>
      </c>
      <c r="I113" s="134"/>
      <c r="J113" s="134" t="s">
        <v>463</v>
      </c>
      <c r="K113" s="134" t="s">
        <v>175</v>
      </c>
      <c r="L113" s="134" t="s">
        <v>623</v>
      </c>
      <c r="M113" s="135" t="s">
        <v>1193</v>
      </c>
      <c r="N113" s="135" t="s">
        <v>1193</v>
      </c>
      <c r="O113" s="135" t="s">
        <v>1193</v>
      </c>
      <c r="P113" s="135" t="s">
        <v>1193</v>
      </c>
    </row>
    <row r="114" spans="1:16" x14ac:dyDescent="0.3">
      <c r="A114" s="134" t="s">
        <v>606</v>
      </c>
      <c r="B114" s="125" t="s">
        <v>605</v>
      </c>
      <c r="C114" s="139" t="s">
        <v>606</v>
      </c>
      <c r="D114" s="140" t="s">
        <v>67</v>
      </c>
      <c r="F114" s="139"/>
      <c r="G114" s="134" t="s">
        <v>342</v>
      </c>
      <c r="H114" s="134" t="s">
        <v>342</v>
      </c>
      <c r="I114" s="134"/>
      <c r="J114" s="134" t="s">
        <v>463</v>
      </c>
      <c r="K114" s="134" t="s">
        <v>175</v>
      </c>
      <c r="L114" s="134" t="s">
        <v>623</v>
      </c>
      <c r="M114" s="135" t="s">
        <v>1193</v>
      </c>
      <c r="N114" s="135" t="s">
        <v>1193</v>
      </c>
      <c r="O114" s="135" t="s">
        <v>1193</v>
      </c>
      <c r="P114" s="135" t="s">
        <v>1193</v>
      </c>
    </row>
    <row r="115" spans="1:16" x14ac:dyDescent="0.3">
      <c r="A115" s="134" t="s">
        <v>348</v>
      </c>
      <c r="B115" s="128"/>
      <c r="C115" s="134" t="s">
        <v>376</v>
      </c>
      <c r="D115" s="134" t="s">
        <v>103</v>
      </c>
      <c r="E115" s="134">
        <v>6000</v>
      </c>
      <c r="F115" s="134" t="s">
        <v>102</v>
      </c>
      <c r="G115" s="134" t="s">
        <v>341</v>
      </c>
      <c r="H115" s="134" t="s">
        <v>341</v>
      </c>
      <c r="I115" s="134"/>
      <c r="J115" s="134" t="s">
        <v>463</v>
      </c>
      <c r="K115" s="134" t="s">
        <v>175</v>
      </c>
      <c r="L115" s="134" t="s">
        <v>315</v>
      </c>
      <c r="M115" s="135" t="b">
        <v>1</v>
      </c>
      <c r="N115" s="135" t="b">
        <v>1</v>
      </c>
      <c r="O115" s="135" t="b">
        <v>0</v>
      </c>
      <c r="P115" s="135" t="b">
        <v>0</v>
      </c>
    </row>
    <row r="116" spans="1:16" x14ac:dyDescent="0.3">
      <c r="A116" s="134" t="s">
        <v>348</v>
      </c>
      <c r="B116" s="128"/>
      <c r="C116" s="134" t="s">
        <v>377</v>
      </c>
      <c r="D116" s="134" t="s">
        <v>101</v>
      </c>
      <c r="E116" s="134">
        <v>500</v>
      </c>
      <c r="F116" s="134" t="s">
        <v>102</v>
      </c>
      <c r="G116" s="134" t="s">
        <v>341</v>
      </c>
      <c r="H116" s="134" t="s">
        <v>341</v>
      </c>
      <c r="I116" s="134"/>
      <c r="J116" s="134" t="s">
        <v>463</v>
      </c>
      <c r="K116" s="134" t="s">
        <v>175</v>
      </c>
      <c r="L116" s="134" t="s">
        <v>315</v>
      </c>
      <c r="M116" s="135" t="b">
        <v>1</v>
      </c>
      <c r="N116" s="135" t="b">
        <v>1</v>
      </c>
      <c r="O116" s="135" t="b">
        <v>0</v>
      </c>
      <c r="P116" s="135" t="b">
        <v>0</v>
      </c>
    </row>
    <row r="117" spans="1:16" x14ac:dyDescent="0.3">
      <c r="A117" s="134" t="s">
        <v>348</v>
      </c>
      <c r="B117" s="128"/>
      <c r="C117" s="134" t="s">
        <v>378</v>
      </c>
      <c r="D117" s="134" t="s">
        <v>102</v>
      </c>
      <c r="E117" s="134">
        <v>1</v>
      </c>
      <c r="F117" s="134" t="s">
        <v>102</v>
      </c>
      <c r="G117" s="134" t="s">
        <v>341</v>
      </c>
      <c r="H117" s="134" t="s">
        <v>341</v>
      </c>
      <c r="I117" s="134"/>
      <c r="J117" s="134" t="s">
        <v>463</v>
      </c>
      <c r="K117" s="134" t="s">
        <v>175</v>
      </c>
      <c r="L117" s="134" t="s">
        <v>315</v>
      </c>
      <c r="M117" s="135" t="b">
        <v>1</v>
      </c>
      <c r="N117" s="135" t="b">
        <v>1</v>
      </c>
      <c r="O117" s="135" t="b">
        <v>0</v>
      </c>
      <c r="P117" s="135" t="b">
        <v>0</v>
      </c>
    </row>
    <row r="118" spans="1:16" x14ac:dyDescent="0.3">
      <c r="A118" s="134" t="s">
        <v>348</v>
      </c>
      <c r="B118" s="125">
        <v>100321</v>
      </c>
      <c r="C118" s="125" t="s">
        <v>348</v>
      </c>
      <c r="D118" s="137" t="s">
        <v>67</v>
      </c>
      <c r="E118" s="134"/>
      <c r="F118" s="134"/>
      <c r="G118" s="134" t="s">
        <v>341</v>
      </c>
      <c r="H118" s="134" t="s">
        <v>341</v>
      </c>
      <c r="I118" s="134"/>
      <c r="J118" s="134" t="s">
        <v>463</v>
      </c>
      <c r="K118" s="134" t="s">
        <v>175</v>
      </c>
      <c r="L118" s="134" t="s">
        <v>315</v>
      </c>
      <c r="M118" s="135" t="b">
        <v>1</v>
      </c>
      <c r="N118" s="135" t="b">
        <v>1</v>
      </c>
      <c r="O118" s="135" t="b">
        <v>0</v>
      </c>
      <c r="P118" s="135" t="b">
        <v>0</v>
      </c>
    </row>
    <row r="119" spans="1:16" x14ac:dyDescent="0.3">
      <c r="A119" s="134" t="s">
        <v>919</v>
      </c>
      <c r="C119" s="125" t="s">
        <v>996</v>
      </c>
      <c r="D119" s="134" t="s">
        <v>557</v>
      </c>
      <c r="E119" s="134">
        <v>500</v>
      </c>
      <c r="F119" s="73" t="s">
        <v>102</v>
      </c>
      <c r="G119" s="134" t="s">
        <v>342</v>
      </c>
      <c r="H119" s="134" t="s">
        <v>342</v>
      </c>
      <c r="I119" s="134"/>
      <c r="J119" s="134"/>
      <c r="K119" s="134" t="s">
        <v>175</v>
      </c>
      <c r="L119" s="134" t="s">
        <v>315</v>
      </c>
      <c r="M119" s="135" t="b">
        <v>1</v>
      </c>
      <c r="N119" s="135" t="b">
        <v>1</v>
      </c>
      <c r="O119" s="135" t="b">
        <v>0</v>
      </c>
      <c r="P119" s="135" t="b">
        <v>0</v>
      </c>
    </row>
    <row r="120" spans="1:16" x14ac:dyDescent="0.3">
      <c r="A120" s="134" t="s">
        <v>919</v>
      </c>
      <c r="C120" s="125" t="s">
        <v>997</v>
      </c>
      <c r="D120" s="134" t="s">
        <v>101</v>
      </c>
      <c r="E120" s="134">
        <v>50</v>
      </c>
      <c r="F120" s="73" t="s">
        <v>102</v>
      </c>
      <c r="G120" s="134" t="s">
        <v>342</v>
      </c>
      <c r="H120" s="134" t="s">
        <v>342</v>
      </c>
      <c r="I120" s="134"/>
      <c r="J120" s="134"/>
      <c r="K120" s="134" t="s">
        <v>175</v>
      </c>
      <c r="L120" s="134" t="s">
        <v>315</v>
      </c>
      <c r="M120" s="135" t="b">
        <v>1</v>
      </c>
      <c r="N120" s="135" t="b">
        <v>1</v>
      </c>
      <c r="O120" s="135" t="b">
        <v>0</v>
      </c>
      <c r="P120" s="135" t="b">
        <v>0</v>
      </c>
    </row>
    <row r="121" spans="1:16" x14ac:dyDescent="0.3">
      <c r="A121" s="134" t="s">
        <v>919</v>
      </c>
      <c r="C121" s="125" t="s">
        <v>998</v>
      </c>
      <c r="D121" s="134" t="s">
        <v>102</v>
      </c>
      <c r="E121" s="134">
        <v>1</v>
      </c>
      <c r="F121" s="73" t="s">
        <v>102</v>
      </c>
      <c r="G121" s="134" t="s">
        <v>342</v>
      </c>
      <c r="H121" s="134" t="s">
        <v>342</v>
      </c>
      <c r="I121" s="134"/>
      <c r="J121" s="134"/>
      <c r="K121" s="134" t="s">
        <v>175</v>
      </c>
      <c r="L121" s="134" t="s">
        <v>315</v>
      </c>
      <c r="M121" s="135" t="b">
        <v>1</v>
      </c>
      <c r="N121" s="135" t="b">
        <v>1</v>
      </c>
      <c r="O121" s="135" t="b">
        <v>0</v>
      </c>
      <c r="P121" s="135" t="b">
        <v>0</v>
      </c>
    </row>
    <row r="122" spans="1:16" x14ac:dyDescent="0.3">
      <c r="A122" s="134" t="s">
        <v>919</v>
      </c>
      <c r="B122" s="125">
        <v>100370</v>
      </c>
      <c r="C122" s="125" t="s">
        <v>919</v>
      </c>
      <c r="D122" s="134" t="s">
        <v>67</v>
      </c>
      <c r="E122" s="134"/>
      <c r="F122" s="73"/>
      <c r="G122" s="134" t="s">
        <v>342</v>
      </c>
      <c r="H122" s="134" t="s">
        <v>342</v>
      </c>
      <c r="I122" s="134"/>
      <c r="J122" s="134"/>
      <c r="K122" s="134" t="s">
        <v>175</v>
      </c>
      <c r="L122" s="134" t="s">
        <v>315</v>
      </c>
      <c r="M122" s="135" t="b">
        <v>1</v>
      </c>
      <c r="N122" s="135" t="b">
        <v>1</v>
      </c>
      <c r="O122" s="135" t="b">
        <v>0</v>
      </c>
      <c r="P122" s="135" t="b">
        <v>0</v>
      </c>
    </row>
    <row r="123" spans="1:16" x14ac:dyDescent="0.3">
      <c r="A123" s="134" t="s">
        <v>497</v>
      </c>
      <c r="B123" s="128"/>
      <c r="C123" s="134" t="s">
        <v>516</v>
      </c>
      <c r="D123" s="134" t="s">
        <v>125</v>
      </c>
      <c r="E123" s="127">
        <v>1000</v>
      </c>
      <c r="F123" s="73" t="s">
        <v>29</v>
      </c>
      <c r="G123" s="134" t="s">
        <v>342</v>
      </c>
      <c r="H123" s="134" t="s">
        <v>342</v>
      </c>
      <c r="I123" s="134"/>
      <c r="J123" s="134" t="s">
        <v>463</v>
      </c>
      <c r="K123" s="134" t="s">
        <v>174</v>
      </c>
      <c r="L123" s="134" t="s">
        <v>315</v>
      </c>
      <c r="M123" s="135" t="b">
        <v>1</v>
      </c>
      <c r="N123" s="135" t="b">
        <v>1</v>
      </c>
      <c r="O123" s="135" t="b">
        <v>1</v>
      </c>
      <c r="P123" s="135" t="b">
        <v>1</v>
      </c>
    </row>
    <row r="124" spans="1:16" x14ac:dyDescent="0.3">
      <c r="A124" s="134" t="s">
        <v>497</v>
      </c>
      <c r="B124" s="128"/>
      <c r="C124" s="134" t="s">
        <v>967</v>
      </c>
      <c r="D124" s="134" t="s">
        <v>29</v>
      </c>
      <c r="E124" s="127">
        <v>1</v>
      </c>
      <c r="F124" s="73" t="s">
        <v>29</v>
      </c>
      <c r="G124" s="134" t="s">
        <v>342</v>
      </c>
      <c r="H124" s="134" t="s">
        <v>342</v>
      </c>
      <c r="I124" s="134"/>
      <c r="J124" s="134" t="s">
        <v>463</v>
      </c>
      <c r="K124" s="134" t="s">
        <v>174</v>
      </c>
      <c r="L124" s="134" t="s">
        <v>315</v>
      </c>
      <c r="M124" s="135" t="b">
        <v>1</v>
      </c>
      <c r="N124" s="135" t="b">
        <v>1</v>
      </c>
      <c r="O124" s="135" t="b">
        <v>1</v>
      </c>
      <c r="P124" s="135" t="b">
        <v>1</v>
      </c>
    </row>
    <row r="125" spans="1:16" x14ac:dyDescent="0.3">
      <c r="A125" s="134" t="s">
        <v>497</v>
      </c>
      <c r="B125" s="125">
        <v>100352</v>
      </c>
      <c r="C125" s="125" t="s">
        <v>497</v>
      </c>
      <c r="D125" s="127" t="s">
        <v>35</v>
      </c>
      <c r="F125" s="73"/>
      <c r="G125" s="134" t="s">
        <v>342</v>
      </c>
      <c r="H125" s="134" t="s">
        <v>342</v>
      </c>
      <c r="I125" s="134"/>
      <c r="J125" s="134" t="s">
        <v>463</v>
      </c>
      <c r="K125" s="134" t="s">
        <v>174</v>
      </c>
      <c r="L125" s="134" t="s">
        <v>315</v>
      </c>
      <c r="M125" s="135" t="b">
        <v>1</v>
      </c>
      <c r="N125" s="135" t="b">
        <v>1</v>
      </c>
      <c r="O125" s="135" t="b">
        <v>1</v>
      </c>
      <c r="P125" s="135" t="b">
        <v>1</v>
      </c>
    </row>
    <row r="126" spans="1:16" ht="14" x14ac:dyDescent="0.3">
      <c r="A126" s="134" t="s">
        <v>1168</v>
      </c>
      <c r="C126" s="125" t="s">
        <v>1165</v>
      </c>
      <c r="D126" s="134" t="s">
        <v>103</v>
      </c>
      <c r="E126" s="138">
        <v>5400</v>
      </c>
      <c r="F126" s="73" t="s">
        <v>29</v>
      </c>
      <c r="G126" s="134" t="s">
        <v>342</v>
      </c>
      <c r="H126" s="134" t="s">
        <v>342</v>
      </c>
      <c r="I126" s="134"/>
      <c r="J126" s="134" t="s">
        <v>463</v>
      </c>
      <c r="K126" s="134" t="s">
        <v>174</v>
      </c>
      <c r="L126" s="134" t="s">
        <v>315</v>
      </c>
      <c r="M126" s="135" t="b">
        <v>1</v>
      </c>
      <c r="N126" s="135" t="b">
        <v>0</v>
      </c>
      <c r="O126" s="135" t="b">
        <v>1</v>
      </c>
      <c r="P126" s="135" t="b">
        <v>0</v>
      </c>
    </row>
    <row r="127" spans="1:16" ht="14" x14ac:dyDescent="0.3">
      <c r="A127" s="134" t="s">
        <v>1168</v>
      </c>
      <c r="C127" s="125" t="s">
        <v>1166</v>
      </c>
      <c r="D127" s="134" t="s">
        <v>102</v>
      </c>
      <c r="E127" s="138">
        <v>9</v>
      </c>
      <c r="F127" s="73" t="s">
        <v>29</v>
      </c>
      <c r="G127" s="134" t="s">
        <v>342</v>
      </c>
      <c r="H127" s="134" t="s">
        <v>342</v>
      </c>
      <c r="I127" s="134"/>
      <c r="J127" s="134" t="s">
        <v>463</v>
      </c>
      <c r="K127" s="134" t="s">
        <v>174</v>
      </c>
      <c r="L127" s="134" t="s">
        <v>315</v>
      </c>
      <c r="M127" s="135" t="b">
        <v>1</v>
      </c>
      <c r="N127" s="135" t="b">
        <v>0</v>
      </c>
      <c r="O127" s="135" t="b">
        <v>1</v>
      </c>
      <c r="P127" s="135" t="b">
        <v>0</v>
      </c>
    </row>
    <row r="128" spans="1:16" ht="14" x14ac:dyDescent="0.3">
      <c r="A128" s="134" t="s">
        <v>1168</v>
      </c>
      <c r="B128" s="125">
        <v>100228</v>
      </c>
      <c r="C128" s="125" t="s">
        <v>1168</v>
      </c>
      <c r="D128" s="134" t="s">
        <v>35</v>
      </c>
      <c r="E128" s="138"/>
      <c r="F128" s="73"/>
      <c r="G128" s="134" t="s">
        <v>342</v>
      </c>
      <c r="H128" s="134" t="s">
        <v>342</v>
      </c>
      <c r="I128" s="134"/>
      <c r="J128" s="134" t="s">
        <v>463</v>
      </c>
      <c r="K128" s="134" t="s">
        <v>174</v>
      </c>
      <c r="L128" s="134" t="s">
        <v>315</v>
      </c>
      <c r="M128" s="135" t="b">
        <v>1</v>
      </c>
      <c r="N128" s="135" t="b">
        <v>0</v>
      </c>
      <c r="O128" s="135" t="b">
        <v>1</v>
      </c>
      <c r="P128" s="135" t="b">
        <v>0</v>
      </c>
    </row>
    <row r="129" spans="1:16" x14ac:dyDescent="0.3">
      <c r="A129" s="134" t="s">
        <v>613</v>
      </c>
      <c r="C129" s="127" t="s">
        <v>612</v>
      </c>
      <c r="D129" s="127" t="s">
        <v>517</v>
      </c>
      <c r="E129" s="127">
        <v>1</v>
      </c>
      <c r="F129" s="127" t="s">
        <v>125</v>
      </c>
      <c r="G129" s="134" t="s">
        <v>342</v>
      </c>
      <c r="H129" s="134" t="s">
        <v>342</v>
      </c>
      <c r="I129" s="134"/>
      <c r="J129" s="134" t="s">
        <v>463</v>
      </c>
      <c r="K129" s="134" t="s">
        <v>622</v>
      </c>
      <c r="L129" s="134" t="s">
        <v>623</v>
      </c>
      <c r="M129" s="135" t="s">
        <v>1193</v>
      </c>
      <c r="N129" s="135" t="s">
        <v>1193</v>
      </c>
      <c r="O129" s="135" t="s">
        <v>1193</v>
      </c>
      <c r="P129" s="135" t="s">
        <v>1193</v>
      </c>
    </row>
    <row r="130" spans="1:16" x14ac:dyDescent="0.3">
      <c r="A130" s="134" t="s">
        <v>613</v>
      </c>
      <c r="B130" s="125">
        <v>410105</v>
      </c>
      <c r="C130" s="127" t="s">
        <v>613</v>
      </c>
      <c r="D130" s="140" t="s">
        <v>147</v>
      </c>
      <c r="G130" s="134" t="s">
        <v>342</v>
      </c>
      <c r="H130" s="134" t="s">
        <v>342</v>
      </c>
      <c r="I130" s="134"/>
      <c r="J130" s="134" t="s">
        <v>463</v>
      </c>
      <c r="K130" s="134" t="s">
        <v>622</v>
      </c>
      <c r="L130" s="134" t="s">
        <v>623</v>
      </c>
      <c r="M130" s="135" t="s">
        <v>1193</v>
      </c>
      <c r="N130" s="135" t="s">
        <v>1193</v>
      </c>
      <c r="O130" s="135" t="s">
        <v>1193</v>
      </c>
      <c r="P130" s="135" t="s">
        <v>1193</v>
      </c>
    </row>
    <row r="131" spans="1:16" x14ac:dyDescent="0.3">
      <c r="A131" s="134" t="s">
        <v>1306</v>
      </c>
      <c r="C131" s="127" t="s">
        <v>128</v>
      </c>
      <c r="D131" s="127" t="s">
        <v>29</v>
      </c>
      <c r="E131" s="123">
        <v>0.5</v>
      </c>
      <c r="F131" s="73" t="s">
        <v>29</v>
      </c>
      <c r="G131" s="134" t="s">
        <v>341</v>
      </c>
      <c r="H131" s="134" t="s">
        <v>341</v>
      </c>
      <c r="I131" s="134"/>
      <c r="J131" s="134" t="s">
        <v>463</v>
      </c>
      <c r="K131" s="134" t="s">
        <v>174</v>
      </c>
      <c r="L131" s="134" t="s">
        <v>315</v>
      </c>
      <c r="M131" s="135" t="b">
        <v>1</v>
      </c>
      <c r="N131" s="135" t="b">
        <v>1</v>
      </c>
      <c r="O131" s="135" t="b">
        <v>1</v>
      </c>
      <c r="P131" s="135" t="b">
        <v>1</v>
      </c>
    </row>
    <row r="132" spans="1:16" x14ac:dyDescent="0.3">
      <c r="A132" s="134" t="s">
        <v>1306</v>
      </c>
      <c r="C132" s="127" t="s">
        <v>1164</v>
      </c>
      <c r="D132" s="127" t="s">
        <v>29</v>
      </c>
      <c r="E132" s="130">
        <f>1200/6000</f>
        <v>0.2</v>
      </c>
      <c r="F132" s="75" t="s">
        <v>29</v>
      </c>
      <c r="G132" s="134" t="s">
        <v>342</v>
      </c>
      <c r="H132" s="134" t="s">
        <v>341</v>
      </c>
      <c r="I132" s="134" t="s">
        <v>142</v>
      </c>
      <c r="J132" s="134" t="s">
        <v>457</v>
      </c>
      <c r="K132" s="134" t="s">
        <v>174</v>
      </c>
      <c r="L132" s="134" t="s">
        <v>315</v>
      </c>
      <c r="M132" s="135" t="b">
        <v>1</v>
      </c>
      <c r="N132" s="135" t="b">
        <v>1</v>
      </c>
      <c r="O132" s="135" t="b">
        <v>1</v>
      </c>
      <c r="P132" s="135" t="b">
        <v>1</v>
      </c>
    </row>
    <row r="133" spans="1:16" x14ac:dyDescent="0.3">
      <c r="A133" s="134" t="s">
        <v>1306</v>
      </c>
      <c r="C133" s="127" t="s">
        <v>129</v>
      </c>
      <c r="D133" s="127" t="s">
        <v>29</v>
      </c>
      <c r="E133" s="123">
        <f>300/(600+600+2800)</f>
        <v>7.4999999999999997E-2</v>
      </c>
      <c r="F133" s="75" t="s">
        <v>29</v>
      </c>
      <c r="G133" s="134" t="s">
        <v>341</v>
      </c>
      <c r="H133" s="134" t="s">
        <v>341</v>
      </c>
      <c r="I133" s="134" t="s">
        <v>107</v>
      </c>
      <c r="J133" s="134" t="s">
        <v>457</v>
      </c>
      <c r="K133" s="134" t="s">
        <v>174</v>
      </c>
      <c r="L133" s="134" t="s">
        <v>315</v>
      </c>
      <c r="M133" s="135" t="b">
        <v>1</v>
      </c>
      <c r="N133" s="135" t="b">
        <v>1</v>
      </c>
      <c r="O133" s="135" t="b">
        <v>1</v>
      </c>
      <c r="P133" s="135" t="b">
        <v>1</v>
      </c>
    </row>
    <row r="134" spans="1:16" x14ac:dyDescent="0.3">
      <c r="A134" s="134" t="s">
        <v>1306</v>
      </c>
      <c r="C134" s="127" t="s">
        <v>344</v>
      </c>
      <c r="D134" s="127" t="s">
        <v>29</v>
      </c>
      <c r="E134" s="123">
        <f>300/(600+600+2800)</f>
        <v>7.4999999999999997E-2</v>
      </c>
      <c r="F134" s="75" t="s">
        <v>29</v>
      </c>
      <c r="G134" s="134" t="s">
        <v>341</v>
      </c>
      <c r="H134" s="134" t="s">
        <v>341</v>
      </c>
      <c r="I134" s="134" t="s">
        <v>108</v>
      </c>
      <c r="J134" s="134" t="s">
        <v>457</v>
      </c>
      <c r="K134" s="134" t="s">
        <v>174</v>
      </c>
      <c r="L134" s="134" t="s">
        <v>315</v>
      </c>
      <c r="M134" s="135" t="b">
        <v>1</v>
      </c>
      <c r="N134" s="135" t="b">
        <v>1</v>
      </c>
      <c r="O134" s="135" t="b">
        <v>1</v>
      </c>
      <c r="P134" s="135" t="b">
        <v>1</v>
      </c>
    </row>
    <row r="135" spans="1:16" x14ac:dyDescent="0.3">
      <c r="A135" s="134" t="s">
        <v>1306</v>
      </c>
      <c r="C135" s="127" t="s">
        <v>130</v>
      </c>
      <c r="D135" s="127" t="s">
        <v>29</v>
      </c>
      <c r="E135" s="123">
        <f>(400/(500+800+2700))</f>
        <v>0.1</v>
      </c>
      <c r="F135" s="75" t="s">
        <v>29</v>
      </c>
      <c r="G135" s="134" t="s">
        <v>341</v>
      </c>
      <c r="H135" s="134" t="s">
        <v>341</v>
      </c>
      <c r="I135" s="134" t="s">
        <v>115</v>
      </c>
      <c r="J135" s="134" t="s">
        <v>457</v>
      </c>
      <c r="K135" s="134" t="s">
        <v>174</v>
      </c>
      <c r="L135" s="134" t="s">
        <v>315</v>
      </c>
      <c r="M135" s="135" t="b">
        <v>1</v>
      </c>
      <c r="N135" s="135" t="b">
        <v>1</v>
      </c>
      <c r="O135" s="135" t="b">
        <v>1</v>
      </c>
      <c r="P135" s="135" t="b">
        <v>1</v>
      </c>
    </row>
    <row r="136" spans="1:16" x14ac:dyDescent="0.3">
      <c r="A136" s="134" t="s">
        <v>1306</v>
      </c>
      <c r="C136" s="127" t="s">
        <v>345</v>
      </c>
      <c r="D136" s="127" t="s">
        <v>29</v>
      </c>
      <c r="E136" s="123">
        <f>(400/(500+800+2700))</f>
        <v>0.1</v>
      </c>
      <c r="F136" s="75" t="s">
        <v>29</v>
      </c>
      <c r="G136" s="134" t="s">
        <v>341</v>
      </c>
      <c r="H136" s="134" t="s">
        <v>341</v>
      </c>
      <c r="I136" s="134" t="s">
        <v>116</v>
      </c>
      <c r="J136" s="134" t="s">
        <v>457</v>
      </c>
      <c r="K136" s="134" t="s">
        <v>174</v>
      </c>
      <c r="L136" s="134" t="s">
        <v>315</v>
      </c>
      <c r="M136" s="135" t="b">
        <v>1</v>
      </c>
      <c r="N136" s="135" t="b">
        <v>1</v>
      </c>
      <c r="O136" s="135" t="b">
        <v>1</v>
      </c>
      <c r="P136" s="135" t="b">
        <v>1</v>
      </c>
    </row>
    <row r="137" spans="1:16" x14ac:dyDescent="0.3">
      <c r="A137" s="134" t="s">
        <v>1306</v>
      </c>
      <c r="C137" s="127" t="s">
        <v>131</v>
      </c>
      <c r="D137" s="127" t="s">
        <v>29</v>
      </c>
      <c r="E137" s="123">
        <f>400/(1000+800+1400+800)</f>
        <v>0.1</v>
      </c>
      <c r="F137" s="75" t="s">
        <v>29</v>
      </c>
      <c r="G137" s="134" t="s">
        <v>341</v>
      </c>
      <c r="H137" s="134" t="s">
        <v>341</v>
      </c>
      <c r="I137" s="134" t="s">
        <v>122</v>
      </c>
      <c r="J137" s="134" t="s">
        <v>457</v>
      </c>
      <c r="K137" s="134" t="s">
        <v>174</v>
      </c>
      <c r="L137" s="134" t="s">
        <v>315</v>
      </c>
      <c r="M137" s="135" t="b">
        <v>1</v>
      </c>
      <c r="N137" s="135" t="b">
        <v>1</v>
      </c>
      <c r="O137" s="135" t="b">
        <v>1</v>
      </c>
      <c r="P137" s="135" t="b">
        <v>1</v>
      </c>
    </row>
    <row r="138" spans="1:16" x14ac:dyDescent="0.3">
      <c r="A138" s="134" t="s">
        <v>1306</v>
      </c>
      <c r="C138" s="127" t="s">
        <v>152</v>
      </c>
      <c r="D138" s="127" t="s">
        <v>29</v>
      </c>
      <c r="E138" s="123">
        <f>130/(1200+2000+570+260)</f>
        <v>3.2258064516129031E-2</v>
      </c>
      <c r="F138" s="75" t="s">
        <v>29</v>
      </c>
      <c r="G138" s="134" t="s">
        <v>341</v>
      </c>
      <c r="H138" s="134" t="s">
        <v>341</v>
      </c>
      <c r="I138" s="134" t="s">
        <v>111</v>
      </c>
      <c r="J138" s="134" t="s">
        <v>457</v>
      </c>
      <c r="K138" s="134" t="s">
        <v>174</v>
      </c>
      <c r="L138" s="134" t="s">
        <v>315</v>
      </c>
      <c r="M138" s="135" t="b">
        <v>1</v>
      </c>
      <c r="N138" s="135" t="b">
        <v>1</v>
      </c>
      <c r="O138" s="135" t="b">
        <v>1</v>
      </c>
      <c r="P138" s="135" t="b">
        <v>1</v>
      </c>
    </row>
    <row r="139" spans="1:16" x14ac:dyDescent="0.3">
      <c r="A139" s="134" t="s">
        <v>1306</v>
      </c>
      <c r="C139" s="127" t="s">
        <v>5</v>
      </c>
      <c r="D139" s="127" t="s">
        <v>29</v>
      </c>
      <c r="E139" s="123">
        <f>330/(1000+1000+660+3960)</f>
        <v>4.9848942598187312E-2</v>
      </c>
      <c r="F139" s="75" t="s">
        <v>29</v>
      </c>
      <c r="G139" s="134" t="s">
        <v>341</v>
      </c>
      <c r="H139" s="134" t="s">
        <v>341</v>
      </c>
      <c r="I139" s="134" t="s">
        <v>109</v>
      </c>
      <c r="J139" s="134" t="s">
        <v>457</v>
      </c>
      <c r="K139" s="134" t="s">
        <v>174</v>
      </c>
      <c r="L139" s="134" t="s">
        <v>315</v>
      </c>
      <c r="M139" s="135" t="b">
        <v>1</v>
      </c>
      <c r="N139" s="135" t="b">
        <v>1</v>
      </c>
      <c r="O139" s="135" t="b">
        <v>1</v>
      </c>
      <c r="P139" s="135" t="b">
        <v>1</v>
      </c>
    </row>
    <row r="140" spans="1:16" x14ac:dyDescent="0.3">
      <c r="A140" s="134" t="s">
        <v>1306</v>
      </c>
      <c r="C140" s="127" t="s">
        <v>346</v>
      </c>
      <c r="D140" s="127" t="s">
        <v>29</v>
      </c>
      <c r="E140" s="123">
        <f>330/(1000+1000+660+3960)</f>
        <v>4.9848942598187312E-2</v>
      </c>
      <c r="F140" s="75" t="s">
        <v>29</v>
      </c>
      <c r="G140" s="134" t="s">
        <v>341</v>
      </c>
      <c r="H140" s="134" t="s">
        <v>341</v>
      </c>
      <c r="I140" s="134" t="s">
        <v>110</v>
      </c>
      <c r="J140" s="134" t="s">
        <v>457</v>
      </c>
      <c r="K140" s="134" t="s">
        <v>174</v>
      </c>
      <c r="L140" s="134" t="s">
        <v>315</v>
      </c>
      <c r="M140" s="135" t="b">
        <v>1</v>
      </c>
      <c r="N140" s="135" t="b">
        <v>1</v>
      </c>
      <c r="O140" s="135" t="b">
        <v>1</v>
      </c>
      <c r="P140" s="135" t="b">
        <v>1</v>
      </c>
    </row>
    <row r="141" spans="1:16" s="125" customFormat="1" ht="13.15" customHeight="1" x14ac:dyDescent="0.3">
      <c r="A141" s="134" t="s">
        <v>1306</v>
      </c>
      <c r="C141" s="127" t="s">
        <v>6</v>
      </c>
      <c r="D141" s="127" t="s">
        <v>29</v>
      </c>
      <c r="E141" s="123">
        <f>130/(2000+1200+570+260)</f>
        <v>3.2258064516129031E-2</v>
      </c>
      <c r="F141" s="75" t="s">
        <v>29</v>
      </c>
      <c r="G141" s="134" t="s">
        <v>341</v>
      </c>
      <c r="H141" s="134" t="s">
        <v>341</v>
      </c>
      <c r="I141" s="134" t="s">
        <v>124</v>
      </c>
      <c r="J141" s="134" t="s">
        <v>457</v>
      </c>
      <c r="K141" s="134" t="s">
        <v>174</v>
      </c>
      <c r="L141" s="134" t="s">
        <v>315</v>
      </c>
      <c r="M141" s="135" t="b">
        <v>1</v>
      </c>
      <c r="N141" s="135" t="b">
        <v>1</v>
      </c>
      <c r="O141" s="135" t="b">
        <v>1</v>
      </c>
      <c r="P141" s="135" t="b">
        <v>1</v>
      </c>
    </row>
    <row r="142" spans="1:16" ht="13.15" customHeight="1" x14ac:dyDescent="0.3">
      <c r="A142" s="134" t="s">
        <v>1306</v>
      </c>
      <c r="C142" s="127" t="s">
        <v>7</v>
      </c>
      <c r="D142" s="127" t="s">
        <v>29</v>
      </c>
      <c r="E142" s="123">
        <f>400/(2000+900+400+800)</f>
        <v>9.7560975609756101E-2</v>
      </c>
      <c r="F142" s="75" t="s">
        <v>29</v>
      </c>
      <c r="G142" s="134" t="s">
        <v>341</v>
      </c>
      <c r="H142" s="134" t="s">
        <v>341</v>
      </c>
      <c r="I142" s="134" t="s">
        <v>123</v>
      </c>
      <c r="J142" s="134" t="s">
        <v>457</v>
      </c>
      <c r="K142" s="134" t="s">
        <v>174</v>
      </c>
      <c r="L142" s="134" t="s">
        <v>315</v>
      </c>
      <c r="M142" s="135" t="b">
        <v>1</v>
      </c>
      <c r="N142" s="135" t="b">
        <v>1</v>
      </c>
      <c r="O142" s="135" t="b">
        <v>1</v>
      </c>
      <c r="P142" s="135" t="b">
        <v>1</v>
      </c>
    </row>
    <row r="143" spans="1:16" ht="13.15" customHeight="1" x14ac:dyDescent="0.3">
      <c r="A143" s="134" t="s">
        <v>1306</v>
      </c>
      <c r="C143" s="127" t="s">
        <v>132</v>
      </c>
      <c r="D143" s="127" t="s">
        <v>29</v>
      </c>
      <c r="E143" s="123">
        <f>70/(355+55+140+165+120+165)</f>
        <v>7.0000000000000007E-2</v>
      </c>
      <c r="F143" s="75" t="s">
        <v>29</v>
      </c>
      <c r="G143" s="134" t="s">
        <v>341</v>
      </c>
      <c r="H143" s="134" t="s">
        <v>341</v>
      </c>
      <c r="I143" s="134" t="s">
        <v>127</v>
      </c>
      <c r="J143" s="134" t="s">
        <v>457</v>
      </c>
      <c r="K143" s="134" t="s">
        <v>174</v>
      </c>
      <c r="L143" s="134" t="s">
        <v>315</v>
      </c>
      <c r="M143" s="135" t="b">
        <v>1</v>
      </c>
      <c r="N143" s="135" t="b">
        <v>1</v>
      </c>
      <c r="O143" s="135" t="b">
        <v>1</v>
      </c>
      <c r="P143" s="135" t="b">
        <v>1</v>
      </c>
    </row>
    <row r="144" spans="1:16" ht="13.15" customHeight="1" x14ac:dyDescent="0.3">
      <c r="A144" s="134" t="s">
        <v>1306</v>
      </c>
      <c r="C144" s="127" t="s">
        <v>133</v>
      </c>
      <c r="D144" s="127" t="s">
        <v>29</v>
      </c>
      <c r="E144" s="123">
        <f>70/(355+55+140+165+120+165)</f>
        <v>7.0000000000000007E-2</v>
      </c>
      <c r="F144" s="75" t="s">
        <v>29</v>
      </c>
      <c r="G144" s="134" t="s">
        <v>341</v>
      </c>
      <c r="H144" s="134" t="s">
        <v>341</v>
      </c>
      <c r="I144" s="134" t="s">
        <v>126</v>
      </c>
      <c r="J144" s="134" t="s">
        <v>457</v>
      </c>
      <c r="K144" s="134" t="s">
        <v>174</v>
      </c>
      <c r="L144" s="134" t="s">
        <v>315</v>
      </c>
      <c r="M144" s="135" t="b">
        <v>1</v>
      </c>
      <c r="N144" s="135" t="b">
        <v>1</v>
      </c>
      <c r="O144" s="135" t="b">
        <v>1</v>
      </c>
      <c r="P144" s="135" t="b">
        <v>1</v>
      </c>
    </row>
    <row r="145" spans="1:16" x14ac:dyDescent="0.3">
      <c r="A145" s="134" t="s">
        <v>1306</v>
      </c>
      <c r="C145" s="127" t="s">
        <v>134</v>
      </c>
      <c r="D145" s="127" t="s">
        <v>29</v>
      </c>
      <c r="E145" s="123">
        <v>1</v>
      </c>
      <c r="F145" s="73" t="s">
        <v>29</v>
      </c>
      <c r="G145" s="134" t="s">
        <v>341</v>
      </c>
      <c r="H145" s="134" t="s">
        <v>341</v>
      </c>
      <c r="I145" s="134"/>
      <c r="J145" s="134" t="s">
        <v>463</v>
      </c>
      <c r="K145" s="134" t="s">
        <v>174</v>
      </c>
      <c r="L145" s="134" t="s">
        <v>315</v>
      </c>
      <c r="M145" s="135" t="b">
        <v>1</v>
      </c>
      <c r="N145" s="135" t="b">
        <v>1</v>
      </c>
      <c r="O145" s="135" t="b">
        <v>1</v>
      </c>
      <c r="P145" s="135" t="b">
        <v>1</v>
      </c>
    </row>
    <row r="146" spans="1:16" x14ac:dyDescent="0.3">
      <c r="A146" s="134" t="s">
        <v>1306</v>
      </c>
      <c r="C146" s="127" t="s">
        <v>135</v>
      </c>
      <c r="D146" s="127" t="s">
        <v>136</v>
      </c>
      <c r="E146" s="123">
        <f>50*E147</f>
        <v>50000</v>
      </c>
      <c r="F146" s="73" t="s">
        <v>29</v>
      </c>
      <c r="G146" s="134" t="s">
        <v>341</v>
      </c>
      <c r="H146" s="134" t="s">
        <v>341</v>
      </c>
      <c r="I146" s="134"/>
      <c r="J146" s="134" t="s">
        <v>463</v>
      </c>
      <c r="K146" s="134" t="s">
        <v>174</v>
      </c>
      <c r="L146" s="134" t="s">
        <v>315</v>
      </c>
      <c r="M146" s="135" t="b">
        <v>1</v>
      </c>
      <c r="N146" s="135" t="b">
        <v>1</v>
      </c>
      <c r="O146" s="135" t="b">
        <v>1</v>
      </c>
      <c r="P146" s="135" t="b">
        <v>1</v>
      </c>
    </row>
    <row r="147" spans="1:16" x14ac:dyDescent="0.3">
      <c r="A147" s="134" t="s">
        <v>1306</v>
      </c>
      <c r="C147" s="127" t="s">
        <v>137</v>
      </c>
      <c r="D147" s="127" t="s">
        <v>125</v>
      </c>
      <c r="E147" s="123">
        <v>1000</v>
      </c>
      <c r="F147" s="73" t="s">
        <v>29</v>
      </c>
      <c r="G147" s="134" t="s">
        <v>341</v>
      </c>
      <c r="H147" s="134" t="s">
        <v>341</v>
      </c>
      <c r="I147" s="134"/>
      <c r="J147" s="134" t="s">
        <v>463</v>
      </c>
      <c r="K147" s="134" t="s">
        <v>174</v>
      </c>
      <c r="L147" s="134" t="s">
        <v>315</v>
      </c>
      <c r="M147" s="135" t="b">
        <v>1</v>
      </c>
      <c r="N147" s="135" t="b">
        <v>1</v>
      </c>
      <c r="O147" s="135" t="b">
        <v>1</v>
      </c>
      <c r="P147" s="135" t="b">
        <v>1</v>
      </c>
    </row>
    <row r="148" spans="1:16" x14ac:dyDescent="0.3">
      <c r="A148" s="134" t="s">
        <v>1306</v>
      </c>
      <c r="C148" s="127" t="s">
        <v>968</v>
      </c>
      <c r="D148" s="127" t="s">
        <v>580</v>
      </c>
      <c r="E148" s="123">
        <v>35000</v>
      </c>
      <c r="F148" s="73" t="s">
        <v>29</v>
      </c>
      <c r="G148" s="134" t="s">
        <v>341</v>
      </c>
      <c r="H148" s="134" t="s">
        <v>341</v>
      </c>
      <c r="I148" s="134"/>
      <c r="J148" s="134" t="s">
        <v>463</v>
      </c>
      <c r="K148" s="134" t="s">
        <v>174</v>
      </c>
      <c r="L148" s="134" t="s">
        <v>315</v>
      </c>
      <c r="M148" s="135" t="b">
        <v>1</v>
      </c>
      <c r="N148" s="135" t="b">
        <v>1</v>
      </c>
      <c r="O148" s="135" t="b">
        <v>1</v>
      </c>
      <c r="P148" s="135" t="b">
        <v>1</v>
      </c>
    </row>
    <row r="149" spans="1:16" x14ac:dyDescent="0.3">
      <c r="A149" s="134" t="s">
        <v>1306</v>
      </c>
      <c r="C149" s="125" t="s">
        <v>1026</v>
      </c>
      <c r="D149" s="134" t="s">
        <v>1027</v>
      </c>
      <c r="E149" s="134">
        <v>30000</v>
      </c>
      <c r="F149" s="73" t="s">
        <v>29</v>
      </c>
      <c r="G149" s="134" t="s">
        <v>342</v>
      </c>
      <c r="H149" s="134" t="s">
        <v>342</v>
      </c>
      <c r="I149" s="134"/>
      <c r="J149" s="134" t="s">
        <v>463</v>
      </c>
      <c r="K149" s="134" t="s">
        <v>174</v>
      </c>
      <c r="L149" s="134" t="s">
        <v>315</v>
      </c>
      <c r="M149" s="135" t="b">
        <v>1</v>
      </c>
      <c r="N149" s="135" t="b">
        <v>1</v>
      </c>
      <c r="O149" s="135" t="b">
        <v>1</v>
      </c>
      <c r="P149" s="135" t="b">
        <v>1</v>
      </c>
    </row>
    <row r="150" spans="1:16" x14ac:dyDescent="0.3">
      <c r="A150" s="134" t="s">
        <v>1306</v>
      </c>
      <c r="C150" s="125" t="s">
        <v>995</v>
      </c>
      <c r="D150" s="134" t="s">
        <v>29</v>
      </c>
      <c r="E150" s="134">
        <v>1</v>
      </c>
      <c r="F150" s="73" t="s">
        <v>29</v>
      </c>
      <c r="G150" s="134" t="s">
        <v>342</v>
      </c>
      <c r="H150" s="134" t="s">
        <v>342</v>
      </c>
      <c r="I150" s="134"/>
      <c r="J150" s="134" t="s">
        <v>463</v>
      </c>
      <c r="K150" s="134" t="s">
        <v>174</v>
      </c>
      <c r="L150" s="134" t="s">
        <v>315</v>
      </c>
      <c r="M150" s="135" t="b">
        <v>1</v>
      </c>
      <c r="N150" s="135" t="b">
        <v>1</v>
      </c>
      <c r="O150" s="135" t="b">
        <v>1</v>
      </c>
      <c r="P150" s="135" t="b">
        <v>1</v>
      </c>
    </row>
    <row r="151" spans="1:16" x14ac:dyDescent="0.3">
      <c r="A151" s="134" t="s">
        <v>1306</v>
      </c>
      <c r="B151" s="125">
        <v>100432</v>
      </c>
      <c r="C151" s="125" t="s">
        <v>1306</v>
      </c>
      <c r="D151" s="134" t="s">
        <v>35</v>
      </c>
      <c r="E151" s="134"/>
      <c r="F151" s="73"/>
      <c r="G151" s="134" t="s">
        <v>342</v>
      </c>
      <c r="H151" s="134" t="s">
        <v>342</v>
      </c>
      <c r="I151" s="134"/>
      <c r="J151" s="134" t="s">
        <v>463</v>
      </c>
      <c r="K151" s="134" t="s">
        <v>174</v>
      </c>
      <c r="L151" s="134" t="s">
        <v>315</v>
      </c>
      <c r="M151" s="135" t="b">
        <v>1</v>
      </c>
      <c r="N151" s="135" t="b">
        <v>1</v>
      </c>
      <c r="O151" s="135" t="b">
        <v>1</v>
      </c>
      <c r="P151" s="135" t="b">
        <v>1</v>
      </c>
    </row>
    <row r="152" spans="1:16" x14ac:dyDescent="0.3">
      <c r="A152" s="134" t="s">
        <v>617</v>
      </c>
      <c r="C152" s="127" t="s">
        <v>614</v>
      </c>
      <c r="D152" s="140" t="s">
        <v>615</v>
      </c>
      <c r="E152" s="127">
        <v>1</v>
      </c>
      <c r="F152" s="127" t="s">
        <v>616</v>
      </c>
      <c r="G152" s="134" t="s">
        <v>342</v>
      </c>
      <c r="H152" s="134" t="s">
        <v>342</v>
      </c>
      <c r="I152" s="134"/>
      <c r="J152" s="134" t="s">
        <v>463</v>
      </c>
      <c r="K152" s="134" t="s">
        <v>622</v>
      </c>
      <c r="L152" s="134" t="s">
        <v>623</v>
      </c>
      <c r="M152" s="135" t="s">
        <v>1193</v>
      </c>
      <c r="N152" s="135" t="s">
        <v>1193</v>
      </c>
      <c r="O152" s="135" t="s">
        <v>1193</v>
      </c>
      <c r="P152" s="135" t="s">
        <v>1193</v>
      </c>
    </row>
    <row r="153" spans="1:16" x14ac:dyDescent="0.3">
      <c r="A153" s="134" t="s">
        <v>617</v>
      </c>
      <c r="B153" s="125">
        <v>410093</v>
      </c>
      <c r="C153" s="127" t="s">
        <v>617</v>
      </c>
      <c r="D153" s="140" t="s">
        <v>618</v>
      </c>
      <c r="G153" s="134" t="s">
        <v>342</v>
      </c>
      <c r="H153" s="134" t="s">
        <v>342</v>
      </c>
      <c r="I153" s="134"/>
      <c r="J153" s="134" t="s">
        <v>463</v>
      </c>
      <c r="K153" s="134" t="s">
        <v>622</v>
      </c>
      <c r="L153" s="134" t="s">
        <v>623</v>
      </c>
      <c r="M153" s="135" t="s">
        <v>1193</v>
      </c>
      <c r="N153" s="135" t="s">
        <v>1193</v>
      </c>
      <c r="O153" s="135" t="s">
        <v>1193</v>
      </c>
      <c r="P153" s="135" t="s">
        <v>1193</v>
      </c>
    </row>
    <row r="154" spans="1:16" x14ac:dyDescent="0.3">
      <c r="A154" s="134" t="s">
        <v>4</v>
      </c>
      <c r="B154" s="139"/>
      <c r="C154" s="134" t="s">
        <v>1046</v>
      </c>
      <c r="D154" s="140" t="s">
        <v>101</v>
      </c>
      <c r="E154" s="124">
        <v>250</v>
      </c>
      <c r="F154" s="77" t="s">
        <v>29</v>
      </c>
      <c r="G154" s="134" t="s">
        <v>342</v>
      </c>
      <c r="H154" s="134" t="s">
        <v>342</v>
      </c>
      <c r="I154" s="134"/>
      <c r="J154" s="134" t="s">
        <v>463</v>
      </c>
      <c r="K154" s="134" t="s">
        <v>622</v>
      </c>
      <c r="L154" s="134" t="s">
        <v>623</v>
      </c>
      <c r="M154" s="135" t="s">
        <v>1193</v>
      </c>
      <c r="N154" s="135" t="s">
        <v>1193</v>
      </c>
      <c r="O154" s="135" t="s">
        <v>1193</v>
      </c>
      <c r="P154" s="135" t="s">
        <v>1193</v>
      </c>
    </row>
    <row r="155" spans="1:16" x14ac:dyDescent="0.3">
      <c r="A155" s="134" t="s">
        <v>4</v>
      </c>
      <c r="B155" s="139"/>
      <c r="C155" s="134" t="s">
        <v>1081</v>
      </c>
      <c r="D155" s="140" t="s">
        <v>29</v>
      </c>
      <c r="E155" s="124">
        <v>1</v>
      </c>
      <c r="F155" s="77" t="s">
        <v>29</v>
      </c>
      <c r="G155" s="134" t="s">
        <v>342</v>
      </c>
      <c r="H155" s="134" t="s">
        <v>342</v>
      </c>
      <c r="I155" s="134"/>
      <c r="J155" s="134" t="s">
        <v>463</v>
      </c>
      <c r="K155" s="134" t="s">
        <v>622</v>
      </c>
      <c r="L155" s="134" t="s">
        <v>623</v>
      </c>
      <c r="M155" s="135" t="s">
        <v>1193</v>
      </c>
      <c r="N155" s="135" t="s">
        <v>1193</v>
      </c>
      <c r="O155" s="135" t="s">
        <v>1193</v>
      </c>
      <c r="P155" s="135" t="s">
        <v>1193</v>
      </c>
    </row>
    <row r="156" spans="1:16" x14ac:dyDescent="0.3">
      <c r="A156" s="134" t="s">
        <v>4</v>
      </c>
      <c r="B156" s="125" t="s">
        <v>611</v>
      </c>
      <c r="C156" s="127" t="s">
        <v>4</v>
      </c>
      <c r="D156" s="127" t="s">
        <v>35</v>
      </c>
      <c r="G156" s="134" t="s">
        <v>342</v>
      </c>
      <c r="H156" s="134" t="s">
        <v>342</v>
      </c>
      <c r="I156" s="134"/>
      <c r="J156" s="134" t="s">
        <v>463</v>
      </c>
      <c r="K156" s="134" t="s">
        <v>622</v>
      </c>
      <c r="L156" s="134" t="s">
        <v>623</v>
      </c>
      <c r="M156" s="135" t="s">
        <v>1193</v>
      </c>
      <c r="N156" s="135" t="s">
        <v>1193</v>
      </c>
      <c r="O156" s="135" t="s">
        <v>1193</v>
      </c>
      <c r="P156" s="135" t="s">
        <v>1193</v>
      </c>
    </row>
    <row r="157" spans="1:16" x14ac:dyDescent="0.3">
      <c r="A157" s="134" t="s">
        <v>1342</v>
      </c>
      <c r="C157" s="125" t="s">
        <v>1463</v>
      </c>
      <c r="D157" s="134" t="s">
        <v>103</v>
      </c>
      <c r="E157" s="134"/>
      <c r="F157" s="159" t="s">
        <v>102</v>
      </c>
      <c r="G157" s="134" t="s">
        <v>341</v>
      </c>
      <c r="H157" s="134" t="s">
        <v>341</v>
      </c>
      <c r="I157" s="134"/>
      <c r="J157" s="134"/>
      <c r="K157" s="134" t="s">
        <v>175</v>
      </c>
      <c r="L157" s="134" t="s">
        <v>315</v>
      </c>
      <c r="M157" s="134" t="b">
        <v>1</v>
      </c>
      <c r="N157" s="134" t="b">
        <v>1</v>
      </c>
      <c r="O157" s="134" t="b">
        <v>0</v>
      </c>
      <c r="P157" s="134" t="b">
        <v>1</v>
      </c>
    </row>
    <row r="158" spans="1:16" x14ac:dyDescent="0.3">
      <c r="A158" s="134" t="s">
        <v>1342</v>
      </c>
      <c r="C158" s="125" t="s">
        <v>1425</v>
      </c>
      <c r="D158" s="134" t="s">
        <v>101</v>
      </c>
      <c r="E158" s="134">
        <v>193</v>
      </c>
      <c r="F158" s="159" t="s">
        <v>102</v>
      </c>
      <c r="G158" s="134" t="s">
        <v>342</v>
      </c>
      <c r="H158" s="134" t="s">
        <v>342</v>
      </c>
      <c r="I158" s="134"/>
      <c r="J158" s="134"/>
      <c r="K158" s="134" t="s">
        <v>175</v>
      </c>
      <c r="L158" s="134" t="s">
        <v>315</v>
      </c>
      <c r="M158" s="134" t="b">
        <v>1</v>
      </c>
      <c r="N158" s="134" t="b">
        <v>1</v>
      </c>
      <c r="O158" s="134" t="b">
        <v>0</v>
      </c>
      <c r="P158" s="134" t="b">
        <v>1</v>
      </c>
    </row>
    <row r="159" spans="1:16" x14ac:dyDescent="0.3">
      <c r="A159" s="134" t="s">
        <v>1342</v>
      </c>
      <c r="C159" s="125" t="s">
        <v>1426</v>
      </c>
      <c r="D159" s="134" t="s">
        <v>102</v>
      </c>
      <c r="E159" s="134">
        <v>1</v>
      </c>
      <c r="F159" s="159" t="s">
        <v>102</v>
      </c>
      <c r="G159" s="134" t="s">
        <v>342</v>
      </c>
      <c r="H159" s="134" t="s">
        <v>342</v>
      </c>
      <c r="I159" s="134"/>
      <c r="J159" s="134"/>
      <c r="K159" s="134" t="s">
        <v>175</v>
      </c>
      <c r="L159" s="134" t="s">
        <v>315</v>
      </c>
      <c r="M159" s="134" t="b">
        <v>1</v>
      </c>
      <c r="N159" s="134" t="b">
        <v>1</v>
      </c>
      <c r="O159" s="134" t="b">
        <v>0</v>
      </c>
      <c r="P159" s="134" t="b">
        <v>1</v>
      </c>
    </row>
    <row r="160" spans="1:16" x14ac:dyDescent="0.3">
      <c r="A160" s="134" t="s">
        <v>1342</v>
      </c>
      <c r="B160" s="125" t="s">
        <v>1415</v>
      </c>
      <c r="C160" s="125" t="s">
        <v>1342</v>
      </c>
      <c r="D160" s="134" t="s">
        <v>67</v>
      </c>
      <c r="E160" s="134"/>
      <c r="F160" s="159"/>
      <c r="G160" s="134" t="s">
        <v>342</v>
      </c>
      <c r="H160" s="134" t="s">
        <v>342</v>
      </c>
      <c r="I160" s="134"/>
      <c r="J160" s="134"/>
      <c r="K160" s="134" t="s">
        <v>175</v>
      </c>
      <c r="L160" s="134" t="s">
        <v>315</v>
      </c>
      <c r="M160" s="134" t="b">
        <v>1</v>
      </c>
      <c r="N160" s="134" t="b">
        <v>1</v>
      </c>
      <c r="O160" s="134" t="b">
        <v>0</v>
      </c>
      <c r="P160" s="134" t="b">
        <v>1</v>
      </c>
    </row>
    <row r="161" spans="1:16" x14ac:dyDescent="0.3">
      <c r="A161" s="134" t="s">
        <v>1416</v>
      </c>
      <c r="C161" s="125" t="s">
        <v>1431</v>
      </c>
      <c r="D161" s="134" t="s">
        <v>568</v>
      </c>
      <c r="E161" s="134">
        <v>1</v>
      </c>
      <c r="F161" s="159" t="s">
        <v>102</v>
      </c>
      <c r="G161" s="134" t="s">
        <v>342</v>
      </c>
      <c r="H161" s="134" t="s">
        <v>341</v>
      </c>
      <c r="I161" s="134"/>
      <c r="J161" s="134"/>
      <c r="K161" s="134" t="s">
        <v>1115</v>
      </c>
      <c r="L161" s="134" t="s">
        <v>1115</v>
      </c>
      <c r="M161" s="134" t="b">
        <v>0</v>
      </c>
      <c r="N161" s="134" t="b">
        <v>0</v>
      </c>
      <c r="O161" s="134" t="b">
        <v>0</v>
      </c>
      <c r="P161" s="134" t="b">
        <v>0</v>
      </c>
    </row>
    <row r="162" spans="1:16" x14ac:dyDescent="0.3">
      <c r="A162" s="134" t="s">
        <v>1416</v>
      </c>
      <c r="B162" s="125">
        <v>1</v>
      </c>
      <c r="C162" s="125" t="s">
        <v>1416</v>
      </c>
      <c r="D162" s="134" t="s">
        <v>67</v>
      </c>
      <c r="E162" s="134"/>
      <c r="F162" s="159"/>
      <c r="G162" s="134" t="s">
        <v>342</v>
      </c>
      <c r="H162" s="134" t="s">
        <v>341</v>
      </c>
      <c r="I162" s="134"/>
      <c r="J162" s="134"/>
      <c r="K162" s="134" t="s">
        <v>1115</v>
      </c>
      <c r="L162" s="134" t="s">
        <v>1115</v>
      </c>
      <c r="M162" s="134" t="b">
        <v>0</v>
      </c>
      <c r="N162" s="134" t="b">
        <v>0</v>
      </c>
      <c r="O162" s="134" t="b">
        <v>0</v>
      </c>
      <c r="P162" s="134" t="b">
        <v>0</v>
      </c>
    </row>
    <row r="163" spans="1:16" ht="13" customHeight="1" x14ac:dyDescent="0.35">
      <c r="A163" s="134" t="s">
        <v>1331</v>
      </c>
      <c r="C163" s="125" t="s">
        <v>135</v>
      </c>
      <c r="D163" s="134" t="s">
        <v>29</v>
      </c>
      <c r="E163" s="115">
        <v>50000</v>
      </c>
      <c r="F163" s="73" t="s">
        <v>29</v>
      </c>
      <c r="G163" s="134" t="s">
        <v>342</v>
      </c>
      <c r="H163" s="134" t="s">
        <v>342</v>
      </c>
      <c r="I163" s="134"/>
      <c r="J163" s="134" t="s">
        <v>463</v>
      </c>
      <c r="K163" s="134" t="s">
        <v>174</v>
      </c>
      <c r="L163" s="134" t="s">
        <v>315</v>
      </c>
      <c r="M163" s="135" t="b">
        <v>1</v>
      </c>
      <c r="N163" s="135" t="b">
        <v>1</v>
      </c>
      <c r="O163" s="135" t="b">
        <v>1</v>
      </c>
      <c r="P163" s="135" t="b">
        <v>1</v>
      </c>
    </row>
    <row r="164" spans="1:16" ht="13" customHeight="1" x14ac:dyDescent="0.35">
      <c r="A164" s="134" t="s">
        <v>1331</v>
      </c>
      <c r="C164" s="125" t="s">
        <v>137</v>
      </c>
      <c r="D164" s="134" t="s">
        <v>29</v>
      </c>
      <c r="E164" s="115">
        <v>1000</v>
      </c>
      <c r="F164" s="73" t="s">
        <v>29</v>
      </c>
      <c r="G164" s="134" t="s">
        <v>342</v>
      </c>
      <c r="H164" s="134" t="s">
        <v>342</v>
      </c>
      <c r="I164" s="134"/>
      <c r="J164" s="134" t="s">
        <v>463</v>
      </c>
      <c r="K164" s="134" t="s">
        <v>174</v>
      </c>
      <c r="L164" s="134" t="s">
        <v>315</v>
      </c>
      <c r="M164" s="135" t="b">
        <v>1</v>
      </c>
      <c r="N164" s="135" t="b">
        <v>1</v>
      </c>
      <c r="O164" s="135" t="b">
        <v>1</v>
      </c>
      <c r="P164" s="135" t="b">
        <v>1</v>
      </c>
    </row>
    <row r="165" spans="1:16" ht="13" customHeight="1" x14ac:dyDescent="0.35">
      <c r="A165" s="134" t="s">
        <v>1331</v>
      </c>
      <c r="C165" s="125" t="s">
        <v>134</v>
      </c>
      <c r="D165" s="134" t="s">
        <v>29</v>
      </c>
      <c r="E165">
        <v>1</v>
      </c>
      <c r="F165" s="73" t="s">
        <v>29</v>
      </c>
      <c r="G165" s="134" t="s">
        <v>342</v>
      </c>
      <c r="H165" s="134" t="s">
        <v>342</v>
      </c>
      <c r="I165" s="134"/>
      <c r="J165" s="134" t="s">
        <v>463</v>
      </c>
      <c r="K165" s="134" t="s">
        <v>174</v>
      </c>
      <c r="L165" s="134" t="s">
        <v>315</v>
      </c>
      <c r="M165" s="135" t="b">
        <v>1</v>
      </c>
      <c r="N165" s="135" t="b">
        <v>1</v>
      </c>
      <c r="O165" s="135" t="b">
        <v>1</v>
      </c>
      <c r="P165" s="135" t="b">
        <v>1</v>
      </c>
    </row>
    <row r="166" spans="1:16" ht="13" customHeight="1" x14ac:dyDescent="0.35">
      <c r="A166" s="134" t="s">
        <v>1331</v>
      </c>
      <c r="B166" s="125" t="s">
        <v>1332</v>
      </c>
      <c r="C166" s="125" t="s">
        <v>1331</v>
      </c>
      <c r="D166" s="134" t="s">
        <v>35</v>
      </c>
      <c r="E166"/>
      <c r="F166" s="73"/>
      <c r="G166" s="134" t="s">
        <v>342</v>
      </c>
      <c r="H166" s="134" t="s">
        <v>342</v>
      </c>
      <c r="I166" s="134"/>
      <c r="J166" s="134" t="s">
        <v>463</v>
      </c>
      <c r="K166" s="134" t="s">
        <v>174</v>
      </c>
      <c r="L166" s="134" t="s">
        <v>315</v>
      </c>
      <c r="M166" s="135" t="b">
        <v>1</v>
      </c>
      <c r="N166" s="135" t="b">
        <v>1</v>
      </c>
      <c r="O166" s="135" t="b">
        <v>1</v>
      </c>
      <c r="P166" s="135" t="b">
        <v>1</v>
      </c>
    </row>
    <row r="167" spans="1:16" x14ac:dyDescent="0.3">
      <c r="A167" s="134" t="s">
        <v>598</v>
      </c>
      <c r="C167" s="127" t="s">
        <v>1047</v>
      </c>
      <c r="D167" s="127" t="s">
        <v>101</v>
      </c>
      <c r="E167" s="124">
        <v>100</v>
      </c>
      <c r="F167" s="77" t="s">
        <v>102</v>
      </c>
      <c r="G167" s="134" t="s">
        <v>342</v>
      </c>
      <c r="H167" s="134" t="s">
        <v>342</v>
      </c>
      <c r="I167" s="134"/>
      <c r="J167" s="134" t="s">
        <v>463</v>
      </c>
      <c r="K167" s="134" t="s">
        <v>621</v>
      </c>
      <c r="L167" s="134" t="s">
        <v>623</v>
      </c>
      <c r="M167" s="135" t="s">
        <v>1193</v>
      </c>
      <c r="N167" s="135" t="s">
        <v>1193</v>
      </c>
      <c r="O167" s="135" t="s">
        <v>1193</v>
      </c>
      <c r="P167" s="135" t="s">
        <v>1193</v>
      </c>
    </row>
    <row r="168" spans="1:16" x14ac:dyDescent="0.3">
      <c r="A168" s="134" t="s">
        <v>598</v>
      </c>
      <c r="B168" s="125" t="s">
        <v>597</v>
      </c>
      <c r="C168" s="127" t="s">
        <v>598</v>
      </c>
      <c r="D168" s="127" t="s">
        <v>67</v>
      </c>
      <c r="G168" s="134" t="s">
        <v>342</v>
      </c>
      <c r="H168" s="134" t="s">
        <v>342</v>
      </c>
      <c r="I168" s="134"/>
      <c r="J168" s="134" t="s">
        <v>463</v>
      </c>
      <c r="K168" s="134" t="s">
        <v>621</v>
      </c>
      <c r="L168" s="134" t="s">
        <v>623</v>
      </c>
      <c r="M168" s="135" t="s">
        <v>1193</v>
      </c>
      <c r="N168" s="135" t="s">
        <v>1193</v>
      </c>
      <c r="O168" s="135" t="s">
        <v>1193</v>
      </c>
      <c r="P168" s="135" t="s">
        <v>1193</v>
      </c>
    </row>
    <row r="169" spans="1:16" x14ac:dyDescent="0.3">
      <c r="A169" s="134" t="s">
        <v>596</v>
      </c>
      <c r="C169" s="139" t="s">
        <v>1095</v>
      </c>
      <c r="D169" s="125" t="s">
        <v>557</v>
      </c>
      <c r="E169" s="125"/>
      <c r="F169" s="125" t="s">
        <v>557</v>
      </c>
      <c r="G169" s="134" t="s">
        <v>341</v>
      </c>
      <c r="H169" s="134" t="s">
        <v>341</v>
      </c>
      <c r="I169" s="134"/>
      <c r="J169" s="134" t="s">
        <v>463</v>
      </c>
      <c r="K169" s="134" t="s">
        <v>621</v>
      </c>
      <c r="L169" s="134" t="s">
        <v>623</v>
      </c>
      <c r="M169" s="135" t="s">
        <v>1193</v>
      </c>
      <c r="N169" s="135" t="s">
        <v>1193</v>
      </c>
      <c r="O169" s="135" t="s">
        <v>1193</v>
      </c>
      <c r="P169" s="135" t="s">
        <v>1193</v>
      </c>
    </row>
    <row r="170" spans="1:16" x14ac:dyDescent="0.3">
      <c r="A170" s="134" t="s">
        <v>596</v>
      </c>
      <c r="B170" s="139"/>
      <c r="C170" s="139" t="s">
        <v>1048</v>
      </c>
      <c r="D170" s="127" t="s">
        <v>101</v>
      </c>
      <c r="E170" s="124">
        <v>100</v>
      </c>
      <c r="F170" s="77" t="s">
        <v>102</v>
      </c>
      <c r="G170" s="134" t="s">
        <v>342</v>
      </c>
      <c r="H170" s="134" t="s">
        <v>342</v>
      </c>
      <c r="I170" s="134"/>
      <c r="J170" s="134" t="s">
        <v>463</v>
      </c>
      <c r="K170" s="134" t="s">
        <v>621</v>
      </c>
      <c r="L170" s="134" t="s">
        <v>623</v>
      </c>
      <c r="M170" s="135" t="s">
        <v>1193</v>
      </c>
      <c r="N170" s="135" t="s">
        <v>1193</v>
      </c>
      <c r="O170" s="135" t="s">
        <v>1193</v>
      </c>
      <c r="P170" s="135" t="s">
        <v>1193</v>
      </c>
    </row>
    <row r="171" spans="1:16" x14ac:dyDescent="0.3">
      <c r="A171" s="134" t="s">
        <v>596</v>
      </c>
      <c r="C171" s="139" t="s">
        <v>594</v>
      </c>
      <c r="D171" s="127" t="s">
        <v>568</v>
      </c>
      <c r="E171" s="124">
        <v>1</v>
      </c>
      <c r="F171" s="77" t="s">
        <v>102</v>
      </c>
      <c r="G171" s="134" t="s">
        <v>342</v>
      </c>
      <c r="H171" s="134" t="s">
        <v>342</v>
      </c>
      <c r="I171" s="134"/>
      <c r="J171" s="134" t="s">
        <v>463</v>
      </c>
      <c r="K171" s="134" t="s">
        <v>621</v>
      </c>
      <c r="L171" s="134" t="s">
        <v>623</v>
      </c>
      <c r="M171" s="135" t="s">
        <v>1193</v>
      </c>
      <c r="N171" s="135" t="s">
        <v>1193</v>
      </c>
      <c r="O171" s="135" t="s">
        <v>1193</v>
      </c>
      <c r="P171" s="135" t="s">
        <v>1193</v>
      </c>
    </row>
    <row r="172" spans="1:16" x14ac:dyDescent="0.3">
      <c r="A172" s="134" t="s">
        <v>596</v>
      </c>
      <c r="B172" s="125" t="s">
        <v>595</v>
      </c>
      <c r="C172" s="127" t="s">
        <v>596</v>
      </c>
      <c r="D172" s="127" t="s">
        <v>67</v>
      </c>
      <c r="G172" s="134" t="s">
        <v>342</v>
      </c>
      <c r="H172" s="134" t="s">
        <v>342</v>
      </c>
      <c r="I172" s="134"/>
      <c r="J172" s="134" t="s">
        <v>463</v>
      </c>
      <c r="K172" s="134" t="s">
        <v>621</v>
      </c>
      <c r="L172" s="134" t="s">
        <v>623</v>
      </c>
      <c r="M172" s="135" t="s">
        <v>1193</v>
      </c>
      <c r="N172" s="135" t="s">
        <v>1193</v>
      </c>
      <c r="O172" s="135" t="s">
        <v>1193</v>
      </c>
      <c r="P172" s="135" t="s">
        <v>1193</v>
      </c>
    </row>
    <row r="173" spans="1:16" x14ac:dyDescent="0.3">
      <c r="A173" s="134" t="s">
        <v>601</v>
      </c>
      <c r="C173" s="127" t="s">
        <v>599</v>
      </c>
      <c r="D173" s="127" t="s">
        <v>580</v>
      </c>
      <c r="E173" s="127">
        <v>1</v>
      </c>
      <c r="F173" s="127" t="s">
        <v>580</v>
      </c>
      <c r="G173" s="134" t="s">
        <v>342</v>
      </c>
      <c r="H173" s="134" t="s">
        <v>342</v>
      </c>
      <c r="I173" s="134"/>
      <c r="J173" s="134" t="s">
        <v>463</v>
      </c>
      <c r="K173" s="134" t="s">
        <v>621</v>
      </c>
      <c r="L173" s="134" t="s">
        <v>623</v>
      </c>
      <c r="M173" s="135" t="s">
        <v>1193</v>
      </c>
      <c r="N173" s="135" t="s">
        <v>1193</v>
      </c>
      <c r="O173" s="135" t="s">
        <v>1193</v>
      </c>
      <c r="P173" s="135" t="s">
        <v>1193</v>
      </c>
    </row>
    <row r="174" spans="1:16" x14ac:dyDescent="0.3">
      <c r="A174" s="134" t="s">
        <v>601</v>
      </c>
      <c r="B174" s="125" t="s">
        <v>600</v>
      </c>
      <c r="C174" s="127" t="s">
        <v>601</v>
      </c>
      <c r="D174" s="127" t="s">
        <v>151</v>
      </c>
      <c r="F174" s="125"/>
      <c r="G174" s="134" t="s">
        <v>342</v>
      </c>
      <c r="H174" s="134" t="s">
        <v>342</v>
      </c>
      <c r="I174" s="134"/>
      <c r="J174" s="134" t="s">
        <v>463</v>
      </c>
      <c r="K174" s="134" t="s">
        <v>621</v>
      </c>
      <c r="L174" s="134" t="s">
        <v>623</v>
      </c>
      <c r="M174" s="135" t="s">
        <v>1193</v>
      </c>
      <c r="N174" s="135" t="s">
        <v>1193</v>
      </c>
      <c r="O174" s="135" t="s">
        <v>1193</v>
      </c>
      <c r="P174" s="135" t="s">
        <v>1193</v>
      </c>
    </row>
    <row r="175" spans="1:16" x14ac:dyDescent="0.3">
      <c r="A175" s="134" t="s">
        <v>586</v>
      </c>
      <c r="B175" s="139"/>
      <c r="C175" s="139" t="s">
        <v>584</v>
      </c>
      <c r="D175" s="134" t="s">
        <v>580</v>
      </c>
      <c r="E175" s="134">
        <v>1</v>
      </c>
      <c r="F175" s="134" t="s">
        <v>1027</v>
      </c>
      <c r="G175" s="134" t="s">
        <v>342</v>
      </c>
      <c r="H175" s="134" t="s">
        <v>342</v>
      </c>
      <c r="I175" s="134"/>
      <c r="J175" s="134" t="s">
        <v>463</v>
      </c>
      <c r="K175" s="134" t="s">
        <v>621</v>
      </c>
      <c r="L175" s="134" t="s">
        <v>623</v>
      </c>
      <c r="M175" s="135" t="s">
        <v>1193</v>
      </c>
      <c r="N175" s="135" t="s">
        <v>1193</v>
      </c>
      <c r="O175" s="135" t="s">
        <v>1193</v>
      </c>
      <c r="P175" s="135" t="s">
        <v>1193</v>
      </c>
    </row>
    <row r="176" spans="1:16" x14ac:dyDescent="0.3">
      <c r="A176" s="134" t="s">
        <v>586</v>
      </c>
      <c r="B176" s="139" t="s">
        <v>585</v>
      </c>
      <c r="C176" s="139" t="s">
        <v>586</v>
      </c>
      <c r="D176" s="127" t="s">
        <v>151</v>
      </c>
      <c r="E176" s="134"/>
      <c r="F176" s="134"/>
      <c r="G176" s="134" t="s">
        <v>342</v>
      </c>
      <c r="H176" s="134" t="s">
        <v>342</v>
      </c>
      <c r="I176" s="134"/>
      <c r="J176" s="134" t="s">
        <v>463</v>
      </c>
      <c r="K176" s="134" t="s">
        <v>621</v>
      </c>
      <c r="L176" s="134" t="s">
        <v>623</v>
      </c>
      <c r="M176" s="135" t="s">
        <v>1193</v>
      </c>
      <c r="N176" s="135" t="s">
        <v>1193</v>
      </c>
      <c r="O176" s="135" t="s">
        <v>1193</v>
      </c>
      <c r="P176" s="135" t="s">
        <v>1193</v>
      </c>
    </row>
    <row r="177" spans="1:16" x14ac:dyDescent="0.3">
      <c r="A177" s="134" t="s">
        <v>349</v>
      </c>
      <c r="B177" s="128"/>
      <c r="C177" s="134" t="s">
        <v>356</v>
      </c>
      <c r="D177" s="134" t="s">
        <v>103</v>
      </c>
      <c r="E177" s="134">
        <v>6600</v>
      </c>
      <c r="F177" s="134" t="s">
        <v>29</v>
      </c>
      <c r="G177" s="134" t="s">
        <v>342</v>
      </c>
      <c r="H177" s="134" t="s">
        <v>342</v>
      </c>
      <c r="I177" s="134"/>
      <c r="J177" s="134" t="s">
        <v>463</v>
      </c>
      <c r="K177" s="134" t="s">
        <v>174</v>
      </c>
      <c r="L177" s="134" t="s">
        <v>315</v>
      </c>
      <c r="M177" s="135" t="b">
        <v>1</v>
      </c>
      <c r="N177" s="135" t="b">
        <v>1</v>
      </c>
      <c r="O177" s="135" t="b">
        <v>1</v>
      </c>
      <c r="P177" s="135" t="b">
        <v>1</v>
      </c>
    </row>
    <row r="178" spans="1:16" x14ac:dyDescent="0.3">
      <c r="A178" s="134" t="s">
        <v>349</v>
      </c>
      <c r="B178" s="128"/>
      <c r="C178" s="134" t="s">
        <v>357</v>
      </c>
      <c r="D178" s="134" t="s">
        <v>358</v>
      </c>
      <c r="E178" s="134">
        <v>550</v>
      </c>
      <c r="F178" s="134" t="s">
        <v>29</v>
      </c>
      <c r="G178" s="134" t="s">
        <v>342</v>
      </c>
      <c r="H178" s="134" t="s">
        <v>342</v>
      </c>
      <c r="I178" s="134"/>
      <c r="J178" s="134" t="s">
        <v>463</v>
      </c>
      <c r="K178" s="134" t="s">
        <v>174</v>
      </c>
      <c r="L178" s="134" t="s">
        <v>315</v>
      </c>
      <c r="M178" s="135" t="b">
        <v>1</v>
      </c>
      <c r="N178" s="135" t="b">
        <v>1</v>
      </c>
      <c r="O178" s="135" t="b">
        <v>1</v>
      </c>
      <c r="P178" s="135" t="b">
        <v>1</v>
      </c>
    </row>
    <row r="179" spans="1:16" x14ac:dyDescent="0.3">
      <c r="A179" s="134" t="s">
        <v>349</v>
      </c>
      <c r="B179" s="128"/>
      <c r="C179" s="134" t="s">
        <v>359</v>
      </c>
      <c r="D179" s="134" t="s">
        <v>29</v>
      </c>
      <c r="E179" s="134">
        <v>1</v>
      </c>
      <c r="F179" s="134" t="s">
        <v>29</v>
      </c>
      <c r="G179" s="134" t="s">
        <v>342</v>
      </c>
      <c r="H179" s="134" t="s">
        <v>342</v>
      </c>
      <c r="I179" s="134"/>
      <c r="J179" s="134" t="s">
        <v>463</v>
      </c>
      <c r="K179" s="134" t="s">
        <v>174</v>
      </c>
      <c r="L179" s="134" t="s">
        <v>315</v>
      </c>
      <c r="M179" s="135" t="b">
        <v>1</v>
      </c>
      <c r="N179" s="135" t="b">
        <v>1</v>
      </c>
      <c r="O179" s="135" t="b">
        <v>1</v>
      </c>
      <c r="P179" s="135" t="b">
        <v>1</v>
      </c>
    </row>
    <row r="180" spans="1:16" x14ac:dyDescent="0.3">
      <c r="A180" s="134" t="s">
        <v>349</v>
      </c>
      <c r="B180" s="125">
        <v>100317</v>
      </c>
      <c r="C180" s="125" t="s">
        <v>349</v>
      </c>
      <c r="D180" s="137" t="s">
        <v>35</v>
      </c>
      <c r="E180" s="134"/>
      <c r="F180" s="134"/>
      <c r="G180" s="134" t="s">
        <v>342</v>
      </c>
      <c r="H180" s="134" t="s">
        <v>342</v>
      </c>
      <c r="I180" s="134"/>
      <c r="J180" s="134" t="s">
        <v>463</v>
      </c>
      <c r="K180" s="134" t="s">
        <v>174</v>
      </c>
      <c r="L180" s="134" t="s">
        <v>315</v>
      </c>
      <c r="M180" s="135" t="b">
        <v>1</v>
      </c>
      <c r="N180" s="135" t="b">
        <v>1</v>
      </c>
      <c r="O180" s="135" t="b">
        <v>1</v>
      </c>
      <c r="P180" s="135" t="b">
        <v>1</v>
      </c>
    </row>
    <row r="181" spans="1:16" x14ac:dyDescent="0.3">
      <c r="A181" s="134" t="s">
        <v>8</v>
      </c>
      <c r="C181" s="127" t="s">
        <v>1100</v>
      </c>
      <c r="D181" s="127" t="s">
        <v>101</v>
      </c>
      <c r="E181" s="127">
        <v>1</v>
      </c>
      <c r="F181" s="125" t="s">
        <v>101</v>
      </c>
      <c r="G181" s="134" t="s">
        <v>342</v>
      </c>
      <c r="H181" s="134" t="s">
        <v>342</v>
      </c>
      <c r="I181" s="134"/>
      <c r="J181" s="134" t="s">
        <v>463</v>
      </c>
      <c r="K181" s="134" t="s">
        <v>175</v>
      </c>
      <c r="L181" s="134" t="s">
        <v>623</v>
      </c>
      <c r="M181" s="135" t="s">
        <v>1193</v>
      </c>
      <c r="N181" s="135" t="s">
        <v>1193</v>
      </c>
      <c r="O181" s="135" t="s">
        <v>1193</v>
      </c>
      <c r="P181" s="135" t="s">
        <v>1193</v>
      </c>
    </row>
    <row r="182" spans="1:16" x14ac:dyDescent="0.3">
      <c r="A182" s="134" t="s">
        <v>8</v>
      </c>
      <c r="B182" s="125">
        <v>410275</v>
      </c>
      <c r="C182" s="127" t="s">
        <v>1465</v>
      </c>
      <c r="D182" s="127" t="s">
        <v>67</v>
      </c>
      <c r="F182" s="125"/>
      <c r="G182" s="134" t="s">
        <v>342</v>
      </c>
      <c r="H182" s="134" t="s">
        <v>342</v>
      </c>
      <c r="I182" s="134"/>
      <c r="J182" s="134" t="s">
        <v>463</v>
      </c>
      <c r="K182" s="134" t="s">
        <v>175</v>
      </c>
      <c r="L182" s="134" t="s">
        <v>623</v>
      </c>
      <c r="M182" s="135" t="s">
        <v>1193</v>
      </c>
      <c r="N182" s="135" t="s">
        <v>1193</v>
      </c>
      <c r="O182" s="135" t="s">
        <v>1193</v>
      </c>
      <c r="P182" s="135" t="s">
        <v>1193</v>
      </c>
    </row>
    <row r="183" spans="1:16" x14ac:dyDescent="0.3">
      <c r="A183" s="134" t="s">
        <v>9</v>
      </c>
      <c r="C183" s="139" t="s">
        <v>1049</v>
      </c>
      <c r="D183" s="134" t="s">
        <v>462</v>
      </c>
      <c r="E183" s="127">
        <v>1</v>
      </c>
      <c r="F183" s="127" t="s">
        <v>101</v>
      </c>
      <c r="G183" s="134" t="s">
        <v>342</v>
      </c>
      <c r="H183" s="134" t="s">
        <v>342</v>
      </c>
      <c r="I183" s="134"/>
      <c r="J183" s="134" t="s">
        <v>463</v>
      </c>
      <c r="K183" s="134" t="s">
        <v>175</v>
      </c>
      <c r="L183" s="134" t="s">
        <v>623</v>
      </c>
      <c r="M183" s="135" t="s">
        <v>1193</v>
      </c>
      <c r="N183" s="135" t="s">
        <v>1193</v>
      </c>
      <c r="O183" s="135" t="s">
        <v>1193</v>
      </c>
      <c r="P183" s="135" t="s">
        <v>1193</v>
      </c>
    </row>
    <row r="184" spans="1:16" x14ac:dyDescent="0.3">
      <c r="A184" s="134" t="s">
        <v>9</v>
      </c>
      <c r="B184" s="125" t="s">
        <v>569</v>
      </c>
      <c r="C184" s="139" t="s">
        <v>9</v>
      </c>
      <c r="D184" s="140" t="s">
        <v>556</v>
      </c>
      <c r="E184" s="134"/>
      <c r="F184" s="134"/>
      <c r="G184" s="134" t="s">
        <v>342</v>
      </c>
      <c r="H184" s="134" t="s">
        <v>342</v>
      </c>
      <c r="I184" s="134"/>
      <c r="J184" s="134" t="s">
        <v>463</v>
      </c>
      <c r="K184" s="134" t="s">
        <v>175</v>
      </c>
      <c r="L184" s="134" t="s">
        <v>623</v>
      </c>
      <c r="M184" s="135" t="s">
        <v>1193</v>
      </c>
      <c r="N184" s="135" t="s">
        <v>1193</v>
      </c>
      <c r="O184" s="135" t="s">
        <v>1193</v>
      </c>
      <c r="P184" s="135" t="s">
        <v>1193</v>
      </c>
    </row>
    <row r="185" spans="1:16" x14ac:dyDescent="0.3">
      <c r="A185" s="134" t="s">
        <v>985</v>
      </c>
      <c r="C185" s="125" t="s">
        <v>1011</v>
      </c>
      <c r="D185" s="134" t="s">
        <v>103</v>
      </c>
      <c r="E185" s="134">
        <v>12000</v>
      </c>
      <c r="F185" s="73" t="s">
        <v>29</v>
      </c>
      <c r="G185" s="134" t="s">
        <v>342</v>
      </c>
      <c r="H185" s="134" t="s">
        <v>342</v>
      </c>
      <c r="I185" s="134"/>
      <c r="J185" s="134"/>
      <c r="K185" s="134" t="s">
        <v>174</v>
      </c>
      <c r="L185" s="134" t="s">
        <v>315</v>
      </c>
      <c r="M185" s="135" t="b">
        <v>1</v>
      </c>
      <c r="N185" s="135" t="b">
        <v>1</v>
      </c>
      <c r="O185" s="135" t="b">
        <v>1</v>
      </c>
      <c r="P185" s="135" t="b">
        <v>1</v>
      </c>
    </row>
    <row r="186" spans="1:16" x14ac:dyDescent="0.3">
      <c r="A186" s="134" t="s">
        <v>985</v>
      </c>
      <c r="C186" s="125" t="s">
        <v>1200</v>
      </c>
      <c r="D186" s="134" t="s">
        <v>1027</v>
      </c>
      <c r="E186" s="134">
        <v>6000</v>
      </c>
      <c r="F186" s="73" t="s">
        <v>29</v>
      </c>
      <c r="G186" s="134" t="s">
        <v>342</v>
      </c>
      <c r="H186" s="134" t="s">
        <v>342</v>
      </c>
      <c r="I186" s="134"/>
      <c r="J186" s="134"/>
      <c r="K186" s="134" t="s">
        <v>174</v>
      </c>
      <c r="L186" s="134" t="s">
        <v>315</v>
      </c>
      <c r="M186" s="135" t="b">
        <v>1</v>
      </c>
      <c r="N186" s="135" t="b">
        <v>1</v>
      </c>
      <c r="O186" s="135" t="b">
        <v>1</v>
      </c>
      <c r="P186" s="135" t="b">
        <v>1</v>
      </c>
    </row>
    <row r="187" spans="1:16" x14ac:dyDescent="0.3">
      <c r="A187" s="134" t="s">
        <v>985</v>
      </c>
      <c r="C187" s="125" t="s">
        <v>1012</v>
      </c>
      <c r="D187" s="134" t="s">
        <v>29</v>
      </c>
      <c r="E187" s="134">
        <v>1</v>
      </c>
      <c r="F187" s="73" t="s">
        <v>29</v>
      </c>
      <c r="G187" s="134" t="s">
        <v>342</v>
      </c>
      <c r="H187" s="134" t="s">
        <v>342</v>
      </c>
      <c r="I187" s="134"/>
      <c r="J187" s="134"/>
      <c r="K187" s="134" t="s">
        <v>174</v>
      </c>
      <c r="L187" s="134" t="s">
        <v>315</v>
      </c>
      <c r="M187" s="135" t="b">
        <v>1</v>
      </c>
      <c r="N187" s="135" t="b">
        <v>1</v>
      </c>
      <c r="O187" s="135" t="b">
        <v>1</v>
      </c>
      <c r="P187" s="135" t="b">
        <v>1</v>
      </c>
    </row>
    <row r="188" spans="1:16" x14ac:dyDescent="0.3">
      <c r="A188" s="134" t="s">
        <v>985</v>
      </c>
      <c r="B188" s="125">
        <v>100418</v>
      </c>
      <c r="C188" s="125" t="s">
        <v>985</v>
      </c>
      <c r="D188" s="134" t="s">
        <v>35</v>
      </c>
      <c r="E188" s="134"/>
      <c r="F188" s="73"/>
      <c r="G188" s="134" t="s">
        <v>342</v>
      </c>
      <c r="H188" s="134" t="s">
        <v>342</v>
      </c>
      <c r="I188" s="134"/>
      <c r="J188" s="134"/>
      <c r="K188" s="134" t="s">
        <v>174</v>
      </c>
      <c r="L188" s="134" t="s">
        <v>315</v>
      </c>
      <c r="M188" s="135" t="b">
        <v>1</v>
      </c>
      <c r="N188" s="135" t="b">
        <v>1</v>
      </c>
      <c r="O188" s="135" t="b">
        <v>1</v>
      </c>
      <c r="P188" s="135" t="b">
        <v>1</v>
      </c>
    </row>
    <row r="189" spans="1:16" ht="14" x14ac:dyDescent="0.3">
      <c r="A189" s="134" t="s">
        <v>1182</v>
      </c>
      <c r="C189" s="125" t="s">
        <v>1178</v>
      </c>
      <c r="D189" s="134" t="s">
        <v>103</v>
      </c>
      <c r="E189" s="138">
        <v>9000</v>
      </c>
      <c r="F189" s="73" t="s">
        <v>29</v>
      </c>
      <c r="G189" s="134" t="s">
        <v>341</v>
      </c>
      <c r="H189" s="134" t="s">
        <v>341</v>
      </c>
      <c r="I189" s="134"/>
      <c r="J189" s="134"/>
      <c r="K189" s="134" t="s">
        <v>174</v>
      </c>
      <c r="L189" s="134" t="s">
        <v>315</v>
      </c>
      <c r="M189" s="135" t="s">
        <v>1193</v>
      </c>
      <c r="N189" s="135" t="s">
        <v>1193</v>
      </c>
      <c r="O189" s="135" t="s">
        <v>1193</v>
      </c>
      <c r="P189" s="135" t="s">
        <v>1193</v>
      </c>
    </row>
    <row r="190" spans="1:16" ht="14" x14ac:dyDescent="0.3">
      <c r="A190" s="134" t="s">
        <v>1182</v>
      </c>
      <c r="C190" s="125" t="s">
        <v>1179</v>
      </c>
      <c r="D190" s="134" t="s">
        <v>101</v>
      </c>
      <c r="E190" s="138">
        <v>1500</v>
      </c>
      <c r="F190" s="73" t="s">
        <v>29</v>
      </c>
      <c r="G190" s="134" t="s">
        <v>341</v>
      </c>
      <c r="H190" s="134" t="s">
        <v>341</v>
      </c>
      <c r="I190" s="134"/>
      <c r="J190" s="134"/>
      <c r="K190" s="134" t="s">
        <v>174</v>
      </c>
      <c r="L190" s="134" t="s">
        <v>315</v>
      </c>
      <c r="M190" s="135" t="s">
        <v>1193</v>
      </c>
      <c r="N190" s="135" t="s">
        <v>1193</v>
      </c>
      <c r="O190" s="135" t="s">
        <v>1193</v>
      </c>
      <c r="P190" s="135" t="s">
        <v>1193</v>
      </c>
    </row>
    <row r="191" spans="1:16" ht="14" x14ac:dyDescent="0.3">
      <c r="A191" s="134" t="s">
        <v>1182</v>
      </c>
      <c r="C191" s="125" t="s">
        <v>1180</v>
      </c>
      <c r="D191" s="134" t="s">
        <v>29</v>
      </c>
      <c r="E191" s="138">
        <v>1</v>
      </c>
      <c r="F191" s="73" t="s">
        <v>29</v>
      </c>
      <c r="G191" s="134" t="s">
        <v>341</v>
      </c>
      <c r="H191" s="134" t="s">
        <v>341</v>
      </c>
      <c r="I191" s="134"/>
      <c r="J191" s="134"/>
      <c r="K191" s="134" t="s">
        <v>174</v>
      </c>
      <c r="L191" s="134" t="s">
        <v>315</v>
      </c>
      <c r="M191" s="135" t="s">
        <v>1193</v>
      </c>
      <c r="N191" s="135" t="s">
        <v>1193</v>
      </c>
      <c r="O191" s="135" t="s">
        <v>1193</v>
      </c>
      <c r="P191" s="135" t="s">
        <v>1193</v>
      </c>
    </row>
    <row r="192" spans="1:16" ht="14" x14ac:dyDescent="0.3">
      <c r="A192" s="134" t="s">
        <v>1182</v>
      </c>
      <c r="B192" s="125" t="s">
        <v>1181</v>
      </c>
      <c r="C192" s="125" t="s">
        <v>1182</v>
      </c>
      <c r="D192" s="134" t="s">
        <v>35</v>
      </c>
      <c r="E192" s="138"/>
      <c r="F192" s="73"/>
      <c r="G192" s="134" t="s">
        <v>341</v>
      </c>
      <c r="H192" s="134" t="s">
        <v>341</v>
      </c>
      <c r="I192" s="134"/>
      <c r="J192" s="134"/>
      <c r="K192" s="134" t="s">
        <v>174</v>
      </c>
      <c r="L192" s="134" t="s">
        <v>315</v>
      </c>
      <c r="M192" s="135" t="s">
        <v>1193</v>
      </c>
      <c r="N192" s="135" t="s">
        <v>1193</v>
      </c>
      <c r="O192" s="135" t="s">
        <v>1193</v>
      </c>
      <c r="P192" s="135" t="s">
        <v>1193</v>
      </c>
    </row>
    <row r="193" spans="1:16" x14ac:dyDescent="0.3">
      <c r="A193" s="134" t="s">
        <v>355</v>
      </c>
      <c r="B193" s="128"/>
      <c r="C193" s="134" t="s">
        <v>374</v>
      </c>
      <c r="D193" s="134" t="s">
        <v>103</v>
      </c>
      <c r="E193" s="134">
        <v>5400</v>
      </c>
      <c r="F193" s="134" t="s">
        <v>29</v>
      </c>
      <c r="G193" s="134" t="s">
        <v>342</v>
      </c>
      <c r="H193" s="134" t="s">
        <v>342</v>
      </c>
      <c r="I193" s="134"/>
      <c r="J193" s="134" t="s">
        <v>463</v>
      </c>
      <c r="K193" s="134" t="s">
        <v>174</v>
      </c>
      <c r="L193" s="134" t="s">
        <v>315</v>
      </c>
      <c r="M193" s="135" t="b">
        <v>1</v>
      </c>
      <c r="N193" s="135" t="b">
        <v>1</v>
      </c>
      <c r="O193" s="135" t="b">
        <v>1</v>
      </c>
      <c r="P193" s="135" t="b">
        <v>1</v>
      </c>
    </row>
    <row r="194" spans="1:16" x14ac:dyDescent="0.3">
      <c r="A194" s="134" t="s">
        <v>355</v>
      </c>
      <c r="B194" s="128"/>
      <c r="C194" s="134" t="s">
        <v>1096</v>
      </c>
      <c r="D194" s="134" t="s">
        <v>101</v>
      </c>
      <c r="E194" s="134">
        <v>300</v>
      </c>
      <c r="F194" s="134" t="s">
        <v>29</v>
      </c>
      <c r="G194" s="134" t="s">
        <v>342</v>
      </c>
      <c r="H194" s="134" t="s">
        <v>342</v>
      </c>
      <c r="I194" s="134"/>
      <c r="J194" s="134" t="s">
        <v>463</v>
      </c>
      <c r="K194" s="134" t="s">
        <v>174</v>
      </c>
      <c r="L194" s="134" t="s">
        <v>315</v>
      </c>
      <c r="M194" s="135" t="b">
        <v>1</v>
      </c>
      <c r="N194" s="135" t="b">
        <v>1</v>
      </c>
      <c r="O194" s="135" t="b">
        <v>1</v>
      </c>
      <c r="P194" s="135" t="b">
        <v>1</v>
      </c>
    </row>
    <row r="195" spans="1:16" x14ac:dyDescent="0.3">
      <c r="A195" s="134" t="s">
        <v>355</v>
      </c>
      <c r="B195" s="128"/>
      <c r="C195" s="134" t="s">
        <v>375</v>
      </c>
      <c r="D195" s="134" t="s">
        <v>29</v>
      </c>
      <c r="E195" s="134">
        <v>1</v>
      </c>
      <c r="F195" s="134" t="s">
        <v>29</v>
      </c>
      <c r="G195" s="134" t="s">
        <v>342</v>
      </c>
      <c r="H195" s="134" t="s">
        <v>342</v>
      </c>
      <c r="I195" s="134"/>
      <c r="J195" s="134" t="s">
        <v>463</v>
      </c>
      <c r="K195" s="134" t="s">
        <v>174</v>
      </c>
      <c r="L195" s="134" t="s">
        <v>315</v>
      </c>
      <c r="M195" s="135" t="b">
        <v>1</v>
      </c>
      <c r="N195" s="135" t="b">
        <v>1</v>
      </c>
      <c r="O195" s="135" t="b">
        <v>1</v>
      </c>
      <c r="P195" s="135" t="b">
        <v>1</v>
      </c>
    </row>
    <row r="196" spans="1:16" x14ac:dyDescent="0.3">
      <c r="A196" s="134" t="s">
        <v>355</v>
      </c>
      <c r="B196" s="125">
        <v>100322</v>
      </c>
      <c r="C196" s="125" t="s">
        <v>355</v>
      </c>
      <c r="D196" s="137" t="s">
        <v>35</v>
      </c>
      <c r="E196" s="134"/>
      <c r="F196" s="134"/>
      <c r="G196" s="134" t="s">
        <v>342</v>
      </c>
      <c r="H196" s="134" t="s">
        <v>342</v>
      </c>
      <c r="I196" s="134"/>
      <c r="J196" s="134" t="s">
        <v>463</v>
      </c>
      <c r="K196" s="134" t="s">
        <v>174</v>
      </c>
      <c r="L196" s="134" t="s">
        <v>315</v>
      </c>
      <c r="M196" s="135" t="b">
        <v>1</v>
      </c>
      <c r="N196" s="135" t="b">
        <v>1</v>
      </c>
      <c r="O196" s="135" t="b">
        <v>1</v>
      </c>
      <c r="P196" s="135" t="b">
        <v>1</v>
      </c>
    </row>
    <row r="197" spans="1:16" x14ac:dyDescent="0.3">
      <c r="A197" s="134" t="s">
        <v>554</v>
      </c>
      <c r="B197" s="128"/>
      <c r="C197" s="134" t="s">
        <v>1035</v>
      </c>
      <c r="D197" s="134" t="s">
        <v>557</v>
      </c>
      <c r="E197" s="124">
        <v>20000</v>
      </c>
      <c r="F197" s="134" t="s">
        <v>102</v>
      </c>
      <c r="G197" s="134" t="s">
        <v>342</v>
      </c>
      <c r="H197" s="134" t="s">
        <v>342</v>
      </c>
      <c r="I197" s="134"/>
      <c r="J197" s="134" t="s">
        <v>463</v>
      </c>
      <c r="K197" s="134" t="s">
        <v>175</v>
      </c>
      <c r="L197" s="134" t="s">
        <v>315</v>
      </c>
      <c r="M197" s="135" t="b">
        <v>1</v>
      </c>
      <c r="N197" s="135" t="b">
        <v>0</v>
      </c>
      <c r="O197" s="135" t="b">
        <v>0</v>
      </c>
      <c r="P197" s="135" t="b">
        <v>0</v>
      </c>
    </row>
    <row r="198" spans="1:16" x14ac:dyDescent="0.3">
      <c r="A198" s="134" t="s">
        <v>554</v>
      </c>
      <c r="B198" s="128"/>
      <c r="C198" s="134" t="s">
        <v>1050</v>
      </c>
      <c r="D198" s="134" t="s">
        <v>101</v>
      </c>
      <c r="E198" s="124">
        <v>500</v>
      </c>
      <c r="F198" s="134" t="s">
        <v>102</v>
      </c>
      <c r="G198" s="134" t="s">
        <v>342</v>
      </c>
      <c r="H198" s="134" t="s">
        <v>342</v>
      </c>
      <c r="I198" s="134"/>
      <c r="J198" s="134" t="s">
        <v>463</v>
      </c>
      <c r="K198" s="134" t="s">
        <v>175</v>
      </c>
      <c r="L198" s="134" t="s">
        <v>315</v>
      </c>
      <c r="M198" s="135" t="b">
        <v>1</v>
      </c>
      <c r="N198" s="135" t="b">
        <v>0</v>
      </c>
      <c r="O198" s="135" t="b">
        <v>0</v>
      </c>
      <c r="P198" s="135" t="b">
        <v>0</v>
      </c>
    </row>
    <row r="199" spans="1:16" x14ac:dyDescent="0.3">
      <c r="A199" s="134" t="s">
        <v>554</v>
      </c>
      <c r="B199" s="128"/>
      <c r="C199" s="134" t="s">
        <v>640</v>
      </c>
      <c r="D199" s="134" t="s">
        <v>102</v>
      </c>
      <c r="E199" s="124">
        <v>1</v>
      </c>
      <c r="F199" s="134" t="s">
        <v>102</v>
      </c>
      <c r="G199" s="134" t="s">
        <v>342</v>
      </c>
      <c r="H199" s="134" t="s">
        <v>342</v>
      </c>
      <c r="I199" s="134"/>
      <c r="J199" s="134" t="s">
        <v>463</v>
      </c>
      <c r="K199" s="134" t="s">
        <v>175</v>
      </c>
      <c r="L199" s="134" t="s">
        <v>315</v>
      </c>
      <c r="M199" s="135" t="b">
        <v>1</v>
      </c>
      <c r="N199" s="135" t="b">
        <v>0</v>
      </c>
      <c r="O199" s="135" t="b">
        <v>0</v>
      </c>
      <c r="P199" s="135" t="b">
        <v>0</v>
      </c>
    </row>
    <row r="200" spans="1:16" x14ac:dyDescent="0.3">
      <c r="A200" s="134" t="s">
        <v>554</v>
      </c>
      <c r="B200" s="128" t="s">
        <v>558</v>
      </c>
      <c r="C200" s="134" t="s">
        <v>554</v>
      </c>
      <c r="D200" s="134" t="s">
        <v>67</v>
      </c>
      <c r="E200" s="134"/>
      <c r="F200" s="134"/>
      <c r="G200" s="134" t="s">
        <v>342</v>
      </c>
      <c r="H200" s="134" t="s">
        <v>342</v>
      </c>
      <c r="I200" s="134"/>
      <c r="J200" s="134" t="s">
        <v>463</v>
      </c>
      <c r="K200" s="134" t="s">
        <v>175</v>
      </c>
      <c r="L200" s="134" t="s">
        <v>315</v>
      </c>
      <c r="M200" s="135" t="b">
        <v>1</v>
      </c>
      <c r="N200" s="135" t="b">
        <v>0</v>
      </c>
      <c r="O200" s="135" t="b">
        <v>0</v>
      </c>
      <c r="P200" s="135" t="b">
        <v>0</v>
      </c>
    </row>
    <row r="201" spans="1:16" x14ac:dyDescent="0.3">
      <c r="A201" s="134" t="s">
        <v>10</v>
      </c>
      <c r="B201" s="128"/>
      <c r="C201" s="134" t="s">
        <v>1051</v>
      </c>
      <c r="D201" s="134" t="s">
        <v>101</v>
      </c>
      <c r="E201" s="134">
        <v>1</v>
      </c>
      <c r="F201" s="134" t="s">
        <v>102</v>
      </c>
      <c r="G201" s="134" t="s">
        <v>342</v>
      </c>
      <c r="H201" s="134" t="s">
        <v>342</v>
      </c>
      <c r="I201" s="134"/>
      <c r="J201" s="134" t="s">
        <v>463</v>
      </c>
      <c r="K201" s="134" t="s">
        <v>175</v>
      </c>
      <c r="L201" s="134" t="s">
        <v>315</v>
      </c>
      <c r="M201" s="135" t="b">
        <v>1</v>
      </c>
      <c r="N201" s="135" t="b">
        <v>0</v>
      </c>
      <c r="O201" s="135" t="b">
        <v>0</v>
      </c>
      <c r="P201" s="135" t="b">
        <v>0</v>
      </c>
    </row>
    <row r="202" spans="1:16" x14ac:dyDescent="0.3">
      <c r="A202" s="134" t="s">
        <v>10</v>
      </c>
      <c r="B202" s="128" t="s">
        <v>560</v>
      </c>
      <c r="C202" s="134" t="s">
        <v>10</v>
      </c>
      <c r="D202" s="134" t="s">
        <v>556</v>
      </c>
      <c r="E202" s="134"/>
      <c r="F202" s="134"/>
      <c r="G202" s="134" t="s">
        <v>342</v>
      </c>
      <c r="H202" s="134" t="s">
        <v>342</v>
      </c>
      <c r="I202" s="134"/>
      <c r="J202" s="134" t="s">
        <v>463</v>
      </c>
      <c r="K202" s="134" t="s">
        <v>175</v>
      </c>
      <c r="L202" s="134" t="s">
        <v>315</v>
      </c>
      <c r="M202" s="135" t="b">
        <v>1</v>
      </c>
      <c r="N202" s="135" t="b">
        <v>0</v>
      </c>
      <c r="O202" s="135" t="b">
        <v>0</v>
      </c>
      <c r="P202" s="135" t="b">
        <v>0</v>
      </c>
    </row>
    <row r="203" spans="1:16" x14ac:dyDescent="0.3">
      <c r="A203" s="134" t="s">
        <v>574</v>
      </c>
      <c r="B203" s="128"/>
      <c r="C203" s="139" t="s">
        <v>1118</v>
      </c>
      <c r="D203" s="134" t="s">
        <v>103</v>
      </c>
      <c r="E203" s="134">
        <v>50</v>
      </c>
      <c r="F203" s="134" t="s">
        <v>102</v>
      </c>
      <c r="G203" s="134" t="s">
        <v>342</v>
      </c>
      <c r="H203" s="134" t="s">
        <v>342</v>
      </c>
      <c r="I203" s="134"/>
      <c r="J203" s="134" t="s">
        <v>463</v>
      </c>
      <c r="K203" s="134" t="s">
        <v>620</v>
      </c>
      <c r="L203" s="134" t="s">
        <v>623</v>
      </c>
      <c r="M203" s="135" t="s">
        <v>1193</v>
      </c>
      <c r="N203" s="135" t="s">
        <v>1193</v>
      </c>
      <c r="O203" s="135" t="s">
        <v>1193</v>
      </c>
      <c r="P203" s="135" t="s">
        <v>1193</v>
      </c>
    </row>
    <row r="204" spans="1:16" x14ac:dyDescent="0.3">
      <c r="A204" s="134" t="s">
        <v>574</v>
      </c>
      <c r="B204" s="139"/>
      <c r="C204" s="139" t="s">
        <v>572</v>
      </c>
      <c r="D204" s="134" t="s">
        <v>102</v>
      </c>
      <c r="E204" s="134">
        <v>1</v>
      </c>
      <c r="F204" s="134" t="s">
        <v>102</v>
      </c>
      <c r="G204" s="134" t="s">
        <v>342</v>
      </c>
      <c r="H204" s="134" t="s">
        <v>342</v>
      </c>
      <c r="I204" s="134"/>
      <c r="J204" s="134" t="s">
        <v>463</v>
      </c>
      <c r="K204" s="134" t="s">
        <v>620</v>
      </c>
      <c r="L204" s="134" t="s">
        <v>623</v>
      </c>
      <c r="M204" s="135" t="s">
        <v>1193</v>
      </c>
      <c r="N204" s="135" t="s">
        <v>1193</v>
      </c>
      <c r="O204" s="135" t="s">
        <v>1193</v>
      </c>
      <c r="P204" s="135" t="s">
        <v>1193</v>
      </c>
    </row>
    <row r="205" spans="1:16" x14ac:dyDescent="0.3">
      <c r="A205" s="134" t="s">
        <v>574</v>
      </c>
      <c r="B205" s="139" t="s">
        <v>573</v>
      </c>
      <c r="C205" s="139" t="s">
        <v>574</v>
      </c>
      <c r="D205" s="140" t="s">
        <v>67</v>
      </c>
      <c r="E205" s="134"/>
      <c r="F205" s="134"/>
      <c r="G205" s="134" t="s">
        <v>342</v>
      </c>
      <c r="H205" s="134" t="s">
        <v>342</v>
      </c>
      <c r="I205" s="134"/>
      <c r="J205" s="134" t="s">
        <v>463</v>
      </c>
      <c r="K205" s="134" t="s">
        <v>620</v>
      </c>
      <c r="L205" s="134" t="s">
        <v>623</v>
      </c>
      <c r="M205" s="135" t="s">
        <v>1193</v>
      </c>
      <c r="N205" s="135" t="s">
        <v>1193</v>
      </c>
      <c r="O205" s="135" t="s">
        <v>1193</v>
      </c>
      <c r="P205" s="135" t="s">
        <v>1193</v>
      </c>
    </row>
    <row r="206" spans="1:16" x14ac:dyDescent="0.3">
      <c r="A206" s="134" t="s">
        <v>503</v>
      </c>
      <c r="B206" s="139"/>
      <c r="C206" s="134" t="s">
        <v>1119</v>
      </c>
      <c r="D206" s="140" t="s">
        <v>101</v>
      </c>
      <c r="E206" s="134">
        <v>100</v>
      </c>
      <c r="F206" s="134" t="s">
        <v>549</v>
      </c>
      <c r="G206" s="134" t="s">
        <v>342</v>
      </c>
      <c r="H206" s="134" t="s">
        <v>342</v>
      </c>
      <c r="I206" s="134"/>
      <c r="J206" s="134"/>
      <c r="K206" s="134" t="s">
        <v>175</v>
      </c>
      <c r="L206" s="134" t="s">
        <v>315</v>
      </c>
      <c r="M206" s="135" t="b">
        <v>1</v>
      </c>
      <c r="N206" s="135" t="b">
        <v>1</v>
      </c>
      <c r="O206" s="135" t="b">
        <v>1</v>
      </c>
      <c r="P206" s="135" t="b">
        <v>1</v>
      </c>
    </row>
    <row r="207" spans="1:16" x14ac:dyDescent="0.3">
      <c r="A207" s="134" t="s">
        <v>503</v>
      </c>
      <c r="B207" s="128"/>
      <c r="C207" s="134" t="s">
        <v>525</v>
      </c>
      <c r="D207" s="134" t="s">
        <v>549</v>
      </c>
      <c r="E207" s="127">
        <v>1</v>
      </c>
      <c r="F207" s="134" t="s">
        <v>549</v>
      </c>
      <c r="G207" s="134" t="s">
        <v>342</v>
      </c>
      <c r="H207" s="134" t="s">
        <v>342</v>
      </c>
      <c r="I207" s="134"/>
      <c r="J207" s="134" t="s">
        <v>463</v>
      </c>
      <c r="K207" s="134" t="s">
        <v>175</v>
      </c>
      <c r="L207" s="134" t="s">
        <v>315</v>
      </c>
      <c r="M207" s="135" t="b">
        <v>1</v>
      </c>
      <c r="N207" s="135" t="b">
        <v>1</v>
      </c>
      <c r="O207" s="135" t="b">
        <v>1</v>
      </c>
      <c r="P207" s="135" t="b">
        <v>1</v>
      </c>
    </row>
    <row r="208" spans="1:16" x14ac:dyDescent="0.3">
      <c r="A208" s="134" t="s">
        <v>503</v>
      </c>
      <c r="B208" s="125" t="s">
        <v>521</v>
      </c>
      <c r="C208" s="125" t="s">
        <v>503</v>
      </c>
      <c r="D208" s="127" t="s">
        <v>150</v>
      </c>
      <c r="F208" s="73"/>
      <c r="G208" s="134" t="s">
        <v>342</v>
      </c>
      <c r="H208" s="134" t="s">
        <v>342</v>
      </c>
      <c r="I208" s="134"/>
      <c r="J208" s="134" t="s">
        <v>463</v>
      </c>
      <c r="K208" s="134" t="s">
        <v>175</v>
      </c>
      <c r="L208" s="134" t="s">
        <v>315</v>
      </c>
      <c r="M208" s="135" t="b">
        <v>1</v>
      </c>
      <c r="N208" s="135" t="b">
        <v>1</v>
      </c>
      <c r="O208" s="135" t="b">
        <v>1</v>
      </c>
      <c r="P208" s="135" t="b">
        <v>1</v>
      </c>
    </row>
    <row r="209" spans="1:16" x14ac:dyDescent="0.3">
      <c r="A209" s="134" t="s">
        <v>11</v>
      </c>
      <c r="B209" s="128"/>
      <c r="C209" s="139" t="s">
        <v>1052</v>
      </c>
      <c r="D209" s="134" t="s">
        <v>101</v>
      </c>
      <c r="E209" s="134">
        <v>1</v>
      </c>
      <c r="F209" s="134" t="s">
        <v>101</v>
      </c>
      <c r="G209" s="134" t="s">
        <v>342</v>
      </c>
      <c r="H209" s="134" t="s">
        <v>342</v>
      </c>
      <c r="I209" s="134"/>
      <c r="J209" s="134" t="s">
        <v>463</v>
      </c>
      <c r="K209" s="134" t="s">
        <v>175</v>
      </c>
      <c r="L209" s="134" t="s">
        <v>623</v>
      </c>
      <c r="M209" s="135" t="s">
        <v>1193</v>
      </c>
      <c r="N209" s="135" t="s">
        <v>1193</v>
      </c>
      <c r="O209" s="135" t="s">
        <v>1193</v>
      </c>
      <c r="P209" s="135" t="s">
        <v>1193</v>
      </c>
    </row>
    <row r="210" spans="1:16" x14ac:dyDescent="0.3">
      <c r="A210" s="134" t="s">
        <v>11</v>
      </c>
      <c r="B210" s="139" t="s">
        <v>566</v>
      </c>
      <c r="C210" s="139" t="s">
        <v>11</v>
      </c>
      <c r="D210" s="134" t="s">
        <v>556</v>
      </c>
      <c r="E210" s="134"/>
      <c r="F210" s="134"/>
      <c r="G210" s="134" t="s">
        <v>342</v>
      </c>
      <c r="H210" s="134" t="s">
        <v>342</v>
      </c>
      <c r="I210" s="134"/>
      <c r="J210" s="134" t="s">
        <v>463</v>
      </c>
      <c r="K210" s="134" t="s">
        <v>175</v>
      </c>
      <c r="L210" s="134" t="s">
        <v>623</v>
      </c>
      <c r="M210" s="135" t="s">
        <v>1193</v>
      </c>
      <c r="N210" s="135" t="s">
        <v>1193</v>
      </c>
      <c r="O210" s="135" t="s">
        <v>1193</v>
      </c>
      <c r="P210" s="135" t="s">
        <v>1193</v>
      </c>
    </row>
    <row r="211" spans="1:16" x14ac:dyDescent="0.3">
      <c r="A211" s="134" t="s">
        <v>12</v>
      </c>
      <c r="B211" s="128"/>
      <c r="C211" s="139" t="s">
        <v>1053</v>
      </c>
      <c r="D211" s="134" t="s">
        <v>101</v>
      </c>
      <c r="E211" s="134">
        <v>1</v>
      </c>
      <c r="F211" s="134" t="s">
        <v>101</v>
      </c>
      <c r="G211" s="134" t="s">
        <v>342</v>
      </c>
      <c r="H211" s="134" t="s">
        <v>342</v>
      </c>
      <c r="I211" s="134"/>
      <c r="J211" s="134" t="s">
        <v>463</v>
      </c>
      <c r="K211" s="134" t="s">
        <v>175</v>
      </c>
      <c r="L211" s="134" t="s">
        <v>623</v>
      </c>
      <c r="M211" s="135" t="s">
        <v>1193</v>
      </c>
      <c r="N211" s="135" t="s">
        <v>1193</v>
      </c>
      <c r="O211" s="135" t="s">
        <v>1193</v>
      </c>
      <c r="P211" s="135" t="s">
        <v>1193</v>
      </c>
    </row>
    <row r="212" spans="1:16" x14ac:dyDescent="0.3">
      <c r="A212" s="134" t="s">
        <v>12</v>
      </c>
      <c r="B212" s="139" t="s">
        <v>567</v>
      </c>
      <c r="C212" s="139" t="s">
        <v>12</v>
      </c>
      <c r="D212" s="134" t="s">
        <v>556</v>
      </c>
      <c r="E212" s="134"/>
      <c r="F212" s="134"/>
      <c r="G212" s="134" t="s">
        <v>342</v>
      </c>
      <c r="H212" s="134" t="s">
        <v>342</v>
      </c>
      <c r="I212" s="134"/>
      <c r="J212" s="134" t="s">
        <v>463</v>
      </c>
      <c r="K212" s="134" t="s">
        <v>175</v>
      </c>
      <c r="L212" s="134" t="s">
        <v>623</v>
      </c>
      <c r="M212" s="135" t="s">
        <v>1193</v>
      </c>
      <c r="N212" s="135" t="s">
        <v>1193</v>
      </c>
      <c r="O212" s="135" t="s">
        <v>1193</v>
      </c>
      <c r="P212" s="135" t="s">
        <v>1193</v>
      </c>
    </row>
    <row r="213" spans="1:16" x14ac:dyDescent="0.3">
      <c r="A213" s="134" t="s">
        <v>13</v>
      </c>
      <c r="B213" s="128"/>
      <c r="C213" s="134" t="s">
        <v>1054</v>
      </c>
      <c r="D213" s="134" t="s">
        <v>101</v>
      </c>
      <c r="E213" s="134">
        <v>1</v>
      </c>
      <c r="F213" s="134" t="s">
        <v>101</v>
      </c>
      <c r="G213" s="134" t="s">
        <v>342</v>
      </c>
      <c r="H213" s="134" t="s">
        <v>342</v>
      </c>
      <c r="I213" s="134"/>
      <c r="J213" s="134" t="s">
        <v>463</v>
      </c>
      <c r="K213" s="134" t="s">
        <v>175</v>
      </c>
      <c r="L213" s="134" t="s">
        <v>623</v>
      </c>
      <c r="M213" s="135" t="s">
        <v>1193</v>
      </c>
      <c r="N213" s="135" t="s">
        <v>1193</v>
      </c>
      <c r="O213" s="135" t="s">
        <v>1193</v>
      </c>
      <c r="P213" s="135" t="s">
        <v>1193</v>
      </c>
    </row>
    <row r="214" spans="1:16" x14ac:dyDescent="0.3">
      <c r="A214" s="134" t="s">
        <v>13</v>
      </c>
      <c r="B214" s="139" t="s">
        <v>564</v>
      </c>
      <c r="C214" s="139" t="s">
        <v>13</v>
      </c>
      <c r="D214" s="134" t="s">
        <v>556</v>
      </c>
      <c r="E214" s="134"/>
      <c r="F214" s="134"/>
      <c r="G214" s="134" t="s">
        <v>342</v>
      </c>
      <c r="H214" s="134" t="s">
        <v>342</v>
      </c>
      <c r="I214" s="134"/>
      <c r="J214" s="134" t="s">
        <v>463</v>
      </c>
      <c r="K214" s="134" t="s">
        <v>175</v>
      </c>
      <c r="L214" s="134" t="s">
        <v>623</v>
      </c>
      <c r="M214" s="135" t="s">
        <v>1193</v>
      </c>
      <c r="N214" s="135" t="s">
        <v>1193</v>
      </c>
      <c r="O214" s="135" t="s">
        <v>1193</v>
      </c>
      <c r="P214" s="135" t="s">
        <v>1193</v>
      </c>
    </row>
    <row r="215" spans="1:16" x14ac:dyDescent="0.3">
      <c r="A215" s="134" t="s">
        <v>14</v>
      </c>
      <c r="B215" s="128"/>
      <c r="C215" s="139" t="s">
        <v>1055</v>
      </c>
      <c r="D215" s="134" t="s">
        <v>101</v>
      </c>
      <c r="E215" s="134">
        <v>1</v>
      </c>
      <c r="F215" s="134" t="s">
        <v>101</v>
      </c>
      <c r="G215" s="134" t="s">
        <v>342</v>
      </c>
      <c r="H215" s="134" t="s">
        <v>342</v>
      </c>
      <c r="I215" s="134"/>
      <c r="J215" s="134" t="s">
        <v>463</v>
      </c>
      <c r="K215" s="134" t="s">
        <v>175</v>
      </c>
      <c r="L215" s="134" t="s">
        <v>623</v>
      </c>
      <c r="M215" s="135" t="s">
        <v>1193</v>
      </c>
      <c r="N215" s="135" t="s">
        <v>1193</v>
      </c>
      <c r="O215" s="135" t="s">
        <v>1193</v>
      </c>
      <c r="P215" s="135" t="s">
        <v>1193</v>
      </c>
    </row>
    <row r="216" spans="1:16" x14ac:dyDescent="0.3">
      <c r="A216" s="134" t="s">
        <v>14</v>
      </c>
      <c r="B216" s="139" t="s">
        <v>565</v>
      </c>
      <c r="C216" s="139" t="s">
        <v>14</v>
      </c>
      <c r="D216" s="134" t="s">
        <v>556</v>
      </c>
      <c r="E216" s="134"/>
      <c r="F216" s="134"/>
      <c r="G216" s="134" t="s">
        <v>342</v>
      </c>
      <c r="H216" s="134" t="s">
        <v>342</v>
      </c>
      <c r="I216" s="134"/>
      <c r="J216" s="134" t="s">
        <v>463</v>
      </c>
      <c r="K216" s="134" t="s">
        <v>175</v>
      </c>
      <c r="L216" s="134" t="s">
        <v>623</v>
      </c>
      <c r="M216" s="135" t="s">
        <v>1193</v>
      </c>
      <c r="N216" s="135" t="s">
        <v>1193</v>
      </c>
      <c r="O216" s="135" t="s">
        <v>1193</v>
      </c>
      <c r="P216" s="135" t="s">
        <v>1193</v>
      </c>
    </row>
    <row r="217" spans="1:16" x14ac:dyDescent="0.3">
      <c r="A217" s="134" t="s">
        <v>498</v>
      </c>
      <c r="B217" s="128"/>
      <c r="C217" s="134" t="s">
        <v>1073</v>
      </c>
      <c r="D217" s="134" t="s">
        <v>29</v>
      </c>
      <c r="E217" s="127">
        <v>1</v>
      </c>
      <c r="F217" s="134" t="s">
        <v>29</v>
      </c>
      <c r="G217" s="134" t="s">
        <v>342</v>
      </c>
      <c r="H217" s="134" t="s">
        <v>342</v>
      </c>
      <c r="I217" s="134"/>
      <c r="J217" s="134" t="s">
        <v>463</v>
      </c>
      <c r="K217" s="134" t="s">
        <v>174</v>
      </c>
      <c r="L217" s="134" t="s">
        <v>315</v>
      </c>
      <c r="M217" s="135" t="b">
        <v>1</v>
      </c>
      <c r="N217" s="135" t="b">
        <v>1</v>
      </c>
      <c r="O217" s="135" t="b">
        <v>1</v>
      </c>
      <c r="P217" s="135" t="b">
        <v>1</v>
      </c>
    </row>
    <row r="218" spans="1:16" x14ac:dyDescent="0.3">
      <c r="A218" s="134" t="s">
        <v>498</v>
      </c>
      <c r="B218" s="128"/>
      <c r="C218" s="134" t="s">
        <v>1301</v>
      </c>
      <c r="D218" s="134" t="s">
        <v>29</v>
      </c>
      <c r="E218" s="127">
        <v>1</v>
      </c>
      <c r="F218" s="134" t="s">
        <v>29</v>
      </c>
      <c r="G218" s="134" t="s">
        <v>342</v>
      </c>
      <c r="H218" s="134" t="s">
        <v>342</v>
      </c>
      <c r="I218" s="134"/>
      <c r="J218" s="134" t="s">
        <v>463</v>
      </c>
      <c r="K218" s="134" t="s">
        <v>174</v>
      </c>
      <c r="L218" s="134" t="s">
        <v>315</v>
      </c>
      <c r="M218" s="135" t="b">
        <v>1</v>
      </c>
      <c r="N218" s="135" t="b">
        <v>1</v>
      </c>
      <c r="O218" s="135" t="b">
        <v>1</v>
      </c>
      <c r="P218" s="135" t="b">
        <v>1</v>
      </c>
    </row>
    <row r="219" spans="1:16" x14ac:dyDescent="0.3">
      <c r="A219" s="134" t="s">
        <v>498</v>
      </c>
      <c r="B219" s="125" t="s">
        <v>520</v>
      </c>
      <c r="C219" s="125" t="s">
        <v>498</v>
      </c>
      <c r="D219" s="127" t="s">
        <v>35</v>
      </c>
      <c r="F219" s="73"/>
      <c r="G219" s="134" t="s">
        <v>342</v>
      </c>
      <c r="H219" s="134" t="s">
        <v>342</v>
      </c>
      <c r="I219" s="134"/>
      <c r="J219" s="134" t="s">
        <v>463</v>
      </c>
      <c r="K219" s="134" t="s">
        <v>174</v>
      </c>
      <c r="L219" s="134" t="s">
        <v>315</v>
      </c>
      <c r="M219" s="135" t="b">
        <v>1</v>
      </c>
      <c r="N219" s="135" t="b">
        <v>1</v>
      </c>
      <c r="O219" s="135" t="b">
        <v>1</v>
      </c>
      <c r="P219" s="135" t="b">
        <v>1</v>
      </c>
    </row>
    <row r="220" spans="1:16" ht="13" customHeight="1" x14ac:dyDescent="0.35">
      <c r="A220" s="134" t="s">
        <v>1339</v>
      </c>
      <c r="C220" s="125" t="s">
        <v>1376</v>
      </c>
      <c r="D220" s="134" t="s">
        <v>557</v>
      </c>
      <c r="E220">
        <v>21000</v>
      </c>
      <c r="F220" s="73" t="s">
        <v>29</v>
      </c>
      <c r="G220" s="134" t="s">
        <v>342</v>
      </c>
      <c r="H220" s="134" t="s">
        <v>342</v>
      </c>
      <c r="I220" s="134"/>
      <c r="J220" s="134" t="s">
        <v>463</v>
      </c>
      <c r="K220" s="134" t="s">
        <v>174</v>
      </c>
      <c r="L220" s="134" t="s">
        <v>315</v>
      </c>
      <c r="M220" s="135" t="b">
        <v>1</v>
      </c>
      <c r="N220" s="135" t="b">
        <v>1</v>
      </c>
      <c r="O220" s="135" t="b">
        <v>1</v>
      </c>
      <c r="P220" s="135" t="b">
        <v>1</v>
      </c>
    </row>
    <row r="221" spans="1:16" ht="13" customHeight="1" x14ac:dyDescent="0.35">
      <c r="A221" s="134" t="s">
        <v>1339</v>
      </c>
      <c r="C221" s="125" t="s">
        <v>1377</v>
      </c>
      <c r="D221" s="134" t="s">
        <v>101</v>
      </c>
      <c r="E221">
        <v>1000</v>
      </c>
      <c r="F221" s="73" t="s">
        <v>29</v>
      </c>
      <c r="G221" s="134" t="s">
        <v>342</v>
      </c>
      <c r="H221" s="134" t="s">
        <v>342</v>
      </c>
      <c r="I221" s="134"/>
      <c r="J221" s="134" t="s">
        <v>463</v>
      </c>
      <c r="K221" s="134" t="s">
        <v>174</v>
      </c>
      <c r="L221" s="134" t="s">
        <v>315</v>
      </c>
      <c r="M221" s="135" t="b">
        <v>1</v>
      </c>
      <c r="N221" s="135" t="b">
        <v>1</v>
      </c>
      <c r="O221" s="135" t="b">
        <v>1</v>
      </c>
      <c r="P221" s="135" t="b">
        <v>1</v>
      </c>
    </row>
    <row r="222" spans="1:16" ht="13" customHeight="1" x14ac:dyDescent="0.35">
      <c r="A222" s="134" t="s">
        <v>1339</v>
      </c>
      <c r="C222" s="125" t="s">
        <v>1457</v>
      </c>
      <c r="D222" s="134" t="s">
        <v>29</v>
      </c>
      <c r="E222">
        <v>1</v>
      </c>
      <c r="F222" s="73" t="s">
        <v>29</v>
      </c>
      <c r="G222" s="134" t="s">
        <v>342</v>
      </c>
      <c r="H222" s="134" t="s">
        <v>342</v>
      </c>
      <c r="I222" s="134"/>
      <c r="J222" s="134" t="s">
        <v>463</v>
      </c>
      <c r="K222" s="134" t="s">
        <v>174</v>
      </c>
      <c r="L222" s="134" t="s">
        <v>315</v>
      </c>
      <c r="M222" s="135" t="b">
        <v>1</v>
      </c>
      <c r="N222" s="135" t="b">
        <v>1</v>
      </c>
      <c r="O222" s="135" t="b">
        <v>1</v>
      </c>
      <c r="P222" s="135" t="b">
        <v>1</v>
      </c>
    </row>
    <row r="223" spans="1:16" ht="13" customHeight="1" x14ac:dyDescent="0.35">
      <c r="A223" s="134" t="s">
        <v>1339</v>
      </c>
      <c r="C223" s="125" t="s">
        <v>1418</v>
      </c>
      <c r="D223" s="134" t="s">
        <v>29</v>
      </c>
      <c r="E223">
        <v>25</v>
      </c>
      <c r="F223" s="73" t="s">
        <v>29</v>
      </c>
      <c r="G223" s="134" t="s">
        <v>341</v>
      </c>
      <c r="H223" s="134" t="s">
        <v>341</v>
      </c>
      <c r="I223" s="134" t="s">
        <v>1431</v>
      </c>
      <c r="J223" s="134" t="s">
        <v>457</v>
      </c>
      <c r="K223" s="134" t="s">
        <v>174</v>
      </c>
      <c r="L223" s="134" t="s">
        <v>315</v>
      </c>
      <c r="M223" s="135" t="b">
        <v>1</v>
      </c>
      <c r="N223" s="135" t="b">
        <v>1</v>
      </c>
      <c r="O223" s="135" t="b">
        <v>1</v>
      </c>
      <c r="P223" s="135" t="b">
        <v>1</v>
      </c>
    </row>
    <row r="224" spans="1:16" ht="13" customHeight="1" x14ac:dyDescent="0.35">
      <c r="A224" s="134" t="s">
        <v>1339</v>
      </c>
      <c r="B224" s="125">
        <v>100439</v>
      </c>
      <c r="C224" s="125" t="s">
        <v>1339</v>
      </c>
      <c r="D224" s="134" t="s">
        <v>35</v>
      </c>
      <c r="E224"/>
      <c r="F224" s="73"/>
      <c r="G224" s="134" t="s">
        <v>342</v>
      </c>
      <c r="H224" s="134" t="s">
        <v>342</v>
      </c>
      <c r="I224" s="134"/>
      <c r="J224" s="134" t="s">
        <v>463</v>
      </c>
      <c r="K224" s="134" t="s">
        <v>174</v>
      </c>
      <c r="L224" s="134" t="s">
        <v>315</v>
      </c>
      <c r="M224" s="135" t="b">
        <v>1</v>
      </c>
      <c r="N224" s="135" t="b">
        <v>1</v>
      </c>
      <c r="O224" s="135" t="b">
        <v>1</v>
      </c>
      <c r="P224" s="135" t="b">
        <v>1</v>
      </c>
    </row>
    <row r="225" spans="1:16" x14ac:dyDescent="0.3">
      <c r="A225" s="134" t="s">
        <v>1348</v>
      </c>
      <c r="C225" s="125" t="s">
        <v>1419</v>
      </c>
      <c r="D225" s="127" t="s">
        <v>103</v>
      </c>
      <c r="E225" s="134">
        <v>15000</v>
      </c>
      <c r="F225" s="73" t="s">
        <v>29</v>
      </c>
      <c r="G225" s="134" t="s">
        <v>342</v>
      </c>
      <c r="H225" s="134" t="s">
        <v>342</v>
      </c>
      <c r="I225" s="134"/>
      <c r="J225" s="134" t="s">
        <v>463</v>
      </c>
      <c r="K225" s="134" t="s">
        <v>174</v>
      </c>
      <c r="L225" s="134" t="s">
        <v>315</v>
      </c>
      <c r="M225" s="135" t="b">
        <v>1</v>
      </c>
      <c r="N225" s="135" t="b">
        <v>1</v>
      </c>
      <c r="O225" s="135" t="b">
        <v>1</v>
      </c>
      <c r="P225" s="135" t="b">
        <v>1</v>
      </c>
    </row>
    <row r="226" spans="1:16" x14ac:dyDescent="0.3">
      <c r="A226" s="134" t="s">
        <v>1348</v>
      </c>
      <c r="C226" s="125" t="s">
        <v>1420</v>
      </c>
      <c r="D226" s="127" t="s">
        <v>101</v>
      </c>
      <c r="E226" s="134">
        <v>1000</v>
      </c>
      <c r="F226" s="73" t="s">
        <v>29</v>
      </c>
      <c r="G226" s="134" t="s">
        <v>342</v>
      </c>
      <c r="H226" s="134" t="s">
        <v>342</v>
      </c>
      <c r="I226" s="134"/>
      <c r="J226" s="134" t="s">
        <v>463</v>
      </c>
      <c r="K226" s="134" t="s">
        <v>174</v>
      </c>
      <c r="L226" s="134" t="s">
        <v>315</v>
      </c>
      <c r="M226" s="135" t="b">
        <v>1</v>
      </c>
      <c r="N226" s="135" t="b">
        <v>1</v>
      </c>
      <c r="O226" s="135" t="b">
        <v>1</v>
      </c>
      <c r="P226" s="135" t="b">
        <v>1</v>
      </c>
    </row>
    <row r="227" spans="1:16" x14ac:dyDescent="0.3">
      <c r="A227" s="134" t="s">
        <v>1348</v>
      </c>
      <c r="C227" s="125" t="s">
        <v>1421</v>
      </c>
      <c r="D227" s="127" t="s">
        <v>29</v>
      </c>
      <c r="E227" s="134">
        <v>1</v>
      </c>
      <c r="F227" s="73" t="s">
        <v>29</v>
      </c>
      <c r="G227" s="134" t="s">
        <v>342</v>
      </c>
      <c r="H227" s="134" t="s">
        <v>342</v>
      </c>
      <c r="I227" s="134"/>
      <c r="J227" s="134" t="s">
        <v>463</v>
      </c>
      <c r="K227" s="134" t="s">
        <v>174</v>
      </c>
      <c r="L227" s="134" t="s">
        <v>315</v>
      </c>
      <c r="M227" s="135" t="b">
        <v>1</v>
      </c>
      <c r="N227" s="135" t="b">
        <v>1</v>
      </c>
      <c r="O227" s="135" t="b">
        <v>1</v>
      </c>
      <c r="P227" s="135" t="b">
        <v>1</v>
      </c>
    </row>
    <row r="228" spans="1:16" ht="13" customHeight="1" x14ac:dyDescent="0.35">
      <c r="A228" s="134" t="s">
        <v>1348</v>
      </c>
      <c r="B228" s="125">
        <v>100426</v>
      </c>
      <c r="C228" s="125" t="s">
        <v>1348</v>
      </c>
      <c r="D228" s="134" t="s">
        <v>35</v>
      </c>
      <c r="E228"/>
      <c r="F228" s="73"/>
      <c r="G228" s="134" t="s">
        <v>342</v>
      </c>
      <c r="H228" s="134" t="s">
        <v>342</v>
      </c>
      <c r="I228" s="134"/>
      <c r="J228" s="134" t="s">
        <v>463</v>
      </c>
      <c r="K228" s="134" t="s">
        <v>174</v>
      </c>
      <c r="L228" s="134" t="s">
        <v>315</v>
      </c>
      <c r="M228" s="135" t="b">
        <v>1</v>
      </c>
      <c r="N228" s="135" t="b">
        <v>1</v>
      </c>
      <c r="O228" s="135" t="b">
        <v>1</v>
      </c>
      <c r="P228" s="135" t="b">
        <v>1</v>
      </c>
    </row>
    <row r="229" spans="1:16" x14ac:dyDescent="0.3">
      <c r="A229" s="134" t="s">
        <v>15</v>
      </c>
      <c r="C229" s="127" t="s">
        <v>104</v>
      </c>
      <c r="D229" s="127" t="s">
        <v>103</v>
      </c>
      <c r="E229" s="123">
        <f>20*E230</f>
        <v>20000</v>
      </c>
      <c r="F229" s="73" t="s">
        <v>29</v>
      </c>
      <c r="G229" s="134" t="s">
        <v>341</v>
      </c>
      <c r="H229" s="134" t="s">
        <v>341</v>
      </c>
      <c r="I229" s="134"/>
      <c r="J229" s="134" t="s">
        <v>463</v>
      </c>
      <c r="K229" s="134" t="s">
        <v>174</v>
      </c>
      <c r="L229" s="134" t="s">
        <v>315</v>
      </c>
      <c r="M229" s="135" t="s">
        <v>1193</v>
      </c>
      <c r="N229" s="135" t="s">
        <v>1193</v>
      </c>
      <c r="O229" s="135" t="s">
        <v>1193</v>
      </c>
      <c r="P229" s="135" t="s">
        <v>1193</v>
      </c>
    </row>
    <row r="230" spans="1:16" x14ac:dyDescent="0.3">
      <c r="A230" s="134" t="s">
        <v>15</v>
      </c>
      <c r="C230" s="127" t="s">
        <v>105</v>
      </c>
      <c r="D230" s="127" t="s">
        <v>101</v>
      </c>
      <c r="E230" s="123">
        <v>1000</v>
      </c>
      <c r="F230" s="73" t="s">
        <v>29</v>
      </c>
      <c r="G230" s="134" t="s">
        <v>341</v>
      </c>
      <c r="H230" s="134" t="s">
        <v>341</v>
      </c>
      <c r="I230" s="134"/>
      <c r="J230" s="134" t="s">
        <v>463</v>
      </c>
      <c r="K230" s="134" t="s">
        <v>174</v>
      </c>
      <c r="L230" s="134" t="s">
        <v>315</v>
      </c>
      <c r="M230" s="135" t="s">
        <v>1193</v>
      </c>
      <c r="N230" s="135" t="s">
        <v>1193</v>
      </c>
      <c r="O230" s="135" t="s">
        <v>1193</v>
      </c>
      <c r="P230" s="135" t="s">
        <v>1193</v>
      </c>
    </row>
    <row r="231" spans="1:16" x14ac:dyDescent="0.3">
      <c r="A231" s="134" t="s">
        <v>15</v>
      </c>
      <c r="C231" s="127" t="s">
        <v>928</v>
      </c>
      <c r="D231" s="127" t="s">
        <v>29</v>
      </c>
      <c r="E231" s="123">
        <v>1</v>
      </c>
      <c r="F231" s="73" t="s">
        <v>29</v>
      </c>
      <c r="G231" s="134" t="s">
        <v>341</v>
      </c>
      <c r="H231" s="134" t="s">
        <v>341</v>
      </c>
      <c r="I231" s="134"/>
      <c r="J231" s="134" t="s">
        <v>463</v>
      </c>
      <c r="K231" s="134" t="s">
        <v>174</v>
      </c>
      <c r="L231" s="134" t="s">
        <v>315</v>
      </c>
      <c r="M231" s="135" t="s">
        <v>1193</v>
      </c>
      <c r="N231" s="135" t="s">
        <v>1193</v>
      </c>
      <c r="O231" s="135" t="s">
        <v>1193</v>
      </c>
      <c r="P231" s="135" t="s">
        <v>1193</v>
      </c>
    </row>
    <row r="232" spans="1:16" x14ac:dyDescent="0.3">
      <c r="A232" s="134" t="s">
        <v>15</v>
      </c>
      <c r="C232" s="127" t="s">
        <v>106</v>
      </c>
      <c r="D232" s="127" t="s">
        <v>29</v>
      </c>
      <c r="E232" s="123">
        <v>1</v>
      </c>
      <c r="F232" s="73" t="s">
        <v>29</v>
      </c>
      <c r="G232" s="134" t="s">
        <v>341</v>
      </c>
      <c r="H232" s="134" t="s">
        <v>341</v>
      </c>
      <c r="I232" s="134"/>
      <c r="J232" s="134" t="s">
        <v>463</v>
      </c>
      <c r="K232" s="134" t="s">
        <v>174</v>
      </c>
      <c r="L232" s="134" t="s">
        <v>315</v>
      </c>
      <c r="M232" s="135" t="s">
        <v>1193</v>
      </c>
      <c r="N232" s="135" t="s">
        <v>1193</v>
      </c>
      <c r="O232" s="135" t="s">
        <v>1193</v>
      </c>
      <c r="P232" s="135" t="s">
        <v>1193</v>
      </c>
    </row>
    <row r="233" spans="1:16" x14ac:dyDescent="0.3">
      <c r="A233" s="134" t="s">
        <v>15</v>
      </c>
      <c r="C233" s="127" t="s">
        <v>107</v>
      </c>
      <c r="D233" s="127" t="s">
        <v>29</v>
      </c>
      <c r="E233" s="123">
        <f>600/(600+600+2800)</f>
        <v>0.15</v>
      </c>
      <c r="F233" s="73" t="s">
        <v>29</v>
      </c>
      <c r="G233" s="134" t="s">
        <v>341</v>
      </c>
      <c r="H233" s="134" t="s">
        <v>341</v>
      </c>
      <c r="I233" s="134"/>
      <c r="J233" s="134" t="s">
        <v>463</v>
      </c>
      <c r="K233" s="134" t="s">
        <v>174</v>
      </c>
      <c r="L233" s="134" t="s">
        <v>315</v>
      </c>
      <c r="M233" s="135" t="s">
        <v>1193</v>
      </c>
      <c r="N233" s="135" t="s">
        <v>1193</v>
      </c>
      <c r="O233" s="135" t="s">
        <v>1193</v>
      </c>
      <c r="P233" s="135" t="s">
        <v>1193</v>
      </c>
    </row>
    <row r="234" spans="1:16" x14ac:dyDescent="0.3">
      <c r="A234" s="134" t="s">
        <v>15</v>
      </c>
      <c r="C234" s="127" t="s">
        <v>108</v>
      </c>
      <c r="D234" s="127" t="s">
        <v>29</v>
      </c>
      <c r="E234" s="123">
        <f>600/(600+600+2800)</f>
        <v>0.15</v>
      </c>
      <c r="F234" s="73" t="s">
        <v>29</v>
      </c>
      <c r="G234" s="134" t="s">
        <v>341</v>
      </c>
      <c r="H234" s="134" t="s">
        <v>341</v>
      </c>
      <c r="I234" s="134"/>
      <c r="J234" s="134" t="s">
        <v>463</v>
      </c>
      <c r="K234" s="134" t="s">
        <v>174</v>
      </c>
      <c r="L234" s="134" t="s">
        <v>315</v>
      </c>
      <c r="M234" s="135" t="s">
        <v>1193</v>
      </c>
      <c r="N234" s="135" t="s">
        <v>1193</v>
      </c>
      <c r="O234" s="135" t="s">
        <v>1193</v>
      </c>
      <c r="P234" s="135" t="s">
        <v>1193</v>
      </c>
    </row>
    <row r="235" spans="1:16" x14ac:dyDescent="0.3">
      <c r="A235" s="134" t="s">
        <v>15</v>
      </c>
      <c r="B235" s="125" t="s">
        <v>78</v>
      </c>
      <c r="C235" s="125" t="s">
        <v>15</v>
      </c>
      <c r="D235" s="137" t="s">
        <v>35</v>
      </c>
      <c r="F235" s="141"/>
      <c r="G235" s="134" t="s">
        <v>341</v>
      </c>
      <c r="H235" s="134" t="s">
        <v>341</v>
      </c>
      <c r="I235" s="134"/>
      <c r="J235" s="134" t="s">
        <v>463</v>
      </c>
      <c r="K235" s="134" t="s">
        <v>174</v>
      </c>
      <c r="L235" s="134" t="s">
        <v>315</v>
      </c>
      <c r="M235" s="135" t="s">
        <v>1193</v>
      </c>
      <c r="N235" s="135" t="s">
        <v>1193</v>
      </c>
      <c r="O235" s="135" t="s">
        <v>1193</v>
      </c>
      <c r="P235" s="135" t="s">
        <v>1193</v>
      </c>
    </row>
    <row r="236" spans="1:16" x14ac:dyDescent="0.3">
      <c r="A236" s="134" t="s">
        <v>16</v>
      </c>
      <c r="C236" s="127" t="s">
        <v>158</v>
      </c>
      <c r="D236" s="127" t="s">
        <v>103</v>
      </c>
      <c r="E236" s="123">
        <v>12000</v>
      </c>
      <c r="F236" s="73" t="s">
        <v>29</v>
      </c>
      <c r="G236" s="134" t="s">
        <v>341</v>
      </c>
      <c r="H236" s="134" t="s">
        <v>341</v>
      </c>
      <c r="I236" s="134"/>
      <c r="J236" s="134" t="s">
        <v>463</v>
      </c>
      <c r="K236" s="134" t="s">
        <v>174</v>
      </c>
      <c r="L236" s="134" t="s">
        <v>315</v>
      </c>
      <c r="M236" s="135" t="s">
        <v>1193</v>
      </c>
      <c r="N236" s="135" t="s">
        <v>1193</v>
      </c>
      <c r="O236" s="135" t="s">
        <v>1193</v>
      </c>
      <c r="P236" s="135" t="s">
        <v>1193</v>
      </c>
    </row>
    <row r="237" spans="1:16" x14ac:dyDescent="0.3">
      <c r="A237" s="134" t="s">
        <v>16</v>
      </c>
      <c r="C237" s="127" t="s">
        <v>159</v>
      </c>
      <c r="D237" s="127" t="s">
        <v>101</v>
      </c>
      <c r="E237" s="123">
        <v>1000</v>
      </c>
      <c r="F237" s="73" t="s">
        <v>29</v>
      </c>
      <c r="G237" s="134" t="s">
        <v>341</v>
      </c>
      <c r="H237" s="134" t="s">
        <v>341</v>
      </c>
      <c r="I237" s="134"/>
      <c r="J237" s="134" t="s">
        <v>463</v>
      </c>
      <c r="K237" s="134" t="s">
        <v>174</v>
      </c>
      <c r="L237" s="134" t="s">
        <v>315</v>
      </c>
      <c r="M237" s="135" t="s">
        <v>1193</v>
      </c>
      <c r="N237" s="135" t="s">
        <v>1193</v>
      </c>
      <c r="O237" s="135" t="s">
        <v>1193</v>
      </c>
      <c r="P237" s="135" t="s">
        <v>1193</v>
      </c>
    </row>
    <row r="238" spans="1:16" x14ac:dyDescent="0.3">
      <c r="A238" s="134" t="s">
        <v>16</v>
      </c>
      <c r="C238" s="127" t="s">
        <v>160</v>
      </c>
      <c r="D238" s="127" t="s">
        <v>29</v>
      </c>
      <c r="E238" s="123">
        <v>1</v>
      </c>
      <c r="F238" s="73" t="s">
        <v>29</v>
      </c>
      <c r="G238" s="134" t="s">
        <v>341</v>
      </c>
      <c r="H238" s="134" t="s">
        <v>341</v>
      </c>
      <c r="I238" s="134"/>
      <c r="J238" s="134" t="s">
        <v>463</v>
      </c>
      <c r="K238" s="134" t="s">
        <v>174</v>
      </c>
      <c r="L238" s="134" t="s">
        <v>315</v>
      </c>
      <c r="M238" s="135" t="s">
        <v>1193</v>
      </c>
      <c r="N238" s="135" t="s">
        <v>1193</v>
      </c>
      <c r="O238" s="135" t="s">
        <v>1193</v>
      </c>
      <c r="P238" s="135" t="s">
        <v>1193</v>
      </c>
    </row>
    <row r="239" spans="1:16" x14ac:dyDescent="0.3">
      <c r="A239" s="134" t="s">
        <v>16</v>
      </c>
      <c r="C239" s="127" t="s">
        <v>161</v>
      </c>
      <c r="D239" s="127" t="s">
        <v>29</v>
      </c>
      <c r="E239" s="123">
        <f>420/(420+2000+1580)</f>
        <v>0.105</v>
      </c>
      <c r="F239" s="73" t="s">
        <v>29</v>
      </c>
      <c r="G239" s="134" t="s">
        <v>341</v>
      </c>
      <c r="H239" s="134" t="s">
        <v>341</v>
      </c>
      <c r="I239" s="134"/>
      <c r="J239" s="134" t="s">
        <v>463</v>
      </c>
      <c r="K239" s="134" t="s">
        <v>174</v>
      </c>
      <c r="L239" s="134" t="s">
        <v>315</v>
      </c>
      <c r="M239" s="135" t="s">
        <v>1193</v>
      </c>
      <c r="N239" s="135" t="s">
        <v>1193</v>
      </c>
      <c r="O239" s="135" t="s">
        <v>1193</v>
      </c>
      <c r="P239" s="135" t="s">
        <v>1193</v>
      </c>
    </row>
    <row r="240" spans="1:16" x14ac:dyDescent="0.3">
      <c r="A240" s="134" t="s">
        <v>16</v>
      </c>
      <c r="C240" s="127" t="s">
        <v>162</v>
      </c>
      <c r="D240" s="127" t="s">
        <v>29</v>
      </c>
      <c r="E240" s="123">
        <f>420/(420+2000+1580)</f>
        <v>0.105</v>
      </c>
      <c r="F240" s="73" t="s">
        <v>29</v>
      </c>
      <c r="G240" s="134" t="s">
        <v>341</v>
      </c>
      <c r="H240" s="134" t="s">
        <v>341</v>
      </c>
      <c r="I240" s="134"/>
      <c r="J240" s="134" t="s">
        <v>463</v>
      </c>
      <c r="K240" s="134" t="s">
        <v>174</v>
      </c>
      <c r="L240" s="134" t="s">
        <v>315</v>
      </c>
      <c r="M240" s="135" t="s">
        <v>1193</v>
      </c>
      <c r="N240" s="135" t="s">
        <v>1193</v>
      </c>
      <c r="O240" s="135" t="s">
        <v>1193</v>
      </c>
      <c r="P240" s="135" t="s">
        <v>1193</v>
      </c>
    </row>
    <row r="241" spans="1:16" x14ac:dyDescent="0.3">
      <c r="A241" s="134" t="s">
        <v>16</v>
      </c>
      <c r="B241" s="125">
        <v>100204</v>
      </c>
      <c r="C241" s="125" t="s">
        <v>16</v>
      </c>
      <c r="D241" s="137" t="s">
        <v>35</v>
      </c>
      <c r="F241" s="141"/>
      <c r="G241" s="134" t="s">
        <v>341</v>
      </c>
      <c r="H241" s="134" t="s">
        <v>341</v>
      </c>
      <c r="I241" s="134"/>
      <c r="J241" s="134" t="s">
        <v>463</v>
      </c>
      <c r="K241" s="134" t="s">
        <v>174</v>
      </c>
      <c r="L241" s="134" t="s">
        <v>315</v>
      </c>
      <c r="M241" s="135" t="s">
        <v>1193</v>
      </c>
      <c r="N241" s="135" t="s">
        <v>1193</v>
      </c>
      <c r="O241" s="135" t="s">
        <v>1193</v>
      </c>
      <c r="P241" s="135" t="s">
        <v>1193</v>
      </c>
    </row>
    <row r="242" spans="1:16" x14ac:dyDescent="0.3">
      <c r="A242" s="134" t="s">
        <v>610</v>
      </c>
      <c r="B242" s="139"/>
      <c r="C242" s="139" t="s">
        <v>607</v>
      </c>
      <c r="D242" s="140" t="s">
        <v>608</v>
      </c>
      <c r="E242" s="124">
        <v>1</v>
      </c>
      <c r="F242" s="77" t="s">
        <v>1464</v>
      </c>
      <c r="G242" s="134" t="s">
        <v>342</v>
      </c>
      <c r="H242" s="134" t="s">
        <v>342</v>
      </c>
      <c r="I242" s="134"/>
      <c r="J242" s="134" t="s">
        <v>463</v>
      </c>
      <c r="K242" s="134" t="s">
        <v>1310</v>
      </c>
      <c r="L242" s="134" t="s">
        <v>623</v>
      </c>
      <c r="M242" s="135" t="s">
        <v>1193</v>
      </c>
      <c r="N242" s="135" t="s">
        <v>1193</v>
      </c>
      <c r="O242" s="135" t="s">
        <v>1193</v>
      </c>
      <c r="P242" s="135" t="s">
        <v>1193</v>
      </c>
    </row>
    <row r="243" spans="1:16" x14ac:dyDescent="0.3">
      <c r="A243" s="134" t="s">
        <v>610</v>
      </c>
      <c r="B243" s="139" t="s">
        <v>609</v>
      </c>
      <c r="C243" s="139" t="s">
        <v>610</v>
      </c>
      <c r="D243" s="140" t="s">
        <v>1471</v>
      </c>
      <c r="G243" s="134" t="s">
        <v>342</v>
      </c>
      <c r="H243" s="134" t="s">
        <v>342</v>
      </c>
      <c r="I243" s="134"/>
      <c r="J243" s="134" t="s">
        <v>463</v>
      </c>
      <c r="K243" s="134" t="s">
        <v>1310</v>
      </c>
      <c r="L243" s="134" t="s">
        <v>623</v>
      </c>
      <c r="M243" s="135" t="s">
        <v>1193</v>
      </c>
      <c r="N243" s="135" t="s">
        <v>1193</v>
      </c>
      <c r="O243" s="135" t="s">
        <v>1193</v>
      </c>
      <c r="P243" s="135" t="s">
        <v>1193</v>
      </c>
    </row>
    <row r="244" spans="1:16" x14ac:dyDescent="0.3">
      <c r="A244" s="134" t="s">
        <v>354</v>
      </c>
      <c r="B244" s="128"/>
      <c r="C244" s="134" t="s">
        <v>370</v>
      </c>
      <c r="D244" s="134" t="s">
        <v>103</v>
      </c>
      <c r="E244" s="134">
        <v>13800</v>
      </c>
      <c r="F244" s="134" t="s">
        <v>29</v>
      </c>
      <c r="G244" s="134" t="s">
        <v>342</v>
      </c>
      <c r="H244" s="134" t="s">
        <v>342</v>
      </c>
      <c r="I244" s="134"/>
      <c r="J244" s="134" t="s">
        <v>463</v>
      </c>
      <c r="K244" s="134" t="s">
        <v>174</v>
      </c>
      <c r="L244" s="134" t="s">
        <v>315</v>
      </c>
      <c r="M244" s="135" t="b">
        <v>1</v>
      </c>
      <c r="N244" s="135" t="b">
        <v>1</v>
      </c>
      <c r="O244" s="135" t="b">
        <v>1</v>
      </c>
      <c r="P244" s="135" t="b">
        <v>1</v>
      </c>
    </row>
    <row r="245" spans="1:16" x14ac:dyDescent="0.3">
      <c r="A245" s="134" t="s">
        <v>354</v>
      </c>
      <c r="B245" s="128"/>
      <c r="C245" s="134" t="s">
        <v>371</v>
      </c>
      <c r="D245" s="134" t="s">
        <v>372</v>
      </c>
      <c r="E245" s="134">
        <v>2300</v>
      </c>
      <c r="F245" s="134" t="s">
        <v>29</v>
      </c>
      <c r="G245" s="134" t="s">
        <v>342</v>
      </c>
      <c r="H245" s="134" t="s">
        <v>342</v>
      </c>
      <c r="I245" s="134"/>
      <c r="J245" s="134" t="s">
        <v>463</v>
      </c>
      <c r="K245" s="134" t="s">
        <v>174</v>
      </c>
      <c r="L245" s="134" t="s">
        <v>315</v>
      </c>
      <c r="M245" s="135" t="b">
        <v>1</v>
      </c>
      <c r="N245" s="135" t="b">
        <v>1</v>
      </c>
      <c r="O245" s="135" t="b">
        <v>1</v>
      </c>
      <c r="P245" s="135" t="b">
        <v>1</v>
      </c>
    </row>
    <row r="246" spans="1:16" x14ac:dyDescent="0.3">
      <c r="A246" s="134" t="s">
        <v>354</v>
      </c>
      <c r="B246" s="128"/>
      <c r="C246" s="134" t="s">
        <v>373</v>
      </c>
      <c r="D246" s="134" t="s">
        <v>29</v>
      </c>
      <c r="E246" s="134">
        <v>1</v>
      </c>
      <c r="F246" s="134" t="s">
        <v>29</v>
      </c>
      <c r="G246" s="134" t="s">
        <v>342</v>
      </c>
      <c r="H246" s="134" t="s">
        <v>342</v>
      </c>
      <c r="I246" s="134"/>
      <c r="J246" s="134" t="s">
        <v>463</v>
      </c>
      <c r="K246" s="134" t="s">
        <v>174</v>
      </c>
      <c r="L246" s="134" t="s">
        <v>315</v>
      </c>
      <c r="M246" s="135" t="b">
        <v>1</v>
      </c>
      <c r="N246" s="135" t="b">
        <v>1</v>
      </c>
      <c r="O246" s="135" t="b">
        <v>1</v>
      </c>
      <c r="P246" s="135" t="b">
        <v>1</v>
      </c>
    </row>
    <row r="247" spans="1:16" x14ac:dyDescent="0.3">
      <c r="A247" s="134" t="s">
        <v>354</v>
      </c>
      <c r="B247" s="125">
        <v>100314</v>
      </c>
      <c r="C247" s="125" t="s">
        <v>354</v>
      </c>
      <c r="D247" s="137" t="s">
        <v>35</v>
      </c>
      <c r="E247" s="134"/>
      <c r="F247" s="134"/>
      <c r="G247" s="134" t="s">
        <v>342</v>
      </c>
      <c r="H247" s="134" t="s">
        <v>342</v>
      </c>
      <c r="I247" s="134"/>
      <c r="J247" s="134" t="s">
        <v>463</v>
      </c>
      <c r="K247" s="134" t="s">
        <v>174</v>
      </c>
      <c r="L247" s="134" t="s">
        <v>315</v>
      </c>
      <c r="M247" s="135" t="b">
        <v>1</v>
      </c>
      <c r="N247" s="135" t="b">
        <v>1</v>
      </c>
      <c r="O247" s="135" t="b">
        <v>1</v>
      </c>
      <c r="P247" s="135" t="b">
        <v>1</v>
      </c>
    </row>
    <row r="248" spans="1:16" x14ac:dyDescent="0.3">
      <c r="A248" s="134" t="s">
        <v>918</v>
      </c>
      <c r="C248" s="125" t="s">
        <v>1008</v>
      </c>
      <c r="D248" s="134" t="s">
        <v>557</v>
      </c>
      <c r="E248" s="134">
        <v>2800</v>
      </c>
      <c r="F248" s="73" t="s">
        <v>102</v>
      </c>
      <c r="G248" s="134" t="s">
        <v>342</v>
      </c>
      <c r="H248" s="134" t="s">
        <v>342</v>
      </c>
      <c r="I248" s="134"/>
      <c r="J248" s="134"/>
      <c r="K248" s="134" t="s">
        <v>174</v>
      </c>
      <c r="L248" s="134" t="s">
        <v>315</v>
      </c>
      <c r="M248" s="135" t="s">
        <v>1193</v>
      </c>
      <c r="N248" s="135" t="s">
        <v>1193</v>
      </c>
      <c r="O248" s="135" t="s">
        <v>1193</v>
      </c>
      <c r="P248" s="135" t="s">
        <v>1193</v>
      </c>
    </row>
    <row r="249" spans="1:16" x14ac:dyDescent="0.3">
      <c r="A249" s="134" t="s">
        <v>918</v>
      </c>
      <c r="C249" s="125" t="s">
        <v>1009</v>
      </c>
      <c r="D249" s="134" t="s">
        <v>101</v>
      </c>
      <c r="E249" s="134">
        <v>40</v>
      </c>
      <c r="F249" s="73" t="s">
        <v>102</v>
      </c>
      <c r="G249" s="134" t="s">
        <v>342</v>
      </c>
      <c r="H249" s="134" t="s">
        <v>342</v>
      </c>
      <c r="I249" s="134"/>
      <c r="J249" s="134"/>
      <c r="K249" s="134" t="s">
        <v>174</v>
      </c>
      <c r="L249" s="134" t="s">
        <v>315</v>
      </c>
      <c r="M249" s="135" t="s">
        <v>1193</v>
      </c>
      <c r="N249" s="135" t="s">
        <v>1193</v>
      </c>
      <c r="O249" s="135" t="s">
        <v>1193</v>
      </c>
      <c r="P249" s="135" t="s">
        <v>1193</v>
      </c>
    </row>
    <row r="250" spans="1:16" x14ac:dyDescent="0.3">
      <c r="A250" s="134" t="s">
        <v>918</v>
      </c>
      <c r="C250" s="125" t="s">
        <v>1010</v>
      </c>
      <c r="D250" s="134" t="s">
        <v>102</v>
      </c>
      <c r="E250" s="134">
        <v>1</v>
      </c>
      <c r="F250" s="73" t="s">
        <v>102</v>
      </c>
      <c r="G250" s="134" t="s">
        <v>342</v>
      </c>
      <c r="H250" s="134" t="s">
        <v>342</v>
      </c>
      <c r="I250" s="134"/>
      <c r="J250" s="134"/>
      <c r="K250" s="134" t="s">
        <v>174</v>
      </c>
      <c r="L250" s="134" t="s">
        <v>315</v>
      </c>
      <c r="M250" s="135" t="s">
        <v>1193</v>
      </c>
      <c r="N250" s="135" t="s">
        <v>1193</v>
      </c>
      <c r="O250" s="135" t="s">
        <v>1193</v>
      </c>
      <c r="P250" s="135" t="s">
        <v>1193</v>
      </c>
    </row>
    <row r="251" spans="1:16" x14ac:dyDescent="0.3">
      <c r="A251" s="134" t="s">
        <v>918</v>
      </c>
      <c r="B251" s="125">
        <v>100405</v>
      </c>
      <c r="C251" s="125" t="s">
        <v>918</v>
      </c>
      <c r="D251" s="134" t="s">
        <v>67</v>
      </c>
      <c r="E251" s="134"/>
      <c r="F251" s="73"/>
      <c r="G251" s="134" t="s">
        <v>342</v>
      </c>
      <c r="H251" s="134" t="s">
        <v>342</v>
      </c>
      <c r="I251" s="134"/>
      <c r="J251" s="134"/>
      <c r="K251" s="134" t="s">
        <v>174</v>
      </c>
      <c r="L251" s="134" t="s">
        <v>315</v>
      </c>
      <c r="M251" s="135" t="s">
        <v>1193</v>
      </c>
      <c r="N251" s="135" t="s">
        <v>1193</v>
      </c>
      <c r="O251" s="135" t="s">
        <v>1193</v>
      </c>
      <c r="P251" s="135" t="s">
        <v>1193</v>
      </c>
    </row>
    <row r="252" spans="1:16" x14ac:dyDescent="0.3">
      <c r="A252" s="134" t="s">
        <v>636</v>
      </c>
      <c r="B252" s="152"/>
      <c r="C252" s="152" t="s">
        <v>1250</v>
      </c>
      <c r="D252" s="134" t="s">
        <v>103</v>
      </c>
      <c r="E252" s="134">
        <v>12000</v>
      </c>
      <c r="F252" s="73" t="s">
        <v>102</v>
      </c>
      <c r="G252" s="134" t="s">
        <v>342</v>
      </c>
      <c r="H252" s="134" t="s">
        <v>342</v>
      </c>
      <c r="I252" s="134"/>
      <c r="J252" s="134" t="s">
        <v>463</v>
      </c>
      <c r="K252" s="134" t="s">
        <v>175</v>
      </c>
      <c r="L252" s="134" t="s">
        <v>623</v>
      </c>
      <c r="M252" s="135" t="s">
        <v>1193</v>
      </c>
      <c r="N252" s="135" t="s">
        <v>1193</v>
      </c>
      <c r="O252" s="135" t="s">
        <v>1193</v>
      </c>
      <c r="P252" s="135" t="s">
        <v>1193</v>
      </c>
    </row>
    <row r="253" spans="1:16" x14ac:dyDescent="0.3">
      <c r="A253" s="134" t="s">
        <v>636</v>
      </c>
      <c r="B253" s="152"/>
      <c r="C253" s="152" t="s">
        <v>637</v>
      </c>
      <c r="D253" s="134" t="s">
        <v>102</v>
      </c>
      <c r="E253" s="134">
        <v>1</v>
      </c>
      <c r="F253" s="73" t="s">
        <v>102</v>
      </c>
      <c r="G253" s="134" t="s">
        <v>342</v>
      </c>
      <c r="H253" s="134" t="s">
        <v>342</v>
      </c>
      <c r="I253" s="134"/>
      <c r="J253" s="134" t="s">
        <v>463</v>
      </c>
      <c r="K253" s="134" t="s">
        <v>175</v>
      </c>
      <c r="L253" s="134" t="s">
        <v>623</v>
      </c>
      <c r="M253" s="135" t="s">
        <v>1193</v>
      </c>
      <c r="N253" s="135" t="s">
        <v>1193</v>
      </c>
      <c r="O253" s="135" t="s">
        <v>1193</v>
      </c>
      <c r="P253" s="135" t="s">
        <v>1193</v>
      </c>
    </row>
    <row r="254" spans="1:16" x14ac:dyDescent="0.3">
      <c r="A254" s="134" t="s">
        <v>636</v>
      </c>
      <c r="B254" s="152" t="s">
        <v>635</v>
      </c>
      <c r="C254" s="152" t="s">
        <v>636</v>
      </c>
      <c r="D254" s="134" t="s">
        <v>67</v>
      </c>
      <c r="E254" s="134"/>
      <c r="F254" s="73"/>
      <c r="G254" s="134" t="s">
        <v>342</v>
      </c>
      <c r="H254" s="134" t="s">
        <v>342</v>
      </c>
      <c r="I254" s="134"/>
      <c r="J254" s="134" t="s">
        <v>463</v>
      </c>
      <c r="K254" s="134" t="s">
        <v>175</v>
      </c>
      <c r="L254" s="134" t="s">
        <v>623</v>
      </c>
      <c r="M254" s="135" t="s">
        <v>1193</v>
      </c>
      <c r="N254" s="135" t="s">
        <v>1193</v>
      </c>
      <c r="O254" s="135" t="s">
        <v>1193</v>
      </c>
      <c r="P254" s="135" t="s">
        <v>1193</v>
      </c>
    </row>
    <row r="255" spans="1:16" x14ac:dyDescent="0.3">
      <c r="A255" s="134" t="s">
        <v>743</v>
      </c>
      <c r="B255" s="152"/>
      <c r="C255" s="152" t="s">
        <v>739</v>
      </c>
      <c r="D255" s="134" t="s">
        <v>103</v>
      </c>
      <c r="E255" s="134">
        <v>16200</v>
      </c>
      <c r="F255" s="73" t="s">
        <v>29</v>
      </c>
      <c r="G255" s="134" t="s">
        <v>342</v>
      </c>
      <c r="H255" s="134" t="s">
        <v>342</v>
      </c>
      <c r="I255" s="134"/>
      <c r="J255" s="134" t="s">
        <v>463</v>
      </c>
      <c r="K255" s="134" t="s">
        <v>744</v>
      </c>
      <c r="L255" s="134" t="s">
        <v>623</v>
      </c>
      <c r="M255" s="135" t="s">
        <v>1193</v>
      </c>
      <c r="N255" s="135" t="s">
        <v>1193</v>
      </c>
      <c r="O255" s="135" t="s">
        <v>1193</v>
      </c>
      <c r="P255" s="135" t="s">
        <v>1193</v>
      </c>
    </row>
    <row r="256" spans="1:16" s="125" customFormat="1" x14ac:dyDescent="0.3">
      <c r="A256" s="134" t="s">
        <v>743</v>
      </c>
      <c r="C256" s="125" t="s">
        <v>740</v>
      </c>
      <c r="D256" s="134" t="s">
        <v>125</v>
      </c>
      <c r="E256" s="134">
        <v>1000</v>
      </c>
      <c r="F256" s="73" t="s">
        <v>29</v>
      </c>
      <c r="G256" s="134" t="s">
        <v>342</v>
      </c>
      <c r="H256" s="134" t="s">
        <v>342</v>
      </c>
      <c r="I256" s="134"/>
      <c r="J256" s="134" t="s">
        <v>463</v>
      </c>
      <c r="K256" s="134" t="s">
        <v>744</v>
      </c>
      <c r="L256" s="134" t="s">
        <v>623</v>
      </c>
      <c r="M256" s="135" t="s">
        <v>1193</v>
      </c>
      <c r="N256" s="135" t="s">
        <v>1193</v>
      </c>
      <c r="O256" s="135" t="s">
        <v>1193</v>
      </c>
      <c r="P256" s="135" t="s">
        <v>1193</v>
      </c>
    </row>
    <row r="257" spans="1:16" x14ac:dyDescent="0.3">
      <c r="A257" s="134" t="s">
        <v>743</v>
      </c>
      <c r="C257" s="125" t="s">
        <v>741</v>
      </c>
      <c r="D257" s="134" t="s">
        <v>461</v>
      </c>
      <c r="E257" s="134">
        <v>1</v>
      </c>
      <c r="F257" s="73" t="s">
        <v>29</v>
      </c>
      <c r="G257" s="134" t="s">
        <v>342</v>
      </c>
      <c r="H257" s="134" t="s">
        <v>342</v>
      </c>
      <c r="I257" s="134"/>
      <c r="J257" s="134" t="s">
        <v>463</v>
      </c>
      <c r="K257" s="134" t="s">
        <v>744</v>
      </c>
      <c r="L257" s="134" t="s">
        <v>623</v>
      </c>
      <c r="M257" s="135" t="s">
        <v>1193</v>
      </c>
      <c r="N257" s="135" t="s">
        <v>1193</v>
      </c>
      <c r="O257" s="135" t="s">
        <v>1193</v>
      </c>
      <c r="P257" s="135" t="s">
        <v>1193</v>
      </c>
    </row>
    <row r="258" spans="1:16" x14ac:dyDescent="0.3">
      <c r="A258" s="134" t="s">
        <v>743</v>
      </c>
      <c r="B258" s="125" t="s">
        <v>742</v>
      </c>
      <c r="C258" s="125" t="s">
        <v>743</v>
      </c>
      <c r="D258" s="134" t="s">
        <v>35</v>
      </c>
      <c r="E258" s="134"/>
      <c r="F258" s="73"/>
      <c r="G258" s="134" t="s">
        <v>342</v>
      </c>
      <c r="H258" s="134" t="s">
        <v>342</v>
      </c>
      <c r="I258" s="134"/>
      <c r="J258" s="134" t="s">
        <v>463</v>
      </c>
      <c r="K258" s="134" t="s">
        <v>744</v>
      </c>
      <c r="L258" s="134" t="s">
        <v>623</v>
      </c>
      <c r="M258" s="135" t="s">
        <v>1193</v>
      </c>
      <c r="N258" s="135" t="s">
        <v>1193</v>
      </c>
      <c r="O258" s="135" t="s">
        <v>1193</v>
      </c>
      <c r="P258" s="135" t="s">
        <v>1193</v>
      </c>
    </row>
    <row r="259" spans="1:16" x14ac:dyDescent="0.3">
      <c r="A259" s="134" t="s">
        <v>917</v>
      </c>
      <c r="C259" s="125" t="s">
        <v>924</v>
      </c>
      <c r="D259" s="134" t="s">
        <v>103</v>
      </c>
      <c r="E259" s="134">
        <v>20000</v>
      </c>
      <c r="F259" s="73" t="s">
        <v>29</v>
      </c>
      <c r="G259" s="134" t="s">
        <v>341</v>
      </c>
      <c r="H259" s="134" t="s">
        <v>341</v>
      </c>
      <c r="I259" s="134"/>
      <c r="J259" s="134"/>
      <c r="K259" s="134" t="s">
        <v>174</v>
      </c>
      <c r="L259" s="134" t="s">
        <v>315</v>
      </c>
      <c r="M259" s="135" t="s">
        <v>1193</v>
      </c>
      <c r="N259" s="135" t="s">
        <v>1193</v>
      </c>
      <c r="O259" s="135" t="s">
        <v>1193</v>
      </c>
      <c r="P259" s="135" t="s">
        <v>1193</v>
      </c>
    </row>
    <row r="260" spans="1:16" x14ac:dyDescent="0.3">
      <c r="A260" s="134" t="s">
        <v>917</v>
      </c>
      <c r="C260" s="125" t="s">
        <v>925</v>
      </c>
      <c r="D260" s="134" t="s">
        <v>101</v>
      </c>
      <c r="E260" s="134">
        <v>1000</v>
      </c>
      <c r="F260" s="73" t="s">
        <v>29</v>
      </c>
      <c r="G260" s="134" t="s">
        <v>341</v>
      </c>
      <c r="H260" s="134" t="s">
        <v>341</v>
      </c>
      <c r="I260" s="134"/>
      <c r="J260" s="134"/>
      <c r="K260" s="134" t="s">
        <v>174</v>
      </c>
      <c r="L260" s="134" t="s">
        <v>315</v>
      </c>
      <c r="M260" s="135" t="s">
        <v>1193</v>
      </c>
      <c r="N260" s="135" t="s">
        <v>1193</v>
      </c>
      <c r="O260" s="135" t="s">
        <v>1193</v>
      </c>
      <c r="P260" s="135" t="s">
        <v>1193</v>
      </c>
    </row>
    <row r="261" spans="1:16" x14ac:dyDescent="0.3">
      <c r="A261" s="134" t="s">
        <v>917</v>
      </c>
      <c r="C261" s="125" t="s">
        <v>926</v>
      </c>
      <c r="D261" s="134" t="s">
        <v>29</v>
      </c>
      <c r="E261" s="134">
        <v>1</v>
      </c>
      <c r="F261" s="73" t="s">
        <v>29</v>
      </c>
      <c r="G261" s="134" t="s">
        <v>341</v>
      </c>
      <c r="H261" s="134" t="s">
        <v>341</v>
      </c>
      <c r="I261" s="134"/>
      <c r="J261" s="134"/>
      <c r="K261" s="134" t="s">
        <v>174</v>
      </c>
      <c r="L261" s="134" t="s">
        <v>315</v>
      </c>
      <c r="M261" s="135" t="s">
        <v>1193</v>
      </c>
      <c r="N261" s="135" t="s">
        <v>1193</v>
      </c>
      <c r="O261" s="135" t="s">
        <v>1193</v>
      </c>
      <c r="P261" s="135" t="s">
        <v>1193</v>
      </c>
    </row>
    <row r="262" spans="1:16" x14ac:dyDescent="0.3">
      <c r="A262" s="134" t="s">
        <v>917</v>
      </c>
      <c r="B262" s="125">
        <v>100293</v>
      </c>
      <c r="C262" s="125" t="s">
        <v>917</v>
      </c>
      <c r="D262" s="134" t="s">
        <v>35</v>
      </c>
      <c r="E262" s="134"/>
      <c r="F262" s="73"/>
      <c r="G262" s="134" t="s">
        <v>341</v>
      </c>
      <c r="H262" s="134" t="s">
        <v>341</v>
      </c>
      <c r="I262" s="134"/>
      <c r="J262" s="134"/>
      <c r="K262" s="134" t="s">
        <v>174</v>
      </c>
      <c r="L262" s="134" t="s">
        <v>315</v>
      </c>
      <c r="M262" s="135" t="s">
        <v>1193</v>
      </c>
      <c r="N262" s="135" t="s">
        <v>1193</v>
      </c>
      <c r="O262" s="135" t="s">
        <v>1193</v>
      </c>
      <c r="P262" s="135" t="s">
        <v>1193</v>
      </c>
    </row>
    <row r="263" spans="1:16" x14ac:dyDescent="0.3">
      <c r="A263" s="134" t="s">
        <v>593</v>
      </c>
      <c r="B263" s="139"/>
      <c r="C263" s="139" t="s">
        <v>590</v>
      </c>
      <c r="D263" s="134" t="s">
        <v>591</v>
      </c>
      <c r="E263" s="134">
        <v>1</v>
      </c>
      <c r="F263" s="134" t="s">
        <v>358</v>
      </c>
      <c r="G263" s="134" t="s">
        <v>342</v>
      </c>
      <c r="H263" s="134" t="s">
        <v>342</v>
      </c>
      <c r="I263" s="134"/>
      <c r="J263" s="134" t="s">
        <v>463</v>
      </c>
      <c r="K263" s="134" t="s">
        <v>621</v>
      </c>
      <c r="L263" s="134" t="s">
        <v>623</v>
      </c>
      <c r="M263" s="135" t="s">
        <v>1193</v>
      </c>
      <c r="N263" s="135" t="s">
        <v>1193</v>
      </c>
      <c r="O263" s="135" t="s">
        <v>1193</v>
      </c>
      <c r="P263" s="135" t="s">
        <v>1193</v>
      </c>
    </row>
    <row r="264" spans="1:16" x14ac:dyDescent="0.3">
      <c r="A264" s="134" t="s">
        <v>593</v>
      </c>
      <c r="B264" s="125" t="s">
        <v>592</v>
      </c>
      <c r="C264" s="125" t="s">
        <v>593</v>
      </c>
      <c r="D264" s="140" t="s">
        <v>69</v>
      </c>
      <c r="E264" s="134"/>
      <c r="F264" s="134"/>
      <c r="G264" s="134" t="s">
        <v>342</v>
      </c>
      <c r="H264" s="134" t="s">
        <v>342</v>
      </c>
      <c r="I264" s="134"/>
      <c r="J264" s="134" t="s">
        <v>463</v>
      </c>
      <c r="K264" s="134" t="s">
        <v>621</v>
      </c>
      <c r="L264" s="134" t="s">
        <v>623</v>
      </c>
      <c r="M264" s="135" t="s">
        <v>1193</v>
      </c>
      <c r="N264" s="135" t="s">
        <v>1193</v>
      </c>
      <c r="O264" s="135" t="s">
        <v>1193</v>
      </c>
      <c r="P264" s="135" t="s">
        <v>1193</v>
      </c>
    </row>
    <row r="265" spans="1:16" x14ac:dyDescent="0.3">
      <c r="A265" s="134" t="s">
        <v>17</v>
      </c>
      <c r="C265" s="127" t="s">
        <v>112</v>
      </c>
      <c r="D265" s="127" t="s">
        <v>103</v>
      </c>
      <c r="E265" s="123">
        <f>20*E266</f>
        <v>20000</v>
      </c>
      <c r="F265" s="74" t="s">
        <v>29</v>
      </c>
      <c r="G265" s="134" t="s">
        <v>341</v>
      </c>
      <c r="H265" s="134" t="s">
        <v>341</v>
      </c>
      <c r="I265" s="134"/>
      <c r="J265" s="134" t="s">
        <v>463</v>
      </c>
      <c r="K265" s="134" t="s">
        <v>174</v>
      </c>
      <c r="L265" s="134" t="s">
        <v>315</v>
      </c>
      <c r="M265" s="135" t="s">
        <v>1193</v>
      </c>
      <c r="N265" s="135" t="s">
        <v>1193</v>
      </c>
      <c r="O265" s="135" t="s">
        <v>1193</v>
      </c>
      <c r="P265" s="135" t="s">
        <v>1193</v>
      </c>
    </row>
    <row r="266" spans="1:16" x14ac:dyDescent="0.3">
      <c r="A266" s="134" t="s">
        <v>17</v>
      </c>
      <c r="C266" s="127" t="s">
        <v>113</v>
      </c>
      <c r="D266" s="127" t="s">
        <v>101</v>
      </c>
      <c r="E266" s="123">
        <v>1000</v>
      </c>
      <c r="F266" s="74" t="s">
        <v>29</v>
      </c>
      <c r="G266" s="134" t="s">
        <v>341</v>
      </c>
      <c r="H266" s="134" t="s">
        <v>341</v>
      </c>
      <c r="I266" s="134"/>
      <c r="J266" s="134" t="s">
        <v>463</v>
      </c>
      <c r="K266" s="134" t="s">
        <v>174</v>
      </c>
      <c r="L266" s="134" t="s">
        <v>315</v>
      </c>
      <c r="M266" s="135" t="s">
        <v>1193</v>
      </c>
      <c r="N266" s="135" t="s">
        <v>1193</v>
      </c>
      <c r="O266" s="135" t="s">
        <v>1193</v>
      </c>
      <c r="P266" s="135" t="s">
        <v>1193</v>
      </c>
    </row>
    <row r="267" spans="1:16" x14ac:dyDescent="0.3">
      <c r="A267" s="134" t="s">
        <v>17</v>
      </c>
      <c r="C267" s="127" t="s">
        <v>114</v>
      </c>
      <c r="D267" s="127" t="s">
        <v>29</v>
      </c>
      <c r="E267" s="123">
        <v>1</v>
      </c>
      <c r="F267" s="74" t="s">
        <v>29</v>
      </c>
      <c r="G267" s="134" t="s">
        <v>341</v>
      </c>
      <c r="H267" s="134" t="s">
        <v>341</v>
      </c>
      <c r="I267" s="134"/>
      <c r="J267" s="134" t="s">
        <v>463</v>
      </c>
      <c r="K267" s="134" t="s">
        <v>174</v>
      </c>
      <c r="L267" s="134" t="s">
        <v>315</v>
      </c>
      <c r="M267" s="135" t="s">
        <v>1193</v>
      </c>
      <c r="N267" s="135" t="s">
        <v>1193</v>
      </c>
      <c r="O267" s="135" t="s">
        <v>1193</v>
      </c>
      <c r="P267" s="135" t="s">
        <v>1193</v>
      </c>
    </row>
    <row r="268" spans="1:16" x14ac:dyDescent="0.3">
      <c r="A268" s="134" t="s">
        <v>17</v>
      </c>
      <c r="C268" s="127" t="s">
        <v>115</v>
      </c>
      <c r="D268" s="127" t="s">
        <v>29</v>
      </c>
      <c r="E268" s="123">
        <f>500/(1000+500+1700+800)</f>
        <v>0.125</v>
      </c>
      <c r="F268" s="74" t="s">
        <v>29</v>
      </c>
      <c r="G268" s="134" t="s">
        <v>341</v>
      </c>
      <c r="H268" s="134" t="s">
        <v>341</v>
      </c>
      <c r="I268" s="134"/>
      <c r="J268" s="134" t="s">
        <v>463</v>
      </c>
      <c r="K268" s="134" t="s">
        <v>174</v>
      </c>
      <c r="L268" s="134" t="s">
        <v>315</v>
      </c>
      <c r="M268" s="135" t="s">
        <v>1193</v>
      </c>
      <c r="N268" s="135" t="s">
        <v>1193</v>
      </c>
      <c r="O268" s="135" t="s">
        <v>1193</v>
      </c>
      <c r="P268" s="135" t="s">
        <v>1193</v>
      </c>
    </row>
    <row r="269" spans="1:16" x14ac:dyDescent="0.3">
      <c r="A269" s="134" t="s">
        <v>17</v>
      </c>
      <c r="C269" s="127" t="s">
        <v>116</v>
      </c>
      <c r="D269" s="127" t="s">
        <v>29</v>
      </c>
      <c r="E269" s="123">
        <f>500/(1000+500+1700+800)</f>
        <v>0.125</v>
      </c>
      <c r="F269" s="74" t="s">
        <v>29</v>
      </c>
      <c r="G269" s="134" t="s">
        <v>341</v>
      </c>
      <c r="H269" s="134" t="s">
        <v>341</v>
      </c>
      <c r="I269" s="134"/>
      <c r="J269" s="134" t="s">
        <v>463</v>
      </c>
      <c r="K269" s="134" t="s">
        <v>174</v>
      </c>
      <c r="L269" s="134" t="s">
        <v>315</v>
      </c>
      <c r="M269" s="135" t="s">
        <v>1193</v>
      </c>
      <c r="N269" s="135" t="s">
        <v>1193</v>
      </c>
      <c r="O269" s="135" t="s">
        <v>1193</v>
      </c>
      <c r="P269" s="135" t="s">
        <v>1193</v>
      </c>
    </row>
    <row r="270" spans="1:16" x14ac:dyDescent="0.3">
      <c r="A270" s="134" t="s">
        <v>17</v>
      </c>
      <c r="B270" s="125" t="s">
        <v>81</v>
      </c>
      <c r="C270" s="125" t="s">
        <v>17</v>
      </c>
      <c r="D270" s="137" t="s">
        <v>35</v>
      </c>
      <c r="F270" s="141"/>
      <c r="G270" s="134" t="s">
        <v>341</v>
      </c>
      <c r="H270" s="134" t="s">
        <v>341</v>
      </c>
      <c r="I270" s="134"/>
      <c r="J270" s="134" t="s">
        <v>463</v>
      </c>
      <c r="K270" s="134" t="s">
        <v>174</v>
      </c>
      <c r="L270" s="134" t="s">
        <v>315</v>
      </c>
      <c r="M270" s="135" t="s">
        <v>1193</v>
      </c>
      <c r="N270" s="135" t="s">
        <v>1193</v>
      </c>
      <c r="O270" s="135" t="s">
        <v>1193</v>
      </c>
      <c r="P270" s="135" t="s">
        <v>1193</v>
      </c>
    </row>
    <row r="271" spans="1:16" x14ac:dyDescent="0.3">
      <c r="A271" s="134" t="s">
        <v>18</v>
      </c>
      <c r="C271" s="127" t="s">
        <v>153</v>
      </c>
      <c r="D271" s="127" t="s">
        <v>103</v>
      </c>
      <c r="E271" s="123">
        <v>12000</v>
      </c>
      <c r="F271" s="74" t="s">
        <v>29</v>
      </c>
      <c r="G271" s="134" t="s">
        <v>341</v>
      </c>
      <c r="H271" s="134" t="s">
        <v>341</v>
      </c>
      <c r="I271" s="134"/>
      <c r="J271" s="134" t="s">
        <v>463</v>
      </c>
      <c r="K271" s="134" t="s">
        <v>174</v>
      </c>
      <c r="L271" s="134" t="s">
        <v>315</v>
      </c>
      <c r="M271" s="135" t="s">
        <v>1193</v>
      </c>
      <c r="N271" s="135" t="s">
        <v>1193</v>
      </c>
      <c r="O271" s="135" t="s">
        <v>1193</v>
      </c>
      <c r="P271" s="135" t="s">
        <v>1193</v>
      </c>
    </row>
    <row r="272" spans="1:16" x14ac:dyDescent="0.3">
      <c r="A272" s="134" t="s">
        <v>18</v>
      </c>
      <c r="C272" s="127" t="s">
        <v>154</v>
      </c>
      <c r="D272" s="127" t="s">
        <v>101</v>
      </c>
      <c r="E272" s="123">
        <v>1000</v>
      </c>
      <c r="F272" s="74" t="s">
        <v>29</v>
      </c>
      <c r="G272" s="134" t="s">
        <v>341</v>
      </c>
      <c r="H272" s="134" t="s">
        <v>341</v>
      </c>
      <c r="I272" s="134"/>
      <c r="J272" s="134" t="s">
        <v>463</v>
      </c>
      <c r="K272" s="134" t="s">
        <v>174</v>
      </c>
      <c r="L272" s="134" t="s">
        <v>315</v>
      </c>
      <c r="M272" s="135" t="s">
        <v>1193</v>
      </c>
      <c r="N272" s="135" t="s">
        <v>1193</v>
      </c>
      <c r="O272" s="135" t="s">
        <v>1193</v>
      </c>
      <c r="P272" s="135" t="s">
        <v>1193</v>
      </c>
    </row>
    <row r="273" spans="1:16" x14ac:dyDescent="0.3">
      <c r="A273" s="134" t="s">
        <v>18</v>
      </c>
      <c r="C273" s="127" t="s">
        <v>155</v>
      </c>
      <c r="D273" s="127" t="s">
        <v>29</v>
      </c>
      <c r="E273" s="123">
        <v>1</v>
      </c>
      <c r="F273" s="74" t="s">
        <v>29</v>
      </c>
      <c r="G273" s="134" t="s">
        <v>341</v>
      </c>
      <c r="H273" s="134" t="s">
        <v>341</v>
      </c>
      <c r="I273" s="134"/>
      <c r="J273" s="134" t="s">
        <v>463</v>
      </c>
      <c r="K273" s="134" t="s">
        <v>174</v>
      </c>
      <c r="L273" s="134" t="s">
        <v>315</v>
      </c>
      <c r="M273" s="135" t="s">
        <v>1193</v>
      </c>
      <c r="N273" s="135" t="s">
        <v>1193</v>
      </c>
      <c r="O273" s="135" t="s">
        <v>1193</v>
      </c>
      <c r="P273" s="135" t="s">
        <v>1193</v>
      </c>
    </row>
    <row r="274" spans="1:16" x14ac:dyDescent="0.3">
      <c r="A274" s="134" t="s">
        <v>18</v>
      </c>
      <c r="C274" s="127" t="s">
        <v>156</v>
      </c>
      <c r="D274" s="127" t="s">
        <v>29</v>
      </c>
      <c r="E274" s="123">
        <f>400/(400+2000+1600)</f>
        <v>0.1</v>
      </c>
      <c r="F274" s="74" t="s">
        <v>29</v>
      </c>
      <c r="G274" s="134" t="s">
        <v>341</v>
      </c>
      <c r="H274" s="134" t="s">
        <v>341</v>
      </c>
      <c r="I274" s="134"/>
      <c r="J274" s="134" t="s">
        <v>463</v>
      </c>
      <c r="K274" s="134" t="s">
        <v>174</v>
      </c>
      <c r="L274" s="134" t="s">
        <v>315</v>
      </c>
      <c r="M274" s="135" t="s">
        <v>1193</v>
      </c>
      <c r="N274" s="135" t="s">
        <v>1193</v>
      </c>
      <c r="O274" s="135" t="s">
        <v>1193</v>
      </c>
      <c r="P274" s="135" t="s">
        <v>1193</v>
      </c>
    </row>
    <row r="275" spans="1:16" x14ac:dyDescent="0.3">
      <c r="A275" s="134" t="s">
        <v>18</v>
      </c>
      <c r="C275" s="127" t="s">
        <v>157</v>
      </c>
      <c r="D275" s="127" t="s">
        <v>29</v>
      </c>
      <c r="E275" s="123">
        <f>400/(400+2000+1600)</f>
        <v>0.1</v>
      </c>
      <c r="F275" s="74" t="s">
        <v>29</v>
      </c>
      <c r="G275" s="134" t="s">
        <v>341</v>
      </c>
      <c r="H275" s="134" t="s">
        <v>341</v>
      </c>
      <c r="I275" s="134"/>
      <c r="J275" s="134" t="s">
        <v>463</v>
      </c>
      <c r="K275" s="134" t="s">
        <v>174</v>
      </c>
      <c r="L275" s="134" t="s">
        <v>315</v>
      </c>
      <c r="M275" s="135" t="s">
        <v>1193</v>
      </c>
      <c r="N275" s="135" t="s">
        <v>1193</v>
      </c>
      <c r="O275" s="135" t="s">
        <v>1193</v>
      </c>
      <c r="P275" s="135" t="s">
        <v>1193</v>
      </c>
    </row>
    <row r="276" spans="1:16" x14ac:dyDescent="0.3">
      <c r="A276" s="134" t="s">
        <v>18</v>
      </c>
      <c r="B276" s="125" t="s">
        <v>88</v>
      </c>
      <c r="C276" s="125" t="s">
        <v>18</v>
      </c>
      <c r="D276" s="137" t="s">
        <v>35</v>
      </c>
      <c r="F276" s="141"/>
      <c r="G276" s="134" t="s">
        <v>341</v>
      </c>
      <c r="H276" s="134" t="s">
        <v>341</v>
      </c>
      <c r="I276" s="134"/>
      <c r="J276" s="134" t="s">
        <v>463</v>
      </c>
      <c r="K276" s="134" t="s">
        <v>174</v>
      </c>
      <c r="L276" s="134" t="s">
        <v>315</v>
      </c>
      <c r="M276" s="135" t="s">
        <v>1193</v>
      </c>
      <c r="N276" s="135" t="s">
        <v>1193</v>
      </c>
      <c r="O276" s="135" t="s">
        <v>1193</v>
      </c>
      <c r="P276" s="135" t="s">
        <v>1193</v>
      </c>
    </row>
    <row r="277" spans="1:16" x14ac:dyDescent="0.3">
      <c r="A277" s="134" t="s">
        <v>19</v>
      </c>
      <c r="C277" s="127" t="s">
        <v>117</v>
      </c>
      <c r="D277" s="127" t="s">
        <v>103</v>
      </c>
      <c r="E277" s="123">
        <f>12*E278</f>
        <v>6720</v>
      </c>
      <c r="F277" s="73" t="s">
        <v>29</v>
      </c>
      <c r="G277" s="134" t="s">
        <v>342</v>
      </c>
      <c r="H277" s="134" t="s">
        <v>342</v>
      </c>
      <c r="I277" s="134"/>
      <c r="J277" s="134" t="s">
        <v>463</v>
      </c>
      <c r="K277" s="134" t="s">
        <v>174</v>
      </c>
      <c r="L277" s="134" t="s">
        <v>315</v>
      </c>
      <c r="M277" s="135" t="b">
        <v>1</v>
      </c>
      <c r="N277" s="135" t="b">
        <v>1</v>
      </c>
      <c r="O277" s="135" t="b">
        <v>1</v>
      </c>
      <c r="P277" s="135" t="b">
        <v>1</v>
      </c>
    </row>
    <row r="278" spans="1:16" x14ac:dyDescent="0.3">
      <c r="A278" s="134" t="s">
        <v>19</v>
      </c>
      <c r="C278" s="127" t="s">
        <v>118</v>
      </c>
      <c r="D278" s="127" t="s">
        <v>101</v>
      </c>
      <c r="E278" s="123">
        <v>560</v>
      </c>
      <c r="F278" s="73" t="s">
        <v>29</v>
      </c>
      <c r="G278" s="134" t="s">
        <v>342</v>
      </c>
      <c r="H278" s="134" t="s">
        <v>342</v>
      </c>
      <c r="I278" s="134"/>
      <c r="J278" s="134" t="s">
        <v>463</v>
      </c>
      <c r="K278" s="134" t="s">
        <v>174</v>
      </c>
      <c r="L278" s="134" t="s">
        <v>315</v>
      </c>
      <c r="M278" s="135" t="b">
        <v>1</v>
      </c>
      <c r="N278" s="135" t="b">
        <v>1</v>
      </c>
      <c r="O278" s="135" t="b">
        <v>1</v>
      </c>
      <c r="P278" s="135" t="b">
        <v>1</v>
      </c>
    </row>
    <row r="279" spans="1:16" x14ac:dyDescent="0.3">
      <c r="A279" s="134" t="s">
        <v>19</v>
      </c>
      <c r="C279" s="127" t="s">
        <v>119</v>
      </c>
      <c r="D279" s="127" t="s">
        <v>29</v>
      </c>
      <c r="E279" s="123">
        <v>1</v>
      </c>
      <c r="F279" s="73" t="s">
        <v>29</v>
      </c>
      <c r="G279" s="134" t="s">
        <v>342</v>
      </c>
      <c r="H279" s="134" t="s">
        <v>341</v>
      </c>
      <c r="I279" s="134"/>
      <c r="J279" s="134" t="s">
        <v>463</v>
      </c>
      <c r="K279" s="134" t="s">
        <v>174</v>
      </c>
      <c r="L279" s="134" t="s">
        <v>315</v>
      </c>
      <c r="M279" s="135" t="b">
        <v>1</v>
      </c>
      <c r="N279" s="135" t="b">
        <v>1</v>
      </c>
      <c r="O279" s="135" t="b">
        <v>1</v>
      </c>
      <c r="P279" s="135" t="b">
        <v>1</v>
      </c>
    </row>
    <row r="280" spans="1:16" x14ac:dyDescent="0.3">
      <c r="A280" s="134" t="s">
        <v>19</v>
      </c>
      <c r="C280" s="127" t="s">
        <v>120</v>
      </c>
      <c r="D280" s="127" t="s">
        <v>29</v>
      </c>
      <c r="E280" s="123">
        <f>380/(2000+380+1620)</f>
        <v>9.5000000000000001E-2</v>
      </c>
      <c r="F280" s="73" t="s">
        <v>29</v>
      </c>
      <c r="G280" s="134" t="s">
        <v>342</v>
      </c>
      <c r="H280" s="134" t="s">
        <v>341</v>
      </c>
      <c r="I280" s="134"/>
      <c r="J280" s="134" t="s">
        <v>463</v>
      </c>
      <c r="K280" s="134" t="s">
        <v>174</v>
      </c>
      <c r="L280" s="134" t="s">
        <v>315</v>
      </c>
      <c r="M280" s="135" t="b">
        <v>1</v>
      </c>
      <c r="N280" s="135" t="b">
        <v>1</v>
      </c>
      <c r="O280" s="135" t="b">
        <v>1</v>
      </c>
      <c r="P280" s="135" t="b">
        <v>1</v>
      </c>
    </row>
    <row r="281" spans="1:16" x14ac:dyDescent="0.3">
      <c r="A281" s="134" t="s">
        <v>19</v>
      </c>
      <c r="C281" s="127" t="s">
        <v>121</v>
      </c>
      <c r="D281" s="127" t="s">
        <v>29</v>
      </c>
      <c r="E281" s="123">
        <f>380/(2000+380+1620)</f>
        <v>9.5000000000000001E-2</v>
      </c>
      <c r="F281" s="73" t="s">
        <v>29</v>
      </c>
      <c r="G281" s="134" t="s">
        <v>342</v>
      </c>
      <c r="H281" s="134" t="s">
        <v>341</v>
      </c>
      <c r="I281" s="134"/>
      <c r="J281" s="134" t="s">
        <v>463</v>
      </c>
      <c r="K281" s="134" t="s">
        <v>174</v>
      </c>
      <c r="L281" s="134" t="s">
        <v>315</v>
      </c>
      <c r="M281" s="135" t="b">
        <v>1</v>
      </c>
      <c r="N281" s="135" t="b">
        <v>1</v>
      </c>
      <c r="O281" s="135" t="b">
        <v>1</v>
      </c>
      <c r="P281" s="135" t="b">
        <v>1</v>
      </c>
    </row>
    <row r="282" spans="1:16" x14ac:dyDescent="0.3">
      <c r="A282" s="134" t="s">
        <v>19</v>
      </c>
      <c r="B282" s="125" t="s">
        <v>74</v>
      </c>
      <c r="C282" s="125" t="s">
        <v>19</v>
      </c>
      <c r="D282" s="137" t="s">
        <v>35</v>
      </c>
      <c r="F282" s="141"/>
      <c r="G282" s="134" t="s">
        <v>342</v>
      </c>
      <c r="H282" s="134" t="s">
        <v>342</v>
      </c>
      <c r="I282" s="134"/>
      <c r="J282" s="134" t="s">
        <v>463</v>
      </c>
      <c r="K282" s="134" t="s">
        <v>174</v>
      </c>
      <c r="L282" s="134" t="s">
        <v>315</v>
      </c>
      <c r="M282" s="135" t="b">
        <v>1</v>
      </c>
      <c r="N282" s="135" t="b">
        <v>1</v>
      </c>
      <c r="O282" s="135" t="b">
        <v>1</v>
      </c>
      <c r="P282" s="135" t="b">
        <v>1</v>
      </c>
    </row>
    <row r="283" spans="1:16" x14ac:dyDescent="0.3">
      <c r="A283" s="134" t="s">
        <v>20</v>
      </c>
      <c r="C283" s="127" t="s">
        <v>1036</v>
      </c>
      <c r="D283" s="127" t="s">
        <v>103</v>
      </c>
      <c r="E283" s="123">
        <v>12000</v>
      </c>
      <c r="F283" s="74" t="s">
        <v>29</v>
      </c>
      <c r="G283" s="134" t="s">
        <v>342</v>
      </c>
      <c r="H283" s="134" t="s">
        <v>342</v>
      </c>
      <c r="I283" s="134"/>
      <c r="J283" s="134" t="s">
        <v>463</v>
      </c>
      <c r="K283" s="134" t="s">
        <v>174</v>
      </c>
      <c r="L283" s="134" t="s">
        <v>315</v>
      </c>
      <c r="M283" s="135" t="b">
        <v>1</v>
      </c>
      <c r="N283" s="135" t="b">
        <v>1</v>
      </c>
      <c r="O283" s="135" t="b">
        <v>1</v>
      </c>
      <c r="P283" s="135" t="b">
        <v>1</v>
      </c>
    </row>
    <row r="284" spans="1:16" x14ac:dyDescent="0.3">
      <c r="A284" s="134" t="s">
        <v>20</v>
      </c>
      <c r="C284" s="127" t="s">
        <v>1056</v>
      </c>
      <c r="D284" s="127" t="s">
        <v>101</v>
      </c>
      <c r="E284" s="123">
        <v>1000</v>
      </c>
      <c r="F284" s="74" t="s">
        <v>29</v>
      </c>
      <c r="G284" s="134" t="s">
        <v>342</v>
      </c>
      <c r="H284" s="134" t="s">
        <v>342</v>
      </c>
      <c r="I284" s="134"/>
      <c r="J284" s="134" t="s">
        <v>463</v>
      </c>
      <c r="K284" s="134" t="s">
        <v>174</v>
      </c>
      <c r="L284" s="134" t="s">
        <v>315</v>
      </c>
      <c r="M284" s="135" t="b">
        <v>1</v>
      </c>
      <c r="N284" s="135" t="b">
        <v>1</v>
      </c>
      <c r="O284" s="135" t="b">
        <v>1</v>
      </c>
      <c r="P284" s="135" t="b">
        <v>1</v>
      </c>
    </row>
    <row r="285" spans="1:16" x14ac:dyDescent="0.3">
      <c r="A285" s="134" t="s">
        <v>20</v>
      </c>
      <c r="C285" s="127" t="s">
        <v>1082</v>
      </c>
      <c r="D285" s="127" t="s">
        <v>29</v>
      </c>
      <c r="E285" s="123">
        <v>1</v>
      </c>
      <c r="F285" s="74" t="s">
        <v>29</v>
      </c>
      <c r="G285" s="134" t="s">
        <v>342</v>
      </c>
      <c r="H285" s="134" t="s">
        <v>342</v>
      </c>
      <c r="I285" s="134"/>
      <c r="J285" s="134" t="s">
        <v>463</v>
      </c>
      <c r="K285" s="134" t="s">
        <v>174</v>
      </c>
      <c r="L285" s="134" t="s">
        <v>315</v>
      </c>
      <c r="M285" s="135" t="b">
        <v>1</v>
      </c>
      <c r="N285" s="135" t="b">
        <v>1</v>
      </c>
      <c r="O285" s="135" t="b">
        <v>1</v>
      </c>
      <c r="P285" s="135" t="b">
        <v>1</v>
      </c>
    </row>
    <row r="286" spans="1:16" x14ac:dyDescent="0.3">
      <c r="A286" s="134" t="s">
        <v>20</v>
      </c>
      <c r="B286" s="125" t="s">
        <v>97</v>
      </c>
      <c r="C286" s="125" t="s">
        <v>20</v>
      </c>
      <c r="D286" s="127" t="s">
        <v>35</v>
      </c>
      <c r="F286" s="73"/>
      <c r="G286" s="134" t="s">
        <v>342</v>
      </c>
      <c r="H286" s="134" t="s">
        <v>342</v>
      </c>
      <c r="I286" s="134"/>
      <c r="J286" s="134" t="s">
        <v>463</v>
      </c>
      <c r="K286" s="134" t="s">
        <v>174</v>
      </c>
      <c r="L286" s="134" t="s">
        <v>315</v>
      </c>
      <c r="M286" s="135" t="b">
        <v>1</v>
      </c>
      <c r="N286" s="135" t="b">
        <v>1</v>
      </c>
      <c r="O286" s="135" t="b">
        <v>1</v>
      </c>
      <c r="P286" s="135" t="b">
        <v>1</v>
      </c>
    </row>
    <row r="287" spans="1:16" x14ac:dyDescent="0.3">
      <c r="A287" s="134" t="s">
        <v>499</v>
      </c>
      <c r="B287" s="128"/>
      <c r="C287" s="134" t="s">
        <v>973</v>
      </c>
      <c r="D287" s="134" t="s">
        <v>103</v>
      </c>
      <c r="E287" s="127">
        <v>500</v>
      </c>
      <c r="F287" s="134" t="s">
        <v>102</v>
      </c>
      <c r="G287" s="134" t="s">
        <v>342</v>
      </c>
      <c r="H287" s="134" t="s">
        <v>342</v>
      </c>
      <c r="I287" s="134"/>
      <c r="J287" s="134" t="s">
        <v>463</v>
      </c>
      <c r="K287" s="134" t="s">
        <v>175</v>
      </c>
      <c r="L287" s="134" t="s">
        <v>315</v>
      </c>
      <c r="M287" s="135" t="b">
        <v>1</v>
      </c>
      <c r="N287" s="135" t="b">
        <v>1</v>
      </c>
      <c r="O287" s="135" t="b">
        <v>0</v>
      </c>
      <c r="P287" s="135" t="b">
        <v>0</v>
      </c>
    </row>
    <row r="288" spans="1:16" x14ac:dyDescent="0.3">
      <c r="A288" s="134" t="s">
        <v>499</v>
      </c>
      <c r="B288" s="128"/>
      <c r="C288" s="134" t="s">
        <v>974</v>
      </c>
      <c r="D288" s="134" t="s">
        <v>969</v>
      </c>
      <c r="E288" s="127">
        <v>25</v>
      </c>
      <c r="F288" s="134" t="s">
        <v>102</v>
      </c>
      <c r="G288" s="134" t="s">
        <v>342</v>
      </c>
      <c r="H288" s="134" t="s">
        <v>342</v>
      </c>
      <c r="I288" s="134"/>
      <c r="J288" s="134" t="s">
        <v>463</v>
      </c>
      <c r="K288" s="134" t="s">
        <v>175</v>
      </c>
      <c r="L288" s="134" t="s">
        <v>315</v>
      </c>
      <c r="M288" s="135" t="b">
        <v>1</v>
      </c>
      <c r="N288" s="135" t="b">
        <v>1</v>
      </c>
      <c r="O288" s="135" t="b">
        <v>0</v>
      </c>
      <c r="P288" s="135" t="b">
        <v>0</v>
      </c>
    </row>
    <row r="289" spans="1:16" x14ac:dyDescent="0.3">
      <c r="A289" s="134" t="s">
        <v>499</v>
      </c>
      <c r="B289" s="128"/>
      <c r="C289" s="134" t="s">
        <v>975</v>
      </c>
      <c r="D289" s="134" t="s">
        <v>102</v>
      </c>
      <c r="E289" s="127">
        <v>1</v>
      </c>
      <c r="F289" s="134" t="s">
        <v>102</v>
      </c>
      <c r="G289" s="134" t="s">
        <v>342</v>
      </c>
      <c r="H289" s="134" t="s">
        <v>342</v>
      </c>
      <c r="I289" s="134"/>
      <c r="J289" s="134" t="s">
        <v>463</v>
      </c>
      <c r="K289" s="134" t="s">
        <v>175</v>
      </c>
      <c r="L289" s="134" t="s">
        <v>315</v>
      </c>
      <c r="M289" s="135" t="b">
        <v>1</v>
      </c>
      <c r="N289" s="135" t="b">
        <v>1</v>
      </c>
      <c r="O289" s="135" t="b">
        <v>0</v>
      </c>
      <c r="P289" s="135" t="b">
        <v>0</v>
      </c>
    </row>
    <row r="290" spans="1:16" x14ac:dyDescent="0.3">
      <c r="A290" s="134" t="s">
        <v>499</v>
      </c>
      <c r="B290" s="125">
        <v>100348</v>
      </c>
      <c r="C290" s="125" t="s">
        <v>499</v>
      </c>
      <c r="D290" s="127" t="s">
        <v>67</v>
      </c>
      <c r="F290" s="73"/>
      <c r="G290" s="134" t="s">
        <v>342</v>
      </c>
      <c r="H290" s="134" t="s">
        <v>342</v>
      </c>
      <c r="I290" s="134"/>
      <c r="J290" s="134" t="s">
        <v>463</v>
      </c>
      <c r="K290" s="134" t="s">
        <v>175</v>
      </c>
      <c r="L290" s="134" t="s">
        <v>315</v>
      </c>
      <c r="M290" s="135" t="b">
        <v>1</v>
      </c>
      <c r="N290" s="135" t="b">
        <v>1</v>
      </c>
      <c r="O290" s="135" t="b">
        <v>0</v>
      </c>
      <c r="P290" s="135" t="b">
        <v>0</v>
      </c>
    </row>
    <row r="291" spans="1:16" x14ac:dyDescent="0.3">
      <c r="A291" s="134" t="s">
        <v>488</v>
      </c>
      <c r="B291" s="128"/>
      <c r="C291" s="134" t="s">
        <v>972</v>
      </c>
      <c r="D291" s="134" t="s">
        <v>557</v>
      </c>
      <c r="E291" s="134">
        <v>500</v>
      </c>
      <c r="F291" s="73" t="s">
        <v>102</v>
      </c>
      <c r="G291" s="134" t="s">
        <v>342</v>
      </c>
      <c r="H291" s="134" t="s">
        <v>342</v>
      </c>
      <c r="I291" s="134"/>
      <c r="J291" s="134"/>
      <c r="K291" s="134" t="s">
        <v>175</v>
      </c>
      <c r="L291" s="134" t="s">
        <v>315</v>
      </c>
      <c r="M291" s="135" t="b">
        <v>1</v>
      </c>
      <c r="N291" s="135" t="b">
        <v>1</v>
      </c>
      <c r="O291" s="135" t="b">
        <v>0</v>
      </c>
      <c r="P291" s="135" t="b">
        <v>0</v>
      </c>
    </row>
    <row r="292" spans="1:16" x14ac:dyDescent="0.3">
      <c r="A292" s="134" t="s">
        <v>488</v>
      </c>
      <c r="B292" s="128"/>
      <c r="C292" s="134" t="s">
        <v>971</v>
      </c>
      <c r="D292" s="134" t="s">
        <v>101</v>
      </c>
      <c r="E292" s="134">
        <v>25</v>
      </c>
      <c r="F292" s="73" t="s">
        <v>102</v>
      </c>
      <c r="G292" s="134" t="s">
        <v>342</v>
      </c>
      <c r="H292" s="134" t="s">
        <v>342</v>
      </c>
      <c r="I292" s="134"/>
      <c r="J292" s="134"/>
      <c r="K292" s="134" t="s">
        <v>175</v>
      </c>
      <c r="L292" s="134" t="s">
        <v>315</v>
      </c>
      <c r="M292" s="135" t="b">
        <v>1</v>
      </c>
      <c r="N292" s="135" t="b">
        <v>1</v>
      </c>
      <c r="O292" s="135" t="b">
        <v>0</v>
      </c>
      <c r="P292" s="135" t="b">
        <v>0</v>
      </c>
    </row>
    <row r="293" spans="1:16" x14ac:dyDescent="0.3">
      <c r="A293" s="134" t="s">
        <v>488</v>
      </c>
      <c r="B293" s="128"/>
      <c r="C293" s="134" t="s">
        <v>970</v>
      </c>
      <c r="D293" s="134" t="s">
        <v>102</v>
      </c>
      <c r="E293" s="134">
        <v>1</v>
      </c>
      <c r="F293" s="73" t="s">
        <v>102</v>
      </c>
      <c r="G293" s="134" t="s">
        <v>342</v>
      </c>
      <c r="H293" s="134" t="s">
        <v>342</v>
      </c>
      <c r="I293" s="134"/>
      <c r="J293" s="134"/>
      <c r="K293" s="134" t="s">
        <v>175</v>
      </c>
      <c r="L293" s="134" t="s">
        <v>315</v>
      </c>
      <c r="M293" s="135" t="b">
        <v>1</v>
      </c>
      <c r="N293" s="135" t="b">
        <v>1</v>
      </c>
      <c r="O293" s="135" t="b">
        <v>0</v>
      </c>
      <c r="P293" s="135" t="b">
        <v>0</v>
      </c>
    </row>
    <row r="294" spans="1:16" x14ac:dyDescent="0.3">
      <c r="A294" s="134" t="s">
        <v>488</v>
      </c>
      <c r="B294" s="125" t="s">
        <v>519</v>
      </c>
      <c r="C294" s="125" t="s">
        <v>488</v>
      </c>
      <c r="D294" s="134" t="s">
        <v>67</v>
      </c>
      <c r="E294" s="134"/>
      <c r="F294" s="73"/>
      <c r="G294" s="134" t="s">
        <v>342</v>
      </c>
      <c r="H294" s="134" t="s">
        <v>342</v>
      </c>
      <c r="I294" s="134"/>
      <c r="J294" s="134"/>
      <c r="K294" s="134" t="s">
        <v>175</v>
      </c>
      <c r="L294" s="134" t="s">
        <v>315</v>
      </c>
      <c r="M294" s="135" t="b">
        <v>1</v>
      </c>
      <c r="N294" s="135" t="b">
        <v>1</v>
      </c>
      <c r="O294" s="135" t="b">
        <v>0</v>
      </c>
      <c r="P294" s="135" t="b">
        <v>0</v>
      </c>
    </row>
    <row r="295" spans="1:16" x14ac:dyDescent="0.3">
      <c r="A295" s="134" t="s">
        <v>986</v>
      </c>
      <c r="C295" s="125" t="s">
        <v>1013</v>
      </c>
      <c r="D295" s="134" t="s">
        <v>103</v>
      </c>
      <c r="E295" s="127">
        <v>0</v>
      </c>
      <c r="F295" s="134" t="s">
        <v>102</v>
      </c>
      <c r="G295" s="134" t="s">
        <v>341</v>
      </c>
      <c r="H295" s="134" t="s">
        <v>341</v>
      </c>
      <c r="I295" s="134"/>
      <c r="J295" s="134" t="s">
        <v>463</v>
      </c>
      <c r="K295" s="134" t="s">
        <v>175</v>
      </c>
      <c r="L295" s="134" t="s">
        <v>315</v>
      </c>
      <c r="M295" s="135" t="b">
        <v>1</v>
      </c>
      <c r="N295" s="135" t="b">
        <v>1</v>
      </c>
      <c r="O295" s="135" t="b">
        <v>0</v>
      </c>
      <c r="P295" s="135" t="b">
        <v>0</v>
      </c>
    </row>
    <row r="296" spans="1:16" x14ac:dyDescent="0.3">
      <c r="A296" s="134" t="s">
        <v>986</v>
      </c>
      <c r="C296" s="125" t="s">
        <v>1014</v>
      </c>
      <c r="D296" s="134" t="s">
        <v>969</v>
      </c>
      <c r="E296" s="127">
        <v>0</v>
      </c>
      <c r="F296" s="134" t="s">
        <v>102</v>
      </c>
      <c r="G296" s="134" t="s">
        <v>341</v>
      </c>
      <c r="H296" s="134" t="s">
        <v>341</v>
      </c>
      <c r="I296" s="134"/>
      <c r="J296" s="134"/>
      <c r="K296" s="134" t="s">
        <v>175</v>
      </c>
      <c r="L296" s="134" t="s">
        <v>315</v>
      </c>
      <c r="M296" s="135" t="b">
        <v>1</v>
      </c>
      <c r="N296" s="135" t="b">
        <v>1</v>
      </c>
      <c r="O296" s="135" t="b">
        <v>0</v>
      </c>
      <c r="P296" s="135" t="b">
        <v>0</v>
      </c>
    </row>
    <row r="297" spans="1:16" x14ac:dyDescent="0.3">
      <c r="A297" s="134" t="s">
        <v>986</v>
      </c>
      <c r="C297" s="125" t="s">
        <v>1015</v>
      </c>
      <c r="D297" s="134" t="s">
        <v>102</v>
      </c>
      <c r="E297" s="127">
        <v>0</v>
      </c>
      <c r="F297" s="134" t="s">
        <v>102</v>
      </c>
      <c r="G297" s="134" t="s">
        <v>341</v>
      </c>
      <c r="H297" s="134" t="s">
        <v>341</v>
      </c>
      <c r="I297" s="134"/>
      <c r="J297" s="134"/>
      <c r="K297" s="134" t="s">
        <v>175</v>
      </c>
      <c r="L297" s="134" t="s">
        <v>315</v>
      </c>
      <c r="M297" s="135" t="b">
        <v>1</v>
      </c>
      <c r="N297" s="135" t="b">
        <v>1</v>
      </c>
      <c r="O297" s="135" t="b">
        <v>0</v>
      </c>
      <c r="P297" s="135" t="b">
        <v>0</v>
      </c>
    </row>
    <row r="298" spans="1:16" x14ac:dyDescent="0.3">
      <c r="A298" s="134" t="s">
        <v>986</v>
      </c>
      <c r="B298" s="125">
        <v>1</v>
      </c>
      <c r="C298" s="125" t="s">
        <v>986</v>
      </c>
      <c r="D298" s="127" t="s">
        <v>67</v>
      </c>
      <c r="F298" s="73"/>
      <c r="G298" s="134" t="s">
        <v>341</v>
      </c>
      <c r="H298" s="134" t="s">
        <v>341</v>
      </c>
      <c r="I298" s="134"/>
      <c r="J298" s="134" t="s">
        <v>463</v>
      </c>
      <c r="K298" s="134" t="s">
        <v>175</v>
      </c>
      <c r="L298" s="134" t="s">
        <v>315</v>
      </c>
      <c r="M298" s="135" t="b">
        <v>1</v>
      </c>
      <c r="N298" s="135" t="b">
        <v>1</v>
      </c>
      <c r="O298" s="135" t="b">
        <v>0</v>
      </c>
      <c r="P298" s="135" t="b">
        <v>0</v>
      </c>
    </row>
    <row r="299" spans="1:16" x14ac:dyDescent="0.3">
      <c r="A299" s="134" t="s">
        <v>485</v>
      </c>
      <c r="C299" s="134" t="s">
        <v>1127</v>
      </c>
      <c r="D299" s="134" t="s">
        <v>103</v>
      </c>
      <c r="E299" s="142">
        <v>1000</v>
      </c>
      <c r="F299" s="73" t="s">
        <v>102</v>
      </c>
      <c r="G299" s="134" t="s">
        <v>342</v>
      </c>
      <c r="H299" s="134" t="s">
        <v>342</v>
      </c>
      <c r="I299" s="134"/>
      <c r="J299" s="134"/>
      <c r="K299" s="134" t="s">
        <v>175</v>
      </c>
      <c r="L299" s="134" t="s">
        <v>315</v>
      </c>
      <c r="M299" s="135" t="b">
        <v>1</v>
      </c>
      <c r="N299" s="135" t="b">
        <v>1</v>
      </c>
      <c r="O299" s="135" t="b">
        <v>0</v>
      </c>
      <c r="P299" s="135" t="b">
        <v>0</v>
      </c>
    </row>
    <row r="300" spans="1:16" x14ac:dyDescent="0.3">
      <c r="A300" s="134" t="s">
        <v>485</v>
      </c>
      <c r="C300" s="134" t="s">
        <v>1251</v>
      </c>
      <c r="D300" s="134" t="s">
        <v>969</v>
      </c>
      <c r="E300" s="142">
        <v>250</v>
      </c>
      <c r="F300" s="73" t="s">
        <v>102</v>
      </c>
      <c r="G300" s="134" t="s">
        <v>342</v>
      </c>
      <c r="H300" s="134" t="s">
        <v>342</v>
      </c>
      <c r="I300" s="134"/>
      <c r="J300" s="134"/>
      <c r="K300" s="134" t="s">
        <v>175</v>
      </c>
      <c r="L300" s="134" t="s">
        <v>315</v>
      </c>
      <c r="M300" s="135" t="b">
        <v>1</v>
      </c>
      <c r="N300" s="135" t="b">
        <v>1</v>
      </c>
      <c r="O300" s="135" t="b">
        <v>0</v>
      </c>
      <c r="P300" s="135" t="b">
        <v>0</v>
      </c>
    </row>
    <row r="301" spans="1:16" x14ac:dyDescent="0.3">
      <c r="A301" s="134" t="s">
        <v>485</v>
      </c>
      <c r="C301" s="134" t="s">
        <v>524</v>
      </c>
      <c r="D301" s="134" t="s">
        <v>102</v>
      </c>
      <c r="E301" s="127">
        <v>1</v>
      </c>
      <c r="F301" s="134" t="s">
        <v>102</v>
      </c>
      <c r="G301" s="134" t="s">
        <v>342</v>
      </c>
      <c r="H301" s="134" t="s">
        <v>342</v>
      </c>
      <c r="I301" s="134"/>
      <c r="J301" s="134" t="s">
        <v>463</v>
      </c>
      <c r="K301" s="134" t="s">
        <v>175</v>
      </c>
      <c r="L301" s="134" t="s">
        <v>315</v>
      </c>
      <c r="M301" s="135" t="b">
        <v>1</v>
      </c>
      <c r="N301" s="135" t="b">
        <v>1</v>
      </c>
      <c r="O301" s="135" t="b">
        <v>0</v>
      </c>
      <c r="P301" s="135" t="b">
        <v>0</v>
      </c>
    </row>
    <row r="302" spans="1:16" x14ac:dyDescent="0.3">
      <c r="A302" s="134" t="s">
        <v>485</v>
      </c>
      <c r="B302" s="125">
        <v>100353</v>
      </c>
      <c r="C302" s="125" t="s">
        <v>485</v>
      </c>
      <c r="D302" s="127" t="s">
        <v>67</v>
      </c>
      <c r="F302" s="73"/>
      <c r="G302" s="134" t="s">
        <v>342</v>
      </c>
      <c r="H302" s="134" t="s">
        <v>342</v>
      </c>
      <c r="I302" s="134"/>
      <c r="J302" s="134" t="s">
        <v>463</v>
      </c>
      <c r="K302" s="134" t="s">
        <v>175</v>
      </c>
      <c r="L302" s="134" t="s">
        <v>315</v>
      </c>
      <c r="M302" s="135" t="b">
        <v>1</v>
      </c>
      <c r="N302" s="135" t="b">
        <v>1</v>
      </c>
      <c r="O302" s="135" t="b">
        <v>0</v>
      </c>
      <c r="P302" s="135" t="b">
        <v>0</v>
      </c>
    </row>
    <row r="303" spans="1:16" x14ac:dyDescent="0.3">
      <c r="A303" s="134" t="s">
        <v>504</v>
      </c>
      <c r="C303" s="134" t="s">
        <v>1037</v>
      </c>
      <c r="D303" s="134" t="s">
        <v>103</v>
      </c>
      <c r="E303" s="127">
        <v>500</v>
      </c>
      <c r="F303" s="134" t="s">
        <v>102</v>
      </c>
      <c r="G303" s="134" t="s">
        <v>342</v>
      </c>
      <c r="H303" s="134" t="s">
        <v>342</v>
      </c>
      <c r="I303" s="134"/>
      <c r="J303" s="134" t="s">
        <v>463</v>
      </c>
      <c r="K303" s="134" t="s">
        <v>175</v>
      </c>
      <c r="L303" s="134" t="s">
        <v>315</v>
      </c>
      <c r="M303" s="135" t="b">
        <v>1</v>
      </c>
      <c r="N303" s="135" t="b">
        <v>1</v>
      </c>
      <c r="O303" s="135" t="b">
        <v>0</v>
      </c>
      <c r="P303" s="135" t="b">
        <v>0</v>
      </c>
    </row>
    <row r="304" spans="1:16" x14ac:dyDescent="0.3">
      <c r="A304" s="134" t="s">
        <v>504</v>
      </c>
      <c r="C304" s="134" t="s">
        <v>1120</v>
      </c>
      <c r="D304" s="134" t="s">
        <v>101</v>
      </c>
      <c r="E304" s="127">
        <v>25</v>
      </c>
      <c r="F304" s="134" t="s">
        <v>102</v>
      </c>
      <c r="G304" s="134" t="s">
        <v>342</v>
      </c>
      <c r="H304" s="134" t="s">
        <v>342</v>
      </c>
      <c r="I304" s="134"/>
      <c r="J304" s="134"/>
      <c r="K304" s="134" t="s">
        <v>175</v>
      </c>
      <c r="L304" s="134" t="s">
        <v>315</v>
      </c>
      <c r="M304" s="135" t="b">
        <v>1</v>
      </c>
      <c r="N304" s="135" t="b">
        <v>1</v>
      </c>
      <c r="O304" s="135" t="b">
        <v>0</v>
      </c>
      <c r="P304" s="135" t="b">
        <v>0</v>
      </c>
    </row>
    <row r="305" spans="1:16" x14ac:dyDescent="0.3">
      <c r="A305" s="134" t="s">
        <v>504</v>
      </c>
      <c r="C305" s="134" t="s">
        <v>1121</v>
      </c>
      <c r="D305" s="134" t="s">
        <v>102</v>
      </c>
      <c r="E305" s="127">
        <v>1</v>
      </c>
      <c r="F305" s="134" t="s">
        <v>102</v>
      </c>
      <c r="G305" s="134" t="s">
        <v>342</v>
      </c>
      <c r="H305" s="134" t="s">
        <v>342</v>
      </c>
      <c r="I305" s="134"/>
      <c r="J305" s="134"/>
      <c r="K305" s="134" t="s">
        <v>175</v>
      </c>
      <c r="L305" s="134" t="s">
        <v>315</v>
      </c>
      <c r="M305" s="135" t="b">
        <v>1</v>
      </c>
      <c r="N305" s="135" t="b">
        <v>1</v>
      </c>
      <c r="O305" s="135" t="b">
        <v>0</v>
      </c>
      <c r="P305" s="135" t="b">
        <v>0</v>
      </c>
    </row>
    <row r="306" spans="1:16" x14ac:dyDescent="0.3">
      <c r="A306" s="134" t="s">
        <v>504</v>
      </c>
      <c r="B306" s="125">
        <v>100349</v>
      </c>
      <c r="C306" s="125" t="s">
        <v>504</v>
      </c>
      <c r="D306" s="127" t="s">
        <v>67</v>
      </c>
      <c r="F306" s="73"/>
      <c r="G306" s="134" t="s">
        <v>342</v>
      </c>
      <c r="H306" s="134" t="s">
        <v>342</v>
      </c>
      <c r="I306" s="134"/>
      <c r="J306" s="134" t="s">
        <v>463</v>
      </c>
      <c r="K306" s="134" t="s">
        <v>175</v>
      </c>
      <c r="L306" s="134" t="s">
        <v>315</v>
      </c>
      <c r="M306" s="135" t="b">
        <v>1</v>
      </c>
      <c r="N306" s="135" t="b">
        <v>1</v>
      </c>
      <c r="O306" s="135" t="b">
        <v>0</v>
      </c>
      <c r="P306" s="135" t="b">
        <v>0</v>
      </c>
    </row>
    <row r="307" spans="1:16" x14ac:dyDescent="0.3">
      <c r="A307" s="134" t="s">
        <v>921</v>
      </c>
      <c r="B307" s="128"/>
      <c r="C307" s="134" t="s">
        <v>1016</v>
      </c>
      <c r="D307" s="134" t="s">
        <v>102</v>
      </c>
      <c r="E307" s="134">
        <v>1</v>
      </c>
      <c r="F307" s="134" t="s">
        <v>102</v>
      </c>
      <c r="G307" s="134" t="s">
        <v>342</v>
      </c>
      <c r="H307" s="134" t="s">
        <v>342</v>
      </c>
      <c r="I307" s="134"/>
      <c r="J307" s="134" t="s">
        <v>463</v>
      </c>
      <c r="K307" s="134" t="s">
        <v>175</v>
      </c>
      <c r="L307" s="134" t="s">
        <v>623</v>
      </c>
      <c r="M307" s="135" t="s">
        <v>1193</v>
      </c>
      <c r="N307" s="135" t="s">
        <v>1193</v>
      </c>
      <c r="O307" s="135" t="s">
        <v>1193</v>
      </c>
      <c r="P307" s="135" t="s">
        <v>1193</v>
      </c>
    </row>
    <row r="308" spans="1:16" x14ac:dyDescent="0.3">
      <c r="A308" s="134" t="s">
        <v>921</v>
      </c>
      <c r="B308" s="128">
        <v>100410</v>
      </c>
      <c r="C308" s="134" t="s">
        <v>921</v>
      </c>
      <c r="D308" s="134" t="s">
        <v>67</v>
      </c>
      <c r="E308" s="134"/>
      <c r="F308" s="134"/>
      <c r="G308" s="134" t="s">
        <v>342</v>
      </c>
      <c r="H308" s="134" t="s">
        <v>342</v>
      </c>
      <c r="I308" s="134"/>
      <c r="J308" s="134" t="s">
        <v>463</v>
      </c>
      <c r="K308" s="134" t="s">
        <v>175</v>
      </c>
      <c r="L308" s="134" t="s">
        <v>623</v>
      </c>
      <c r="M308" s="135" t="s">
        <v>1193</v>
      </c>
      <c r="N308" s="135" t="s">
        <v>1193</v>
      </c>
      <c r="O308" s="135" t="s">
        <v>1193</v>
      </c>
      <c r="P308" s="135" t="s">
        <v>1193</v>
      </c>
    </row>
    <row r="309" spans="1:16" x14ac:dyDescent="0.3">
      <c r="A309" s="134" t="s">
        <v>350</v>
      </c>
      <c r="B309" s="128"/>
      <c r="C309" s="134" t="s">
        <v>360</v>
      </c>
      <c r="D309" s="134" t="s">
        <v>103</v>
      </c>
      <c r="E309" s="134">
        <v>5000</v>
      </c>
      <c r="F309" s="134" t="s">
        <v>29</v>
      </c>
      <c r="G309" s="134" t="s">
        <v>342</v>
      </c>
      <c r="H309" s="134" t="s">
        <v>342</v>
      </c>
      <c r="I309" s="134"/>
      <c r="J309" s="134" t="s">
        <v>463</v>
      </c>
      <c r="K309" s="134" t="s">
        <v>174</v>
      </c>
      <c r="L309" s="134" t="s">
        <v>315</v>
      </c>
      <c r="M309" s="135" t="b">
        <v>1</v>
      </c>
      <c r="N309" s="135" t="b">
        <v>1</v>
      </c>
      <c r="O309" s="135" t="b">
        <v>1</v>
      </c>
      <c r="P309" s="135" t="b">
        <v>1</v>
      </c>
    </row>
    <row r="310" spans="1:16" x14ac:dyDescent="0.3">
      <c r="A310" s="134" t="s">
        <v>350</v>
      </c>
      <c r="B310" s="128"/>
      <c r="C310" s="134" t="s">
        <v>1057</v>
      </c>
      <c r="D310" s="134" t="s">
        <v>101</v>
      </c>
      <c r="E310" s="134">
        <v>1000</v>
      </c>
      <c r="F310" s="134" t="s">
        <v>29</v>
      </c>
      <c r="G310" s="134" t="s">
        <v>342</v>
      </c>
      <c r="H310" s="134" t="s">
        <v>342</v>
      </c>
      <c r="I310" s="134"/>
      <c r="J310" s="134" t="s">
        <v>463</v>
      </c>
      <c r="K310" s="134" t="s">
        <v>174</v>
      </c>
      <c r="L310" s="134" t="s">
        <v>315</v>
      </c>
      <c r="M310" s="135" t="b">
        <v>1</v>
      </c>
      <c r="N310" s="135" t="b">
        <v>1</v>
      </c>
      <c r="O310" s="135" t="b">
        <v>1</v>
      </c>
      <c r="P310" s="135" t="b">
        <v>1</v>
      </c>
    </row>
    <row r="311" spans="1:16" x14ac:dyDescent="0.3">
      <c r="A311" s="134" t="s">
        <v>350</v>
      </c>
      <c r="B311" s="128"/>
      <c r="C311" s="134" t="s">
        <v>361</v>
      </c>
      <c r="D311" s="134" t="s">
        <v>29</v>
      </c>
      <c r="E311" s="134">
        <v>1</v>
      </c>
      <c r="F311" s="134" t="s">
        <v>29</v>
      </c>
      <c r="G311" s="134" t="s">
        <v>342</v>
      </c>
      <c r="H311" s="134" t="s">
        <v>342</v>
      </c>
      <c r="I311" s="134"/>
      <c r="J311" s="134" t="s">
        <v>463</v>
      </c>
      <c r="K311" s="134" t="s">
        <v>174</v>
      </c>
      <c r="L311" s="134" t="s">
        <v>315</v>
      </c>
      <c r="M311" s="135" t="b">
        <v>1</v>
      </c>
      <c r="N311" s="135" t="b">
        <v>1</v>
      </c>
      <c r="O311" s="135" t="b">
        <v>1</v>
      </c>
      <c r="P311" s="135" t="b">
        <v>1</v>
      </c>
    </row>
    <row r="312" spans="1:16" x14ac:dyDescent="0.3">
      <c r="A312" s="134" t="s">
        <v>350</v>
      </c>
      <c r="B312" s="125">
        <v>100315</v>
      </c>
      <c r="C312" s="125" t="s">
        <v>350</v>
      </c>
      <c r="D312" s="137" t="s">
        <v>35</v>
      </c>
      <c r="E312" s="134"/>
      <c r="F312" s="134"/>
      <c r="G312" s="134" t="s">
        <v>342</v>
      </c>
      <c r="H312" s="134" t="s">
        <v>342</v>
      </c>
      <c r="I312" s="134"/>
      <c r="J312" s="134" t="s">
        <v>463</v>
      </c>
      <c r="K312" s="134" t="s">
        <v>174</v>
      </c>
      <c r="L312" s="134" t="s">
        <v>315</v>
      </c>
      <c r="M312" s="135" t="b">
        <v>1</v>
      </c>
      <c r="N312" s="135" t="b">
        <v>1</v>
      </c>
      <c r="O312" s="135" t="b">
        <v>1</v>
      </c>
      <c r="P312" s="135" t="b">
        <v>1</v>
      </c>
    </row>
    <row r="313" spans="1:16" x14ac:dyDescent="0.3">
      <c r="A313" s="134" t="s">
        <v>589</v>
      </c>
      <c r="B313" s="139"/>
      <c r="C313" s="139" t="s">
        <v>587</v>
      </c>
      <c r="D313" s="134" t="s">
        <v>580</v>
      </c>
      <c r="E313" s="134">
        <v>1</v>
      </c>
      <c r="F313" s="134" t="s">
        <v>1027</v>
      </c>
      <c r="G313" s="134" t="s">
        <v>342</v>
      </c>
      <c r="H313" s="134" t="s">
        <v>342</v>
      </c>
      <c r="I313" s="134"/>
      <c r="J313" s="134" t="s">
        <v>463</v>
      </c>
      <c r="K313" s="134" t="s">
        <v>621</v>
      </c>
      <c r="L313" s="134" t="s">
        <v>623</v>
      </c>
      <c r="M313" s="135" t="s">
        <v>1193</v>
      </c>
      <c r="N313" s="135" t="s">
        <v>1193</v>
      </c>
      <c r="O313" s="135" t="s">
        <v>1193</v>
      </c>
      <c r="P313" s="135" t="s">
        <v>1193</v>
      </c>
    </row>
    <row r="314" spans="1:16" x14ac:dyDescent="0.3">
      <c r="A314" s="134" t="s">
        <v>589</v>
      </c>
      <c r="B314" s="139" t="s">
        <v>588</v>
      </c>
      <c r="C314" s="139" t="s">
        <v>589</v>
      </c>
      <c r="D314" s="127" t="s">
        <v>151</v>
      </c>
      <c r="E314" s="134"/>
      <c r="F314" s="134"/>
      <c r="G314" s="134" t="s">
        <v>342</v>
      </c>
      <c r="H314" s="134" t="s">
        <v>342</v>
      </c>
      <c r="I314" s="134"/>
      <c r="J314" s="134" t="s">
        <v>463</v>
      </c>
      <c r="K314" s="134" t="s">
        <v>621</v>
      </c>
      <c r="L314" s="134" t="s">
        <v>623</v>
      </c>
      <c r="M314" s="135" t="s">
        <v>1193</v>
      </c>
      <c r="N314" s="135" t="s">
        <v>1193</v>
      </c>
      <c r="O314" s="135" t="s">
        <v>1193</v>
      </c>
      <c r="P314" s="135" t="s">
        <v>1193</v>
      </c>
    </row>
    <row r="315" spans="1:16" x14ac:dyDescent="0.3">
      <c r="A315" s="134" t="s">
        <v>1347</v>
      </c>
      <c r="C315" s="125" t="s">
        <v>1395</v>
      </c>
      <c r="D315" s="127" t="s">
        <v>103</v>
      </c>
      <c r="E315" s="134">
        <v>7332</v>
      </c>
      <c r="F315" s="73" t="s">
        <v>29</v>
      </c>
      <c r="G315" s="134" t="s">
        <v>342</v>
      </c>
      <c r="H315" s="134" t="s">
        <v>342</v>
      </c>
      <c r="I315" s="134"/>
      <c r="J315" s="134" t="s">
        <v>463</v>
      </c>
      <c r="K315" s="134" t="s">
        <v>174</v>
      </c>
      <c r="L315" s="134" t="s">
        <v>315</v>
      </c>
      <c r="M315" s="135" t="b">
        <v>1</v>
      </c>
      <c r="N315" s="135" t="b">
        <v>1</v>
      </c>
      <c r="O315" s="135" t="b">
        <v>1</v>
      </c>
      <c r="P315" s="135" t="b">
        <v>1</v>
      </c>
    </row>
    <row r="316" spans="1:16" x14ac:dyDescent="0.3">
      <c r="A316" s="134" t="s">
        <v>1347</v>
      </c>
      <c r="C316" s="125" t="s">
        <v>1396</v>
      </c>
      <c r="D316" s="127" t="s">
        <v>101</v>
      </c>
      <c r="E316" s="134">
        <v>1222</v>
      </c>
      <c r="F316" s="73" t="s">
        <v>29</v>
      </c>
      <c r="G316" s="134" t="s">
        <v>342</v>
      </c>
      <c r="H316" s="134" t="s">
        <v>342</v>
      </c>
      <c r="I316" s="134"/>
      <c r="J316" s="134" t="s">
        <v>463</v>
      </c>
      <c r="K316" s="134" t="s">
        <v>174</v>
      </c>
      <c r="L316" s="134" t="s">
        <v>315</v>
      </c>
      <c r="M316" s="135" t="b">
        <v>1</v>
      </c>
      <c r="N316" s="135" t="b">
        <v>1</v>
      </c>
      <c r="O316" s="135" t="b">
        <v>1</v>
      </c>
      <c r="P316" s="135" t="b">
        <v>1</v>
      </c>
    </row>
    <row r="317" spans="1:16" x14ac:dyDescent="0.3">
      <c r="A317" s="134" t="s">
        <v>1347</v>
      </c>
      <c r="C317" s="125" t="s">
        <v>1397</v>
      </c>
      <c r="D317" s="127" t="s">
        <v>29</v>
      </c>
      <c r="E317" s="134">
        <v>1</v>
      </c>
      <c r="F317" s="73" t="s">
        <v>29</v>
      </c>
      <c r="G317" s="134" t="s">
        <v>342</v>
      </c>
      <c r="H317" s="134" t="s">
        <v>342</v>
      </c>
      <c r="I317" s="134"/>
      <c r="J317" s="134" t="s">
        <v>463</v>
      </c>
      <c r="K317" s="134" t="s">
        <v>174</v>
      </c>
      <c r="L317" s="134" t="s">
        <v>315</v>
      </c>
      <c r="M317" s="135" t="b">
        <v>1</v>
      </c>
      <c r="N317" s="135" t="b">
        <v>1</v>
      </c>
      <c r="O317" s="135" t="b">
        <v>1</v>
      </c>
      <c r="P317" s="135" t="b">
        <v>1</v>
      </c>
    </row>
    <row r="318" spans="1:16" ht="13.15" customHeight="1" x14ac:dyDescent="0.35">
      <c r="A318" s="134" t="s">
        <v>1347</v>
      </c>
      <c r="B318" s="125">
        <v>100425</v>
      </c>
      <c r="C318" s="125" t="s">
        <v>1347</v>
      </c>
      <c r="D318" s="134" t="s">
        <v>35</v>
      </c>
      <c r="E318"/>
      <c r="F318" s="73"/>
      <c r="G318" s="134" t="s">
        <v>342</v>
      </c>
      <c r="H318" s="134" t="s">
        <v>342</v>
      </c>
      <c r="I318" s="134"/>
      <c r="J318" s="134" t="s">
        <v>463</v>
      </c>
      <c r="K318" s="134" t="s">
        <v>174</v>
      </c>
      <c r="L318" s="134" t="s">
        <v>315</v>
      </c>
      <c r="M318" s="135" t="b">
        <v>1</v>
      </c>
      <c r="N318" s="135" t="b">
        <v>1</v>
      </c>
      <c r="O318" s="135" t="b">
        <v>1</v>
      </c>
      <c r="P318" s="135" t="b">
        <v>1</v>
      </c>
    </row>
    <row r="319" spans="1:16" x14ac:dyDescent="0.3">
      <c r="A319" s="134" t="s">
        <v>21</v>
      </c>
      <c r="B319" s="139"/>
      <c r="C319" s="139" t="s">
        <v>1058</v>
      </c>
      <c r="D319" s="134" t="s">
        <v>462</v>
      </c>
      <c r="E319" s="134">
        <v>1</v>
      </c>
      <c r="F319" s="134" t="s">
        <v>101</v>
      </c>
      <c r="G319" s="134" t="s">
        <v>342</v>
      </c>
      <c r="H319" s="134" t="s">
        <v>342</v>
      </c>
      <c r="I319" s="134"/>
      <c r="J319" s="134" t="s">
        <v>463</v>
      </c>
      <c r="K319" s="134" t="s">
        <v>175</v>
      </c>
      <c r="L319" s="134" t="s">
        <v>623</v>
      </c>
      <c r="M319" s="135" t="s">
        <v>1193</v>
      </c>
      <c r="N319" s="135" t="s">
        <v>1193</v>
      </c>
      <c r="O319" s="135" t="s">
        <v>1193</v>
      </c>
      <c r="P319" s="135" t="s">
        <v>1193</v>
      </c>
    </row>
    <row r="320" spans="1:16" x14ac:dyDescent="0.3">
      <c r="A320" s="134" t="s">
        <v>21</v>
      </c>
      <c r="B320" s="139" t="s">
        <v>571</v>
      </c>
      <c r="C320" s="139" t="s">
        <v>21</v>
      </c>
      <c r="D320" s="140" t="s">
        <v>556</v>
      </c>
      <c r="E320" s="134"/>
      <c r="F320" s="134"/>
      <c r="G320" s="134" t="s">
        <v>342</v>
      </c>
      <c r="H320" s="134" t="s">
        <v>342</v>
      </c>
      <c r="I320" s="134"/>
      <c r="J320" s="134" t="s">
        <v>463</v>
      </c>
      <c r="K320" s="134" t="s">
        <v>175</v>
      </c>
      <c r="L320" s="134" t="s">
        <v>623</v>
      </c>
      <c r="M320" s="135" t="s">
        <v>1193</v>
      </c>
      <c r="N320" s="135" t="s">
        <v>1193</v>
      </c>
      <c r="O320" s="135" t="s">
        <v>1193</v>
      </c>
      <c r="P320" s="135" t="s">
        <v>1193</v>
      </c>
    </row>
    <row r="321" spans="1:16" x14ac:dyDescent="0.3">
      <c r="A321" s="134" t="s">
        <v>22</v>
      </c>
      <c r="C321" s="139" t="s">
        <v>1059</v>
      </c>
      <c r="D321" s="134" t="s">
        <v>462</v>
      </c>
      <c r="E321" s="134">
        <v>1</v>
      </c>
      <c r="F321" s="134" t="s">
        <v>101</v>
      </c>
      <c r="G321" s="134" t="s">
        <v>342</v>
      </c>
      <c r="H321" s="134" t="s">
        <v>342</v>
      </c>
      <c r="I321" s="134"/>
      <c r="J321" s="134" t="s">
        <v>463</v>
      </c>
      <c r="K321" s="134" t="s">
        <v>175</v>
      </c>
      <c r="L321" s="134" t="s">
        <v>623</v>
      </c>
      <c r="M321" s="135" t="s">
        <v>1193</v>
      </c>
      <c r="N321" s="135" t="s">
        <v>1193</v>
      </c>
      <c r="O321" s="135" t="s">
        <v>1193</v>
      </c>
      <c r="P321" s="135" t="s">
        <v>1193</v>
      </c>
    </row>
    <row r="322" spans="1:16" x14ac:dyDescent="0.3">
      <c r="A322" s="134" t="s">
        <v>22</v>
      </c>
      <c r="B322" s="139" t="s">
        <v>570</v>
      </c>
      <c r="C322" s="139" t="s">
        <v>22</v>
      </c>
      <c r="D322" s="140" t="s">
        <v>556</v>
      </c>
      <c r="E322" s="134"/>
      <c r="F322" s="134"/>
      <c r="G322" s="134" t="s">
        <v>342</v>
      </c>
      <c r="H322" s="134" t="s">
        <v>342</v>
      </c>
      <c r="I322" s="134"/>
      <c r="J322" s="134" t="s">
        <v>463</v>
      </c>
      <c r="K322" s="134" t="s">
        <v>175</v>
      </c>
      <c r="L322" s="134" t="s">
        <v>623</v>
      </c>
      <c r="M322" s="135" t="s">
        <v>1193</v>
      </c>
      <c r="N322" s="135" t="s">
        <v>1193</v>
      </c>
      <c r="O322" s="135" t="s">
        <v>1193</v>
      </c>
      <c r="P322" s="135" t="s">
        <v>1193</v>
      </c>
    </row>
    <row r="323" spans="1:16" x14ac:dyDescent="0.3">
      <c r="A323" s="134" t="s">
        <v>1340</v>
      </c>
      <c r="C323" s="125" t="s">
        <v>1462</v>
      </c>
      <c r="D323" s="134" t="s">
        <v>103</v>
      </c>
      <c r="E323" s="134"/>
      <c r="F323" s="159" t="s">
        <v>102</v>
      </c>
      <c r="G323" s="134" t="s">
        <v>341</v>
      </c>
      <c r="H323" s="134" t="s">
        <v>341</v>
      </c>
      <c r="I323" s="134"/>
      <c r="J323" s="134"/>
      <c r="K323" s="134" t="s">
        <v>175</v>
      </c>
      <c r="L323" s="134" t="s">
        <v>315</v>
      </c>
      <c r="M323" s="134" t="b">
        <v>1</v>
      </c>
      <c r="N323" s="134" t="b">
        <v>1</v>
      </c>
      <c r="O323" s="134" t="b">
        <v>0</v>
      </c>
      <c r="P323" s="134" t="b">
        <v>1</v>
      </c>
    </row>
    <row r="324" spans="1:16" x14ac:dyDescent="0.3">
      <c r="A324" s="134" t="s">
        <v>1340</v>
      </c>
      <c r="C324" s="125" t="s">
        <v>1413</v>
      </c>
      <c r="D324" s="134" t="s">
        <v>101</v>
      </c>
      <c r="E324" s="134">
        <v>193</v>
      </c>
      <c r="F324" s="159" t="s">
        <v>102</v>
      </c>
      <c r="G324" s="134" t="s">
        <v>342</v>
      </c>
      <c r="H324" s="134" t="s">
        <v>342</v>
      </c>
      <c r="I324" s="134"/>
      <c r="J324" s="134"/>
      <c r="K324" s="134" t="s">
        <v>175</v>
      </c>
      <c r="L324" s="134" t="s">
        <v>315</v>
      </c>
      <c r="M324" s="134" t="b">
        <v>1</v>
      </c>
      <c r="N324" s="134" t="b">
        <v>1</v>
      </c>
      <c r="O324" s="134" t="b">
        <v>0</v>
      </c>
      <c r="P324" s="134" t="b">
        <v>1</v>
      </c>
    </row>
    <row r="325" spans="1:16" x14ac:dyDescent="0.3">
      <c r="A325" s="134" t="s">
        <v>1340</v>
      </c>
      <c r="C325" s="125" t="s">
        <v>1414</v>
      </c>
      <c r="D325" s="134" t="s">
        <v>102</v>
      </c>
      <c r="E325" s="134">
        <v>1</v>
      </c>
      <c r="F325" s="159" t="s">
        <v>102</v>
      </c>
      <c r="G325" s="134" t="s">
        <v>342</v>
      </c>
      <c r="H325" s="134" t="s">
        <v>342</v>
      </c>
      <c r="I325" s="134"/>
      <c r="J325" s="134"/>
      <c r="K325" s="134" t="s">
        <v>175</v>
      </c>
      <c r="L325" s="134" t="s">
        <v>315</v>
      </c>
      <c r="M325" s="134" t="b">
        <v>1</v>
      </c>
      <c r="N325" s="134" t="b">
        <v>1</v>
      </c>
      <c r="O325" s="134" t="b">
        <v>0</v>
      </c>
      <c r="P325" s="134" t="b">
        <v>1</v>
      </c>
    </row>
    <row r="326" spans="1:16" x14ac:dyDescent="0.3">
      <c r="A326" s="134" t="s">
        <v>1340</v>
      </c>
      <c r="B326" s="125" t="s">
        <v>1412</v>
      </c>
      <c r="C326" s="125" t="s">
        <v>1340</v>
      </c>
      <c r="D326" s="134" t="s">
        <v>67</v>
      </c>
      <c r="E326" s="134"/>
      <c r="F326" s="159"/>
      <c r="G326" s="134" t="s">
        <v>342</v>
      </c>
      <c r="H326" s="134" t="s">
        <v>342</v>
      </c>
      <c r="I326" s="134"/>
      <c r="J326" s="134"/>
      <c r="K326" s="134" t="s">
        <v>175</v>
      </c>
      <c r="L326" s="134" t="s">
        <v>315</v>
      </c>
      <c r="M326" s="134" t="b">
        <v>1</v>
      </c>
      <c r="N326" s="134" t="b">
        <v>1</v>
      </c>
      <c r="O326" s="134" t="b">
        <v>0</v>
      </c>
      <c r="P326" s="134" t="b">
        <v>1</v>
      </c>
    </row>
    <row r="327" spans="1:16" x14ac:dyDescent="0.3">
      <c r="A327" s="134" t="s">
        <v>505</v>
      </c>
      <c r="B327" s="139"/>
      <c r="C327" s="134" t="s">
        <v>1315</v>
      </c>
      <c r="D327" s="140" t="s">
        <v>1185</v>
      </c>
      <c r="E327" s="134">
        <v>100</v>
      </c>
      <c r="F327" s="134"/>
      <c r="G327" s="134" t="s">
        <v>342</v>
      </c>
      <c r="H327" s="134" t="s">
        <v>342</v>
      </c>
      <c r="I327" s="134"/>
      <c r="J327" s="134" t="s">
        <v>463</v>
      </c>
      <c r="K327" s="134" t="s">
        <v>175</v>
      </c>
      <c r="L327" s="134" t="s">
        <v>315</v>
      </c>
      <c r="M327" s="135" t="b">
        <v>1</v>
      </c>
      <c r="N327" s="135" t="b">
        <v>1</v>
      </c>
      <c r="O327" s="135" t="b">
        <v>0</v>
      </c>
      <c r="P327" s="135" t="b">
        <v>0</v>
      </c>
    </row>
    <row r="328" spans="1:16" x14ac:dyDescent="0.3">
      <c r="A328" s="134" t="s">
        <v>505</v>
      </c>
      <c r="B328" s="128"/>
      <c r="C328" s="134" t="s">
        <v>526</v>
      </c>
      <c r="D328" s="134" t="s">
        <v>549</v>
      </c>
      <c r="E328" s="127">
        <v>1</v>
      </c>
      <c r="F328" s="134" t="s">
        <v>102</v>
      </c>
      <c r="G328" s="134" t="s">
        <v>342</v>
      </c>
      <c r="H328" s="134" t="s">
        <v>342</v>
      </c>
      <c r="I328" s="134"/>
      <c r="J328" s="134" t="s">
        <v>463</v>
      </c>
      <c r="K328" s="134" t="s">
        <v>175</v>
      </c>
      <c r="L328" s="134" t="s">
        <v>315</v>
      </c>
      <c r="M328" s="135" t="b">
        <v>1</v>
      </c>
      <c r="N328" s="135" t="b">
        <v>1</v>
      </c>
      <c r="O328" s="135" t="b">
        <v>0</v>
      </c>
      <c r="P328" s="135" t="b">
        <v>0</v>
      </c>
    </row>
    <row r="329" spans="1:16" x14ac:dyDescent="0.3">
      <c r="A329" s="134" t="s">
        <v>505</v>
      </c>
      <c r="B329" s="125" t="s">
        <v>522</v>
      </c>
      <c r="C329" s="125" t="s">
        <v>505</v>
      </c>
      <c r="D329" s="127" t="s">
        <v>150</v>
      </c>
      <c r="F329" s="73"/>
      <c r="G329" s="134" t="s">
        <v>342</v>
      </c>
      <c r="H329" s="134" t="s">
        <v>342</v>
      </c>
      <c r="I329" s="134"/>
      <c r="J329" s="134" t="s">
        <v>463</v>
      </c>
      <c r="K329" s="134" t="s">
        <v>175</v>
      </c>
      <c r="L329" s="134" t="s">
        <v>315</v>
      </c>
      <c r="M329" s="135" t="b">
        <v>1</v>
      </c>
      <c r="N329" s="135" t="b">
        <v>1</v>
      </c>
      <c r="O329" s="135" t="b">
        <v>0</v>
      </c>
      <c r="P329" s="135" t="b">
        <v>0</v>
      </c>
    </row>
    <row r="330" spans="1:16" ht="14.65" customHeight="1" x14ac:dyDescent="0.3">
      <c r="A330" s="134" t="s">
        <v>23</v>
      </c>
      <c r="B330" s="139"/>
      <c r="C330" s="139" t="s">
        <v>1060</v>
      </c>
      <c r="D330" s="140" t="s">
        <v>101</v>
      </c>
      <c r="E330" s="127">
        <v>1</v>
      </c>
      <c r="F330" s="127" t="s">
        <v>101</v>
      </c>
      <c r="G330" s="134" t="s">
        <v>342</v>
      </c>
      <c r="H330" s="134" t="s">
        <v>342</v>
      </c>
      <c r="I330" s="134"/>
      <c r="J330" s="134" t="s">
        <v>463</v>
      </c>
      <c r="K330" s="134" t="s">
        <v>175</v>
      </c>
      <c r="L330" s="134" t="s">
        <v>623</v>
      </c>
      <c r="M330" s="135" t="s">
        <v>1193</v>
      </c>
      <c r="N330" s="135" t="s">
        <v>1193</v>
      </c>
      <c r="O330" s="135" t="s">
        <v>1193</v>
      </c>
      <c r="P330" s="135" t="s">
        <v>1193</v>
      </c>
    </row>
    <row r="331" spans="1:16" x14ac:dyDescent="0.3">
      <c r="A331" s="134" t="s">
        <v>23</v>
      </c>
      <c r="B331" s="139" t="s">
        <v>619</v>
      </c>
      <c r="C331" s="139" t="s">
        <v>23</v>
      </c>
      <c r="D331" s="140" t="s">
        <v>556</v>
      </c>
      <c r="G331" s="134" t="s">
        <v>342</v>
      </c>
      <c r="H331" s="134" t="s">
        <v>342</v>
      </c>
      <c r="I331" s="134"/>
      <c r="J331" s="134" t="s">
        <v>463</v>
      </c>
      <c r="K331" s="134" t="s">
        <v>175</v>
      </c>
      <c r="L331" s="134" t="s">
        <v>623</v>
      </c>
      <c r="M331" s="135" t="s">
        <v>1193</v>
      </c>
      <c r="N331" s="135" t="s">
        <v>1193</v>
      </c>
      <c r="O331" s="135" t="s">
        <v>1193</v>
      </c>
      <c r="P331" s="135" t="s">
        <v>1193</v>
      </c>
    </row>
    <row r="332" spans="1:16" x14ac:dyDescent="0.3">
      <c r="A332" s="134" t="s">
        <v>24</v>
      </c>
      <c r="B332" s="139"/>
      <c r="C332" s="139" t="s">
        <v>1061</v>
      </c>
      <c r="D332" s="134" t="s">
        <v>462</v>
      </c>
      <c r="E332" s="134">
        <v>1</v>
      </c>
      <c r="F332" s="134" t="s">
        <v>101</v>
      </c>
      <c r="G332" s="134" t="s">
        <v>342</v>
      </c>
      <c r="H332" s="134" t="s">
        <v>342</v>
      </c>
      <c r="I332" s="134"/>
      <c r="J332" s="134" t="s">
        <v>463</v>
      </c>
      <c r="K332" s="134" t="s">
        <v>621</v>
      </c>
      <c r="L332" s="134" t="s">
        <v>623</v>
      </c>
      <c r="M332" s="135" t="s">
        <v>1193</v>
      </c>
      <c r="N332" s="135" t="s">
        <v>1193</v>
      </c>
      <c r="O332" s="135" t="s">
        <v>1193</v>
      </c>
      <c r="P332" s="135" t="s">
        <v>1193</v>
      </c>
    </row>
    <row r="333" spans="1:16" x14ac:dyDescent="0.3">
      <c r="A333" s="134" t="s">
        <v>24</v>
      </c>
      <c r="B333" s="139">
        <v>410272</v>
      </c>
      <c r="C333" s="139" t="s">
        <v>24</v>
      </c>
      <c r="D333" s="140" t="s">
        <v>556</v>
      </c>
      <c r="E333" s="134"/>
      <c r="F333" s="134"/>
      <c r="G333" s="134" t="s">
        <v>342</v>
      </c>
      <c r="H333" s="134" t="s">
        <v>342</v>
      </c>
      <c r="I333" s="134"/>
      <c r="J333" s="134" t="s">
        <v>463</v>
      </c>
      <c r="K333" s="134" t="s">
        <v>621</v>
      </c>
      <c r="L333" s="134" t="s">
        <v>623</v>
      </c>
      <c r="M333" s="135" t="s">
        <v>1193</v>
      </c>
      <c r="N333" s="135" t="s">
        <v>1193</v>
      </c>
      <c r="O333" s="135" t="s">
        <v>1193</v>
      </c>
      <c r="P333" s="135" t="s">
        <v>1193</v>
      </c>
    </row>
    <row r="334" spans="1:16" x14ac:dyDescent="0.3">
      <c r="A334" s="134" t="s">
        <v>351</v>
      </c>
      <c r="B334" s="128"/>
      <c r="C334" s="134" t="s">
        <v>362</v>
      </c>
      <c r="D334" s="134" t="s">
        <v>103</v>
      </c>
      <c r="E334" s="134">
        <v>2208</v>
      </c>
      <c r="F334" s="134" t="s">
        <v>29</v>
      </c>
      <c r="G334" s="134" t="s">
        <v>342</v>
      </c>
      <c r="H334" s="134" t="s">
        <v>342</v>
      </c>
      <c r="I334" s="134"/>
      <c r="J334" s="134" t="s">
        <v>463</v>
      </c>
      <c r="K334" s="134" t="s">
        <v>174</v>
      </c>
      <c r="L334" s="134" t="s">
        <v>315</v>
      </c>
      <c r="M334" s="135" t="b">
        <v>1</v>
      </c>
      <c r="N334" s="135" t="b">
        <v>1</v>
      </c>
      <c r="O334" s="135" t="b">
        <v>1</v>
      </c>
      <c r="P334" s="135" t="b">
        <v>1</v>
      </c>
    </row>
    <row r="335" spans="1:16" x14ac:dyDescent="0.3">
      <c r="A335" s="134" t="s">
        <v>351</v>
      </c>
      <c r="B335" s="128"/>
      <c r="C335" s="134" t="s">
        <v>363</v>
      </c>
      <c r="D335" s="134" t="s">
        <v>101</v>
      </c>
      <c r="E335" s="134">
        <v>92</v>
      </c>
      <c r="F335" s="134" t="s">
        <v>29</v>
      </c>
      <c r="G335" s="134" t="s">
        <v>342</v>
      </c>
      <c r="H335" s="134" t="s">
        <v>342</v>
      </c>
      <c r="I335" s="134"/>
      <c r="J335" s="134" t="s">
        <v>463</v>
      </c>
      <c r="K335" s="134" t="s">
        <v>174</v>
      </c>
      <c r="L335" s="134" t="s">
        <v>315</v>
      </c>
      <c r="M335" s="135" t="b">
        <v>1</v>
      </c>
      <c r="N335" s="135" t="b">
        <v>1</v>
      </c>
      <c r="O335" s="135" t="b">
        <v>1</v>
      </c>
      <c r="P335" s="135" t="b">
        <v>1</v>
      </c>
    </row>
    <row r="336" spans="1:16" x14ac:dyDescent="0.3">
      <c r="A336" s="134" t="s">
        <v>351</v>
      </c>
      <c r="B336" s="128"/>
      <c r="C336" s="134" t="s">
        <v>364</v>
      </c>
      <c r="D336" s="134" t="s">
        <v>29</v>
      </c>
      <c r="E336" s="134">
        <v>1</v>
      </c>
      <c r="F336" s="134" t="s">
        <v>29</v>
      </c>
      <c r="G336" s="134" t="s">
        <v>342</v>
      </c>
      <c r="H336" s="134" t="s">
        <v>342</v>
      </c>
      <c r="I336" s="134"/>
      <c r="J336" s="134" t="s">
        <v>463</v>
      </c>
      <c r="K336" s="134" t="s">
        <v>174</v>
      </c>
      <c r="L336" s="134" t="s">
        <v>315</v>
      </c>
      <c r="M336" s="135" t="b">
        <v>1</v>
      </c>
      <c r="N336" s="135" t="b">
        <v>1</v>
      </c>
      <c r="O336" s="135" t="b">
        <v>1</v>
      </c>
      <c r="P336" s="135" t="b">
        <v>1</v>
      </c>
    </row>
    <row r="337" spans="1:16" x14ac:dyDescent="0.3">
      <c r="A337" s="134" t="s">
        <v>351</v>
      </c>
      <c r="B337" s="125">
        <v>100318</v>
      </c>
      <c r="C337" s="125" t="s">
        <v>351</v>
      </c>
      <c r="D337" s="137" t="s">
        <v>35</v>
      </c>
      <c r="E337" s="143"/>
      <c r="F337" s="134"/>
      <c r="G337" s="134" t="s">
        <v>342</v>
      </c>
      <c r="H337" s="134" t="s">
        <v>342</v>
      </c>
      <c r="I337" s="134"/>
      <c r="J337" s="134" t="s">
        <v>463</v>
      </c>
      <c r="K337" s="134" t="s">
        <v>174</v>
      </c>
      <c r="L337" s="134" t="s">
        <v>315</v>
      </c>
      <c r="M337" s="135" t="b">
        <v>1</v>
      </c>
      <c r="N337" s="135" t="b">
        <v>1</v>
      </c>
      <c r="O337" s="135" t="b">
        <v>1</v>
      </c>
      <c r="P337" s="135" t="b">
        <v>1</v>
      </c>
    </row>
    <row r="338" spans="1:16" x14ac:dyDescent="0.3">
      <c r="A338" s="134" t="s">
        <v>512</v>
      </c>
      <c r="C338" s="134" t="s">
        <v>1098</v>
      </c>
      <c r="D338" s="125" t="s">
        <v>101</v>
      </c>
      <c r="E338" s="144">
        <v>3000</v>
      </c>
      <c r="F338" s="125" t="s">
        <v>549</v>
      </c>
      <c r="G338" s="134" t="s">
        <v>342</v>
      </c>
      <c r="H338" s="134" t="s">
        <v>342</v>
      </c>
      <c r="I338" s="134"/>
      <c r="J338" s="134"/>
      <c r="K338" s="134" t="s">
        <v>175</v>
      </c>
      <c r="L338" s="134" t="s">
        <v>315</v>
      </c>
      <c r="M338" s="135" t="b">
        <v>1</v>
      </c>
      <c r="N338" s="135" t="b">
        <v>1</v>
      </c>
      <c r="O338" s="135" t="b">
        <v>0</v>
      </c>
      <c r="P338" s="135" t="b">
        <v>0</v>
      </c>
    </row>
    <row r="339" spans="1:16" x14ac:dyDescent="0.3">
      <c r="A339" s="134" t="s">
        <v>512</v>
      </c>
      <c r="C339" s="134" t="s">
        <v>1099</v>
      </c>
      <c r="D339" s="125" t="s">
        <v>101</v>
      </c>
      <c r="E339" s="144">
        <v>500</v>
      </c>
      <c r="F339" s="134" t="s">
        <v>549</v>
      </c>
      <c r="G339" s="134" t="s">
        <v>342</v>
      </c>
      <c r="H339" s="134" t="s">
        <v>342</v>
      </c>
      <c r="I339" s="134"/>
      <c r="J339" s="134"/>
      <c r="K339" s="134" t="s">
        <v>175</v>
      </c>
      <c r="L339" s="134" t="s">
        <v>315</v>
      </c>
      <c r="M339" s="135" t="b">
        <v>1</v>
      </c>
      <c r="N339" s="135" t="b">
        <v>1</v>
      </c>
      <c r="O339" s="135" t="b">
        <v>0</v>
      </c>
      <c r="P339" s="135" t="b">
        <v>0</v>
      </c>
    </row>
    <row r="340" spans="1:16" x14ac:dyDescent="0.3">
      <c r="A340" s="134" t="s">
        <v>512</v>
      </c>
      <c r="C340" s="134" t="s">
        <v>527</v>
      </c>
      <c r="D340" s="125" t="s">
        <v>549</v>
      </c>
      <c r="E340" s="145">
        <v>1</v>
      </c>
      <c r="F340" s="134" t="s">
        <v>549</v>
      </c>
      <c r="G340" s="134" t="s">
        <v>342</v>
      </c>
      <c r="H340" s="134" t="s">
        <v>342</v>
      </c>
      <c r="I340" s="134"/>
      <c r="J340" s="134" t="s">
        <v>463</v>
      </c>
      <c r="K340" s="134" t="s">
        <v>175</v>
      </c>
      <c r="L340" s="134" t="s">
        <v>315</v>
      </c>
      <c r="M340" s="135" t="b">
        <v>1</v>
      </c>
      <c r="N340" s="135" t="b">
        <v>1</v>
      </c>
      <c r="O340" s="135" t="b">
        <v>0</v>
      </c>
      <c r="P340" s="135" t="b">
        <v>0</v>
      </c>
    </row>
    <row r="341" spans="1:16" ht="13.15" customHeight="1" x14ac:dyDescent="0.3">
      <c r="A341" s="134" t="s">
        <v>512</v>
      </c>
      <c r="C341" s="125" t="s">
        <v>843</v>
      </c>
      <c r="D341" s="127" t="s">
        <v>549</v>
      </c>
      <c r="E341" s="145">
        <v>1</v>
      </c>
      <c r="F341" s="134" t="s">
        <v>549</v>
      </c>
      <c r="G341" s="134" t="s">
        <v>342</v>
      </c>
      <c r="H341" s="134" t="s">
        <v>342</v>
      </c>
      <c r="I341" s="134" t="s">
        <v>634</v>
      </c>
      <c r="J341" s="134" t="s">
        <v>457</v>
      </c>
      <c r="K341" s="134" t="s">
        <v>175</v>
      </c>
      <c r="L341" s="134" t="s">
        <v>315</v>
      </c>
      <c r="M341" s="135" t="b">
        <v>1</v>
      </c>
      <c r="N341" s="135" t="b">
        <v>1</v>
      </c>
      <c r="O341" s="135" t="b">
        <v>0</v>
      </c>
      <c r="P341" s="135" t="b">
        <v>0</v>
      </c>
    </row>
    <row r="342" spans="1:16" x14ac:dyDescent="0.3">
      <c r="A342" s="134" t="s">
        <v>512</v>
      </c>
      <c r="B342" s="125" t="s">
        <v>523</v>
      </c>
      <c r="C342" s="125" t="s">
        <v>512</v>
      </c>
      <c r="D342" s="127" t="s">
        <v>150</v>
      </c>
      <c r="F342" s="73"/>
      <c r="G342" s="134" t="s">
        <v>342</v>
      </c>
      <c r="H342" s="134" t="s">
        <v>342</v>
      </c>
      <c r="I342" s="134"/>
      <c r="J342" s="134" t="s">
        <v>463</v>
      </c>
      <c r="K342" s="134" t="s">
        <v>175</v>
      </c>
      <c r="L342" s="134" t="s">
        <v>315</v>
      </c>
      <c r="M342" s="135" t="b">
        <v>1</v>
      </c>
      <c r="N342" s="135" t="b">
        <v>1</v>
      </c>
      <c r="O342" s="135" t="b">
        <v>0</v>
      </c>
      <c r="P342" s="135" t="b">
        <v>0</v>
      </c>
    </row>
    <row r="343" spans="1:16" x14ac:dyDescent="0.3">
      <c r="A343" s="134" t="s">
        <v>25</v>
      </c>
      <c r="B343" s="139"/>
      <c r="C343" s="139" t="s">
        <v>579</v>
      </c>
      <c r="D343" s="134" t="s">
        <v>580</v>
      </c>
      <c r="E343" s="134">
        <v>1</v>
      </c>
      <c r="F343" s="134" t="s">
        <v>1027</v>
      </c>
      <c r="G343" s="134" t="s">
        <v>342</v>
      </c>
      <c r="H343" s="134" t="s">
        <v>342</v>
      </c>
      <c r="I343" s="134"/>
      <c r="J343" s="134" t="s">
        <v>463</v>
      </c>
      <c r="K343" s="134" t="s">
        <v>621</v>
      </c>
      <c r="L343" s="134" t="s">
        <v>623</v>
      </c>
      <c r="M343" s="135" t="s">
        <v>1193</v>
      </c>
      <c r="N343" s="135" t="s">
        <v>1193</v>
      </c>
      <c r="O343" s="135" t="s">
        <v>1193</v>
      </c>
      <c r="P343" s="135" t="s">
        <v>1193</v>
      </c>
    </row>
    <row r="344" spans="1:16" x14ac:dyDescent="0.3">
      <c r="A344" s="134" t="s">
        <v>25</v>
      </c>
      <c r="B344" s="139">
        <v>410273</v>
      </c>
      <c r="C344" s="139" t="s">
        <v>25</v>
      </c>
      <c r="D344" s="127" t="s">
        <v>151</v>
      </c>
      <c r="E344" s="134"/>
      <c r="F344" s="134"/>
      <c r="G344" s="134" t="s">
        <v>342</v>
      </c>
      <c r="H344" s="134" t="s">
        <v>342</v>
      </c>
      <c r="I344" s="134"/>
      <c r="J344" s="134" t="s">
        <v>463</v>
      </c>
      <c r="K344" s="134" t="s">
        <v>621</v>
      </c>
      <c r="L344" s="134" t="s">
        <v>623</v>
      </c>
      <c r="M344" s="135" t="s">
        <v>1193</v>
      </c>
      <c r="N344" s="135" t="s">
        <v>1193</v>
      </c>
      <c r="O344" s="135" t="s">
        <v>1193</v>
      </c>
      <c r="P344" s="135" t="s">
        <v>1193</v>
      </c>
    </row>
    <row r="345" spans="1:16" x14ac:dyDescent="0.3">
      <c r="A345" s="134" t="s">
        <v>583</v>
      </c>
      <c r="B345" s="139"/>
      <c r="C345" s="139" t="s">
        <v>581</v>
      </c>
      <c r="D345" s="134" t="s">
        <v>580</v>
      </c>
      <c r="E345" s="134">
        <v>1</v>
      </c>
      <c r="F345" s="134" t="s">
        <v>1027</v>
      </c>
      <c r="G345" s="134" t="s">
        <v>342</v>
      </c>
      <c r="H345" s="134" t="s">
        <v>342</v>
      </c>
      <c r="I345" s="134"/>
      <c r="J345" s="134" t="s">
        <v>463</v>
      </c>
      <c r="K345" s="134" t="s">
        <v>621</v>
      </c>
      <c r="L345" s="134" t="s">
        <v>623</v>
      </c>
      <c r="M345" s="135" t="s">
        <v>1193</v>
      </c>
      <c r="N345" s="135" t="s">
        <v>1193</v>
      </c>
      <c r="O345" s="135" t="s">
        <v>1193</v>
      </c>
      <c r="P345" s="135" t="s">
        <v>1193</v>
      </c>
    </row>
    <row r="346" spans="1:16" x14ac:dyDescent="0.3">
      <c r="A346" s="134" t="s">
        <v>583</v>
      </c>
      <c r="B346" s="139" t="s">
        <v>582</v>
      </c>
      <c r="C346" s="139" t="s">
        <v>583</v>
      </c>
      <c r="D346" s="127" t="s">
        <v>151</v>
      </c>
      <c r="E346" s="134"/>
      <c r="F346" s="134"/>
      <c r="G346" s="134" t="s">
        <v>342</v>
      </c>
      <c r="H346" s="134" t="s">
        <v>342</v>
      </c>
      <c r="I346" s="134"/>
      <c r="J346" s="134" t="s">
        <v>463</v>
      </c>
      <c r="K346" s="134" t="s">
        <v>621</v>
      </c>
      <c r="L346" s="134" t="s">
        <v>623</v>
      </c>
      <c r="M346" s="135" t="s">
        <v>1193</v>
      </c>
      <c r="N346" s="135" t="s">
        <v>1193</v>
      </c>
      <c r="O346" s="135" t="s">
        <v>1193</v>
      </c>
      <c r="P346" s="135" t="s">
        <v>1193</v>
      </c>
    </row>
    <row r="347" spans="1:16" x14ac:dyDescent="0.3">
      <c r="A347" s="134" t="s">
        <v>500</v>
      </c>
      <c r="B347" s="128"/>
      <c r="C347" s="134" t="s">
        <v>977</v>
      </c>
      <c r="D347" s="134" t="s">
        <v>557</v>
      </c>
      <c r="E347" s="134">
        <v>9000</v>
      </c>
      <c r="F347" s="73" t="s">
        <v>29</v>
      </c>
      <c r="G347" s="134" t="s">
        <v>342</v>
      </c>
      <c r="H347" s="134" t="s">
        <v>342</v>
      </c>
      <c r="I347" s="134"/>
      <c r="J347" s="134" t="s">
        <v>463</v>
      </c>
      <c r="K347" s="134" t="s">
        <v>174</v>
      </c>
      <c r="L347" s="134" t="s">
        <v>315</v>
      </c>
      <c r="M347" s="135" t="b">
        <v>1</v>
      </c>
      <c r="N347" s="135" t="b">
        <v>1</v>
      </c>
      <c r="O347" s="135" t="b">
        <v>1</v>
      </c>
      <c r="P347" s="135" t="b">
        <v>1</v>
      </c>
    </row>
    <row r="348" spans="1:16" x14ac:dyDescent="0.3">
      <c r="A348" s="134" t="s">
        <v>500</v>
      </c>
      <c r="B348" s="128"/>
      <c r="C348" s="134" t="s">
        <v>1126</v>
      </c>
      <c r="D348" s="134" t="s">
        <v>101</v>
      </c>
      <c r="E348" s="134">
        <v>450</v>
      </c>
      <c r="F348" s="73" t="s">
        <v>29</v>
      </c>
      <c r="G348" s="134" t="s">
        <v>342</v>
      </c>
      <c r="H348" s="134" t="s">
        <v>342</v>
      </c>
      <c r="I348" s="134"/>
      <c r="J348" s="134"/>
      <c r="K348" s="134" t="s">
        <v>174</v>
      </c>
      <c r="L348" s="134" t="s">
        <v>315</v>
      </c>
      <c r="M348" s="135" t="b">
        <v>1</v>
      </c>
      <c r="N348" s="135" t="b">
        <v>1</v>
      </c>
      <c r="O348" s="135" t="b">
        <v>1</v>
      </c>
      <c r="P348" s="135" t="b">
        <v>1</v>
      </c>
    </row>
    <row r="349" spans="1:16" x14ac:dyDescent="0.3">
      <c r="A349" s="134" t="s">
        <v>500</v>
      </c>
      <c r="B349" s="128"/>
      <c r="C349" s="134" t="s">
        <v>976</v>
      </c>
      <c r="D349" s="134" t="s">
        <v>29</v>
      </c>
      <c r="E349" s="134">
        <v>1</v>
      </c>
      <c r="F349" s="73" t="s">
        <v>29</v>
      </c>
      <c r="G349" s="134" t="s">
        <v>342</v>
      </c>
      <c r="H349" s="134" t="s">
        <v>342</v>
      </c>
      <c r="I349" s="134"/>
      <c r="J349" s="134" t="s">
        <v>463</v>
      </c>
      <c r="K349" s="134" t="s">
        <v>174</v>
      </c>
      <c r="L349" s="134" t="s">
        <v>315</v>
      </c>
      <c r="M349" s="135" t="b">
        <v>1</v>
      </c>
      <c r="N349" s="135" t="b">
        <v>1</v>
      </c>
      <c r="O349" s="135" t="b">
        <v>1</v>
      </c>
      <c r="P349" s="135" t="b">
        <v>1</v>
      </c>
    </row>
    <row r="350" spans="1:16" x14ac:dyDescent="0.3">
      <c r="A350" s="134" t="s">
        <v>500</v>
      </c>
      <c r="B350" s="125">
        <v>100346</v>
      </c>
      <c r="C350" s="125" t="s">
        <v>500</v>
      </c>
      <c r="D350" s="127" t="s">
        <v>35</v>
      </c>
      <c r="F350" s="73"/>
      <c r="G350" s="134" t="s">
        <v>342</v>
      </c>
      <c r="H350" s="134" t="s">
        <v>342</v>
      </c>
      <c r="I350" s="134"/>
      <c r="J350" s="134" t="s">
        <v>463</v>
      </c>
      <c r="K350" s="134" t="s">
        <v>174</v>
      </c>
      <c r="L350" s="134" t="s">
        <v>315</v>
      </c>
      <c r="M350" s="135" t="b">
        <v>1</v>
      </c>
      <c r="N350" s="135" t="b">
        <v>1</v>
      </c>
      <c r="O350" s="135" t="b">
        <v>1</v>
      </c>
      <c r="P350" s="135" t="b">
        <v>1</v>
      </c>
    </row>
    <row r="351" spans="1:16" x14ac:dyDescent="0.3">
      <c r="A351" s="134" t="s">
        <v>603</v>
      </c>
      <c r="C351" s="127" t="s">
        <v>1101</v>
      </c>
      <c r="D351" s="127" t="s">
        <v>580</v>
      </c>
      <c r="E351" s="127">
        <v>1</v>
      </c>
      <c r="F351" s="125" t="s">
        <v>580</v>
      </c>
      <c r="G351" s="134" t="s">
        <v>342</v>
      </c>
      <c r="H351" s="134" t="s">
        <v>342</v>
      </c>
      <c r="I351" s="134"/>
      <c r="J351" s="134" t="s">
        <v>463</v>
      </c>
      <c r="K351" s="134" t="s">
        <v>621</v>
      </c>
      <c r="L351" s="134" t="s">
        <v>623</v>
      </c>
      <c r="M351" s="135" t="s">
        <v>1193</v>
      </c>
      <c r="N351" s="135" t="s">
        <v>1193</v>
      </c>
      <c r="O351" s="135" t="s">
        <v>1193</v>
      </c>
      <c r="P351" s="135" t="s">
        <v>1193</v>
      </c>
    </row>
    <row r="352" spans="1:16" x14ac:dyDescent="0.3">
      <c r="A352" s="134" t="s">
        <v>603</v>
      </c>
      <c r="B352" s="125" t="s">
        <v>602</v>
      </c>
      <c r="C352" s="127" t="s">
        <v>603</v>
      </c>
      <c r="D352" s="127" t="s">
        <v>151</v>
      </c>
      <c r="F352" s="125"/>
      <c r="G352" s="134" t="s">
        <v>342</v>
      </c>
      <c r="H352" s="134" t="s">
        <v>342</v>
      </c>
      <c r="I352" s="134"/>
      <c r="J352" s="134" t="s">
        <v>463</v>
      </c>
      <c r="K352" s="134" t="s">
        <v>621</v>
      </c>
      <c r="L352" s="134" t="s">
        <v>623</v>
      </c>
      <c r="M352" s="135" t="s">
        <v>1193</v>
      </c>
      <c r="N352" s="135" t="s">
        <v>1193</v>
      </c>
      <c r="O352" s="135" t="s">
        <v>1193</v>
      </c>
      <c r="P352" s="135" t="s">
        <v>1193</v>
      </c>
    </row>
    <row r="353" spans="1:16" x14ac:dyDescent="0.3">
      <c r="A353" s="134" t="s">
        <v>26</v>
      </c>
      <c r="C353" s="125" t="s">
        <v>1062</v>
      </c>
      <c r="D353" s="127" t="s">
        <v>462</v>
      </c>
      <c r="E353" s="123">
        <v>420</v>
      </c>
      <c r="F353" s="73" t="s">
        <v>29</v>
      </c>
      <c r="G353" s="134" t="s">
        <v>342</v>
      </c>
      <c r="H353" s="134" t="s">
        <v>342</v>
      </c>
      <c r="I353" s="134"/>
      <c r="J353" s="134" t="s">
        <v>463</v>
      </c>
      <c r="K353" s="134" t="s">
        <v>175</v>
      </c>
      <c r="L353" s="134" t="s">
        <v>315</v>
      </c>
      <c r="M353" s="135" t="b">
        <v>1</v>
      </c>
      <c r="N353" s="135" t="b">
        <v>0</v>
      </c>
      <c r="O353" s="135" t="b">
        <v>0</v>
      </c>
      <c r="P353" s="135" t="b">
        <v>0</v>
      </c>
    </row>
    <row r="354" spans="1:16" x14ac:dyDescent="0.3">
      <c r="A354" s="134" t="s">
        <v>26</v>
      </c>
      <c r="C354" s="125" t="s">
        <v>1083</v>
      </c>
      <c r="D354" s="127" t="s">
        <v>461</v>
      </c>
      <c r="E354" s="123">
        <v>1</v>
      </c>
      <c r="F354" s="73" t="s">
        <v>29</v>
      </c>
      <c r="G354" s="134" t="s">
        <v>342</v>
      </c>
      <c r="H354" s="134" t="s">
        <v>342</v>
      </c>
      <c r="I354" s="134"/>
      <c r="J354" s="134" t="s">
        <v>463</v>
      </c>
      <c r="K354" s="134" t="s">
        <v>175</v>
      </c>
      <c r="L354" s="134" t="s">
        <v>315</v>
      </c>
      <c r="M354" s="135" t="b">
        <v>1</v>
      </c>
      <c r="N354" s="135" t="b">
        <v>0</v>
      </c>
      <c r="O354" s="135" t="b">
        <v>0</v>
      </c>
      <c r="P354" s="135" t="b">
        <v>0</v>
      </c>
    </row>
    <row r="355" spans="1:16" x14ac:dyDescent="0.3">
      <c r="A355" s="134" t="s">
        <v>26</v>
      </c>
      <c r="B355" s="125" t="s">
        <v>70</v>
      </c>
      <c r="C355" s="125" t="s">
        <v>26</v>
      </c>
      <c r="D355" s="127" t="s">
        <v>35</v>
      </c>
      <c r="G355" s="134" t="s">
        <v>342</v>
      </c>
      <c r="H355" s="134" t="s">
        <v>342</v>
      </c>
      <c r="I355" s="134"/>
      <c r="J355" s="134" t="s">
        <v>463</v>
      </c>
      <c r="K355" s="134" t="s">
        <v>175</v>
      </c>
      <c r="L355" s="134" t="s">
        <v>315</v>
      </c>
      <c r="M355" s="135" t="b">
        <v>1</v>
      </c>
      <c r="N355" s="135" t="b">
        <v>0</v>
      </c>
      <c r="O355" s="135" t="b">
        <v>0</v>
      </c>
      <c r="P355" s="135" t="b">
        <v>0</v>
      </c>
    </row>
    <row r="356" spans="1:16" ht="15" x14ac:dyDescent="0.3">
      <c r="A356" s="134" t="s">
        <v>1299</v>
      </c>
      <c r="B356" s="148"/>
      <c r="C356" s="127" t="s">
        <v>1296</v>
      </c>
      <c r="D356" s="127" t="s">
        <v>1185</v>
      </c>
      <c r="E356" s="77">
        <v>100</v>
      </c>
      <c r="F356" s="73" t="s">
        <v>102</v>
      </c>
      <c r="G356" s="134" t="s">
        <v>342</v>
      </c>
      <c r="H356" s="134" t="s">
        <v>342</v>
      </c>
      <c r="I356" s="134"/>
      <c r="J356" s="134"/>
      <c r="K356" s="134" t="s">
        <v>175</v>
      </c>
      <c r="L356" s="134" t="s">
        <v>315</v>
      </c>
      <c r="M356" s="135" t="b">
        <v>1</v>
      </c>
      <c r="N356" s="135" t="b">
        <v>1</v>
      </c>
      <c r="O356" s="135" t="b">
        <v>0</v>
      </c>
      <c r="P356" s="135" t="b">
        <v>0</v>
      </c>
    </row>
    <row r="357" spans="1:16" ht="13" customHeight="1" x14ac:dyDescent="0.35">
      <c r="A357" s="134" t="s">
        <v>1299</v>
      </c>
      <c r="B357" s="149"/>
      <c r="C357" s="127" t="s">
        <v>1297</v>
      </c>
      <c r="D357" s="127" t="s">
        <v>102</v>
      </c>
      <c r="E357" s="77">
        <v>1</v>
      </c>
      <c r="F357" s="73" t="s">
        <v>102</v>
      </c>
      <c r="G357" s="134" t="s">
        <v>342</v>
      </c>
      <c r="H357" s="134" t="s">
        <v>342</v>
      </c>
      <c r="I357" s="134"/>
      <c r="J357" s="134"/>
      <c r="K357" s="134" t="s">
        <v>175</v>
      </c>
      <c r="L357" s="134" t="s">
        <v>315</v>
      </c>
      <c r="M357" s="135" t="b">
        <v>1</v>
      </c>
      <c r="N357" s="135" t="b">
        <v>1</v>
      </c>
      <c r="O357" s="135" t="b">
        <v>0</v>
      </c>
      <c r="P357" s="135" t="b">
        <v>0</v>
      </c>
    </row>
    <row r="358" spans="1:16" x14ac:dyDescent="0.3">
      <c r="A358" s="134" t="s">
        <v>1299</v>
      </c>
      <c r="B358" s="147" t="s">
        <v>1298</v>
      </c>
      <c r="C358" s="125" t="s">
        <v>1299</v>
      </c>
      <c r="D358" s="127" t="s">
        <v>67</v>
      </c>
      <c r="F358" s="73"/>
      <c r="G358" s="134" t="s">
        <v>342</v>
      </c>
      <c r="H358" s="134" t="s">
        <v>342</v>
      </c>
      <c r="I358" s="134"/>
      <c r="J358" s="134"/>
      <c r="K358" s="134" t="s">
        <v>175</v>
      </c>
      <c r="L358" s="134" t="s">
        <v>315</v>
      </c>
      <c r="M358" s="135" t="b">
        <v>1</v>
      </c>
      <c r="N358" s="135" t="b">
        <v>1</v>
      </c>
      <c r="O358" s="135" t="b">
        <v>0</v>
      </c>
      <c r="P358" s="135" t="b">
        <v>0</v>
      </c>
    </row>
    <row r="359" spans="1:16" x14ac:dyDescent="0.3">
      <c r="A359" s="134" t="s">
        <v>1341</v>
      </c>
      <c r="C359" s="125" t="s">
        <v>1422</v>
      </c>
      <c r="D359" s="134" t="s">
        <v>103</v>
      </c>
      <c r="E359" s="134">
        <v>2000</v>
      </c>
      <c r="F359" s="159" t="s">
        <v>102</v>
      </c>
      <c r="G359" s="134" t="s">
        <v>342</v>
      </c>
      <c r="H359" s="134" t="s">
        <v>342</v>
      </c>
      <c r="I359" s="134"/>
      <c r="J359" s="134" t="s">
        <v>463</v>
      </c>
      <c r="K359" s="134" t="s">
        <v>175</v>
      </c>
      <c r="L359" s="134" t="s">
        <v>315</v>
      </c>
      <c r="M359" s="134" t="b">
        <v>1</v>
      </c>
      <c r="N359" s="134" t="b">
        <v>0</v>
      </c>
      <c r="O359" s="134" t="b">
        <v>0</v>
      </c>
      <c r="P359" s="134" t="b">
        <v>0</v>
      </c>
    </row>
    <row r="360" spans="1:16" x14ac:dyDescent="0.3">
      <c r="A360" s="134" t="s">
        <v>1341</v>
      </c>
      <c r="C360" s="125" t="s">
        <v>1423</v>
      </c>
      <c r="D360" s="134" t="s">
        <v>101</v>
      </c>
      <c r="E360" s="134">
        <v>50</v>
      </c>
      <c r="F360" s="159" t="s">
        <v>102</v>
      </c>
      <c r="G360" s="134" t="s">
        <v>342</v>
      </c>
      <c r="H360" s="134" t="s">
        <v>342</v>
      </c>
      <c r="I360" s="134"/>
      <c r="J360" s="134" t="s">
        <v>463</v>
      </c>
      <c r="K360" s="134" t="s">
        <v>175</v>
      </c>
      <c r="L360" s="134" t="s">
        <v>315</v>
      </c>
      <c r="M360" s="134" t="b">
        <v>1</v>
      </c>
      <c r="N360" s="134" t="b">
        <v>0</v>
      </c>
      <c r="O360" s="134" t="b">
        <v>0</v>
      </c>
      <c r="P360" s="134" t="b">
        <v>0</v>
      </c>
    </row>
    <row r="361" spans="1:16" ht="13.15" customHeight="1" x14ac:dyDescent="0.3">
      <c r="A361" s="134" t="s">
        <v>1341</v>
      </c>
      <c r="C361" s="125" t="s">
        <v>1424</v>
      </c>
      <c r="D361" s="134" t="s">
        <v>102</v>
      </c>
      <c r="E361" s="134">
        <v>1</v>
      </c>
      <c r="F361" s="159" t="s">
        <v>102</v>
      </c>
      <c r="G361" s="134" t="s">
        <v>342</v>
      </c>
      <c r="H361" s="134" t="s">
        <v>342</v>
      </c>
      <c r="I361" s="134"/>
      <c r="J361" s="134" t="s">
        <v>463</v>
      </c>
      <c r="K361" s="134" t="s">
        <v>175</v>
      </c>
      <c r="L361" s="134" t="s">
        <v>315</v>
      </c>
      <c r="M361" s="134" t="b">
        <v>1</v>
      </c>
      <c r="N361" s="134" t="b">
        <v>0</v>
      </c>
      <c r="O361" s="134" t="b">
        <v>0</v>
      </c>
      <c r="P361" s="134" t="b">
        <v>0</v>
      </c>
    </row>
    <row r="362" spans="1:16" ht="13.15" customHeight="1" x14ac:dyDescent="0.3">
      <c r="A362" s="134" t="s">
        <v>1341</v>
      </c>
      <c r="B362" s="125">
        <v>100436</v>
      </c>
      <c r="C362" s="125" t="s">
        <v>1341</v>
      </c>
      <c r="D362" s="134" t="s">
        <v>67</v>
      </c>
      <c r="E362" s="134"/>
      <c r="F362" s="159"/>
      <c r="G362" s="134" t="s">
        <v>342</v>
      </c>
      <c r="H362" s="134" t="s">
        <v>342</v>
      </c>
      <c r="I362" s="134"/>
      <c r="J362" s="134"/>
      <c r="K362" s="134" t="s">
        <v>175</v>
      </c>
      <c r="L362" s="134" t="s">
        <v>315</v>
      </c>
      <c r="M362" s="134" t="b">
        <v>1</v>
      </c>
      <c r="N362" s="134" t="b">
        <v>0</v>
      </c>
      <c r="O362" s="134" t="b">
        <v>0</v>
      </c>
      <c r="P362" s="134" t="b">
        <v>0</v>
      </c>
    </row>
    <row r="363" spans="1:16" ht="13.15" customHeight="1" x14ac:dyDescent="0.3">
      <c r="A363" s="134" t="s">
        <v>27</v>
      </c>
      <c r="C363" s="127" t="s">
        <v>1038</v>
      </c>
      <c r="D363" s="127" t="s">
        <v>103</v>
      </c>
      <c r="E363" s="123">
        <v>3000</v>
      </c>
      <c r="F363" s="73" t="s">
        <v>102</v>
      </c>
      <c r="G363" s="134" t="s">
        <v>342</v>
      </c>
      <c r="H363" s="134" t="s">
        <v>342</v>
      </c>
      <c r="I363" s="134"/>
      <c r="J363" s="134" t="s">
        <v>463</v>
      </c>
      <c r="K363" s="134" t="s">
        <v>175</v>
      </c>
      <c r="L363" s="134" t="s">
        <v>315</v>
      </c>
      <c r="M363" s="135" t="b">
        <v>1</v>
      </c>
      <c r="N363" s="135" t="b">
        <v>1</v>
      </c>
      <c r="O363" s="135" t="b">
        <v>0</v>
      </c>
      <c r="P363" s="135" t="b">
        <v>0</v>
      </c>
    </row>
    <row r="364" spans="1:16" ht="13.15" customHeight="1" x14ac:dyDescent="0.3">
      <c r="A364" s="134" t="s">
        <v>27</v>
      </c>
      <c r="C364" s="127" t="s">
        <v>1063</v>
      </c>
      <c r="D364" s="127" t="s">
        <v>101</v>
      </c>
      <c r="E364" s="123">
        <v>100</v>
      </c>
      <c r="F364" s="73" t="s">
        <v>102</v>
      </c>
      <c r="G364" s="134" t="s">
        <v>342</v>
      </c>
      <c r="H364" s="134" t="s">
        <v>342</v>
      </c>
      <c r="I364" s="134"/>
      <c r="J364" s="134" t="s">
        <v>463</v>
      </c>
      <c r="K364" s="134" t="s">
        <v>175</v>
      </c>
      <c r="L364" s="134" t="s">
        <v>315</v>
      </c>
      <c r="M364" s="135" t="b">
        <v>1</v>
      </c>
      <c r="N364" s="135" t="b">
        <v>1</v>
      </c>
      <c r="O364" s="135" t="b">
        <v>0</v>
      </c>
      <c r="P364" s="135" t="b">
        <v>0</v>
      </c>
    </row>
    <row r="365" spans="1:16" x14ac:dyDescent="0.3">
      <c r="A365" s="134" t="s">
        <v>27</v>
      </c>
      <c r="C365" s="127" t="s">
        <v>638</v>
      </c>
      <c r="D365" s="127" t="s">
        <v>102</v>
      </c>
      <c r="E365" s="123">
        <v>1</v>
      </c>
      <c r="F365" s="73" t="s">
        <v>102</v>
      </c>
      <c r="G365" s="134" t="s">
        <v>342</v>
      </c>
      <c r="H365" s="134" t="s">
        <v>342</v>
      </c>
      <c r="I365" s="134"/>
      <c r="J365" s="134" t="s">
        <v>463</v>
      </c>
      <c r="K365" s="134" t="s">
        <v>175</v>
      </c>
      <c r="L365" s="134" t="s">
        <v>315</v>
      </c>
      <c r="M365" s="135" t="b">
        <v>1</v>
      </c>
      <c r="N365" s="135" t="b">
        <v>1</v>
      </c>
      <c r="O365" s="135" t="b">
        <v>0</v>
      </c>
      <c r="P365" s="135" t="b">
        <v>0</v>
      </c>
    </row>
    <row r="366" spans="1:16" x14ac:dyDescent="0.3">
      <c r="A366" s="134" t="s">
        <v>27</v>
      </c>
      <c r="B366" s="125" t="s">
        <v>98</v>
      </c>
      <c r="C366" s="125" t="s">
        <v>27</v>
      </c>
      <c r="D366" s="127" t="s">
        <v>67</v>
      </c>
      <c r="F366" s="73"/>
      <c r="G366" s="134" t="s">
        <v>342</v>
      </c>
      <c r="H366" s="134" t="s">
        <v>342</v>
      </c>
      <c r="I366" s="134"/>
      <c r="J366" s="134" t="s">
        <v>463</v>
      </c>
      <c r="K366" s="134" t="s">
        <v>175</v>
      </c>
      <c r="L366" s="134" t="s">
        <v>315</v>
      </c>
      <c r="M366" s="135" t="b">
        <v>1</v>
      </c>
      <c r="N366" s="135" t="b">
        <v>1</v>
      </c>
      <c r="O366" s="135" t="b">
        <v>0</v>
      </c>
      <c r="P366" s="135" t="b">
        <v>0</v>
      </c>
    </row>
    <row r="367" spans="1:16" x14ac:dyDescent="0.3">
      <c r="A367" s="134" t="s">
        <v>501</v>
      </c>
      <c r="C367" s="134" t="s">
        <v>1097</v>
      </c>
      <c r="D367" s="127" t="s">
        <v>557</v>
      </c>
      <c r="E367" s="136">
        <v>24000</v>
      </c>
      <c r="F367" s="73" t="s">
        <v>29</v>
      </c>
      <c r="G367" s="134" t="s">
        <v>342</v>
      </c>
      <c r="H367" s="134" t="s">
        <v>342</v>
      </c>
      <c r="I367" s="134"/>
      <c r="J367" s="134"/>
      <c r="K367" s="134" t="s">
        <v>174</v>
      </c>
      <c r="L367" s="134" t="s">
        <v>315</v>
      </c>
      <c r="M367" s="135" t="b">
        <v>1</v>
      </c>
      <c r="N367" s="135" t="b">
        <v>1</v>
      </c>
      <c r="O367" s="135" t="b">
        <v>1</v>
      </c>
      <c r="P367" s="135" t="b">
        <v>1</v>
      </c>
    </row>
    <row r="368" spans="1:16" x14ac:dyDescent="0.3">
      <c r="A368" s="134" t="s">
        <v>501</v>
      </c>
      <c r="C368" s="134" t="s">
        <v>978</v>
      </c>
      <c r="D368" s="134" t="s">
        <v>101</v>
      </c>
      <c r="E368" s="127">
        <v>300</v>
      </c>
      <c r="F368" s="73" t="s">
        <v>29</v>
      </c>
      <c r="G368" s="134" t="s">
        <v>342</v>
      </c>
      <c r="H368" s="134" t="s">
        <v>342</v>
      </c>
      <c r="I368" s="134"/>
      <c r="J368" s="134" t="s">
        <v>463</v>
      </c>
      <c r="K368" s="134" t="s">
        <v>174</v>
      </c>
      <c r="L368" s="134" t="s">
        <v>315</v>
      </c>
      <c r="M368" s="135" t="b">
        <v>1</v>
      </c>
      <c r="N368" s="135" t="b">
        <v>1</v>
      </c>
      <c r="O368" s="135" t="b">
        <v>1</v>
      </c>
      <c r="P368" s="135" t="b">
        <v>1</v>
      </c>
    </row>
    <row r="369" spans="1:16" x14ac:dyDescent="0.3">
      <c r="A369" s="134" t="s">
        <v>501</v>
      </c>
      <c r="C369" s="134" t="s">
        <v>1122</v>
      </c>
      <c r="D369" s="134" t="s">
        <v>125</v>
      </c>
      <c r="E369" s="127">
        <v>1000</v>
      </c>
      <c r="F369" s="73" t="s">
        <v>29</v>
      </c>
      <c r="G369" s="134" t="s">
        <v>342</v>
      </c>
      <c r="H369" s="134" t="s">
        <v>342</v>
      </c>
      <c r="I369" s="134"/>
      <c r="J369" s="134"/>
      <c r="K369" s="134" t="s">
        <v>174</v>
      </c>
      <c r="L369" s="134" t="s">
        <v>315</v>
      </c>
      <c r="M369" s="135" t="b">
        <v>1</v>
      </c>
      <c r="N369" s="135" t="b">
        <v>1</v>
      </c>
      <c r="O369" s="135" t="b">
        <v>1</v>
      </c>
      <c r="P369" s="135" t="b">
        <v>1</v>
      </c>
    </row>
    <row r="370" spans="1:16" x14ac:dyDescent="0.3">
      <c r="A370" s="134" t="s">
        <v>501</v>
      </c>
      <c r="C370" s="134" t="s">
        <v>979</v>
      </c>
      <c r="D370" s="134" t="s">
        <v>29</v>
      </c>
      <c r="E370" s="127">
        <v>1</v>
      </c>
      <c r="F370" s="73" t="s">
        <v>29</v>
      </c>
      <c r="G370" s="134" t="s">
        <v>342</v>
      </c>
      <c r="H370" s="134" t="s">
        <v>342</v>
      </c>
      <c r="I370" s="134"/>
      <c r="J370" s="134" t="s">
        <v>463</v>
      </c>
      <c r="K370" s="134" t="s">
        <v>174</v>
      </c>
      <c r="L370" s="134" t="s">
        <v>315</v>
      </c>
      <c r="M370" s="135" t="b">
        <v>1</v>
      </c>
      <c r="N370" s="135" t="b">
        <v>1</v>
      </c>
      <c r="O370" s="135" t="b">
        <v>1</v>
      </c>
      <c r="P370" s="135" t="b">
        <v>1</v>
      </c>
    </row>
    <row r="371" spans="1:16" x14ac:dyDescent="0.3">
      <c r="A371" s="134" t="s">
        <v>501</v>
      </c>
      <c r="C371" s="134" t="s">
        <v>980</v>
      </c>
      <c r="D371" s="134" t="s">
        <v>29</v>
      </c>
      <c r="E371" s="127">
        <v>0.5</v>
      </c>
      <c r="F371" s="73" t="s">
        <v>29</v>
      </c>
      <c r="G371" s="134" t="s">
        <v>342</v>
      </c>
      <c r="H371" s="134" t="s">
        <v>342</v>
      </c>
      <c r="I371" s="134"/>
      <c r="J371" s="134" t="s">
        <v>463</v>
      </c>
      <c r="K371" s="134" t="s">
        <v>174</v>
      </c>
      <c r="L371" s="134" t="s">
        <v>315</v>
      </c>
      <c r="M371" s="135" t="b">
        <v>1</v>
      </c>
      <c r="N371" s="135" t="b">
        <v>1</v>
      </c>
      <c r="O371" s="135" t="b">
        <v>1</v>
      </c>
      <c r="P371" s="135" t="b">
        <v>1</v>
      </c>
    </row>
    <row r="372" spans="1:16" x14ac:dyDescent="0.3">
      <c r="A372" s="134" t="s">
        <v>501</v>
      </c>
      <c r="B372" s="125">
        <v>100345</v>
      </c>
      <c r="C372" s="125" t="s">
        <v>501</v>
      </c>
      <c r="D372" s="127" t="s">
        <v>35</v>
      </c>
      <c r="F372" s="73"/>
      <c r="G372" s="134" t="s">
        <v>342</v>
      </c>
      <c r="H372" s="134" t="s">
        <v>342</v>
      </c>
      <c r="I372" s="134"/>
      <c r="J372" s="134" t="s">
        <v>463</v>
      </c>
      <c r="K372" s="134" t="s">
        <v>174</v>
      </c>
      <c r="L372" s="134" t="s">
        <v>315</v>
      </c>
      <c r="M372" s="135" t="b">
        <v>1</v>
      </c>
      <c r="N372" s="135" t="b">
        <v>1</v>
      </c>
      <c r="O372" s="135" t="b">
        <v>1</v>
      </c>
      <c r="P372" s="135" t="b">
        <v>1</v>
      </c>
    </row>
    <row r="373" spans="1:16" x14ac:dyDescent="0.3">
      <c r="A373" s="134" t="s">
        <v>916</v>
      </c>
      <c r="C373" s="125" t="s">
        <v>992</v>
      </c>
      <c r="D373" s="134" t="s">
        <v>103</v>
      </c>
      <c r="E373" s="134"/>
      <c r="F373" s="73" t="s">
        <v>29</v>
      </c>
      <c r="G373" s="134" t="s">
        <v>342</v>
      </c>
      <c r="H373" s="134" t="s">
        <v>342</v>
      </c>
      <c r="I373" s="134"/>
      <c r="J373" s="134"/>
      <c r="K373" s="134" t="s">
        <v>174</v>
      </c>
      <c r="L373" s="134" t="s">
        <v>315</v>
      </c>
      <c r="M373" s="135" t="s">
        <v>1193</v>
      </c>
      <c r="N373" s="135" t="s">
        <v>1193</v>
      </c>
      <c r="O373" s="135" t="s">
        <v>1193</v>
      </c>
      <c r="P373" s="135" t="s">
        <v>1193</v>
      </c>
    </row>
    <row r="374" spans="1:16" x14ac:dyDescent="0.3">
      <c r="A374" s="134" t="s">
        <v>916</v>
      </c>
      <c r="C374" s="125" t="s">
        <v>993</v>
      </c>
      <c r="D374" s="134" t="s">
        <v>101</v>
      </c>
      <c r="E374" s="134"/>
      <c r="F374" s="73" t="s">
        <v>29</v>
      </c>
      <c r="G374" s="134" t="s">
        <v>342</v>
      </c>
      <c r="H374" s="134" t="s">
        <v>342</v>
      </c>
      <c r="I374" s="134"/>
      <c r="J374" s="134"/>
      <c r="K374" s="134" t="s">
        <v>174</v>
      </c>
      <c r="L374" s="134" t="s">
        <v>315</v>
      </c>
      <c r="M374" s="135" t="s">
        <v>1193</v>
      </c>
      <c r="N374" s="135" t="s">
        <v>1193</v>
      </c>
      <c r="O374" s="135" t="s">
        <v>1193</v>
      </c>
      <c r="P374" s="135" t="s">
        <v>1193</v>
      </c>
    </row>
    <row r="375" spans="1:16" x14ac:dyDescent="0.3">
      <c r="A375" s="134" t="s">
        <v>916</v>
      </c>
      <c r="C375" s="125" t="s">
        <v>994</v>
      </c>
      <c r="D375" s="134" t="s">
        <v>29</v>
      </c>
      <c r="E375" s="134">
        <v>1</v>
      </c>
      <c r="F375" s="73" t="s">
        <v>29</v>
      </c>
      <c r="G375" s="134" t="s">
        <v>342</v>
      </c>
      <c r="H375" s="134" t="s">
        <v>342</v>
      </c>
      <c r="I375" s="134"/>
      <c r="J375" s="134"/>
      <c r="K375" s="134" t="s">
        <v>174</v>
      </c>
      <c r="L375" s="134" t="s">
        <v>315</v>
      </c>
      <c r="M375" s="135" t="s">
        <v>1193</v>
      </c>
      <c r="N375" s="135" t="s">
        <v>1193</v>
      </c>
      <c r="O375" s="135" t="s">
        <v>1193</v>
      </c>
      <c r="P375" s="135" t="s">
        <v>1193</v>
      </c>
    </row>
    <row r="376" spans="1:16" x14ac:dyDescent="0.3">
      <c r="A376" s="134" t="s">
        <v>916</v>
      </c>
      <c r="B376" s="125">
        <v>100407</v>
      </c>
      <c r="C376" s="125" t="s">
        <v>916</v>
      </c>
      <c r="D376" s="134" t="s">
        <v>35</v>
      </c>
      <c r="E376" s="134"/>
      <c r="F376" s="73"/>
      <c r="G376" s="134" t="s">
        <v>342</v>
      </c>
      <c r="H376" s="134" t="s">
        <v>342</v>
      </c>
      <c r="I376" s="134"/>
      <c r="J376" s="134"/>
      <c r="K376" s="134" t="s">
        <v>174</v>
      </c>
      <c r="L376" s="134" t="s">
        <v>315</v>
      </c>
      <c r="M376" s="135" t="s">
        <v>1193</v>
      </c>
      <c r="N376" s="135" t="s">
        <v>1193</v>
      </c>
      <c r="O376" s="135" t="s">
        <v>1193</v>
      </c>
      <c r="P376" s="135" t="s">
        <v>1193</v>
      </c>
    </row>
    <row r="377" spans="1:16" x14ac:dyDescent="0.3">
      <c r="A377" s="134" t="s">
        <v>486</v>
      </c>
      <c r="B377" s="128"/>
      <c r="C377" s="134" t="s">
        <v>1039</v>
      </c>
      <c r="D377" s="134" t="s">
        <v>103</v>
      </c>
      <c r="E377" s="127">
        <v>2000</v>
      </c>
      <c r="F377" s="134" t="s">
        <v>102</v>
      </c>
      <c r="G377" s="134" t="s">
        <v>342</v>
      </c>
      <c r="H377" s="134" t="s">
        <v>342</v>
      </c>
      <c r="I377" s="134"/>
      <c r="J377" s="134" t="s">
        <v>463</v>
      </c>
      <c r="K377" s="134" t="s">
        <v>175</v>
      </c>
      <c r="L377" s="134" t="s">
        <v>315</v>
      </c>
      <c r="M377" s="135" t="b">
        <v>1</v>
      </c>
      <c r="N377" s="135" t="b">
        <v>1</v>
      </c>
      <c r="O377" s="135" t="b">
        <v>0</v>
      </c>
      <c r="P377" s="135" t="b">
        <v>0</v>
      </c>
    </row>
    <row r="378" spans="1:16" x14ac:dyDescent="0.3">
      <c r="A378" s="134" t="s">
        <v>486</v>
      </c>
      <c r="B378" s="128"/>
      <c r="C378" s="134" t="s">
        <v>981</v>
      </c>
      <c r="D378" s="134" t="s">
        <v>101</v>
      </c>
      <c r="E378" s="127">
        <v>50</v>
      </c>
      <c r="F378" s="134" t="s">
        <v>102</v>
      </c>
      <c r="G378" s="134" t="s">
        <v>342</v>
      </c>
      <c r="H378" s="134" t="s">
        <v>342</v>
      </c>
      <c r="I378" s="134"/>
      <c r="J378" s="134" t="s">
        <v>463</v>
      </c>
      <c r="K378" s="134" t="s">
        <v>175</v>
      </c>
      <c r="L378" s="134" t="s">
        <v>315</v>
      </c>
      <c r="M378" s="135" t="b">
        <v>1</v>
      </c>
      <c r="N378" s="135" t="b">
        <v>1</v>
      </c>
      <c r="O378" s="135" t="b">
        <v>0</v>
      </c>
      <c r="P378" s="135" t="b">
        <v>0</v>
      </c>
    </row>
    <row r="379" spans="1:16" ht="14.65" customHeight="1" x14ac:dyDescent="0.3">
      <c r="A379" s="134" t="s">
        <v>486</v>
      </c>
      <c r="B379" s="128"/>
      <c r="C379" s="134" t="s">
        <v>982</v>
      </c>
      <c r="D379" s="134" t="s">
        <v>102</v>
      </c>
      <c r="E379" s="127">
        <v>1</v>
      </c>
      <c r="F379" s="134" t="s">
        <v>102</v>
      </c>
      <c r="G379" s="134" t="s">
        <v>342</v>
      </c>
      <c r="H379" s="134" t="s">
        <v>342</v>
      </c>
      <c r="I379" s="134"/>
      <c r="J379" s="134" t="s">
        <v>463</v>
      </c>
      <c r="K379" s="134" t="s">
        <v>175</v>
      </c>
      <c r="L379" s="134" t="s">
        <v>315</v>
      </c>
      <c r="M379" s="135" t="b">
        <v>1</v>
      </c>
      <c r="N379" s="135" t="b">
        <v>1</v>
      </c>
      <c r="O379" s="135" t="b">
        <v>0</v>
      </c>
      <c r="P379" s="135" t="b">
        <v>0</v>
      </c>
    </row>
    <row r="380" spans="1:16" x14ac:dyDescent="0.3">
      <c r="A380" s="134" t="s">
        <v>486</v>
      </c>
      <c r="B380" s="125">
        <v>100350</v>
      </c>
      <c r="C380" s="125" t="s">
        <v>486</v>
      </c>
      <c r="D380" s="127" t="s">
        <v>67</v>
      </c>
      <c r="F380" s="73"/>
      <c r="G380" s="134" t="s">
        <v>342</v>
      </c>
      <c r="H380" s="134" t="s">
        <v>342</v>
      </c>
      <c r="I380" s="134"/>
      <c r="J380" s="134" t="s">
        <v>463</v>
      </c>
      <c r="K380" s="134" t="s">
        <v>175</v>
      </c>
      <c r="L380" s="134" t="s">
        <v>315</v>
      </c>
      <c r="M380" s="135" t="b">
        <v>1</v>
      </c>
      <c r="N380" s="135" t="b">
        <v>1</v>
      </c>
      <c r="O380" s="135" t="b">
        <v>0</v>
      </c>
      <c r="P380" s="135" t="b">
        <v>0</v>
      </c>
    </row>
    <row r="381" spans="1:16" ht="14" x14ac:dyDescent="0.3">
      <c r="A381" s="134" t="s">
        <v>1191</v>
      </c>
      <c r="C381" s="125" t="s">
        <v>1187</v>
      </c>
      <c r="D381" s="134" t="s">
        <v>138</v>
      </c>
      <c r="E381" s="138">
        <v>500</v>
      </c>
      <c r="F381" s="73" t="s">
        <v>102</v>
      </c>
      <c r="G381" s="134" t="s">
        <v>342</v>
      </c>
      <c r="H381" s="134" t="s">
        <v>342</v>
      </c>
      <c r="I381" s="134"/>
      <c r="J381" s="134"/>
      <c r="K381" s="134" t="s">
        <v>175</v>
      </c>
      <c r="L381" s="134" t="s">
        <v>315</v>
      </c>
      <c r="M381" s="135" t="b">
        <v>1</v>
      </c>
      <c r="N381" s="135" t="s">
        <v>1193</v>
      </c>
      <c r="O381" s="135" t="b">
        <v>0</v>
      </c>
      <c r="P381" s="135" t="b">
        <v>0</v>
      </c>
    </row>
    <row r="382" spans="1:16" ht="14" x14ac:dyDescent="0.3">
      <c r="A382" s="134" t="s">
        <v>1191</v>
      </c>
      <c r="C382" s="125" t="s">
        <v>1188</v>
      </c>
      <c r="D382" s="134" t="s">
        <v>969</v>
      </c>
      <c r="E382" s="138">
        <v>125</v>
      </c>
      <c r="F382" s="73" t="s">
        <v>102</v>
      </c>
      <c r="G382" s="134" t="s">
        <v>342</v>
      </c>
      <c r="H382" s="134" t="s">
        <v>342</v>
      </c>
      <c r="I382" s="134"/>
      <c r="J382" s="134"/>
      <c r="K382" s="134" t="s">
        <v>175</v>
      </c>
      <c r="L382" s="134" t="s">
        <v>315</v>
      </c>
      <c r="M382" s="135" t="b">
        <v>1</v>
      </c>
      <c r="N382" s="135" t="s">
        <v>1193</v>
      </c>
      <c r="O382" s="135" t="b">
        <v>0</v>
      </c>
      <c r="P382" s="135" t="b">
        <v>0</v>
      </c>
    </row>
    <row r="383" spans="1:16" ht="15.65" customHeight="1" x14ac:dyDescent="0.3">
      <c r="A383" s="134" t="s">
        <v>1191</v>
      </c>
      <c r="C383" s="125" t="s">
        <v>1189</v>
      </c>
      <c r="D383" s="134" t="s">
        <v>102</v>
      </c>
      <c r="E383" s="138">
        <v>1</v>
      </c>
      <c r="F383" s="73" t="s">
        <v>102</v>
      </c>
      <c r="G383" s="134" t="s">
        <v>342</v>
      </c>
      <c r="H383" s="134" t="s">
        <v>342</v>
      </c>
      <c r="I383" s="134"/>
      <c r="J383" s="134"/>
      <c r="K383" s="134" t="s">
        <v>175</v>
      </c>
      <c r="L383" s="134" t="s">
        <v>315</v>
      </c>
      <c r="M383" s="135" t="b">
        <v>1</v>
      </c>
      <c r="N383" s="135" t="s">
        <v>1193</v>
      </c>
      <c r="O383" s="135" t="b">
        <v>0</v>
      </c>
      <c r="P383" s="135" t="b">
        <v>0</v>
      </c>
    </row>
    <row r="384" spans="1:16" ht="13" customHeight="1" x14ac:dyDescent="0.35">
      <c r="A384" s="134" t="s">
        <v>1191</v>
      </c>
      <c r="B384" s="125" t="s">
        <v>1190</v>
      </c>
      <c r="C384" s="125" t="s">
        <v>1191</v>
      </c>
      <c r="D384" s="134" t="s">
        <v>67</v>
      </c>
      <c r="E384"/>
      <c r="F384" s="73"/>
      <c r="G384" s="134" t="s">
        <v>342</v>
      </c>
      <c r="H384" s="134" t="s">
        <v>342</v>
      </c>
      <c r="I384" s="134"/>
      <c r="J384" s="134"/>
      <c r="K384" s="134" t="s">
        <v>175</v>
      </c>
      <c r="L384" s="134" t="s">
        <v>315</v>
      </c>
      <c r="M384" s="135" t="b">
        <v>1</v>
      </c>
      <c r="N384" s="135" t="s">
        <v>1193</v>
      </c>
      <c r="O384" s="135" t="b">
        <v>0</v>
      </c>
      <c r="P384" s="135" t="b">
        <v>0</v>
      </c>
    </row>
    <row r="385" spans="1:16" ht="14.65" customHeight="1" x14ac:dyDescent="0.3">
      <c r="A385" s="134" t="s">
        <v>28</v>
      </c>
      <c r="C385" s="127" t="s">
        <v>1040</v>
      </c>
      <c r="D385" s="127" t="s">
        <v>103</v>
      </c>
      <c r="E385" s="123">
        <v>13800</v>
      </c>
      <c r="F385" s="74" t="s">
        <v>29</v>
      </c>
      <c r="G385" s="134" t="s">
        <v>342</v>
      </c>
      <c r="H385" s="134" t="s">
        <v>342</v>
      </c>
      <c r="I385" s="134"/>
      <c r="J385" s="134" t="s">
        <v>463</v>
      </c>
      <c r="K385" s="134" t="s">
        <v>174</v>
      </c>
      <c r="L385" s="134" t="s">
        <v>315</v>
      </c>
      <c r="M385" s="135" t="b">
        <v>1</v>
      </c>
      <c r="N385" s="135" t="b">
        <v>1</v>
      </c>
      <c r="O385" s="135" t="b">
        <v>1</v>
      </c>
      <c r="P385" s="135" t="b">
        <v>1</v>
      </c>
    </row>
    <row r="386" spans="1:16" ht="14.65" customHeight="1" x14ac:dyDescent="0.3">
      <c r="A386" s="134" t="s">
        <v>28</v>
      </c>
      <c r="C386" s="127" t="s">
        <v>1064</v>
      </c>
      <c r="D386" s="127" t="s">
        <v>101</v>
      </c>
      <c r="E386" s="123">
        <v>2300</v>
      </c>
      <c r="F386" s="74" t="s">
        <v>29</v>
      </c>
      <c r="G386" s="134" t="s">
        <v>342</v>
      </c>
      <c r="H386" s="134" t="s">
        <v>342</v>
      </c>
      <c r="I386" s="134"/>
      <c r="J386" s="134" t="s">
        <v>463</v>
      </c>
      <c r="K386" s="134" t="s">
        <v>174</v>
      </c>
      <c r="L386" s="134" t="s">
        <v>315</v>
      </c>
      <c r="M386" s="135" t="b">
        <v>1</v>
      </c>
      <c r="N386" s="135" t="b">
        <v>1</v>
      </c>
      <c r="O386" s="135" t="b">
        <v>1</v>
      </c>
      <c r="P386" s="135" t="b">
        <v>1</v>
      </c>
    </row>
    <row r="387" spans="1:16" ht="14.65" customHeight="1" x14ac:dyDescent="0.3">
      <c r="A387" s="134" t="s">
        <v>28</v>
      </c>
      <c r="C387" s="127" t="s">
        <v>1084</v>
      </c>
      <c r="D387" s="127" t="s">
        <v>29</v>
      </c>
      <c r="E387" s="123">
        <v>1</v>
      </c>
      <c r="F387" s="74" t="s">
        <v>29</v>
      </c>
      <c r="G387" s="134" t="s">
        <v>342</v>
      </c>
      <c r="H387" s="134" t="s">
        <v>342</v>
      </c>
      <c r="I387" s="134"/>
      <c r="J387" s="134" t="s">
        <v>463</v>
      </c>
      <c r="K387" s="134" t="s">
        <v>174</v>
      </c>
      <c r="L387" s="134" t="s">
        <v>315</v>
      </c>
      <c r="M387" s="135" t="b">
        <v>1</v>
      </c>
      <c r="N387" s="135" t="b">
        <v>1</v>
      </c>
      <c r="O387" s="135" t="b">
        <v>1</v>
      </c>
      <c r="P387" s="135" t="b">
        <v>1</v>
      </c>
    </row>
    <row r="388" spans="1:16" ht="14.65" customHeight="1" x14ac:dyDescent="0.3">
      <c r="A388" s="134" t="s">
        <v>28</v>
      </c>
      <c r="B388" s="125" t="s">
        <v>99</v>
      </c>
      <c r="C388" s="125" t="s">
        <v>28</v>
      </c>
      <c r="D388" s="127" t="s">
        <v>35</v>
      </c>
      <c r="F388" s="73"/>
      <c r="G388" s="134" t="s">
        <v>342</v>
      </c>
      <c r="H388" s="134" t="s">
        <v>342</v>
      </c>
      <c r="I388" s="134"/>
      <c r="J388" s="134" t="s">
        <v>463</v>
      </c>
      <c r="K388" s="134" t="s">
        <v>174</v>
      </c>
      <c r="L388" s="134" t="s">
        <v>315</v>
      </c>
      <c r="M388" s="135" t="b">
        <v>1</v>
      </c>
      <c r="N388" s="135" t="b">
        <v>1</v>
      </c>
      <c r="O388" s="135" t="b">
        <v>1</v>
      </c>
      <c r="P388" s="135" t="b">
        <v>1</v>
      </c>
    </row>
    <row r="389" spans="1:16" ht="14.65" customHeight="1" x14ac:dyDescent="0.3">
      <c r="A389" s="134" t="s">
        <v>541</v>
      </c>
      <c r="B389" s="128"/>
      <c r="C389" s="134" t="s">
        <v>983</v>
      </c>
      <c r="D389" s="134" t="s">
        <v>138</v>
      </c>
      <c r="E389" s="134">
        <v>3000</v>
      </c>
      <c r="F389" s="134" t="s">
        <v>102</v>
      </c>
      <c r="G389" s="134" t="s">
        <v>342</v>
      </c>
      <c r="H389" s="134" t="s">
        <v>342</v>
      </c>
      <c r="I389" s="134"/>
      <c r="J389" s="134" t="s">
        <v>463</v>
      </c>
      <c r="K389" s="134" t="s">
        <v>175</v>
      </c>
      <c r="L389" s="134" t="s">
        <v>315</v>
      </c>
      <c r="M389" s="135" t="b">
        <v>1</v>
      </c>
      <c r="N389" s="135" t="b">
        <v>0</v>
      </c>
      <c r="O389" s="135" t="b">
        <v>0</v>
      </c>
      <c r="P389" s="135" t="b">
        <v>0</v>
      </c>
    </row>
    <row r="390" spans="1:16" ht="14.65" customHeight="1" x14ac:dyDescent="0.3">
      <c r="A390" s="134" t="s">
        <v>541</v>
      </c>
      <c r="B390" s="128"/>
      <c r="C390" s="134" t="s">
        <v>984</v>
      </c>
      <c r="D390" s="134" t="s">
        <v>102</v>
      </c>
      <c r="E390" s="134">
        <v>1</v>
      </c>
      <c r="F390" s="134" t="s">
        <v>102</v>
      </c>
      <c r="G390" s="134" t="s">
        <v>342</v>
      </c>
      <c r="H390" s="134" t="s">
        <v>342</v>
      </c>
      <c r="I390" s="134"/>
      <c r="J390" s="134" t="s">
        <v>463</v>
      </c>
      <c r="K390" s="134" t="s">
        <v>175</v>
      </c>
      <c r="L390" s="134" t="s">
        <v>315</v>
      </c>
      <c r="M390" s="135" t="b">
        <v>1</v>
      </c>
      <c r="N390" s="135" t="b">
        <v>0</v>
      </c>
      <c r="O390" s="135" t="b">
        <v>0</v>
      </c>
      <c r="P390" s="135" t="b">
        <v>0</v>
      </c>
    </row>
    <row r="391" spans="1:16" ht="14.65" customHeight="1" x14ac:dyDescent="0.3">
      <c r="A391" s="134" t="s">
        <v>541</v>
      </c>
      <c r="B391" s="125" t="s">
        <v>545</v>
      </c>
      <c r="C391" s="125" t="s">
        <v>541</v>
      </c>
      <c r="D391" s="127" t="s">
        <v>67</v>
      </c>
      <c r="F391" s="73"/>
      <c r="G391" s="134" t="s">
        <v>342</v>
      </c>
      <c r="H391" s="134" t="s">
        <v>342</v>
      </c>
      <c r="I391" s="134"/>
      <c r="J391" s="134" t="s">
        <v>463</v>
      </c>
      <c r="K391" s="134" t="s">
        <v>175</v>
      </c>
      <c r="L391" s="134" t="s">
        <v>315</v>
      </c>
      <c r="M391" s="135" t="b">
        <v>1</v>
      </c>
      <c r="N391" s="135" t="b">
        <v>0</v>
      </c>
      <c r="O391" s="135" t="b">
        <v>0</v>
      </c>
      <c r="P391" s="135" t="b">
        <v>0</v>
      </c>
    </row>
    <row r="392" spans="1:16" ht="14.65" customHeight="1" x14ac:dyDescent="0.3">
      <c r="A392" s="134" t="s">
        <v>1173</v>
      </c>
      <c r="C392" s="125" t="s">
        <v>1169</v>
      </c>
      <c r="D392" s="134" t="s">
        <v>136</v>
      </c>
      <c r="E392" s="138">
        <v>3000</v>
      </c>
      <c r="F392" s="73" t="s">
        <v>102</v>
      </c>
      <c r="G392" s="134" t="s">
        <v>341</v>
      </c>
      <c r="H392" s="134" t="s">
        <v>341</v>
      </c>
      <c r="I392" s="134"/>
      <c r="J392" s="134" t="s">
        <v>463</v>
      </c>
      <c r="K392" s="134" t="s">
        <v>175</v>
      </c>
      <c r="L392" s="134" t="s">
        <v>315</v>
      </c>
      <c r="M392" s="135" t="b">
        <v>1</v>
      </c>
      <c r="N392" s="135" t="b">
        <v>0</v>
      </c>
      <c r="O392" s="135" t="b">
        <v>0</v>
      </c>
      <c r="P392" s="135" t="b">
        <v>0</v>
      </c>
    </row>
    <row r="393" spans="1:16" ht="14.65" customHeight="1" x14ac:dyDescent="0.3">
      <c r="A393" s="134" t="s">
        <v>1173</v>
      </c>
      <c r="C393" s="125" t="s">
        <v>1170</v>
      </c>
      <c r="D393" s="134" t="s">
        <v>101</v>
      </c>
      <c r="E393" s="138">
        <v>50</v>
      </c>
      <c r="F393" s="73" t="s">
        <v>102</v>
      </c>
      <c r="G393" s="134" t="s">
        <v>341</v>
      </c>
      <c r="H393" s="134" t="s">
        <v>341</v>
      </c>
      <c r="I393" s="134"/>
      <c r="J393" s="134" t="s">
        <v>463</v>
      </c>
      <c r="K393" s="134" t="s">
        <v>175</v>
      </c>
      <c r="L393" s="134" t="s">
        <v>315</v>
      </c>
      <c r="M393" s="135" t="b">
        <v>1</v>
      </c>
      <c r="N393" s="135" t="b">
        <v>0</v>
      </c>
      <c r="O393" s="135" t="b">
        <v>0</v>
      </c>
      <c r="P393" s="135" t="b">
        <v>0</v>
      </c>
    </row>
    <row r="394" spans="1:16" ht="14.65" customHeight="1" x14ac:dyDescent="0.3">
      <c r="A394" s="134" t="s">
        <v>1173</v>
      </c>
      <c r="C394" s="125" t="s">
        <v>1171</v>
      </c>
      <c r="D394" s="134" t="s">
        <v>102</v>
      </c>
      <c r="E394" s="138">
        <v>1</v>
      </c>
      <c r="F394" s="73" t="s">
        <v>102</v>
      </c>
      <c r="G394" s="134" t="s">
        <v>341</v>
      </c>
      <c r="H394" s="134" t="s">
        <v>341</v>
      </c>
      <c r="I394" s="134"/>
      <c r="J394" s="134" t="s">
        <v>463</v>
      </c>
      <c r="K394" s="134" t="s">
        <v>175</v>
      </c>
      <c r="L394" s="134" t="s">
        <v>315</v>
      </c>
      <c r="M394" s="135" t="b">
        <v>1</v>
      </c>
      <c r="N394" s="135" t="b">
        <v>0</v>
      </c>
      <c r="O394" s="135" t="b">
        <v>0</v>
      </c>
      <c r="P394" s="135" t="b">
        <v>0</v>
      </c>
    </row>
    <row r="395" spans="1:16" ht="14.65" customHeight="1" x14ac:dyDescent="0.3">
      <c r="A395" s="134" t="s">
        <v>1173</v>
      </c>
      <c r="B395" s="125" t="s">
        <v>1172</v>
      </c>
      <c r="C395" s="125" t="s">
        <v>1173</v>
      </c>
      <c r="D395" s="134" t="s">
        <v>67</v>
      </c>
      <c r="E395" s="138"/>
      <c r="F395" s="73"/>
      <c r="G395" s="134" t="s">
        <v>341</v>
      </c>
      <c r="H395" s="134" t="s">
        <v>341</v>
      </c>
      <c r="I395" s="134"/>
      <c r="J395" s="134" t="s">
        <v>463</v>
      </c>
      <c r="K395" s="134" t="s">
        <v>175</v>
      </c>
      <c r="L395" s="134" t="s">
        <v>315</v>
      </c>
      <c r="M395" s="135" t="b">
        <v>1</v>
      </c>
      <c r="N395" s="135" t="b">
        <v>0</v>
      </c>
      <c r="O395" s="135" t="b">
        <v>0</v>
      </c>
      <c r="P395" s="135" t="b">
        <v>0</v>
      </c>
    </row>
    <row r="396" spans="1:16" ht="14.65" customHeight="1" x14ac:dyDescent="0.3">
      <c r="A396" s="134" t="s">
        <v>347</v>
      </c>
      <c r="C396" s="125" t="s">
        <v>1183</v>
      </c>
      <c r="D396" s="134" t="s">
        <v>103</v>
      </c>
      <c r="E396" s="138">
        <v>500</v>
      </c>
      <c r="F396" s="73" t="s">
        <v>102</v>
      </c>
      <c r="G396" s="134" t="s">
        <v>341</v>
      </c>
      <c r="H396" s="134" t="s">
        <v>341</v>
      </c>
      <c r="I396" s="134"/>
      <c r="J396" s="134"/>
      <c r="K396" s="134" t="s">
        <v>175</v>
      </c>
      <c r="L396" s="134" t="s">
        <v>315</v>
      </c>
      <c r="M396" s="135" t="b">
        <v>0</v>
      </c>
      <c r="N396" s="135" t="b">
        <v>0</v>
      </c>
      <c r="O396" s="135" t="b">
        <v>0</v>
      </c>
      <c r="P396" s="135" t="b">
        <v>0</v>
      </c>
    </row>
    <row r="397" spans="1:16" ht="14.5" customHeight="1" x14ac:dyDescent="0.3">
      <c r="A397" s="134" t="s">
        <v>347</v>
      </c>
      <c r="C397" s="125" t="s">
        <v>1184</v>
      </c>
      <c r="D397" s="134" t="s">
        <v>1185</v>
      </c>
      <c r="E397" s="138">
        <v>50</v>
      </c>
      <c r="F397" s="73" t="s">
        <v>102</v>
      </c>
      <c r="G397" s="134" t="s">
        <v>341</v>
      </c>
      <c r="H397" s="134" t="s">
        <v>341</v>
      </c>
      <c r="I397" s="134"/>
      <c r="J397" s="134"/>
      <c r="K397" s="134" t="s">
        <v>175</v>
      </c>
      <c r="L397" s="134" t="s">
        <v>315</v>
      </c>
      <c r="M397" s="135" t="b">
        <v>0</v>
      </c>
      <c r="N397" s="135" t="b">
        <v>0</v>
      </c>
      <c r="O397" s="135" t="b">
        <v>0</v>
      </c>
      <c r="P397" s="135" t="b">
        <v>0</v>
      </c>
    </row>
    <row r="398" spans="1:16" ht="14.5" customHeight="1" x14ac:dyDescent="0.3">
      <c r="A398" s="134" t="s">
        <v>347</v>
      </c>
      <c r="C398" s="125" t="s">
        <v>1186</v>
      </c>
      <c r="D398" s="134" t="s">
        <v>102</v>
      </c>
      <c r="E398" s="138">
        <v>1</v>
      </c>
      <c r="F398" s="73" t="s">
        <v>102</v>
      </c>
      <c r="G398" s="134" t="s">
        <v>341</v>
      </c>
      <c r="H398" s="134" t="s">
        <v>341</v>
      </c>
      <c r="I398" s="134"/>
      <c r="J398" s="134"/>
      <c r="K398" s="134" t="s">
        <v>175</v>
      </c>
      <c r="L398" s="134" t="s">
        <v>315</v>
      </c>
      <c r="M398" s="135" t="b">
        <v>0</v>
      </c>
      <c r="N398" s="135" t="b">
        <v>0</v>
      </c>
      <c r="O398" s="135" t="b">
        <v>0</v>
      </c>
      <c r="P398" s="135" t="b">
        <v>0</v>
      </c>
    </row>
    <row r="399" spans="1:16" ht="14.5" customHeight="1" x14ac:dyDescent="0.3">
      <c r="A399" s="134" t="s">
        <v>347</v>
      </c>
      <c r="B399" s="125">
        <v>100319</v>
      </c>
      <c r="C399" s="125" t="s">
        <v>347</v>
      </c>
      <c r="D399" s="134" t="s">
        <v>67</v>
      </c>
      <c r="E399" s="138"/>
      <c r="F399" s="73"/>
      <c r="G399" s="134" t="s">
        <v>341</v>
      </c>
      <c r="H399" s="134" t="s">
        <v>341</v>
      </c>
      <c r="I399" s="134"/>
      <c r="J399" s="134"/>
      <c r="K399" s="134" t="s">
        <v>175</v>
      </c>
      <c r="L399" s="134" t="s">
        <v>315</v>
      </c>
      <c r="M399" s="135" t="b">
        <v>0</v>
      </c>
      <c r="N399" s="135" t="b">
        <v>0</v>
      </c>
      <c r="O399" s="135" t="b">
        <v>0</v>
      </c>
      <c r="P399" s="135" t="b">
        <v>0</v>
      </c>
    </row>
    <row r="400" spans="1:16" ht="14.5" customHeight="1" x14ac:dyDescent="0.3">
      <c r="A400" s="134" t="s">
        <v>920</v>
      </c>
      <c r="C400" s="125" t="s">
        <v>999</v>
      </c>
      <c r="D400" s="134" t="s">
        <v>557</v>
      </c>
      <c r="E400" s="134">
        <v>500</v>
      </c>
      <c r="F400" s="73" t="s">
        <v>102</v>
      </c>
      <c r="G400" s="134" t="s">
        <v>342</v>
      </c>
      <c r="H400" s="134" t="s">
        <v>342</v>
      </c>
      <c r="I400" s="134"/>
      <c r="J400" s="134"/>
      <c r="K400" s="134" t="s">
        <v>175</v>
      </c>
      <c r="L400" s="134" t="s">
        <v>315</v>
      </c>
      <c r="M400" s="135" t="b">
        <v>1</v>
      </c>
      <c r="N400" s="135" t="b">
        <v>1</v>
      </c>
      <c r="O400" s="135" t="b">
        <v>0</v>
      </c>
      <c r="P400" s="135" t="b">
        <v>0</v>
      </c>
    </row>
    <row r="401" spans="1:16" ht="14.5" customHeight="1" x14ac:dyDescent="0.3">
      <c r="A401" s="134" t="s">
        <v>920</v>
      </c>
      <c r="C401" s="125" t="s">
        <v>1000</v>
      </c>
      <c r="D401" s="134" t="s">
        <v>101</v>
      </c>
      <c r="E401" s="134">
        <v>25</v>
      </c>
      <c r="F401" s="73" t="s">
        <v>102</v>
      </c>
      <c r="G401" s="134" t="s">
        <v>342</v>
      </c>
      <c r="H401" s="134" t="s">
        <v>342</v>
      </c>
      <c r="I401" s="134"/>
      <c r="J401" s="134"/>
      <c r="K401" s="134" t="s">
        <v>175</v>
      </c>
      <c r="L401" s="134" t="s">
        <v>315</v>
      </c>
      <c r="M401" s="135" t="b">
        <v>1</v>
      </c>
      <c r="N401" s="135" t="b">
        <v>1</v>
      </c>
      <c r="O401" s="135" t="b">
        <v>0</v>
      </c>
      <c r="P401" s="135" t="b">
        <v>0</v>
      </c>
    </row>
    <row r="402" spans="1:16" ht="14.5" customHeight="1" x14ac:dyDescent="0.3">
      <c r="A402" s="134" t="s">
        <v>920</v>
      </c>
      <c r="C402" s="125" t="s">
        <v>1001</v>
      </c>
      <c r="D402" s="134" t="s">
        <v>102</v>
      </c>
      <c r="E402" s="134">
        <v>1</v>
      </c>
      <c r="F402" s="73" t="s">
        <v>102</v>
      </c>
      <c r="G402" s="134" t="s">
        <v>342</v>
      </c>
      <c r="H402" s="134" t="s">
        <v>342</v>
      </c>
      <c r="I402" s="134"/>
      <c r="J402" s="134"/>
      <c r="K402" s="134" t="s">
        <v>175</v>
      </c>
      <c r="L402" s="134" t="s">
        <v>315</v>
      </c>
      <c r="M402" s="135" t="b">
        <v>1</v>
      </c>
      <c r="N402" s="135" t="b">
        <v>1</v>
      </c>
      <c r="O402" s="135" t="b">
        <v>0</v>
      </c>
      <c r="P402" s="135" t="b">
        <v>0</v>
      </c>
    </row>
    <row r="403" spans="1:16" ht="14.5" customHeight="1" x14ac:dyDescent="0.3">
      <c r="A403" s="134" t="s">
        <v>920</v>
      </c>
      <c r="B403" s="125">
        <v>100371</v>
      </c>
      <c r="C403" s="125" t="s">
        <v>920</v>
      </c>
      <c r="D403" s="134" t="s">
        <v>67</v>
      </c>
      <c r="E403" s="134"/>
      <c r="F403" s="73"/>
      <c r="G403" s="134" t="s">
        <v>342</v>
      </c>
      <c r="H403" s="134" t="s">
        <v>342</v>
      </c>
      <c r="I403" s="134"/>
      <c r="J403" s="134"/>
      <c r="K403" s="134" t="s">
        <v>175</v>
      </c>
      <c r="L403" s="134" t="s">
        <v>315</v>
      </c>
      <c r="M403" s="135" t="b">
        <v>1</v>
      </c>
      <c r="N403" s="135" t="b">
        <v>1</v>
      </c>
      <c r="O403" s="135" t="b">
        <v>0</v>
      </c>
      <c r="P403" s="135" t="b">
        <v>0</v>
      </c>
    </row>
    <row r="404" spans="1:16" ht="14.5" x14ac:dyDescent="0.35">
      <c r="A404" s="134" t="s">
        <v>1318</v>
      </c>
      <c r="C404" s="125" t="s">
        <v>1319</v>
      </c>
      <c r="D404" s="134" t="s">
        <v>103</v>
      </c>
      <c r="E404">
        <v>250</v>
      </c>
      <c r="F404" s="73" t="s">
        <v>102</v>
      </c>
      <c r="G404" s="134" t="s">
        <v>342</v>
      </c>
      <c r="H404" s="134" t="s">
        <v>342</v>
      </c>
      <c r="I404" s="134"/>
      <c r="J404" s="134" t="s">
        <v>463</v>
      </c>
      <c r="K404" s="134" t="s">
        <v>174</v>
      </c>
      <c r="L404" s="134" t="s">
        <v>315</v>
      </c>
      <c r="M404" s="135" t="b">
        <v>1</v>
      </c>
      <c r="N404" s="135" t="b">
        <v>1</v>
      </c>
      <c r="O404" s="135" t="b">
        <v>1</v>
      </c>
      <c r="P404" s="135" t="b">
        <v>1</v>
      </c>
    </row>
    <row r="405" spans="1:16" ht="14.5" x14ac:dyDescent="0.35">
      <c r="A405" s="134" t="s">
        <v>1318</v>
      </c>
      <c r="C405" s="125" t="s">
        <v>1320</v>
      </c>
      <c r="D405" s="134" t="s">
        <v>101</v>
      </c>
      <c r="E405">
        <v>10</v>
      </c>
      <c r="F405" s="73" t="s">
        <v>102</v>
      </c>
      <c r="G405" s="134" t="s">
        <v>342</v>
      </c>
      <c r="H405" s="134" t="s">
        <v>342</v>
      </c>
      <c r="I405" s="134"/>
      <c r="J405" s="134" t="s">
        <v>463</v>
      </c>
      <c r="K405" s="134" t="s">
        <v>174</v>
      </c>
      <c r="L405" s="134" t="s">
        <v>315</v>
      </c>
      <c r="M405" s="135" t="b">
        <v>1</v>
      </c>
      <c r="N405" s="135" t="b">
        <v>1</v>
      </c>
      <c r="O405" s="135" t="b">
        <v>1</v>
      </c>
      <c r="P405" s="135" t="b">
        <v>1</v>
      </c>
    </row>
    <row r="406" spans="1:16" ht="13" customHeight="1" x14ac:dyDescent="0.35">
      <c r="A406" s="134" t="s">
        <v>1318</v>
      </c>
      <c r="C406" s="125" t="s">
        <v>1321</v>
      </c>
      <c r="D406" s="134" t="s">
        <v>102</v>
      </c>
      <c r="E406">
        <v>1</v>
      </c>
      <c r="F406" s="73" t="s">
        <v>102</v>
      </c>
      <c r="G406" s="134" t="s">
        <v>342</v>
      </c>
      <c r="H406" s="134" t="s">
        <v>342</v>
      </c>
      <c r="I406" s="134"/>
      <c r="J406" s="134" t="s">
        <v>463</v>
      </c>
      <c r="K406" s="134" t="s">
        <v>174</v>
      </c>
      <c r="L406" s="134" t="s">
        <v>315</v>
      </c>
      <c r="M406" s="135" t="b">
        <v>1</v>
      </c>
      <c r="N406" s="135" t="b">
        <v>1</v>
      </c>
      <c r="O406" s="135" t="b">
        <v>1</v>
      </c>
      <c r="P406" s="135" t="b">
        <v>1</v>
      </c>
    </row>
    <row r="407" spans="1:16" ht="13" customHeight="1" x14ac:dyDescent="0.35">
      <c r="A407" s="134" t="s">
        <v>1318</v>
      </c>
      <c r="B407" s="125">
        <v>100433</v>
      </c>
      <c r="C407" s="125" t="s">
        <v>1318</v>
      </c>
      <c r="D407" s="134" t="s">
        <v>67</v>
      </c>
      <c r="E407"/>
      <c r="F407" s="73"/>
      <c r="G407" s="134" t="s">
        <v>342</v>
      </c>
      <c r="H407" s="134" t="s">
        <v>342</v>
      </c>
      <c r="I407" s="134"/>
      <c r="J407" s="134" t="s">
        <v>463</v>
      </c>
      <c r="K407" s="134" t="s">
        <v>174</v>
      </c>
      <c r="L407" s="134" t="s">
        <v>315</v>
      </c>
      <c r="M407" s="135" t="b">
        <v>1</v>
      </c>
      <c r="N407" s="135" t="b">
        <v>1</v>
      </c>
      <c r="O407" s="135" t="b">
        <v>1</v>
      </c>
      <c r="P407" s="135" t="b">
        <v>1</v>
      </c>
    </row>
    <row r="408" spans="1:16" x14ac:dyDescent="0.3">
      <c r="A408" s="134" t="s">
        <v>30</v>
      </c>
      <c r="C408" s="127" t="s">
        <v>143</v>
      </c>
      <c r="D408" s="127" t="s">
        <v>138</v>
      </c>
      <c r="E408" s="123">
        <v>100</v>
      </c>
      <c r="F408" s="73" t="s">
        <v>102</v>
      </c>
      <c r="G408" s="134" t="s">
        <v>342</v>
      </c>
      <c r="H408" s="134" t="s">
        <v>342</v>
      </c>
      <c r="I408" s="134"/>
      <c r="J408" s="134" t="s">
        <v>463</v>
      </c>
      <c r="K408" s="134" t="s">
        <v>174</v>
      </c>
      <c r="L408" s="134" t="s">
        <v>315</v>
      </c>
      <c r="M408" s="135" t="b">
        <v>1</v>
      </c>
      <c r="N408" s="135" t="b">
        <v>1</v>
      </c>
      <c r="O408" s="135" t="b">
        <v>1</v>
      </c>
      <c r="P408" s="135" t="b">
        <v>1</v>
      </c>
    </row>
    <row r="409" spans="1:16" ht="14.5" customHeight="1" x14ac:dyDescent="0.3">
      <c r="A409" s="134" t="s">
        <v>30</v>
      </c>
      <c r="C409" s="127" t="s">
        <v>144</v>
      </c>
      <c r="D409" s="127" t="s">
        <v>102</v>
      </c>
      <c r="E409" s="123">
        <v>1</v>
      </c>
      <c r="F409" s="73" t="s">
        <v>102</v>
      </c>
      <c r="G409" s="134" t="s">
        <v>342</v>
      </c>
      <c r="H409" s="134" t="s">
        <v>342</v>
      </c>
      <c r="I409" s="134"/>
      <c r="J409" s="134" t="s">
        <v>463</v>
      </c>
      <c r="K409" s="134" t="s">
        <v>174</v>
      </c>
      <c r="L409" s="134" t="s">
        <v>315</v>
      </c>
      <c r="M409" s="135" t="b">
        <v>1</v>
      </c>
      <c r="N409" s="135" t="b">
        <v>1</v>
      </c>
      <c r="O409" s="135" t="b">
        <v>1</v>
      </c>
      <c r="P409" s="135" t="b">
        <v>1</v>
      </c>
    </row>
    <row r="410" spans="1:16" x14ac:dyDescent="0.3">
      <c r="A410" s="134" t="s">
        <v>30</v>
      </c>
      <c r="C410" s="127" t="s">
        <v>145</v>
      </c>
      <c r="D410" s="127" t="s">
        <v>102</v>
      </c>
      <c r="E410" s="123">
        <f>(40/3070)/40</f>
        <v>3.2573289902280132E-4</v>
      </c>
      <c r="F410" s="76" t="s">
        <v>29</v>
      </c>
      <c r="G410" s="134" t="s">
        <v>342</v>
      </c>
      <c r="H410" s="134" t="s">
        <v>341</v>
      </c>
      <c r="I410" s="134" t="s">
        <v>141</v>
      </c>
      <c r="J410" s="134" t="s">
        <v>457</v>
      </c>
      <c r="K410" s="134" t="s">
        <v>174</v>
      </c>
      <c r="L410" s="134" t="s">
        <v>315</v>
      </c>
      <c r="M410" s="135" t="b">
        <v>1</v>
      </c>
      <c r="N410" s="135" t="b">
        <v>1</v>
      </c>
      <c r="O410" s="135" t="b">
        <v>1</v>
      </c>
      <c r="P410" s="135" t="b">
        <v>1</v>
      </c>
    </row>
    <row r="411" spans="1:16" x14ac:dyDescent="0.3">
      <c r="A411" s="134" t="s">
        <v>30</v>
      </c>
      <c r="C411" s="127" t="s">
        <v>146</v>
      </c>
      <c r="D411" s="127" t="s">
        <v>102</v>
      </c>
      <c r="E411" s="123">
        <f>(40/6000)/40</f>
        <v>1.6666666666666669E-4</v>
      </c>
      <c r="F411" s="76" t="s">
        <v>29</v>
      </c>
      <c r="G411" s="134" t="s">
        <v>342</v>
      </c>
      <c r="H411" s="134" t="s">
        <v>341</v>
      </c>
      <c r="I411" s="134" t="s">
        <v>142</v>
      </c>
      <c r="J411" s="134" t="s">
        <v>457</v>
      </c>
      <c r="K411" s="134" t="s">
        <v>174</v>
      </c>
      <c r="L411" s="134" t="s">
        <v>315</v>
      </c>
      <c r="M411" s="135" t="b">
        <v>1</v>
      </c>
      <c r="N411" s="135" t="b">
        <v>1</v>
      </c>
      <c r="O411" s="135" t="b">
        <v>1</v>
      </c>
      <c r="P411" s="135" t="b">
        <v>1</v>
      </c>
    </row>
    <row r="412" spans="1:16" x14ac:dyDescent="0.3">
      <c r="A412" s="134" t="s">
        <v>30</v>
      </c>
      <c r="B412" s="125" t="s">
        <v>75</v>
      </c>
      <c r="C412" s="125" t="s">
        <v>30</v>
      </c>
      <c r="D412" s="137" t="s">
        <v>67</v>
      </c>
      <c r="F412" s="141"/>
      <c r="G412" s="134" t="s">
        <v>342</v>
      </c>
      <c r="H412" s="134" t="s">
        <v>342</v>
      </c>
      <c r="I412" s="134"/>
      <c r="J412" s="134" t="s">
        <v>463</v>
      </c>
      <c r="K412" s="134" t="s">
        <v>174</v>
      </c>
      <c r="L412" s="134" t="s">
        <v>315</v>
      </c>
      <c r="M412" s="135" t="b">
        <v>1</v>
      </c>
      <c r="N412" s="135" t="b">
        <v>1</v>
      </c>
      <c r="O412" s="135" t="b">
        <v>1</v>
      </c>
      <c r="P412" s="135" t="b">
        <v>1</v>
      </c>
    </row>
    <row r="413" spans="1:16" ht="14.5" customHeight="1" x14ac:dyDescent="0.3">
      <c r="A413" s="134" t="s">
        <v>31</v>
      </c>
      <c r="C413" s="127" t="s">
        <v>139</v>
      </c>
      <c r="D413" s="127" t="s">
        <v>138</v>
      </c>
      <c r="E413" s="123">
        <v>750</v>
      </c>
      <c r="F413" s="73" t="s">
        <v>29</v>
      </c>
      <c r="G413" s="134" t="s">
        <v>342</v>
      </c>
      <c r="H413" s="134" t="s">
        <v>342</v>
      </c>
      <c r="I413" s="134"/>
      <c r="J413" s="134" t="s">
        <v>463</v>
      </c>
      <c r="K413" s="134" t="s">
        <v>174</v>
      </c>
      <c r="L413" s="134" t="s">
        <v>315</v>
      </c>
      <c r="M413" s="135" t="b">
        <v>1</v>
      </c>
      <c r="N413" s="135" t="b">
        <v>1</v>
      </c>
      <c r="O413" s="135" t="b">
        <v>1</v>
      </c>
      <c r="P413" s="135" t="b">
        <v>1</v>
      </c>
    </row>
    <row r="414" spans="1:16" x14ac:dyDescent="0.3">
      <c r="A414" s="134" t="s">
        <v>31</v>
      </c>
      <c r="C414" s="127" t="s">
        <v>140</v>
      </c>
      <c r="D414" s="127" t="s">
        <v>102</v>
      </c>
      <c r="E414" s="123">
        <v>15</v>
      </c>
      <c r="F414" s="73" t="s">
        <v>29</v>
      </c>
      <c r="G414" s="134" t="s">
        <v>342</v>
      </c>
      <c r="H414" s="134" t="s">
        <v>342</v>
      </c>
      <c r="I414" s="134"/>
      <c r="J414" s="134" t="s">
        <v>463</v>
      </c>
      <c r="K414" s="134" t="s">
        <v>174</v>
      </c>
      <c r="L414" s="134" t="s">
        <v>315</v>
      </c>
      <c r="M414" s="135" t="b">
        <v>1</v>
      </c>
      <c r="N414" s="135" t="b">
        <v>1</v>
      </c>
      <c r="O414" s="135" t="b">
        <v>1</v>
      </c>
      <c r="P414" s="135" t="b">
        <v>1</v>
      </c>
    </row>
    <row r="415" spans="1:16" x14ac:dyDescent="0.3">
      <c r="A415" s="134" t="s">
        <v>31</v>
      </c>
      <c r="C415" s="127" t="s">
        <v>141</v>
      </c>
      <c r="D415" s="127" t="s">
        <v>29</v>
      </c>
      <c r="E415" s="123">
        <f>30/3070</f>
        <v>9.7719869706840382E-3</v>
      </c>
      <c r="F415" s="75" t="s">
        <v>29</v>
      </c>
      <c r="G415" s="134" t="s">
        <v>342</v>
      </c>
      <c r="H415" s="134" t="s">
        <v>341</v>
      </c>
      <c r="I415" s="134"/>
      <c r="J415" s="134" t="s">
        <v>463</v>
      </c>
      <c r="K415" s="134" t="s">
        <v>174</v>
      </c>
      <c r="L415" s="134" t="s">
        <v>315</v>
      </c>
      <c r="M415" s="135" t="b">
        <v>1</v>
      </c>
      <c r="N415" s="135" t="b">
        <v>1</v>
      </c>
      <c r="O415" s="135" t="b">
        <v>1</v>
      </c>
      <c r="P415" s="135" t="b">
        <v>1</v>
      </c>
    </row>
    <row r="416" spans="1:16" x14ac:dyDescent="0.3">
      <c r="A416" s="134" t="s">
        <v>31</v>
      </c>
      <c r="C416" s="127" t="s">
        <v>142</v>
      </c>
      <c r="D416" s="127" t="s">
        <v>29</v>
      </c>
      <c r="E416" s="123">
        <f>30/6000</f>
        <v>5.0000000000000001E-3</v>
      </c>
      <c r="F416" s="76" t="s">
        <v>29</v>
      </c>
      <c r="G416" s="134" t="s">
        <v>342</v>
      </c>
      <c r="H416" s="134" t="s">
        <v>341</v>
      </c>
      <c r="I416" s="134"/>
      <c r="J416" s="134" t="s">
        <v>463</v>
      </c>
      <c r="K416" s="134" t="s">
        <v>174</v>
      </c>
      <c r="L416" s="134" t="s">
        <v>315</v>
      </c>
      <c r="M416" s="135" t="b">
        <v>1</v>
      </c>
      <c r="N416" s="135" t="b">
        <v>1</v>
      </c>
      <c r="O416" s="135" t="b">
        <v>1</v>
      </c>
      <c r="P416" s="135" t="b">
        <v>1</v>
      </c>
    </row>
    <row r="417" spans="1:16" ht="14.5" customHeight="1" x14ac:dyDescent="0.3">
      <c r="A417" s="134" t="s">
        <v>31</v>
      </c>
      <c r="B417" s="125" t="s">
        <v>76</v>
      </c>
      <c r="C417" s="125" t="s">
        <v>31</v>
      </c>
      <c r="D417" s="137" t="s">
        <v>35</v>
      </c>
      <c r="F417" s="141"/>
      <c r="G417" s="134" t="s">
        <v>342</v>
      </c>
      <c r="H417" s="134" t="s">
        <v>342</v>
      </c>
      <c r="I417" s="134"/>
      <c r="J417" s="134" t="s">
        <v>463</v>
      </c>
      <c r="K417" s="134" t="s">
        <v>174</v>
      </c>
      <c r="L417" s="134" t="s">
        <v>315</v>
      </c>
      <c r="M417" s="135" t="b">
        <v>1</v>
      </c>
      <c r="N417" s="135" t="b">
        <v>1</v>
      </c>
      <c r="O417" s="135" t="b">
        <v>1</v>
      </c>
      <c r="P417" s="135" t="b">
        <v>1</v>
      </c>
    </row>
    <row r="418" spans="1:16" x14ac:dyDescent="0.3">
      <c r="A418" s="134" t="s">
        <v>72</v>
      </c>
      <c r="C418" s="127" t="s">
        <v>163</v>
      </c>
      <c r="D418" s="127" t="s">
        <v>103</v>
      </c>
      <c r="E418" s="123">
        <f>12*E419</f>
        <v>7680</v>
      </c>
      <c r="F418" s="73" t="s">
        <v>29</v>
      </c>
      <c r="G418" s="134" t="s">
        <v>342</v>
      </c>
      <c r="H418" s="134" t="s">
        <v>342</v>
      </c>
      <c r="I418" s="134"/>
      <c r="J418" s="134" t="s">
        <v>463</v>
      </c>
      <c r="K418" s="134" t="s">
        <v>174</v>
      </c>
      <c r="L418" s="134" t="s">
        <v>315</v>
      </c>
      <c r="M418" s="135" t="b">
        <v>1</v>
      </c>
      <c r="N418" s="135" t="b">
        <v>1</v>
      </c>
      <c r="O418" s="135" t="b">
        <v>1</v>
      </c>
      <c r="P418" s="135" t="b">
        <v>1</v>
      </c>
    </row>
    <row r="419" spans="1:16" x14ac:dyDescent="0.3">
      <c r="A419" s="134" t="s">
        <v>72</v>
      </c>
      <c r="C419" s="127" t="s">
        <v>164</v>
      </c>
      <c r="D419" s="127" t="s">
        <v>101</v>
      </c>
      <c r="E419" s="123">
        <v>640</v>
      </c>
      <c r="F419" s="73" t="s">
        <v>29</v>
      </c>
      <c r="G419" s="134" t="s">
        <v>342</v>
      </c>
      <c r="H419" s="134" t="s">
        <v>342</v>
      </c>
      <c r="I419" s="134"/>
      <c r="J419" s="134" t="s">
        <v>463</v>
      </c>
      <c r="K419" s="134" t="s">
        <v>174</v>
      </c>
      <c r="L419" s="134" t="s">
        <v>315</v>
      </c>
      <c r="M419" s="135" t="b">
        <v>1</v>
      </c>
      <c r="N419" s="135" t="b">
        <v>1</v>
      </c>
      <c r="O419" s="135" t="b">
        <v>1</v>
      </c>
      <c r="P419" s="135" t="b">
        <v>1</v>
      </c>
    </row>
    <row r="420" spans="1:16" x14ac:dyDescent="0.3">
      <c r="A420" s="134" t="s">
        <v>72</v>
      </c>
      <c r="C420" s="127" t="s">
        <v>165</v>
      </c>
      <c r="D420" s="127" t="s">
        <v>29</v>
      </c>
      <c r="E420" s="123">
        <v>1</v>
      </c>
      <c r="F420" s="73" t="s">
        <v>29</v>
      </c>
      <c r="G420" s="134" t="s">
        <v>342</v>
      </c>
      <c r="H420" s="134" t="s">
        <v>341</v>
      </c>
      <c r="I420" s="134"/>
      <c r="J420" s="134" t="s">
        <v>463</v>
      </c>
      <c r="K420" s="134" t="s">
        <v>174</v>
      </c>
      <c r="L420" s="134" t="s">
        <v>315</v>
      </c>
      <c r="M420" s="135" t="b">
        <v>1</v>
      </c>
      <c r="N420" s="135" t="b">
        <v>1</v>
      </c>
      <c r="O420" s="135" t="b">
        <v>1</v>
      </c>
      <c r="P420" s="135" t="b">
        <v>1</v>
      </c>
    </row>
    <row r="421" spans="1:16" ht="14.5" customHeight="1" x14ac:dyDescent="0.3">
      <c r="A421" s="134" t="s">
        <v>72</v>
      </c>
      <c r="C421" s="127" t="s">
        <v>166</v>
      </c>
      <c r="D421" s="127" t="s">
        <v>29</v>
      </c>
      <c r="E421" s="123">
        <f>300/(300+1000+700)</f>
        <v>0.15</v>
      </c>
      <c r="F421" s="73" t="s">
        <v>29</v>
      </c>
      <c r="G421" s="134" t="s">
        <v>342</v>
      </c>
      <c r="H421" s="134" t="s">
        <v>341</v>
      </c>
      <c r="I421" s="134"/>
      <c r="J421" s="134" t="s">
        <v>463</v>
      </c>
      <c r="K421" s="134" t="s">
        <v>174</v>
      </c>
      <c r="L421" s="134" t="s">
        <v>315</v>
      </c>
      <c r="M421" s="135" t="b">
        <v>1</v>
      </c>
      <c r="N421" s="135" t="b">
        <v>1</v>
      </c>
      <c r="O421" s="135" t="b">
        <v>1</v>
      </c>
      <c r="P421" s="135" t="b">
        <v>1</v>
      </c>
    </row>
    <row r="422" spans="1:16" x14ac:dyDescent="0.3">
      <c r="A422" s="134" t="s">
        <v>72</v>
      </c>
      <c r="C422" s="127" t="s">
        <v>167</v>
      </c>
      <c r="D422" s="127" t="s">
        <v>29</v>
      </c>
      <c r="E422" s="123">
        <v>0.15</v>
      </c>
      <c r="F422" s="73" t="s">
        <v>29</v>
      </c>
      <c r="G422" s="134" t="s">
        <v>342</v>
      </c>
      <c r="H422" s="134" t="s">
        <v>341</v>
      </c>
      <c r="I422" s="134"/>
      <c r="J422" s="134" t="s">
        <v>463</v>
      </c>
      <c r="K422" s="134" t="s">
        <v>174</v>
      </c>
      <c r="L422" s="134" t="s">
        <v>315</v>
      </c>
      <c r="M422" s="135" t="b">
        <v>1</v>
      </c>
      <c r="N422" s="135" t="b">
        <v>1</v>
      </c>
      <c r="O422" s="135" t="b">
        <v>1</v>
      </c>
      <c r="P422" s="135" t="b">
        <v>1</v>
      </c>
    </row>
    <row r="423" spans="1:16" x14ac:dyDescent="0.3">
      <c r="A423" s="134" t="s">
        <v>72</v>
      </c>
      <c r="B423" s="125">
        <v>100299</v>
      </c>
      <c r="C423" s="125" t="s">
        <v>72</v>
      </c>
      <c r="D423" s="137" t="s">
        <v>35</v>
      </c>
      <c r="F423" s="141"/>
      <c r="G423" s="134" t="s">
        <v>342</v>
      </c>
      <c r="H423" s="134" t="s">
        <v>342</v>
      </c>
      <c r="I423" s="134"/>
      <c r="J423" s="134" t="s">
        <v>463</v>
      </c>
      <c r="K423" s="134" t="s">
        <v>174</v>
      </c>
      <c r="L423" s="134" t="s">
        <v>315</v>
      </c>
      <c r="M423" s="135" t="b">
        <v>1</v>
      </c>
      <c r="N423" s="135" t="b">
        <v>1</v>
      </c>
      <c r="O423" s="135" t="b">
        <v>1</v>
      </c>
      <c r="P423" s="135" t="b">
        <v>1</v>
      </c>
    </row>
    <row r="424" spans="1:16" x14ac:dyDescent="0.3">
      <c r="A424" s="134" t="s">
        <v>542</v>
      </c>
      <c r="C424" s="127" t="s">
        <v>547</v>
      </c>
      <c r="D424" s="134" t="s">
        <v>103</v>
      </c>
      <c r="E424" s="134">
        <v>8000</v>
      </c>
      <c r="F424" s="127" t="s">
        <v>29</v>
      </c>
      <c r="G424" s="134" t="s">
        <v>342</v>
      </c>
      <c r="H424" s="134" t="s">
        <v>342</v>
      </c>
      <c r="J424" s="134" t="s">
        <v>463</v>
      </c>
      <c r="K424" s="134" t="s">
        <v>174</v>
      </c>
      <c r="L424" s="134" t="s">
        <v>315</v>
      </c>
      <c r="M424" s="135" t="b">
        <v>1</v>
      </c>
      <c r="N424" s="135" t="b">
        <v>0</v>
      </c>
      <c r="O424" s="135" t="b">
        <v>1</v>
      </c>
      <c r="P424" s="135" t="b">
        <v>0</v>
      </c>
    </row>
    <row r="425" spans="1:16" ht="14.5" customHeight="1" x14ac:dyDescent="0.3">
      <c r="A425" s="134" t="s">
        <v>542</v>
      </c>
      <c r="C425" s="127" t="s">
        <v>1125</v>
      </c>
      <c r="D425" s="134" t="s">
        <v>101</v>
      </c>
      <c r="E425" s="134">
        <v>800</v>
      </c>
      <c r="F425" s="127" t="s">
        <v>29</v>
      </c>
      <c r="G425" s="134" t="s">
        <v>342</v>
      </c>
      <c r="H425" s="134" t="s">
        <v>342</v>
      </c>
      <c r="J425" s="134"/>
      <c r="K425" s="134" t="s">
        <v>174</v>
      </c>
      <c r="L425" s="134" t="s">
        <v>315</v>
      </c>
      <c r="M425" s="135" t="b">
        <v>1</v>
      </c>
      <c r="N425" s="135" t="b">
        <v>0</v>
      </c>
      <c r="O425" s="135" t="b">
        <v>1</v>
      </c>
      <c r="P425" s="135" t="b">
        <v>0</v>
      </c>
    </row>
    <row r="426" spans="1:16" x14ac:dyDescent="0.3">
      <c r="A426" s="134" t="s">
        <v>542</v>
      </c>
      <c r="B426" s="128"/>
      <c r="C426" s="127" t="s">
        <v>559</v>
      </c>
      <c r="D426" s="134" t="s">
        <v>102</v>
      </c>
      <c r="E426" s="124">
        <v>10</v>
      </c>
      <c r="F426" s="134" t="s">
        <v>29</v>
      </c>
      <c r="G426" s="134" t="s">
        <v>342</v>
      </c>
      <c r="H426" s="134" t="s">
        <v>342</v>
      </c>
      <c r="I426" s="134"/>
      <c r="J426" s="134" t="s">
        <v>463</v>
      </c>
      <c r="K426" s="134" t="s">
        <v>174</v>
      </c>
      <c r="L426" s="134" t="s">
        <v>315</v>
      </c>
      <c r="M426" s="135" t="b">
        <v>1</v>
      </c>
      <c r="N426" s="135" t="b">
        <v>0</v>
      </c>
      <c r="O426" s="135" t="b">
        <v>1</v>
      </c>
      <c r="P426" s="135" t="b">
        <v>0</v>
      </c>
    </row>
    <row r="427" spans="1:16" x14ac:dyDescent="0.3">
      <c r="A427" s="134" t="s">
        <v>542</v>
      </c>
      <c r="B427" s="146" t="s">
        <v>546</v>
      </c>
      <c r="C427" s="127" t="s">
        <v>542</v>
      </c>
      <c r="D427" s="134" t="s">
        <v>35</v>
      </c>
      <c r="E427" s="134"/>
      <c r="F427" s="134"/>
      <c r="G427" s="134" t="s">
        <v>342</v>
      </c>
      <c r="H427" s="134" t="s">
        <v>342</v>
      </c>
      <c r="I427" s="134"/>
      <c r="J427" s="134" t="s">
        <v>463</v>
      </c>
      <c r="K427" s="134" t="s">
        <v>174</v>
      </c>
      <c r="L427" s="134" t="s">
        <v>315</v>
      </c>
      <c r="M427" s="135" t="b">
        <v>1</v>
      </c>
      <c r="N427" s="135" t="b">
        <v>0</v>
      </c>
      <c r="O427" s="135" t="b">
        <v>1</v>
      </c>
      <c r="P427" s="135" t="b">
        <v>0</v>
      </c>
    </row>
    <row r="428" spans="1:16" x14ac:dyDescent="0.3">
      <c r="A428" s="134" t="s">
        <v>32</v>
      </c>
      <c r="B428" s="139"/>
      <c r="C428" s="139" t="s">
        <v>577</v>
      </c>
      <c r="D428" s="134" t="s">
        <v>568</v>
      </c>
      <c r="E428" s="134">
        <v>1</v>
      </c>
      <c r="F428" s="134" t="s">
        <v>102</v>
      </c>
      <c r="G428" s="134" t="s">
        <v>342</v>
      </c>
      <c r="H428" s="134" t="s">
        <v>342</v>
      </c>
      <c r="I428" s="134"/>
      <c r="J428" s="134" t="s">
        <v>463</v>
      </c>
      <c r="K428" s="134" t="s">
        <v>621</v>
      </c>
      <c r="L428" s="134" t="s">
        <v>623</v>
      </c>
      <c r="M428" s="135" t="s">
        <v>1193</v>
      </c>
      <c r="N428" s="135" t="s">
        <v>1193</v>
      </c>
      <c r="O428" s="135" t="s">
        <v>1193</v>
      </c>
      <c r="P428" s="135" t="s">
        <v>1193</v>
      </c>
    </row>
    <row r="429" spans="1:16" x14ac:dyDescent="0.3">
      <c r="A429" s="134" t="s">
        <v>32</v>
      </c>
      <c r="B429" s="139" t="s">
        <v>578</v>
      </c>
      <c r="C429" s="139" t="s">
        <v>32</v>
      </c>
      <c r="D429" s="140" t="s">
        <v>67</v>
      </c>
      <c r="E429" s="134"/>
      <c r="F429" s="134"/>
      <c r="G429" s="134" t="s">
        <v>342</v>
      </c>
      <c r="H429" s="134" t="s">
        <v>342</v>
      </c>
      <c r="I429" s="134"/>
      <c r="J429" s="134" t="s">
        <v>463</v>
      </c>
      <c r="K429" s="134" t="s">
        <v>621</v>
      </c>
      <c r="L429" s="134" t="s">
        <v>623</v>
      </c>
      <c r="M429" s="135" t="s">
        <v>1193</v>
      </c>
      <c r="N429" s="135" t="s">
        <v>1193</v>
      </c>
      <c r="O429" s="135" t="s">
        <v>1193</v>
      </c>
      <c r="P429" s="135" t="s">
        <v>1193</v>
      </c>
    </row>
    <row r="430" spans="1:16" x14ac:dyDescent="0.3">
      <c r="A430" s="134" t="s">
        <v>33</v>
      </c>
      <c r="B430" s="139"/>
      <c r="C430" s="139" t="s">
        <v>575</v>
      </c>
      <c r="D430" s="134" t="s">
        <v>568</v>
      </c>
      <c r="E430" s="134">
        <v>1</v>
      </c>
      <c r="F430" s="134" t="s">
        <v>102</v>
      </c>
      <c r="G430" s="134" t="s">
        <v>342</v>
      </c>
      <c r="H430" s="134" t="s">
        <v>342</v>
      </c>
      <c r="I430" s="134"/>
      <c r="J430" s="134" t="s">
        <v>463</v>
      </c>
      <c r="K430" s="134" t="s">
        <v>621</v>
      </c>
      <c r="L430" s="134" t="s">
        <v>623</v>
      </c>
      <c r="M430" s="135" t="s">
        <v>1193</v>
      </c>
      <c r="N430" s="135" t="s">
        <v>1193</v>
      </c>
      <c r="O430" s="135" t="s">
        <v>1193</v>
      </c>
      <c r="P430" s="135" t="s">
        <v>1193</v>
      </c>
    </row>
    <row r="431" spans="1:16" x14ac:dyDescent="0.3">
      <c r="A431" s="134" t="s">
        <v>33</v>
      </c>
      <c r="B431" s="139" t="s">
        <v>576</v>
      </c>
      <c r="C431" s="139" t="s">
        <v>33</v>
      </c>
      <c r="D431" s="140" t="s">
        <v>67</v>
      </c>
      <c r="E431" s="134"/>
      <c r="F431" s="134"/>
      <c r="G431" s="134" t="s">
        <v>342</v>
      </c>
      <c r="H431" s="134" t="s">
        <v>342</v>
      </c>
      <c r="I431" s="134"/>
      <c r="J431" s="134" t="s">
        <v>463</v>
      </c>
      <c r="K431" s="134" t="s">
        <v>621</v>
      </c>
      <c r="L431" s="134" t="s">
        <v>623</v>
      </c>
      <c r="M431" s="135" t="s">
        <v>1193</v>
      </c>
      <c r="N431" s="135" t="s">
        <v>1193</v>
      </c>
      <c r="O431" s="135" t="s">
        <v>1193</v>
      </c>
      <c r="P431" s="135" t="s">
        <v>1193</v>
      </c>
    </row>
    <row r="432" spans="1:16" x14ac:dyDescent="0.3">
      <c r="A432" s="134" t="s">
        <v>555</v>
      </c>
      <c r="B432" s="128"/>
      <c r="C432" s="134" t="s">
        <v>1041</v>
      </c>
      <c r="D432" s="134" t="s">
        <v>102</v>
      </c>
      <c r="E432" s="134">
        <v>324</v>
      </c>
      <c r="F432" s="134" t="s">
        <v>102</v>
      </c>
      <c r="G432" s="134" t="s">
        <v>342</v>
      </c>
      <c r="H432" s="134" t="s">
        <v>342</v>
      </c>
      <c r="I432" s="134"/>
      <c r="J432" s="134" t="s">
        <v>463</v>
      </c>
      <c r="K432" s="134" t="s">
        <v>174</v>
      </c>
      <c r="L432" s="134" t="s">
        <v>315</v>
      </c>
      <c r="M432" s="135" t="b">
        <v>1</v>
      </c>
      <c r="N432" s="135" t="b">
        <v>1</v>
      </c>
      <c r="O432" s="135" t="b">
        <v>1</v>
      </c>
      <c r="P432" s="135" t="b">
        <v>1</v>
      </c>
    </row>
    <row r="433" spans="1:16" x14ac:dyDescent="0.3">
      <c r="A433" s="134" t="s">
        <v>555</v>
      </c>
      <c r="B433" s="128"/>
      <c r="C433" s="134" t="s">
        <v>561</v>
      </c>
      <c r="D433" s="134" t="s">
        <v>102</v>
      </c>
      <c r="E433" s="134">
        <v>27</v>
      </c>
      <c r="F433" s="134" t="s">
        <v>102</v>
      </c>
      <c r="G433" s="134" t="s">
        <v>342</v>
      </c>
      <c r="H433" s="134" t="s">
        <v>342</v>
      </c>
      <c r="I433" s="134"/>
      <c r="J433" s="134" t="s">
        <v>463</v>
      </c>
      <c r="K433" s="134" t="s">
        <v>174</v>
      </c>
      <c r="L433" s="134" t="s">
        <v>315</v>
      </c>
      <c r="M433" s="135" t="b">
        <v>1</v>
      </c>
      <c r="N433" s="135" t="b">
        <v>1</v>
      </c>
      <c r="O433" s="135" t="b">
        <v>1</v>
      </c>
      <c r="P433" s="135" t="b">
        <v>1</v>
      </c>
    </row>
    <row r="434" spans="1:16" x14ac:dyDescent="0.3">
      <c r="A434" s="134" t="s">
        <v>555</v>
      </c>
      <c r="B434" s="128"/>
      <c r="C434" s="134" t="s">
        <v>562</v>
      </c>
      <c r="D434" s="134" t="s">
        <v>102</v>
      </c>
      <c r="E434" s="134">
        <v>1</v>
      </c>
      <c r="F434" s="134" t="s">
        <v>102</v>
      </c>
      <c r="G434" s="134" t="s">
        <v>342</v>
      </c>
      <c r="H434" s="134" t="s">
        <v>342</v>
      </c>
      <c r="I434" s="134"/>
      <c r="J434" s="134" t="s">
        <v>463</v>
      </c>
      <c r="K434" s="134" t="s">
        <v>174</v>
      </c>
      <c r="L434" s="134" t="s">
        <v>315</v>
      </c>
      <c r="M434" s="135" t="b">
        <v>1</v>
      </c>
      <c r="N434" s="135" t="b">
        <v>1</v>
      </c>
      <c r="O434" s="135" t="b">
        <v>1</v>
      </c>
      <c r="P434" s="135" t="b">
        <v>1</v>
      </c>
    </row>
    <row r="435" spans="1:16" x14ac:dyDescent="0.3">
      <c r="A435" s="134" t="s">
        <v>555</v>
      </c>
      <c r="B435" s="147" t="s">
        <v>563</v>
      </c>
      <c r="C435" s="134" t="s">
        <v>555</v>
      </c>
      <c r="D435" s="134" t="s">
        <v>67</v>
      </c>
      <c r="E435" s="134"/>
      <c r="F435" s="134"/>
      <c r="G435" s="134" t="s">
        <v>342</v>
      </c>
      <c r="H435" s="134" t="s">
        <v>342</v>
      </c>
      <c r="I435" s="134"/>
      <c r="J435" s="134" t="s">
        <v>463</v>
      </c>
      <c r="K435" s="134" t="s">
        <v>174</v>
      </c>
      <c r="L435" s="134" t="s">
        <v>315</v>
      </c>
      <c r="M435" s="135" t="b">
        <v>1</v>
      </c>
      <c r="N435" s="135" t="b">
        <v>1</v>
      </c>
      <c r="O435" s="135" t="b">
        <v>1</v>
      </c>
      <c r="P435" s="135" t="b">
        <v>1</v>
      </c>
    </row>
    <row r="436" spans="1:16" x14ac:dyDescent="0.3">
      <c r="A436" s="134" t="s">
        <v>34</v>
      </c>
      <c r="C436" s="127" t="s">
        <v>1042</v>
      </c>
      <c r="D436" s="127" t="s">
        <v>103</v>
      </c>
      <c r="E436" s="123">
        <v>10000</v>
      </c>
      <c r="F436" s="74" t="s">
        <v>1028</v>
      </c>
      <c r="G436" s="134" t="s">
        <v>342</v>
      </c>
      <c r="H436" s="134" t="s">
        <v>342</v>
      </c>
      <c r="I436" s="134"/>
      <c r="J436" s="134" t="s">
        <v>463</v>
      </c>
      <c r="K436" s="134" t="s">
        <v>174</v>
      </c>
      <c r="L436" s="134" t="s">
        <v>315</v>
      </c>
      <c r="M436" s="135" t="b">
        <v>1</v>
      </c>
      <c r="N436" s="135" t="b">
        <v>1</v>
      </c>
      <c r="O436" s="135" t="b">
        <v>1</v>
      </c>
      <c r="P436" s="135" t="b">
        <v>1</v>
      </c>
    </row>
    <row r="437" spans="1:16" x14ac:dyDescent="0.3">
      <c r="A437" s="134" t="s">
        <v>34</v>
      </c>
      <c r="C437" s="127" t="s">
        <v>1065</v>
      </c>
      <c r="D437" s="127" t="s">
        <v>101</v>
      </c>
      <c r="E437" s="123">
        <v>1000</v>
      </c>
      <c r="F437" s="74" t="s">
        <v>1028</v>
      </c>
      <c r="G437" s="134" t="s">
        <v>342</v>
      </c>
      <c r="H437" s="134" t="s">
        <v>342</v>
      </c>
      <c r="I437" s="134"/>
      <c r="J437" s="134" t="s">
        <v>463</v>
      </c>
      <c r="K437" s="134" t="s">
        <v>174</v>
      </c>
      <c r="L437" s="134" t="s">
        <v>315</v>
      </c>
      <c r="M437" s="135" t="b">
        <v>1</v>
      </c>
      <c r="N437" s="135" t="b">
        <v>1</v>
      </c>
      <c r="O437" s="135" t="b">
        <v>1</v>
      </c>
      <c r="P437" s="135" t="b">
        <v>1</v>
      </c>
    </row>
    <row r="438" spans="1:16" x14ac:dyDescent="0.3">
      <c r="A438" s="134" t="s">
        <v>34</v>
      </c>
      <c r="C438" s="127" t="s">
        <v>639</v>
      </c>
      <c r="D438" s="127" t="s">
        <v>29</v>
      </c>
      <c r="E438" s="123">
        <f>10000/10750</f>
        <v>0.93023255813953487</v>
      </c>
      <c r="F438" s="74" t="s">
        <v>1028</v>
      </c>
      <c r="G438" s="134" t="s">
        <v>342</v>
      </c>
      <c r="H438" s="134" t="s">
        <v>342</v>
      </c>
      <c r="I438" s="134"/>
      <c r="J438" s="134" t="s">
        <v>463</v>
      </c>
      <c r="K438" s="134" t="s">
        <v>174</v>
      </c>
      <c r="L438" s="134" t="s">
        <v>315</v>
      </c>
      <c r="M438" s="135" t="b">
        <v>1</v>
      </c>
      <c r="N438" s="135" t="b">
        <v>1</v>
      </c>
      <c r="O438" s="135" t="b">
        <v>1</v>
      </c>
      <c r="P438" s="135" t="b">
        <v>1</v>
      </c>
    </row>
    <row r="439" spans="1:16" x14ac:dyDescent="0.3">
      <c r="A439" s="134" t="s">
        <v>34</v>
      </c>
      <c r="B439" s="125" t="s">
        <v>96</v>
      </c>
      <c r="C439" s="125" t="s">
        <v>34</v>
      </c>
      <c r="D439" s="127" t="s">
        <v>68</v>
      </c>
      <c r="F439" s="73"/>
      <c r="G439" s="134" t="s">
        <v>342</v>
      </c>
      <c r="H439" s="134" t="s">
        <v>342</v>
      </c>
      <c r="I439" s="134"/>
      <c r="J439" s="134" t="s">
        <v>463</v>
      </c>
      <c r="K439" s="134" t="s">
        <v>174</v>
      </c>
      <c r="L439" s="134" t="s">
        <v>315</v>
      </c>
      <c r="M439" s="135" t="b">
        <v>1</v>
      </c>
      <c r="N439" s="135" t="b">
        <v>1</v>
      </c>
      <c r="O439" s="135" t="b">
        <v>1</v>
      </c>
      <c r="P439" s="135" t="b">
        <v>1</v>
      </c>
    </row>
    <row r="440" spans="1:16" x14ac:dyDescent="0.3">
      <c r="A440" s="134"/>
      <c r="C440" s="125"/>
      <c r="D440" s="134"/>
      <c r="E440" s="134"/>
      <c r="F440" s="159"/>
      <c r="G440" s="134"/>
      <c r="H440" s="134"/>
      <c r="I440" s="134"/>
      <c r="J440" s="134"/>
      <c r="K440" s="134"/>
      <c r="L440" s="134"/>
      <c r="M440" s="134"/>
      <c r="N440" s="134"/>
      <c r="O440" s="134"/>
      <c r="P440" s="134"/>
    </row>
    <row r="441" spans="1:16" x14ac:dyDescent="0.3">
      <c r="A441" s="134"/>
      <c r="C441" s="125"/>
      <c r="D441" s="134"/>
      <c r="E441" s="134"/>
      <c r="F441" s="159"/>
      <c r="G441" s="134"/>
      <c r="H441" s="134"/>
      <c r="I441" s="134"/>
      <c r="J441" s="134"/>
      <c r="K441" s="134"/>
      <c r="L441" s="134"/>
      <c r="M441" s="134"/>
      <c r="N441" s="134"/>
      <c r="O441" s="134"/>
      <c r="P441" s="134"/>
    </row>
    <row r="442" spans="1:16" x14ac:dyDescent="0.3">
      <c r="A442" s="134"/>
      <c r="C442" s="125"/>
      <c r="D442" s="134"/>
      <c r="E442" s="134"/>
      <c r="F442" s="159"/>
      <c r="G442" s="134"/>
      <c r="H442" s="134"/>
      <c r="I442" s="134"/>
      <c r="J442" s="134"/>
      <c r="K442" s="134"/>
      <c r="L442" s="134"/>
      <c r="M442" s="134"/>
      <c r="N442" s="134"/>
      <c r="O442" s="134"/>
      <c r="P442" s="134"/>
    </row>
    <row r="443" spans="1:16" x14ac:dyDescent="0.3">
      <c r="A443" s="134"/>
      <c r="C443" s="125"/>
      <c r="D443" s="134"/>
      <c r="E443" s="134"/>
      <c r="F443" s="159"/>
      <c r="G443" s="134"/>
      <c r="H443" s="134"/>
      <c r="I443" s="134"/>
      <c r="J443" s="134"/>
      <c r="K443" s="134"/>
      <c r="L443" s="134"/>
      <c r="M443" s="134"/>
      <c r="N443" s="134"/>
      <c r="O443" s="134"/>
      <c r="P443" s="134"/>
    </row>
    <row r="444" spans="1:16" x14ac:dyDescent="0.3">
      <c r="A444" s="134"/>
      <c r="C444" s="125"/>
      <c r="D444" s="134"/>
      <c r="E444" s="134"/>
      <c r="F444" s="159"/>
      <c r="G444" s="134"/>
      <c r="H444" s="134"/>
      <c r="I444" s="134"/>
      <c r="J444" s="134"/>
      <c r="K444" s="134"/>
      <c r="L444" s="134"/>
      <c r="M444" s="134"/>
      <c r="N444" s="134"/>
      <c r="O444" s="134"/>
      <c r="P444" s="134"/>
    </row>
    <row r="445" spans="1:16" x14ac:dyDescent="0.3">
      <c r="A445" s="134"/>
      <c r="C445" s="125"/>
      <c r="D445" s="134"/>
      <c r="E445" s="134"/>
      <c r="F445" s="159"/>
      <c r="G445" s="134"/>
      <c r="H445" s="134"/>
      <c r="I445" s="134"/>
      <c r="J445" s="134"/>
      <c r="K445" s="134"/>
      <c r="L445" s="134"/>
      <c r="M445" s="134"/>
      <c r="N445" s="134"/>
      <c r="O445" s="134"/>
      <c r="P445" s="134"/>
    </row>
    <row r="446" spans="1:16" x14ac:dyDescent="0.3">
      <c r="A446" s="134"/>
      <c r="C446" s="125"/>
      <c r="D446" s="134"/>
      <c r="E446" s="134"/>
      <c r="F446" s="159"/>
      <c r="G446" s="134"/>
      <c r="H446" s="134"/>
      <c r="I446" s="134"/>
      <c r="J446" s="134"/>
      <c r="K446" s="134"/>
      <c r="L446" s="134"/>
      <c r="M446" s="134"/>
      <c r="N446" s="134"/>
      <c r="O446" s="134"/>
      <c r="P446" s="134"/>
    </row>
    <row r="447" spans="1:16" x14ac:dyDescent="0.3">
      <c r="A447" s="134"/>
      <c r="C447" s="125"/>
      <c r="D447" s="134"/>
      <c r="E447" s="134"/>
      <c r="F447" s="159"/>
      <c r="G447" s="134"/>
      <c r="H447" s="134"/>
      <c r="I447" s="134"/>
      <c r="J447" s="134"/>
      <c r="K447" s="134"/>
      <c r="L447" s="134"/>
      <c r="M447" s="134"/>
      <c r="N447" s="134"/>
      <c r="O447" s="134"/>
      <c r="P447" s="134"/>
    </row>
    <row r="448" spans="1:16" x14ac:dyDescent="0.3">
      <c r="A448" s="134"/>
      <c r="C448" s="125"/>
      <c r="D448" s="134"/>
      <c r="E448" s="134"/>
      <c r="F448" s="159"/>
      <c r="G448" s="134"/>
      <c r="H448" s="134"/>
      <c r="I448" s="134"/>
      <c r="J448" s="134"/>
      <c r="K448" s="134"/>
      <c r="L448" s="134"/>
      <c r="M448" s="134"/>
      <c r="N448" s="134"/>
      <c r="O448" s="134"/>
      <c r="P448" s="134"/>
    </row>
    <row r="449" spans="1:16" x14ac:dyDescent="0.3">
      <c r="A449" s="134"/>
      <c r="C449" s="125"/>
      <c r="D449" s="134"/>
      <c r="E449" s="134"/>
      <c r="F449" s="159"/>
      <c r="G449" s="134"/>
      <c r="H449" s="134"/>
      <c r="I449" s="134"/>
      <c r="J449" s="134"/>
      <c r="K449" s="134"/>
      <c r="L449" s="134"/>
      <c r="M449" s="134"/>
      <c r="N449" s="134"/>
      <c r="O449" s="134"/>
      <c r="P449" s="134"/>
    </row>
    <row r="450" spans="1:16" x14ac:dyDescent="0.3">
      <c r="A450" s="134"/>
      <c r="C450" s="125"/>
      <c r="D450" s="134"/>
      <c r="E450" s="134"/>
      <c r="F450" s="159"/>
      <c r="G450" s="134"/>
      <c r="H450" s="134"/>
      <c r="I450" s="134"/>
      <c r="J450" s="134"/>
      <c r="K450" s="134"/>
      <c r="L450" s="134"/>
      <c r="M450" s="134"/>
      <c r="N450" s="134"/>
      <c r="O450" s="134"/>
      <c r="P450" s="134"/>
    </row>
    <row r="451" spans="1:16" x14ac:dyDescent="0.3">
      <c r="A451" s="134"/>
      <c r="C451" s="125"/>
      <c r="D451" s="134"/>
      <c r="E451" s="134"/>
      <c r="F451" s="159"/>
      <c r="G451" s="134"/>
      <c r="H451" s="134"/>
      <c r="I451" s="134"/>
      <c r="J451" s="134"/>
      <c r="K451" s="134"/>
      <c r="L451" s="134"/>
      <c r="M451" s="134"/>
      <c r="N451" s="134"/>
      <c r="O451" s="134"/>
      <c r="P451" s="134"/>
    </row>
    <row r="452" spans="1:16" x14ac:dyDescent="0.3">
      <c r="A452" s="134"/>
      <c r="C452" s="125"/>
      <c r="D452" s="134"/>
      <c r="E452" s="134"/>
      <c r="F452" s="159"/>
      <c r="G452" s="134"/>
      <c r="H452" s="134"/>
      <c r="I452" s="134"/>
      <c r="J452" s="134"/>
      <c r="K452" s="134"/>
      <c r="L452" s="134"/>
      <c r="M452" s="134"/>
      <c r="N452" s="134"/>
      <c r="O452" s="134"/>
      <c r="P452" s="134"/>
    </row>
    <row r="453" spans="1:16" x14ac:dyDescent="0.3">
      <c r="A453" s="134"/>
      <c r="C453" s="125"/>
      <c r="D453" s="134"/>
      <c r="E453" s="134"/>
      <c r="F453" s="159"/>
      <c r="G453" s="134"/>
      <c r="H453" s="134"/>
      <c r="I453" s="134"/>
      <c r="J453" s="134"/>
      <c r="K453" s="134"/>
      <c r="L453" s="134"/>
      <c r="M453" s="134"/>
      <c r="N453" s="134"/>
      <c r="O453" s="134"/>
      <c r="P453" s="134"/>
    </row>
    <row r="454" spans="1:16" x14ac:dyDescent="0.3">
      <c r="A454" s="134"/>
      <c r="C454" s="125"/>
      <c r="D454" s="134"/>
      <c r="E454" s="134"/>
      <c r="F454" s="159"/>
      <c r="G454" s="134"/>
      <c r="H454" s="134"/>
      <c r="I454" s="134"/>
      <c r="J454" s="134"/>
      <c r="K454" s="134"/>
      <c r="L454" s="134"/>
      <c r="M454" s="134"/>
      <c r="N454" s="134"/>
      <c r="O454" s="134"/>
      <c r="P454" s="134"/>
    </row>
    <row r="455" spans="1:16" x14ac:dyDescent="0.3">
      <c r="A455" s="134"/>
      <c r="C455" s="125"/>
      <c r="D455" s="134"/>
      <c r="E455" s="134"/>
      <c r="F455" s="159"/>
      <c r="G455" s="134"/>
      <c r="H455" s="134"/>
      <c r="I455" s="134"/>
      <c r="J455" s="134"/>
      <c r="K455" s="134"/>
      <c r="L455" s="134"/>
      <c r="M455" s="134"/>
      <c r="N455" s="134"/>
      <c r="O455" s="134"/>
      <c r="P455" s="134"/>
    </row>
    <row r="456" spans="1:16" x14ac:dyDescent="0.3">
      <c r="A456" s="134"/>
      <c r="C456" s="125"/>
      <c r="D456" s="134"/>
      <c r="E456" s="134"/>
      <c r="F456" s="159"/>
      <c r="G456" s="134"/>
      <c r="H456" s="134"/>
      <c r="I456" s="134"/>
      <c r="J456" s="134"/>
      <c r="K456" s="134"/>
      <c r="L456" s="134"/>
      <c r="M456" s="134"/>
      <c r="N456" s="134"/>
      <c r="O456" s="134"/>
      <c r="P456" s="134"/>
    </row>
    <row r="457" spans="1:16" x14ac:dyDescent="0.3">
      <c r="A457" s="134"/>
      <c r="C457" s="125"/>
      <c r="D457" s="134"/>
      <c r="E457" s="134"/>
      <c r="F457" s="159"/>
      <c r="G457" s="134"/>
      <c r="H457" s="134"/>
      <c r="I457" s="134"/>
      <c r="J457" s="134"/>
      <c r="K457" s="134"/>
      <c r="L457" s="134"/>
      <c r="M457" s="134"/>
      <c r="N457" s="134"/>
      <c r="O457" s="134"/>
      <c r="P457" s="134"/>
    </row>
    <row r="458" spans="1:16" x14ac:dyDescent="0.3">
      <c r="A458" s="134"/>
      <c r="C458" s="125"/>
      <c r="D458" s="134"/>
      <c r="E458" s="134"/>
      <c r="F458" s="159"/>
      <c r="G458" s="134"/>
      <c r="H458" s="134"/>
      <c r="I458" s="134"/>
      <c r="J458" s="134"/>
      <c r="K458" s="134"/>
      <c r="L458" s="134"/>
      <c r="M458" s="134"/>
      <c r="N458" s="134"/>
      <c r="O458" s="134"/>
      <c r="P458" s="134"/>
    </row>
    <row r="459" spans="1:16" x14ac:dyDescent="0.3">
      <c r="A459" s="134"/>
      <c r="C459" s="125"/>
      <c r="D459" s="134"/>
      <c r="E459" s="134"/>
      <c r="F459" s="159"/>
      <c r="G459" s="134"/>
      <c r="H459" s="134"/>
      <c r="I459" s="134"/>
      <c r="J459" s="134"/>
      <c r="K459" s="134"/>
      <c r="L459" s="134"/>
      <c r="M459" s="134"/>
      <c r="N459" s="134"/>
      <c r="O459" s="134"/>
      <c r="P459" s="134"/>
    </row>
    <row r="460" spans="1:16" x14ac:dyDescent="0.3">
      <c r="A460" s="134"/>
      <c r="C460" s="125"/>
      <c r="D460" s="134"/>
      <c r="E460" s="134"/>
      <c r="F460" s="159"/>
      <c r="G460" s="134"/>
      <c r="H460" s="134"/>
      <c r="I460" s="134"/>
      <c r="J460" s="134"/>
      <c r="K460" s="134"/>
      <c r="L460" s="134"/>
      <c r="M460" s="134"/>
      <c r="N460" s="134"/>
      <c r="O460" s="134"/>
      <c r="P460" s="134"/>
    </row>
    <row r="461" spans="1:16" x14ac:dyDescent="0.3">
      <c r="A461" s="134"/>
      <c r="C461" s="125"/>
      <c r="D461" s="134"/>
      <c r="E461" s="134"/>
      <c r="F461" s="159"/>
      <c r="G461" s="134"/>
      <c r="H461" s="134"/>
      <c r="I461" s="134"/>
      <c r="J461" s="134"/>
      <c r="K461" s="134"/>
      <c r="L461" s="134"/>
      <c r="M461" s="134"/>
      <c r="N461" s="134"/>
      <c r="O461" s="134"/>
      <c r="P461" s="134"/>
    </row>
    <row r="462" spans="1:16" x14ac:dyDescent="0.3">
      <c r="A462" s="134"/>
      <c r="C462" s="125"/>
      <c r="D462" s="134"/>
      <c r="E462" s="134"/>
      <c r="F462" s="159"/>
      <c r="G462" s="134"/>
      <c r="H462" s="134"/>
      <c r="I462" s="134"/>
      <c r="J462" s="134"/>
      <c r="K462" s="134"/>
      <c r="L462" s="134"/>
      <c r="M462" s="134"/>
      <c r="N462" s="134"/>
      <c r="O462" s="134"/>
      <c r="P462" s="134"/>
    </row>
    <row r="463" spans="1:16" x14ac:dyDescent="0.3">
      <c r="A463" s="134"/>
      <c r="C463" s="125"/>
      <c r="D463" s="134"/>
      <c r="E463" s="134"/>
      <c r="F463" s="159"/>
      <c r="G463" s="134"/>
      <c r="H463" s="134"/>
      <c r="I463" s="134"/>
      <c r="J463" s="134"/>
      <c r="K463" s="134"/>
      <c r="L463" s="134"/>
      <c r="M463" s="134"/>
      <c r="N463" s="134"/>
      <c r="O463" s="134"/>
      <c r="P463" s="134"/>
    </row>
    <row r="464" spans="1:16" x14ac:dyDescent="0.3">
      <c r="A464" s="134"/>
      <c r="C464" s="125"/>
      <c r="D464" s="134"/>
      <c r="E464" s="134"/>
      <c r="F464" s="159"/>
      <c r="G464" s="134"/>
      <c r="H464" s="134"/>
      <c r="I464" s="134"/>
      <c r="J464" s="134"/>
      <c r="K464" s="134"/>
      <c r="L464" s="134"/>
      <c r="M464" s="134"/>
      <c r="N464" s="134"/>
      <c r="O464" s="134"/>
      <c r="P464" s="134"/>
    </row>
    <row r="465" spans="1:16" x14ac:dyDescent="0.3">
      <c r="A465" s="134"/>
      <c r="C465" s="125"/>
      <c r="D465" s="134"/>
      <c r="E465" s="134"/>
      <c r="F465" s="159"/>
      <c r="G465" s="134"/>
      <c r="H465" s="134"/>
      <c r="I465" s="134"/>
      <c r="J465" s="134"/>
      <c r="K465" s="134"/>
      <c r="L465" s="134"/>
      <c r="M465" s="134"/>
      <c r="N465" s="134"/>
      <c r="O465" s="134"/>
      <c r="P465" s="134"/>
    </row>
    <row r="466" spans="1:16" x14ac:dyDescent="0.3">
      <c r="A466" s="134"/>
      <c r="C466" s="125"/>
      <c r="D466" s="134"/>
      <c r="E466" s="134"/>
      <c r="F466" s="159"/>
      <c r="G466" s="134"/>
      <c r="H466" s="134"/>
      <c r="I466" s="134"/>
      <c r="J466" s="134"/>
      <c r="K466" s="134"/>
      <c r="L466" s="134"/>
      <c r="M466" s="134"/>
      <c r="N466" s="134"/>
      <c r="O466" s="134"/>
      <c r="P466" s="134"/>
    </row>
    <row r="467" spans="1:16" x14ac:dyDescent="0.3">
      <c r="A467" s="134"/>
      <c r="C467" s="125"/>
      <c r="D467" s="134"/>
      <c r="E467" s="134"/>
      <c r="F467" s="159"/>
      <c r="G467" s="134"/>
      <c r="H467" s="134"/>
      <c r="I467" s="134"/>
      <c r="J467" s="134"/>
      <c r="K467" s="134"/>
      <c r="L467" s="134"/>
      <c r="M467" s="134"/>
      <c r="N467" s="134"/>
      <c r="O467" s="134"/>
      <c r="P467" s="134"/>
    </row>
    <row r="468" spans="1:16" x14ac:dyDescent="0.3">
      <c r="A468" s="134"/>
      <c r="C468" s="125"/>
      <c r="D468" s="134"/>
      <c r="E468" s="134"/>
      <c r="F468" s="159"/>
      <c r="G468" s="134"/>
      <c r="H468" s="134"/>
      <c r="I468" s="134"/>
      <c r="J468" s="134"/>
      <c r="K468" s="134"/>
      <c r="L468" s="134"/>
      <c r="M468" s="134"/>
      <c r="N468" s="134"/>
      <c r="O468" s="134"/>
      <c r="P468" s="134"/>
    </row>
    <row r="469" spans="1:16" x14ac:dyDescent="0.3">
      <c r="A469" s="134"/>
      <c r="C469" s="125"/>
      <c r="D469" s="134"/>
      <c r="E469" s="134"/>
      <c r="F469" s="159"/>
      <c r="G469" s="134"/>
      <c r="H469" s="134"/>
      <c r="I469" s="134"/>
      <c r="J469" s="134"/>
      <c r="K469" s="134"/>
      <c r="L469" s="134"/>
      <c r="M469" s="134"/>
      <c r="N469" s="134"/>
      <c r="O469" s="134"/>
      <c r="P469" s="134"/>
    </row>
    <row r="470" spans="1:16" x14ac:dyDescent="0.3">
      <c r="A470" s="134"/>
      <c r="C470" s="125"/>
      <c r="D470" s="134"/>
      <c r="E470" s="134"/>
      <c r="F470" s="159"/>
      <c r="G470" s="134"/>
      <c r="H470" s="134"/>
      <c r="I470" s="134"/>
      <c r="J470" s="134"/>
      <c r="K470" s="134"/>
      <c r="L470" s="134"/>
      <c r="M470" s="134"/>
      <c r="N470" s="134"/>
      <c r="O470" s="134"/>
      <c r="P470" s="134"/>
    </row>
    <row r="471" spans="1:16" x14ac:dyDescent="0.3">
      <c r="A471" s="134"/>
      <c r="C471" s="125"/>
      <c r="D471" s="134"/>
      <c r="E471" s="134"/>
      <c r="F471" s="159"/>
      <c r="G471" s="134"/>
      <c r="H471" s="134"/>
      <c r="I471" s="134"/>
      <c r="J471" s="134"/>
      <c r="K471" s="134"/>
      <c r="L471" s="134"/>
      <c r="M471" s="134"/>
      <c r="N471" s="134"/>
      <c r="O471" s="134"/>
      <c r="P471" s="134"/>
    </row>
    <row r="472" spans="1:16" x14ac:dyDescent="0.3">
      <c r="A472" s="134"/>
      <c r="C472" s="125"/>
      <c r="D472" s="134"/>
      <c r="E472" s="134"/>
      <c r="F472" s="159"/>
      <c r="G472" s="134"/>
      <c r="H472" s="134"/>
      <c r="I472" s="134"/>
      <c r="J472" s="134"/>
      <c r="K472" s="134"/>
      <c r="L472" s="134"/>
      <c r="M472" s="134"/>
      <c r="N472" s="134"/>
      <c r="O472" s="134"/>
      <c r="P472" s="134"/>
    </row>
    <row r="473" spans="1:16" x14ac:dyDescent="0.3">
      <c r="A473" s="134"/>
      <c r="C473" s="125"/>
      <c r="D473" s="134"/>
      <c r="E473" s="134"/>
      <c r="F473" s="159"/>
      <c r="G473" s="134"/>
      <c r="H473" s="134"/>
      <c r="I473" s="134"/>
      <c r="J473" s="134"/>
      <c r="K473" s="134"/>
      <c r="L473" s="134"/>
      <c r="M473" s="134"/>
      <c r="N473" s="134"/>
      <c r="O473" s="134"/>
      <c r="P473" s="134"/>
    </row>
    <row r="474" spans="1:16" x14ac:dyDescent="0.3">
      <c r="A474" s="134"/>
      <c r="C474" s="125"/>
      <c r="D474" s="134"/>
      <c r="E474" s="134"/>
      <c r="F474" s="159"/>
      <c r="G474" s="134"/>
      <c r="H474" s="134"/>
      <c r="I474" s="134"/>
      <c r="J474" s="134"/>
      <c r="K474" s="134"/>
      <c r="L474" s="134"/>
      <c r="M474" s="134"/>
      <c r="N474" s="134"/>
      <c r="O474" s="134"/>
      <c r="P474" s="134"/>
    </row>
    <row r="475" spans="1:16" x14ac:dyDescent="0.3">
      <c r="A475" s="134"/>
      <c r="C475" s="125"/>
      <c r="D475" s="134"/>
      <c r="E475" s="134"/>
      <c r="F475" s="159"/>
      <c r="G475" s="134"/>
      <c r="H475" s="134"/>
      <c r="I475" s="134"/>
      <c r="J475" s="134"/>
      <c r="K475" s="134"/>
      <c r="L475" s="134"/>
      <c r="M475" s="134"/>
      <c r="N475" s="134"/>
      <c r="O475" s="134"/>
      <c r="P475" s="134"/>
    </row>
    <row r="476" spans="1:16" x14ac:dyDescent="0.3">
      <c r="A476" s="134"/>
      <c r="C476" s="125"/>
      <c r="D476" s="134"/>
      <c r="E476" s="134"/>
      <c r="F476" s="159"/>
      <c r="G476" s="134"/>
      <c r="H476" s="134"/>
      <c r="I476" s="134"/>
      <c r="J476" s="134"/>
      <c r="K476" s="134"/>
      <c r="L476" s="134"/>
      <c r="M476" s="134"/>
      <c r="N476" s="134"/>
      <c r="O476" s="134"/>
      <c r="P476" s="134"/>
    </row>
    <row r="477" spans="1:16" x14ac:dyDescent="0.3">
      <c r="A477" s="134"/>
      <c r="C477" s="125"/>
      <c r="D477" s="134"/>
      <c r="E477" s="134"/>
      <c r="F477" s="159"/>
      <c r="G477" s="134"/>
      <c r="H477" s="134"/>
      <c r="I477" s="134"/>
      <c r="J477" s="134"/>
      <c r="K477" s="134"/>
      <c r="L477" s="134"/>
      <c r="M477" s="134"/>
      <c r="N477" s="134"/>
      <c r="O477" s="134"/>
      <c r="P477" s="134"/>
    </row>
    <row r="478" spans="1:16" x14ac:dyDescent="0.3">
      <c r="A478" s="134"/>
      <c r="C478" s="125"/>
      <c r="D478" s="134"/>
      <c r="E478" s="134"/>
      <c r="F478" s="159"/>
      <c r="G478" s="134"/>
      <c r="H478" s="134"/>
      <c r="I478" s="134"/>
      <c r="J478" s="134"/>
      <c r="K478" s="134"/>
      <c r="L478" s="134"/>
      <c r="M478" s="134"/>
      <c r="N478" s="134"/>
      <c r="O478" s="134"/>
      <c r="P478" s="134"/>
    </row>
    <row r="479" spans="1:16" x14ac:dyDescent="0.3">
      <c r="A479" s="134"/>
      <c r="C479" s="125"/>
      <c r="D479" s="134"/>
      <c r="E479" s="134"/>
      <c r="F479" s="159"/>
      <c r="G479" s="134"/>
      <c r="H479" s="134"/>
      <c r="I479" s="134"/>
      <c r="J479" s="134"/>
      <c r="K479" s="134"/>
      <c r="L479" s="134"/>
      <c r="M479" s="134"/>
      <c r="N479" s="134"/>
      <c r="O479" s="134"/>
      <c r="P479" s="134"/>
    </row>
    <row r="480" spans="1:16" x14ac:dyDescent="0.3">
      <c r="A480" s="134"/>
      <c r="C480" s="125"/>
      <c r="D480" s="134"/>
      <c r="E480" s="134"/>
      <c r="F480" s="159"/>
      <c r="G480" s="134"/>
      <c r="H480" s="134"/>
      <c r="I480" s="134"/>
      <c r="J480" s="134"/>
      <c r="K480" s="134"/>
      <c r="L480" s="134"/>
      <c r="M480" s="134"/>
      <c r="N480" s="134"/>
      <c r="O480" s="134"/>
      <c r="P480" s="134"/>
    </row>
    <row r="481" spans="1:16" x14ac:dyDescent="0.3">
      <c r="A481" s="134"/>
      <c r="C481" s="125"/>
      <c r="D481" s="134"/>
      <c r="E481" s="134"/>
      <c r="F481" s="159"/>
      <c r="G481" s="134"/>
      <c r="H481" s="134"/>
      <c r="I481" s="134"/>
      <c r="J481" s="134"/>
      <c r="K481" s="134"/>
      <c r="L481" s="134"/>
      <c r="M481" s="134"/>
      <c r="N481" s="134"/>
      <c r="O481" s="134"/>
      <c r="P481" s="134"/>
    </row>
    <row r="482" spans="1:16" x14ac:dyDescent="0.3">
      <c r="A482" s="134"/>
      <c r="C482" s="125"/>
      <c r="D482" s="134"/>
      <c r="E482" s="134"/>
      <c r="F482" s="159"/>
      <c r="G482" s="134"/>
      <c r="H482" s="134"/>
      <c r="I482" s="134"/>
      <c r="J482" s="134"/>
      <c r="K482" s="134"/>
      <c r="L482" s="134"/>
      <c r="M482" s="134"/>
      <c r="N482" s="134"/>
      <c r="O482" s="134"/>
      <c r="P482" s="134"/>
    </row>
    <row r="483" spans="1:16" x14ac:dyDescent="0.3">
      <c r="A483" s="134"/>
      <c r="C483" s="125"/>
      <c r="D483" s="134"/>
      <c r="E483" s="134"/>
      <c r="F483" s="159"/>
      <c r="G483" s="134"/>
      <c r="H483" s="134"/>
      <c r="I483" s="134"/>
      <c r="J483" s="134"/>
      <c r="K483" s="134"/>
      <c r="L483" s="134"/>
      <c r="M483" s="134"/>
      <c r="N483" s="134"/>
      <c r="O483" s="134"/>
      <c r="P483" s="134"/>
    </row>
    <row r="484" spans="1:16" x14ac:dyDescent="0.3">
      <c r="A484" s="134"/>
      <c r="C484" s="125"/>
      <c r="D484" s="134"/>
      <c r="E484" s="134"/>
      <c r="F484" s="159"/>
      <c r="G484" s="134"/>
      <c r="H484" s="134"/>
      <c r="I484" s="134"/>
      <c r="J484" s="134"/>
      <c r="K484" s="134"/>
      <c r="L484" s="134"/>
      <c r="M484" s="134"/>
      <c r="N484" s="134"/>
      <c r="O484" s="134"/>
      <c r="P484" s="134"/>
    </row>
    <row r="485" spans="1:16" x14ac:dyDescent="0.3">
      <c r="A485" s="134"/>
      <c r="C485" s="125"/>
      <c r="D485" s="134"/>
      <c r="E485" s="134"/>
      <c r="F485" s="159"/>
      <c r="G485" s="134"/>
      <c r="H485" s="134"/>
      <c r="I485" s="134"/>
      <c r="J485" s="134"/>
      <c r="K485" s="134"/>
      <c r="L485" s="134"/>
      <c r="M485" s="134"/>
      <c r="N485" s="134"/>
      <c r="O485" s="134"/>
      <c r="P485" s="134"/>
    </row>
    <row r="486" spans="1:16" x14ac:dyDescent="0.3">
      <c r="A486" s="134"/>
      <c r="C486" s="125"/>
      <c r="D486" s="134"/>
      <c r="E486" s="134"/>
      <c r="F486" s="159"/>
      <c r="G486" s="134"/>
      <c r="H486" s="134"/>
      <c r="I486" s="134"/>
      <c r="J486" s="134"/>
      <c r="K486" s="134"/>
      <c r="L486" s="134"/>
      <c r="M486" s="134"/>
      <c r="N486" s="134"/>
      <c r="O486" s="134"/>
      <c r="P486" s="134"/>
    </row>
    <row r="487" spans="1:16" x14ac:dyDescent="0.3">
      <c r="A487" s="134"/>
      <c r="C487" s="125"/>
      <c r="D487" s="134"/>
      <c r="E487" s="134"/>
      <c r="F487" s="159"/>
      <c r="G487" s="134"/>
      <c r="H487" s="134"/>
      <c r="I487" s="134"/>
      <c r="J487" s="134"/>
      <c r="K487" s="134"/>
      <c r="L487" s="134"/>
      <c r="M487" s="134"/>
      <c r="N487" s="134"/>
      <c r="O487" s="134"/>
      <c r="P487" s="134"/>
    </row>
    <row r="488" spans="1:16" x14ac:dyDescent="0.3">
      <c r="A488" s="134"/>
      <c r="C488" s="125"/>
      <c r="D488" s="134"/>
      <c r="E488" s="134"/>
      <c r="F488" s="159"/>
      <c r="G488" s="134"/>
      <c r="H488" s="134"/>
      <c r="I488" s="134"/>
      <c r="J488" s="134"/>
      <c r="K488" s="134"/>
      <c r="L488" s="134"/>
      <c r="M488" s="134"/>
      <c r="N488" s="134"/>
      <c r="O488" s="134"/>
      <c r="P488" s="134"/>
    </row>
    <row r="489" spans="1:16" x14ac:dyDescent="0.3">
      <c r="A489" s="134"/>
      <c r="C489" s="125"/>
      <c r="D489" s="134"/>
      <c r="E489" s="134"/>
      <c r="F489" s="159"/>
      <c r="G489" s="134"/>
      <c r="H489" s="134"/>
      <c r="I489" s="134"/>
      <c r="J489" s="134"/>
      <c r="K489" s="134"/>
      <c r="L489" s="134"/>
      <c r="M489" s="134"/>
      <c r="N489" s="134"/>
      <c r="O489" s="134"/>
      <c r="P489" s="134"/>
    </row>
    <row r="490" spans="1:16" x14ac:dyDescent="0.3">
      <c r="A490" s="134"/>
      <c r="C490" s="125"/>
      <c r="D490" s="134"/>
      <c r="E490" s="134"/>
      <c r="F490" s="159"/>
      <c r="G490" s="134"/>
      <c r="H490" s="134"/>
      <c r="I490" s="134"/>
      <c r="J490" s="134"/>
      <c r="K490" s="134"/>
      <c r="L490" s="134"/>
      <c r="M490" s="134"/>
      <c r="N490" s="134"/>
      <c r="O490" s="134"/>
      <c r="P490" s="134"/>
    </row>
    <row r="491" spans="1:16" x14ac:dyDescent="0.3">
      <c r="A491" s="134"/>
      <c r="C491" s="125"/>
      <c r="D491" s="134"/>
      <c r="E491" s="134"/>
      <c r="F491" s="159"/>
      <c r="G491" s="134"/>
      <c r="H491" s="134"/>
      <c r="I491" s="134"/>
      <c r="J491" s="134"/>
      <c r="K491" s="134"/>
      <c r="L491" s="134"/>
      <c r="M491" s="134"/>
      <c r="N491" s="134"/>
      <c r="O491" s="134"/>
      <c r="P491" s="134"/>
    </row>
    <row r="492" spans="1:16" x14ac:dyDescent="0.3">
      <c r="A492" s="134"/>
      <c r="C492" s="125"/>
      <c r="D492" s="134"/>
      <c r="E492" s="134"/>
      <c r="F492" s="159"/>
      <c r="G492" s="134"/>
      <c r="H492" s="134"/>
      <c r="I492" s="134"/>
      <c r="J492" s="134"/>
      <c r="K492" s="134"/>
      <c r="L492" s="134"/>
      <c r="M492" s="134"/>
      <c r="N492" s="134"/>
      <c r="O492" s="134"/>
      <c r="P492" s="134"/>
    </row>
    <row r="493" spans="1:16" x14ac:dyDescent="0.3">
      <c r="A493" s="134"/>
      <c r="C493" s="125"/>
      <c r="D493" s="134"/>
      <c r="E493" s="134"/>
      <c r="F493" s="159"/>
      <c r="G493" s="134"/>
      <c r="H493" s="134"/>
      <c r="I493" s="134"/>
      <c r="J493" s="134"/>
      <c r="K493" s="134"/>
      <c r="L493" s="134"/>
      <c r="M493" s="134"/>
      <c r="N493" s="134"/>
      <c r="O493" s="134"/>
      <c r="P493" s="134"/>
    </row>
    <row r="494" spans="1:16" x14ac:dyDescent="0.3">
      <c r="A494" s="134"/>
      <c r="C494" s="125"/>
      <c r="D494" s="134"/>
      <c r="E494" s="134"/>
      <c r="F494" s="159"/>
      <c r="G494" s="134"/>
      <c r="H494" s="134"/>
      <c r="I494" s="134"/>
      <c r="J494" s="134"/>
      <c r="K494" s="134"/>
      <c r="L494" s="134"/>
      <c r="M494" s="134"/>
      <c r="N494" s="134"/>
      <c r="O494" s="134"/>
      <c r="P494" s="134"/>
    </row>
    <row r="495" spans="1:16" x14ac:dyDescent="0.3">
      <c r="A495" s="134"/>
      <c r="C495" s="125"/>
      <c r="D495" s="134"/>
      <c r="E495" s="134"/>
      <c r="F495" s="159"/>
      <c r="G495" s="134"/>
      <c r="H495" s="134"/>
      <c r="I495" s="134"/>
      <c r="J495" s="134"/>
      <c r="K495" s="134"/>
      <c r="L495" s="134"/>
      <c r="M495" s="134"/>
      <c r="N495" s="134"/>
      <c r="O495" s="134"/>
      <c r="P495" s="134"/>
    </row>
    <row r="496" spans="1:16" x14ac:dyDescent="0.3">
      <c r="A496" s="134"/>
      <c r="C496" s="125"/>
      <c r="D496" s="134"/>
      <c r="E496" s="134"/>
      <c r="F496" s="159"/>
      <c r="G496" s="134"/>
      <c r="H496" s="134"/>
      <c r="I496" s="134"/>
      <c r="J496" s="134"/>
      <c r="K496" s="134"/>
      <c r="L496" s="134"/>
      <c r="M496" s="134"/>
      <c r="N496" s="134"/>
      <c r="O496" s="134"/>
      <c r="P496" s="134"/>
    </row>
    <row r="497" spans="1:16" x14ac:dyDescent="0.3">
      <c r="A497" s="134"/>
      <c r="C497" s="125"/>
      <c r="D497" s="134"/>
      <c r="E497" s="134"/>
      <c r="F497" s="159"/>
      <c r="G497" s="134"/>
      <c r="H497" s="134"/>
      <c r="I497" s="134"/>
      <c r="J497" s="134"/>
      <c r="K497" s="134"/>
      <c r="L497" s="134"/>
      <c r="M497" s="134"/>
      <c r="N497" s="134"/>
      <c r="O497" s="134"/>
      <c r="P497" s="134"/>
    </row>
    <row r="498" spans="1:16" x14ac:dyDescent="0.3">
      <c r="A498" s="134"/>
      <c r="C498" s="125"/>
      <c r="D498" s="134"/>
      <c r="E498" s="134"/>
      <c r="F498" s="159"/>
      <c r="G498" s="134"/>
      <c r="H498" s="134"/>
      <c r="I498" s="134"/>
      <c r="J498" s="134"/>
      <c r="K498" s="134"/>
      <c r="L498" s="134"/>
      <c r="M498" s="134"/>
      <c r="N498" s="134"/>
      <c r="O498" s="134"/>
      <c r="P498" s="134"/>
    </row>
    <row r="499" spans="1:16" x14ac:dyDescent="0.3">
      <c r="A499" s="134"/>
      <c r="C499" s="125"/>
      <c r="D499" s="134"/>
      <c r="E499" s="134"/>
      <c r="F499" s="159"/>
      <c r="G499" s="134"/>
      <c r="H499" s="134"/>
      <c r="I499" s="134"/>
      <c r="J499" s="134"/>
      <c r="K499" s="134"/>
      <c r="L499" s="134"/>
      <c r="M499" s="134"/>
      <c r="N499" s="134"/>
      <c r="O499" s="134"/>
      <c r="P499" s="134"/>
    </row>
    <row r="500" spans="1:16" x14ac:dyDescent="0.3">
      <c r="A500" s="134"/>
      <c r="C500" s="125"/>
      <c r="D500" s="134"/>
      <c r="E500" s="134"/>
      <c r="F500" s="159"/>
      <c r="G500" s="134"/>
      <c r="H500" s="134"/>
      <c r="I500" s="134"/>
      <c r="J500" s="134"/>
      <c r="K500" s="134"/>
      <c r="L500" s="134"/>
      <c r="M500" s="134"/>
      <c r="N500" s="134"/>
      <c r="O500" s="134"/>
      <c r="P500" s="134"/>
    </row>
    <row r="501" spans="1:16" x14ac:dyDescent="0.3">
      <c r="A501" s="134"/>
      <c r="C501" s="125"/>
      <c r="D501" s="134"/>
      <c r="E501" s="134"/>
      <c r="F501" s="159"/>
      <c r="G501" s="134"/>
      <c r="H501" s="134"/>
      <c r="I501" s="134"/>
      <c r="J501" s="134"/>
      <c r="K501" s="134"/>
      <c r="L501" s="134"/>
      <c r="M501" s="134"/>
      <c r="N501" s="134"/>
      <c r="O501" s="134"/>
      <c r="P501" s="134"/>
    </row>
    <row r="502" spans="1:16" x14ac:dyDescent="0.3">
      <c r="A502" s="134"/>
      <c r="C502" s="125"/>
      <c r="D502" s="134"/>
      <c r="E502" s="134"/>
      <c r="F502" s="159"/>
      <c r="G502" s="134"/>
      <c r="H502" s="134"/>
      <c r="I502" s="134"/>
      <c r="J502" s="134"/>
      <c r="K502" s="134"/>
      <c r="L502" s="134"/>
      <c r="M502" s="134"/>
      <c r="N502" s="134"/>
      <c r="O502" s="134"/>
      <c r="P502" s="134"/>
    </row>
  </sheetData>
  <sheetProtection algorithmName="SHA-512" hashValue="PDRTHT3VY98L53O/K8fypxcslfMbjlC95TS8FYB3o0oc8tQgJf54WFO0J5RDG0T4/+Zl+ql+zkB6eu6tjkrMnw==" saltValue="zUJVZKFZ2Be2LzZajYxwBg==" spinCount="100000" sheet="1" autoFilter="0"/>
  <phoneticPr fontId="2" type="noConversion"/>
  <conditionalFormatting sqref="A2:P502">
    <cfRule type="expression" dxfId="540" priority="98">
      <formula>$B2&lt;&gt;""</formula>
    </cfRule>
  </conditionalFormatting>
  <conditionalFormatting sqref="E2:E502">
    <cfRule type="expression" dxfId="539" priority="102">
      <formula>AND(B2="",E2="")</formula>
    </cfRule>
  </conditionalFormatting>
  <conditionalFormatting sqref="M2:P502">
    <cfRule type="containsText" dxfId="538" priority="1" operator="containsText" text="FALSE">
      <formula>NOT(ISERROR(SEARCH("FALSE",M2)))</formula>
    </cfRule>
  </conditionalFormatting>
  <dataValidations count="2">
    <dataValidation type="list" allowBlank="1" showInputMessage="1" showErrorMessage="1" sqref="M2:P502" xr:uid="{43676D6D-2977-464A-A552-524D39C8B461}">
      <formula1>"TRUE,FALSE,N/A"</formula1>
    </dataValidation>
    <dataValidation type="list" allowBlank="1" showInputMessage="1" showErrorMessage="1" sqref="G2:H425" xr:uid="{037FEDDD-BAC8-472B-B9C3-7260FBBD00C2}">
      <formula1>"TIDAK,YA"</formula1>
    </dataValidation>
  </dataValidations>
  <pageMargins left="0.7" right="0.7" top="0.75" bottom="0.75" header="0.3" footer="0.3"/>
  <pageSetup paperSize="9"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F8E42-3B6D-4807-BB73-D4810C8301DF}">
  <sheetPr codeName="Sheet7"/>
  <dimension ref="A1:H220"/>
  <sheetViews>
    <sheetView topLeftCell="A206" workbookViewId="0">
      <selection activeCell="A206" sqref="A1:XFD1048576"/>
    </sheetView>
  </sheetViews>
  <sheetFormatPr defaultColWidth="8.7265625" defaultRowHeight="14.5" x14ac:dyDescent="0.35"/>
  <cols>
    <col min="1" max="1" width="37.26953125" style="151" bestFit="1" customWidth="1"/>
    <col min="2" max="2" width="30.26953125" style="151" bestFit="1" customWidth="1"/>
    <col min="3" max="3" width="11.7265625" style="151" bestFit="1" customWidth="1"/>
    <col min="4" max="4" width="9.7265625" style="151" bestFit="1" customWidth="1"/>
    <col min="5" max="16384" width="8.7265625" style="151"/>
  </cols>
  <sheetData>
    <row r="1" spans="1:4" x14ac:dyDescent="0.35">
      <c r="A1" s="151" t="s">
        <v>464</v>
      </c>
      <c r="B1" s="151" t="s">
        <v>172</v>
      </c>
      <c r="C1" s="151" t="s">
        <v>465</v>
      </c>
      <c r="D1" s="151" t="s">
        <v>466</v>
      </c>
    </row>
    <row r="2" spans="1:4" x14ac:dyDescent="0.35">
      <c r="A2" s="151" t="s">
        <v>495</v>
      </c>
      <c r="B2" s="151" t="s">
        <v>484</v>
      </c>
      <c r="C2" s="151">
        <v>4</v>
      </c>
      <c r="D2" s="151" t="s">
        <v>67</v>
      </c>
    </row>
    <row r="3" spans="1:4" x14ac:dyDescent="0.35">
      <c r="A3" s="151" t="s">
        <v>495</v>
      </c>
      <c r="B3" s="151" t="s">
        <v>2</v>
      </c>
      <c r="C3" s="151">
        <v>3.3</v>
      </c>
      <c r="D3" s="151" t="s">
        <v>35</v>
      </c>
    </row>
    <row r="4" spans="1:4" x14ac:dyDescent="0.35">
      <c r="A4" s="151" t="s">
        <v>495</v>
      </c>
      <c r="B4" s="151" t="s">
        <v>501</v>
      </c>
      <c r="C4" s="151">
        <v>10</v>
      </c>
      <c r="D4" s="151" t="s">
        <v>35</v>
      </c>
    </row>
    <row r="5" spans="1:4" x14ac:dyDescent="0.35">
      <c r="A5" s="151" t="s">
        <v>495</v>
      </c>
      <c r="B5" s="151" t="s">
        <v>497</v>
      </c>
      <c r="C5" s="151">
        <v>1.25</v>
      </c>
      <c r="D5" s="151" t="s">
        <v>35</v>
      </c>
    </row>
    <row r="6" spans="1:4" x14ac:dyDescent="0.35">
      <c r="A6" s="151" t="s">
        <v>495</v>
      </c>
      <c r="B6" s="151" t="s">
        <v>500</v>
      </c>
      <c r="C6" s="151">
        <v>9</v>
      </c>
      <c r="D6" s="151" t="s">
        <v>35</v>
      </c>
    </row>
    <row r="7" spans="1:4" x14ac:dyDescent="0.35">
      <c r="A7" s="151" t="s">
        <v>495</v>
      </c>
      <c r="B7" s="151" t="s">
        <v>985</v>
      </c>
      <c r="C7" s="151">
        <v>9</v>
      </c>
      <c r="D7" s="151" t="s">
        <v>35</v>
      </c>
    </row>
    <row r="8" spans="1:4" x14ac:dyDescent="0.35">
      <c r="A8" s="151" t="s">
        <v>495</v>
      </c>
      <c r="B8" s="151" t="s">
        <v>496</v>
      </c>
      <c r="C8" s="151">
        <v>2.25</v>
      </c>
      <c r="D8" s="151" t="s">
        <v>35</v>
      </c>
    </row>
    <row r="9" spans="1:4" x14ac:dyDescent="0.35">
      <c r="A9" s="151" t="s">
        <v>495</v>
      </c>
      <c r="B9" s="151" t="s">
        <v>1194</v>
      </c>
      <c r="C9" s="151">
        <v>5.7</v>
      </c>
      <c r="D9" s="151" t="s">
        <v>35</v>
      </c>
    </row>
    <row r="10" spans="1:4" x14ac:dyDescent="0.35">
      <c r="A10" s="151" t="s">
        <v>495</v>
      </c>
      <c r="B10" s="151" t="s">
        <v>1195</v>
      </c>
      <c r="C10" s="151">
        <v>0.6</v>
      </c>
      <c r="D10" s="151" t="s">
        <v>35</v>
      </c>
    </row>
    <row r="11" spans="1:4" x14ac:dyDescent="0.35">
      <c r="A11" s="151" t="s">
        <v>495</v>
      </c>
      <c r="B11" s="151" t="s">
        <v>509</v>
      </c>
      <c r="C11" s="151">
        <v>4.83</v>
      </c>
      <c r="D11" s="151" t="s">
        <v>35</v>
      </c>
    </row>
    <row r="12" spans="1:4" x14ac:dyDescent="0.35">
      <c r="A12" s="151" t="s">
        <v>495</v>
      </c>
      <c r="B12" s="151" t="s">
        <v>1318</v>
      </c>
      <c r="C12" s="151">
        <v>1</v>
      </c>
      <c r="D12" s="151" t="s">
        <v>67</v>
      </c>
    </row>
    <row r="13" spans="1:4" x14ac:dyDescent="0.35">
      <c r="A13" s="151" t="s">
        <v>495</v>
      </c>
      <c r="B13" s="151" t="s">
        <v>1316</v>
      </c>
      <c r="C13" s="151">
        <v>17</v>
      </c>
      <c r="D13" s="151" t="s">
        <v>35</v>
      </c>
    </row>
    <row r="14" spans="1:4" x14ac:dyDescent="0.35">
      <c r="A14" s="151" t="s">
        <v>495</v>
      </c>
      <c r="B14" s="151" t="s">
        <v>1339</v>
      </c>
      <c r="C14" s="151">
        <v>25</v>
      </c>
      <c r="D14" s="151" t="s">
        <v>35</v>
      </c>
    </row>
    <row r="15" spans="1:4" x14ac:dyDescent="0.35">
      <c r="A15" s="151" t="s">
        <v>502</v>
      </c>
      <c r="B15" s="151" t="s">
        <v>484</v>
      </c>
      <c r="C15" s="151">
        <v>4</v>
      </c>
      <c r="D15" s="151" t="s">
        <v>67</v>
      </c>
    </row>
    <row r="16" spans="1:4" x14ac:dyDescent="0.35">
      <c r="A16" s="151" t="s">
        <v>502</v>
      </c>
      <c r="B16" s="151" t="s">
        <v>501</v>
      </c>
      <c r="C16" s="151">
        <v>10</v>
      </c>
      <c r="D16" s="151" t="s">
        <v>35</v>
      </c>
    </row>
    <row r="17" spans="1:4" x14ac:dyDescent="0.35">
      <c r="A17" s="151" t="s">
        <v>502</v>
      </c>
      <c r="B17" s="151" t="s">
        <v>496</v>
      </c>
      <c r="C17" s="151">
        <v>2.25</v>
      </c>
      <c r="D17" s="151" t="s">
        <v>35</v>
      </c>
    </row>
    <row r="18" spans="1:4" x14ac:dyDescent="0.35">
      <c r="A18" s="151" t="s">
        <v>502</v>
      </c>
      <c r="B18" s="151" t="s">
        <v>503</v>
      </c>
      <c r="C18" s="151">
        <v>2</v>
      </c>
      <c r="D18" s="151" t="s">
        <v>150</v>
      </c>
    </row>
    <row r="19" spans="1:4" x14ac:dyDescent="0.35">
      <c r="A19" s="151" t="s">
        <v>502</v>
      </c>
      <c r="B19" s="151" t="s">
        <v>499</v>
      </c>
      <c r="C19" s="151">
        <v>1</v>
      </c>
      <c r="D19" s="151" t="s">
        <v>67</v>
      </c>
    </row>
    <row r="20" spans="1:4" x14ac:dyDescent="0.35">
      <c r="A20" s="151" t="s">
        <v>502</v>
      </c>
      <c r="B20" s="151" t="s">
        <v>504</v>
      </c>
      <c r="C20" s="151">
        <v>1</v>
      </c>
      <c r="D20" s="151" t="s">
        <v>67</v>
      </c>
    </row>
    <row r="21" spans="1:4" x14ac:dyDescent="0.35">
      <c r="A21" s="151" t="s">
        <v>502</v>
      </c>
      <c r="B21" s="151" t="s">
        <v>497</v>
      </c>
      <c r="C21" s="151">
        <v>1.25</v>
      </c>
      <c r="D21" s="151" t="s">
        <v>35</v>
      </c>
    </row>
    <row r="22" spans="1:4" x14ac:dyDescent="0.35">
      <c r="A22" s="151" t="s">
        <v>502</v>
      </c>
      <c r="B22" s="151" t="s">
        <v>2</v>
      </c>
      <c r="C22" s="151">
        <v>3.3</v>
      </c>
      <c r="D22" s="151" t="s">
        <v>35</v>
      </c>
    </row>
    <row r="23" spans="1:4" x14ac:dyDescent="0.35">
      <c r="A23" s="151" t="s">
        <v>502</v>
      </c>
      <c r="B23" s="151" t="s">
        <v>500</v>
      </c>
      <c r="C23" s="151">
        <v>9</v>
      </c>
      <c r="D23" s="151" t="s">
        <v>35</v>
      </c>
    </row>
    <row r="24" spans="1:4" x14ac:dyDescent="0.35">
      <c r="A24" s="151" t="s">
        <v>502</v>
      </c>
      <c r="B24" s="151" t="s">
        <v>1194</v>
      </c>
      <c r="C24" s="151">
        <v>5.7</v>
      </c>
      <c r="D24" s="151" t="s">
        <v>35</v>
      </c>
    </row>
    <row r="25" spans="1:4" x14ac:dyDescent="0.35">
      <c r="A25" s="151" t="s">
        <v>502</v>
      </c>
      <c r="B25" s="151" t="s">
        <v>1195</v>
      </c>
      <c r="C25" s="151">
        <v>0.6</v>
      </c>
      <c r="D25" s="151" t="s">
        <v>35</v>
      </c>
    </row>
    <row r="26" spans="1:4" x14ac:dyDescent="0.35">
      <c r="A26" s="151" t="s">
        <v>502</v>
      </c>
      <c r="B26" s="151" t="s">
        <v>509</v>
      </c>
      <c r="C26" s="151">
        <v>4.83</v>
      </c>
      <c r="D26" s="151" t="s">
        <v>35</v>
      </c>
    </row>
    <row r="27" spans="1:4" x14ac:dyDescent="0.35">
      <c r="A27" s="151" t="s">
        <v>502</v>
      </c>
      <c r="B27" s="151" t="s">
        <v>1318</v>
      </c>
      <c r="C27" s="151">
        <v>1</v>
      </c>
      <c r="D27" s="151" t="s">
        <v>67</v>
      </c>
    </row>
    <row r="28" spans="1:4" x14ac:dyDescent="0.35">
      <c r="A28" s="151" t="s">
        <v>502</v>
      </c>
      <c r="B28" s="151" t="s">
        <v>1316</v>
      </c>
      <c r="C28" s="151">
        <v>16.5</v>
      </c>
      <c r="D28" s="151" t="s">
        <v>35</v>
      </c>
    </row>
    <row r="29" spans="1:4" x14ac:dyDescent="0.35">
      <c r="A29" s="151" t="s">
        <v>502</v>
      </c>
      <c r="B29" s="151" t="s">
        <v>1340</v>
      </c>
      <c r="C29" s="151">
        <v>1</v>
      </c>
      <c r="D29" s="151" t="s">
        <v>150</v>
      </c>
    </row>
    <row r="30" spans="1:4" x14ac:dyDescent="0.35">
      <c r="A30" s="151" t="s">
        <v>502</v>
      </c>
      <c r="B30" s="151" t="s">
        <v>1341</v>
      </c>
      <c r="C30" s="151">
        <v>1</v>
      </c>
      <c r="D30" s="151" t="s">
        <v>67</v>
      </c>
    </row>
    <row r="31" spans="1:4" x14ac:dyDescent="0.35">
      <c r="A31" s="151" t="s">
        <v>502</v>
      </c>
      <c r="B31" s="151" t="s">
        <v>1342</v>
      </c>
      <c r="C31" s="151">
        <v>1</v>
      </c>
      <c r="D31" s="151" t="s">
        <v>67</v>
      </c>
    </row>
    <row r="32" spans="1:4" x14ac:dyDescent="0.35">
      <c r="A32" s="151" t="s">
        <v>502</v>
      </c>
      <c r="B32" s="151" t="s">
        <v>1339</v>
      </c>
      <c r="C32" s="151">
        <v>24</v>
      </c>
      <c r="D32" s="151" t="s">
        <v>35</v>
      </c>
    </row>
    <row r="33" spans="1:4" x14ac:dyDescent="0.35">
      <c r="A33" s="151" t="s">
        <v>506</v>
      </c>
      <c r="B33" s="151" t="s">
        <v>1194</v>
      </c>
      <c r="C33" s="151">
        <v>5.7</v>
      </c>
      <c r="D33" s="151" t="s">
        <v>35</v>
      </c>
    </row>
    <row r="34" spans="1:4" x14ac:dyDescent="0.35">
      <c r="A34" s="151" t="s">
        <v>506</v>
      </c>
      <c r="B34" s="151" t="s">
        <v>507</v>
      </c>
      <c r="C34" s="151">
        <v>4</v>
      </c>
      <c r="D34" s="151" t="s">
        <v>67</v>
      </c>
    </row>
    <row r="35" spans="1:4" x14ac:dyDescent="0.35">
      <c r="A35" s="151" t="s">
        <v>506</v>
      </c>
      <c r="B35" s="151" t="s">
        <v>497</v>
      </c>
      <c r="C35" s="151">
        <v>1.25</v>
      </c>
      <c r="D35" s="151" t="s">
        <v>35</v>
      </c>
    </row>
    <row r="36" spans="1:4" x14ac:dyDescent="0.35">
      <c r="A36" s="151" t="s">
        <v>506</v>
      </c>
      <c r="B36" s="151" t="s">
        <v>2</v>
      </c>
      <c r="C36" s="151">
        <v>3.3</v>
      </c>
      <c r="D36" s="151" t="s">
        <v>35</v>
      </c>
    </row>
    <row r="37" spans="1:4" x14ac:dyDescent="0.35">
      <c r="A37" s="151" t="s">
        <v>506</v>
      </c>
      <c r="B37" s="151" t="s">
        <v>500</v>
      </c>
      <c r="C37" s="151">
        <v>9</v>
      </c>
      <c r="D37" s="151" t="s">
        <v>35</v>
      </c>
    </row>
    <row r="38" spans="1:4" x14ac:dyDescent="0.35">
      <c r="A38" s="151" t="s">
        <v>506</v>
      </c>
      <c r="B38" s="151" t="s">
        <v>985</v>
      </c>
      <c r="C38" s="151">
        <v>9</v>
      </c>
      <c r="D38" s="151" t="s">
        <v>35</v>
      </c>
    </row>
    <row r="39" spans="1:4" x14ac:dyDescent="0.35">
      <c r="A39" s="151" t="s">
        <v>506</v>
      </c>
      <c r="B39" s="151" t="s">
        <v>509</v>
      </c>
      <c r="C39" s="151">
        <v>4.83</v>
      </c>
      <c r="D39" s="151" t="s">
        <v>35</v>
      </c>
    </row>
    <row r="40" spans="1:4" x14ac:dyDescent="0.35">
      <c r="A40" s="151" t="s">
        <v>506</v>
      </c>
      <c r="B40" s="151" t="s">
        <v>501</v>
      </c>
      <c r="C40" s="151">
        <v>10</v>
      </c>
      <c r="D40" s="151" t="s">
        <v>35</v>
      </c>
    </row>
    <row r="41" spans="1:4" x14ac:dyDescent="0.35">
      <c r="A41" s="151" t="s">
        <v>506</v>
      </c>
      <c r="B41" s="151" t="s">
        <v>496</v>
      </c>
      <c r="C41" s="151">
        <v>2.25</v>
      </c>
      <c r="D41" s="151" t="s">
        <v>35</v>
      </c>
    </row>
    <row r="42" spans="1:4" x14ac:dyDescent="0.35">
      <c r="A42" s="151" t="s">
        <v>506</v>
      </c>
      <c r="B42" s="151" t="s">
        <v>1195</v>
      </c>
      <c r="C42" s="151">
        <v>0.6</v>
      </c>
      <c r="D42" s="151" t="s">
        <v>35</v>
      </c>
    </row>
    <row r="43" spans="1:4" x14ac:dyDescent="0.35">
      <c r="A43" s="151" t="s">
        <v>506</v>
      </c>
      <c r="B43" s="151" t="s">
        <v>1318</v>
      </c>
      <c r="C43" s="151">
        <v>1</v>
      </c>
      <c r="D43" s="151" t="s">
        <v>67</v>
      </c>
    </row>
    <row r="44" spans="1:4" x14ac:dyDescent="0.35">
      <c r="A44" s="151" t="s">
        <v>506</v>
      </c>
      <c r="B44" s="151" t="s">
        <v>1316</v>
      </c>
      <c r="C44" s="151">
        <v>17</v>
      </c>
      <c r="D44" s="151" t="s">
        <v>35</v>
      </c>
    </row>
    <row r="45" spans="1:4" x14ac:dyDescent="0.35">
      <c r="A45" s="151" t="s">
        <v>506</v>
      </c>
      <c r="B45" s="151" t="s">
        <v>1339</v>
      </c>
      <c r="C45" s="151">
        <v>25</v>
      </c>
      <c r="D45" s="151" t="s">
        <v>35</v>
      </c>
    </row>
    <row r="46" spans="1:4" x14ac:dyDescent="0.35">
      <c r="A46" s="151" t="s">
        <v>508</v>
      </c>
      <c r="B46" s="151" t="s">
        <v>507</v>
      </c>
      <c r="C46" s="151">
        <v>4</v>
      </c>
      <c r="D46" s="151" t="s">
        <v>67</v>
      </c>
    </row>
    <row r="47" spans="1:4" x14ac:dyDescent="0.35">
      <c r="A47" s="151" t="s">
        <v>508</v>
      </c>
      <c r="B47" s="151" t="s">
        <v>499</v>
      </c>
      <c r="C47" s="151">
        <v>1</v>
      </c>
      <c r="D47" s="151" t="s">
        <v>67</v>
      </c>
    </row>
    <row r="48" spans="1:4" x14ac:dyDescent="0.35">
      <c r="A48" s="151" t="s">
        <v>508</v>
      </c>
      <c r="B48" s="151" t="s">
        <v>504</v>
      </c>
      <c r="C48" s="151">
        <v>1</v>
      </c>
      <c r="D48" s="151" t="s">
        <v>67</v>
      </c>
    </row>
    <row r="49" spans="1:4" x14ac:dyDescent="0.35">
      <c r="A49" s="151" t="s">
        <v>508</v>
      </c>
      <c r="B49" s="151" t="s">
        <v>497</v>
      </c>
      <c r="C49" s="151">
        <v>1.25</v>
      </c>
      <c r="D49" s="151" t="s">
        <v>35</v>
      </c>
    </row>
    <row r="50" spans="1:4" x14ac:dyDescent="0.35">
      <c r="A50" s="151" t="s">
        <v>508</v>
      </c>
      <c r="B50" s="151" t="s">
        <v>2</v>
      </c>
      <c r="C50" s="151">
        <v>3.3</v>
      </c>
      <c r="D50" s="151" t="s">
        <v>35</v>
      </c>
    </row>
    <row r="51" spans="1:4" x14ac:dyDescent="0.35">
      <c r="A51" s="151" t="s">
        <v>508</v>
      </c>
      <c r="B51" s="151" t="s">
        <v>500</v>
      </c>
      <c r="C51" s="151">
        <v>9</v>
      </c>
      <c r="D51" s="151" t="s">
        <v>35</v>
      </c>
    </row>
    <row r="52" spans="1:4" x14ac:dyDescent="0.35">
      <c r="A52" s="151" t="s">
        <v>508</v>
      </c>
      <c r="B52" s="151" t="s">
        <v>501</v>
      </c>
      <c r="C52" s="151">
        <v>10</v>
      </c>
      <c r="D52" s="151" t="s">
        <v>35</v>
      </c>
    </row>
    <row r="53" spans="1:4" x14ac:dyDescent="0.35">
      <c r="A53" s="151" t="s">
        <v>508</v>
      </c>
      <c r="B53" s="151" t="s">
        <v>496</v>
      </c>
      <c r="C53" s="151">
        <v>2.25</v>
      </c>
      <c r="D53" s="151" t="s">
        <v>35</v>
      </c>
    </row>
    <row r="54" spans="1:4" x14ac:dyDescent="0.35">
      <c r="A54" s="151" t="s">
        <v>508</v>
      </c>
      <c r="B54" s="151" t="s">
        <v>503</v>
      </c>
      <c r="C54" s="151">
        <v>2</v>
      </c>
      <c r="D54" s="151" t="s">
        <v>150</v>
      </c>
    </row>
    <row r="55" spans="1:4" x14ac:dyDescent="0.35">
      <c r="A55" s="151" t="s">
        <v>508</v>
      </c>
      <c r="B55" s="151" t="s">
        <v>1194</v>
      </c>
      <c r="C55" s="151">
        <v>5.7</v>
      </c>
      <c r="D55" s="151" t="s">
        <v>35</v>
      </c>
    </row>
    <row r="56" spans="1:4" x14ac:dyDescent="0.35">
      <c r="A56" s="151" t="s">
        <v>508</v>
      </c>
      <c r="B56" s="151" t="s">
        <v>1195</v>
      </c>
      <c r="C56" s="151">
        <v>0.6</v>
      </c>
      <c r="D56" s="151" t="s">
        <v>35</v>
      </c>
    </row>
    <row r="57" spans="1:4" x14ac:dyDescent="0.35">
      <c r="A57" s="151" t="s">
        <v>508</v>
      </c>
      <c r="B57" s="151" t="s">
        <v>509</v>
      </c>
      <c r="C57" s="151">
        <v>4.83</v>
      </c>
      <c r="D57" s="151" t="s">
        <v>35</v>
      </c>
    </row>
    <row r="58" spans="1:4" x14ac:dyDescent="0.35">
      <c r="A58" s="151" t="s">
        <v>508</v>
      </c>
      <c r="B58" s="151" t="s">
        <v>1318</v>
      </c>
      <c r="C58" s="151">
        <v>1</v>
      </c>
      <c r="D58" s="151" t="s">
        <v>67</v>
      </c>
    </row>
    <row r="59" spans="1:4" x14ac:dyDescent="0.35">
      <c r="A59" s="151" t="s">
        <v>508</v>
      </c>
      <c r="B59" s="151" t="s">
        <v>1316</v>
      </c>
      <c r="C59" s="151">
        <v>17</v>
      </c>
      <c r="D59" s="151" t="s">
        <v>35</v>
      </c>
    </row>
    <row r="60" spans="1:4" x14ac:dyDescent="0.35">
      <c r="A60" s="151" t="s">
        <v>508</v>
      </c>
      <c r="B60" s="151" t="s">
        <v>1340</v>
      </c>
      <c r="C60" s="151">
        <v>1</v>
      </c>
      <c r="D60" s="151" t="s">
        <v>150</v>
      </c>
    </row>
    <row r="61" spans="1:4" x14ac:dyDescent="0.35">
      <c r="A61" s="151" t="s">
        <v>508</v>
      </c>
      <c r="B61" s="151" t="s">
        <v>1341</v>
      </c>
      <c r="C61" s="151">
        <v>1</v>
      </c>
      <c r="D61" s="151" t="s">
        <v>67</v>
      </c>
    </row>
    <row r="62" spans="1:4" x14ac:dyDescent="0.35">
      <c r="A62" s="151" t="s">
        <v>508</v>
      </c>
      <c r="B62" s="151" t="s">
        <v>1342</v>
      </c>
      <c r="C62" s="151">
        <v>1</v>
      </c>
      <c r="D62" s="151" t="s">
        <v>67</v>
      </c>
    </row>
    <row r="63" spans="1:4" x14ac:dyDescent="0.35">
      <c r="A63" s="151" t="s">
        <v>508</v>
      </c>
      <c r="B63" s="151" t="s">
        <v>1339</v>
      </c>
      <c r="C63" s="151">
        <v>25</v>
      </c>
      <c r="D63" s="151" t="s">
        <v>35</v>
      </c>
    </row>
    <row r="64" spans="1:4" x14ac:dyDescent="0.35">
      <c r="A64" s="151" t="s">
        <v>483</v>
      </c>
      <c r="B64" s="151" t="s">
        <v>1196</v>
      </c>
      <c r="C64" s="151">
        <v>47</v>
      </c>
      <c r="D64" s="151" t="s">
        <v>35</v>
      </c>
    </row>
    <row r="65" spans="1:4" x14ac:dyDescent="0.35">
      <c r="A65" s="151" t="s">
        <v>483</v>
      </c>
      <c r="B65" s="151" t="s">
        <v>484</v>
      </c>
      <c r="C65" s="151">
        <v>5</v>
      </c>
      <c r="D65" s="151" t="s">
        <v>67</v>
      </c>
    </row>
    <row r="66" spans="1:4" x14ac:dyDescent="0.35">
      <c r="A66" s="151" t="s">
        <v>483</v>
      </c>
      <c r="B66" s="151" t="s">
        <v>485</v>
      </c>
      <c r="C66" s="151">
        <v>1</v>
      </c>
      <c r="D66" s="151" t="s">
        <v>67</v>
      </c>
    </row>
    <row r="67" spans="1:4" x14ac:dyDescent="0.35">
      <c r="A67" s="151" t="s">
        <v>483</v>
      </c>
      <c r="B67" s="151" t="s">
        <v>486</v>
      </c>
      <c r="C67" s="151">
        <v>1</v>
      </c>
      <c r="D67" s="151" t="s">
        <v>67</v>
      </c>
    </row>
    <row r="68" spans="1:4" x14ac:dyDescent="0.35">
      <c r="A68" s="151" t="s">
        <v>487</v>
      </c>
      <c r="B68" s="151" t="s">
        <v>1196</v>
      </c>
      <c r="C68" s="151">
        <v>47</v>
      </c>
      <c r="D68" s="151" t="s">
        <v>35</v>
      </c>
    </row>
    <row r="69" spans="1:4" x14ac:dyDescent="0.35">
      <c r="A69" s="151" t="s">
        <v>487</v>
      </c>
      <c r="B69" s="151" t="s">
        <v>484</v>
      </c>
      <c r="C69" s="151">
        <v>5</v>
      </c>
      <c r="D69" s="151" t="s">
        <v>67</v>
      </c>
    </row>
    <row r="70" spans="1:4" x14ac:dyDescent="0.35">
      <c r="A70" s="151" t="s">
        <v>487</v>
      </c>
      <c r="B70" s="151" t="s">
        <v>488</v>
      </c>
      <c r="C70" s="151">
        <v>1</v>
      </c>
      <c r="D70" s="151" t="s">
        <v>67</v>
      </c>
    </row>
    <row r="71" spans="1:4" x14ac:dyDescent="0.35">
      <c r="A71" s="151" t="s">
        <v>487</v>
      </c>
      <c r="B71" s="151" t="s">
        <v>486</v>
      </c>
      <c r="C71" s="151">
        <v>1</v>
      </c>
      <c r="D71" s="151" t="s">
        <v>67</v>
      </c>
    </row>
    <row r="72" spans="1:4" x14ac:dyDescent="0.35">
      <c r="A72" s="151" t="s">
        <v>489</v>
      </c>
      <c r="B72" s="151" t="s">
        <v>1196</v>
      </c>
      <c r="C72" s="151">
        <v>45.1</v>
      </c>
      <c r="D72" s="151" t="s">
        <v>35</v>
      </c>
    </row>
    <row r="73" spans="1:4" x14ac:dyDescent="0.35">
      <c r="A73" s="151" t="s">
        <v>489</v>
      </c>
      <c r="B73" s="151" t="s">
        <v>2</v>
      </c>
      <c r="C73" s="151">
        <v>2.1</v>
      </c>
      <c r="D73" s="151" t="s">
        <v>35</v>
      </c>
    </row>
    <row r="74" spans="1:4" x14ac:dyDescent="0.35">
      <c r="A74" s="151" t="s">
        <v>489</v>
      </c>
      <c r="B74" s="151" t="s">
        <v>484</v>
      </c>
      <c r="C74" s="151">
        <v>5</v>
      </c>
      <c r="D74" s="151" t="s">
        <v>67</v>
      </c>
    </row>
    <row r="75" spans="1:4" x14ac:dyDescent="0.35">
      <c r="A75" s="151" t="s">
        <v>489</v>
      </c>
      <c r="B75" s="151" t="s">
        <v>485</v>
      </c>
      <c r="C75" s="151">
        <v>1</v>
      </c>
      <c r="D75" s="151" t="s">
        <v>67</v>
      </c>
    </row>
    <row r="76" spans="1:4" x14ac:dyDescent="0.35">
      <c r="A76" s="151" t="s">
        <v>489</v>
      </c>
      <c r="B76" s="151" t="s">
        <v>486</v>
      </c>
      <c r="C76" s="151">
        <v>1</v>
      </c>
      <c r="D76" s="151" t="s">
        <v>67</v>
      </c>
    </row>
    <row r="77" spans="1:4" x14ac:dyDescent="0.35">
      <c r="A77" s="151" t="s">
        <v>490</v>
      </c>
      <c r="B77" s="151" t="s">
        <v>1196</v>
      </c>
      <c r="C77" s="151">
        <v>45.1</v>
      </c>
      <c r="D77" s="151" t="s">
        <v>35</v>
      </c>
    </row>
    <row r="78" spans="1:4" x14ac:dyDescent="0.35">
      <c r="A78" s="151" t="s">
        <v>490</v>
      </c>
      <c r="B78" s="151" t="s">
        <v>2</v>
      </c>
      <c r="C78" s="151">
        <v>2.1</v>
      </c>
      <c r="D78" s="151" t="s">
        <v>35</v>
      </c>
    </row>
    <row r="79" spans="1:4" x14ac:dyDescent="0.35">
      <c r="A79" s="151" t="s">
        <v>490</v>
      </c>
      <c r="B79" s="151" t="s">
        <v>484</v>
      </c>
      <c r="C79" s="151">
        <v>5</v>
      </c>
      <c r="D79" s="151" t="s">
        <v>67</v>
      </c>
    </row>
    <row r="80" spans="1:4" x14ac:dyDescent="0.35">
      <c r="A80" s="151" t="s">
        <v>490</v>
      </c>
      <c r="B80" s="151" t="s">
        <v>488</v>
      </c>
      <c r="C80" s="151">
        <v>1</v>
      </c>
      <c r="D80" s="151" t="s">
        <v>67</v>
      </c>
    </row>
    <row r="81" spans="1:8" x14ac:dyDescent="0.35">
      <c r="A81" s="151" t="s">
        <v>490</v>
      </c>
      <c r="B81" s="151" t="s">
        <v>486</v>
      </c>
      <c r="C81" s="151">
        <v>1</v>
      </c>
      <c r="D81" s="151" t="s">
        <v>67</v>
      </c>
    </row>
    <row r="82" spans="1:8" x14ac:dyDescent="0.35">
      <c r="A82" s="151" t="s">
        <v>491</v>
      </c>
      <c r="B82" s="151" t="s">
        <v>1196</v>
      </c>
      <c r="C82" s="151">
        <v>43.2</v>
      </c>
      <c r="D82" s="151" t="s">
        <v>35</v>
      </c>
    </row>
    <row r="83" spans="1:8" x14ac:dyDescent="0.35">
      <c r="A83" s="151" t="s">
        <v>491</v>
      </c>
      <c r="B83" s="151" t="s">
        <v>484</v>
      </c>
      <c r="C83" s="151">
        <v>5</v>
      </c>
      <c r="D83" s="151" t="s">
        <v>67</v>
      </c>
    </row>
    <row r="84" spans="1:8" x14ac:dyDescent="0.35">
      <c r="A84" s="151" t="s">
        <v>491</v>
      </c>
      <c r="B84" s="151" t="s">
        <v>2</v>
      </c>
      <c r="C84" s="151">
        <v>4.2</v>
      </c>
      <c r="D84" s="151" t="s">
        <v>35</v>
      </c>
    </row>
    <row r="85" spans="1:8" x14ac:dyDescent="0.35">
      <c r="A85" s="151" t="s">
        <v>491</v>
      </c>
      <c r="B85" s="151" t="s">
        <v>485</v>
      </c>
      <c r="C85" s="151">
        <v>1</v>
      </c>
      <c r="D85" s="151" t="s">
        <v>67</v>
      </c>
    </row>
    <row r="86" spans="1:8" x14ac:dyDescent="0.35">
      <c r="A86" s="151" t="s">
        <v>491</v>
      </c>
      <c r="B86" s="151" t="s">
        <v>486</v>
      </c>
      <c r="C86" s="151">
        <v>1</v>
      </c>
      <c r="D86" s="151" t="s">
        <v>67</v>
      </c>
    </row>
    <row r="87" spans="1:8" x14ac:dyDescent="0.35">
      <c r="A87" s="151" t="s">
        <v>492</v>
      </c>
      <c r="B87" s="151" t="s">
        <v>1196</v>
      </c>
      <c r="C87" s="151">
        <v>43.2</v>
      </c>
      <c r="D87" s="151" t="s">
        <v>35</v>
      </c>
    </row>
    <row r="88" spans="1:8" x14ac:dyDescent="0.35">
      <c r="A88" s="151" t="s">
        <v>492</v>
      </c>
      <c r="B88" s="151" t="s">
        <v>484</v>
      </c>
      <c r="C88" s="151">
        <v>5</v>
      </c>
      <c r="D88" s="151" t="s">
        <v>67</v>
      </c>
    </row>
    <row r="89" spans="1:8" x14ac:dyDescent="0.35">
      <c r="A89" s="151" t="s">
        <v>492</v>
      </c>
      <c r="B89" s="151" t="s">
        <v>2</v>
      </c>
      <c r="C89" s="151">
        <v>4.2</v>
      </c>
      <c r="D89" s="151" t="s">
        <v>35</v>
      </c>
    </row>
    <row r="90" spans="1:8" x14ac:dyDescent="0.35">
      <c r="A90" s="151" t="s">
        <v>492</v>
      </c>
      <c r="B90" s="151" t="s">
        <v>488</v>
      </c>
      <c r="C90" s="160">
        <v>1</v>
      </c>
      <c r="D90" s="151" t="s">
        <v>67</v>
      </c>
    </row>
    <row r="91" spans="1:8" x14ac:dyDescent="0.35">
      <c r="A91" s="151" t="s">
        <v>492</v>
      </c>
      <c r="B91" s="151" t="s">
        <v>486</v>
      </c>
      <c r="C91" s="151">
        <v>1</v>
      </c>
      <c r="D91" s="151" t="s">
        <v>67</v>
      </c>
    </row>
    <row r="92" spans="1:8" x14ac:dyDescent="0.35">
      <c r="A92" s="151" t="s">
        <v>493</v>
      </c>
      <c r="B92" s="151" t="s">
        <v>484</v>
      </c>
      <c r="C92" s="160">
        <v>5</v>
      </c>
      <c r="D92" s="151" t="s">
        <v>67</v>
      </c>
    </row>
    <row r="93" spans="1:8" x14ac:dyDescent="0.35">
      <c r="A93" s="151" t="s">
        <v>493</v>
      </c>
      <c r="B93" s="151" t="s">
        <v>485</v>
      </c>
      <c r="C93" s="160">
        <v>1</v>
      </c>
      <c r="D93" s="151" t="s">
        <v>67</v>
      </c>
      <c r="G93" s="165"/>
      <c r="H93" s="165"/>
    </row>
    <row r="94" spans="1:8" x14ac:dyDescent="0.35">
      <c r="A94" s="151" t="s">
        <v>493</v>
      </c>
      <c r="B94" s="151" t="s">
        <v>486</v>
      </c>
      <c r="C94" s="160">
        <v>1</v>
      </c>
      <c r="D94" s="151" t="s">
        <v>67</v>
      </c>
      <c r="G94" s="165"/>
      <c r="H94" s="165"/>
    </row>
    <row r="95" spans="1:8" x14ac:dyDescent="0.35">
      <c r="A95" s="151" t="s">
        <v>493</v>
      </c>
      <c r="B95" s="151" t="s">
        <v>1196</v>
      </c>
      <c r="C95" s="160">
        <v>37.6</v>
      </c>
      <c r="D95" s="151" t="s">
        <v>35</v>
      </c>
      <c r="G95" s="165"/>
      <c r="H95" s="165"/>
    </row>
    <row r="96" spans="1:8" x14ac:dyDescent="0.35">
      <c r="A96" s="151" t="s">
        <v>493</v>
      </c>
      <c r="B96" s="151" t="s">
        <v>2</v>
      </c>
      <c r="C96" s="151">
        <v>11.8</v>
      </c>
      <c r="D96" s="151" t="s">
        <v>35</v>
      </c>
      <c r="G96" s="165"/>
      <c r="H96" s="165"/>
    </row>
    <row r="97" spans="1:4" x14ac:dyDescent="0.35">
      <c r="A97" s="151" t="s">
        <v>494</v>
      </c>
      <c r="B97" s="151" t="s">
        <v>484</v>
      </c>
      <c r="C97" s="151">
        <v>5</v>
      </c>
      <c r="D97" s="151" t="s">
        <v>67</v>
      </c>
    </row>
    <row r="98" spans="1:4" x14ac:dyDescent="0.35">
      <c r="A98" s="151" t="s">
        <v>494</v>
      </c>
      <c r="B98" s="151" t="s">
        <v>1196</v>
      </c>
      <c r="C98" s="151">
        <v>37.6</v>
      </c>
      <c r="D98" s="151" t="s">
        <v>35</v>
      </c>
    </row>
    <row r="99" spans="1:4" x14ac:dyDescent="0.35">
      <c r="A99" s="151" t="s">
        <v>494</v>
      </c>
      <c r="B99" s="151" t="s">
        <v>488</v>
      </c>
      <c r="C99" s="151">
        <v>1</v>
      </c>
      <c r="D99" s="151" t="s">
        <v>67</v>
      </c>
    </row>
    <row r="100" spans="1:4" x14ac:dyDescent="0.35">
      <c r="A100" s="151" t="s">
        <v>494</v>
      </c>
      <c r="B100" s="151" t="s">
        <v>486</v>
      </c>
      <c r="C100" s="151">
        <v>1</v>
      </c>
      <c r="D100" s="151" t="s">
        <v>67</v>
      </c>
    </row>
    <row r="101" spans="1:4" x14ac:dyDescent="0.35">
      <c r="A101" s="151" t="s">
        <v>494</v>
      </c>
      <c r="B101" s="151" t="s">
        <v>2</v>
      </c>
      <c r="C101" s="151">
        <v>11.8</v>
      </c>
      <c r="D101" s="151" t="s">
        <v>35</v>
      </c>
    </row>
    <row r="102" spans="1:4" x14ac:dyDescent="0.35">
      <c r="A102" s="151" t="s">
        <v>1153</v>
      </c>
      <c r="B102" s="151" t="s">
        <v>72</v>
      </c>
      <c r="C102" s="151">
        <v>30</v>
      </c>
      <c r="D102" s="151" t="s">
        <v>35</v>
      </c>
    </row>
    <row r="103" spans="1:4" x14ac:dyDescent="0.35">
      <c r="A103" s="151" t="s">
        <v>1153</v>
      </c>
      <c r="B103" s="151" t="s">
        <v>26</v>
      </c>
      <c r="C103" s="151">
        <v>0.8</v>
      </c>
      <c r="D103" s="151" t="s">
        <v>35</v>
      </c>
    </row>
    <row r="104" spans="1:4" x14ac:dyDescent="0.35">
      <c r="A104" s="151" t="s">
        <v>1152</v>
      </c>
      <c r="B104" s="151" t="s">
        <v>26</v>
      </c>
      <c r="C104" s="151">
        <v>0.8</v>
      </c>
      <c r="D104" s="151" t="s">
        <v>35</v>
      </c>
    </row>
    <row r="105" spans="1:4" x14ac:dyDescent="0.35">
      <c r="A105" s="151" t="s">
        <v>1152</v>
      </c>
      <c r="B105" s="151" t="s">
        <v>72</v>
      </c>
      <c r="C105" s="151">
        <v>30</v>
      </c>
      <c r="D105" s="151" t="s">
        <v>35</v>
      </c>
    </row>
    <row r="106" spans="1:4" x14ac:dyDescent="0.35">
      <c r="A106" s="151" t="s">
        <v>1152</v>
      </c>
      <c r="B106" s="151" t="s">
        <v>922</v>
      </c>
      <c r="C106" s="151">
        <v>1</v>
      </c>
      <c r="D106" s="151" t="s">
        <v>67</v>
      </c>
    </row>
    <row r="107" spans="1:4" x14ac:dyDescent="0.35">
      <c r="A107" s="151" t="s">
        <v>1151</v>
      </c>
      <c r="B107" s="151" t="s">
        <v>19</v>
      </c>
      <c r="C107" s="151">
        <v>19</v>
      </c>
      <c r="D107" s="151" t="s">
        <v>35</v>
      </c>
    </row>
    <row r="108" spans="1:4" x14ac:dyDescent="0.35">
      <c r="A108" s="151" t="s">
        <v>1151</v>
      </c>
      <c r="B108" s="151" t="s">
        <v>26</v>
      </c>
      <c r="C108" s="151">
        <v>0.8</v>
      </c>
      <c r="D108" s="151" t="s">
        <v>35</v>
      </c>
    </row>
    <row r="109" spans="1:4" x14ac:dyDescent="0.35">
      <c r="A109" s="151" t="s">
        <v>1150</v>
      </c>
      <c r="B109" s="151" t="s">
        <v>19</v>
      </c>
      <c r="C109" s="151">
        <v>19</v>
      </c>
      <c r="D109" s="151" t="s">
        <v>35</v>
      </c>
    </row>
    <row r="110" spans="1:4" x14ac:dyDescent="0.35">
      <c r="A110" s="151" t="s">
        <v>1150</v>
      </c>
      <c r="B110" s="151" t="s">
        <v>922</v>
      </c>
      <c r="C110" s="151">
        <v>1</v>
      </c>
      <c r="D110" s="151" t="s">
        <v>67</v>
      </c>
    </row>
    <row r="111" spans="1:4" x14ac:dyDescent="0.35">
      <c r="A111" s="151" t="s">
        <v>1150</v>
      </c>
      <c r="B111" s="151" t="s">
        <v>26</v>
      </c>
      <c r="C111" s="151">
        <v>0.8</v>
      </c>
      <c r="D111" s="151" t="s">
        <v>35</v>
      </c>
    </row>
    <row r="112" spans="1:4" x14ac:dyDescent="0.35">
      <c r="A112" s="151" t="s">
        <v>1149</v>
      </c>
      <c r="B112" s="151" t="s">
        <v>1306</v>
      </c>
      <c r="C112" s="151">
        <v>40</v>
      </c>
      <c r="D112" s="151" t="s">
        <v>35</v>
      </c>
    </row>
    <row r="113" spans="1:4" x14ac:dyDescent="0.35">
      <c r="A113" s="151" t="s">
        <v>1149</v>
      </c>
      <c r="B113" s="151" t="s">
        <v>26</v>
      </c>
      <c r="C113" s="151">
        <v>0.8</v>
      </c>
      <c r="D113" s="151" t="s">
        <v>35</v>
      </c>
    </row>
    <row r="114" spans="1:4" x14ac:dyDescent="0.35">
      <c r="A114" s="151" t="s">
        <v>1149</v>
      </c>
      <c r="B114" s="151" t="s">
        <v>30</v>
      </c>
      <c r="C114" s="151">
        <v>0.03</v>
      </c>
      <c r="D114" s="151" t="s">
        <v>67</v>
      </c>
    </row>
    <row r="115" spans="1:4" x14ac:dyDescent="0.35">
      <c r="A115" s="151" t="s">
        <v>1149</v>
      </c>
      <c r="B115" s="151" t="s">
        <v>31</v>
      </c>
      <c r="C115" s="151">
        <v>0.97</v>
      </c>
      <c r="D115" s="151" t="s">
        <v>35</v>
      </c>
    </row>
    <row r="116" spans="1:4" x14ac:dyDescent="0.35">
      <c r="A116" s="151" t="s">
        <v>1148</v>
      </c>
      <c r="B116" s="151" t="s">
        <v>1306</v>
      </c>
      <c r="C116" s="151">
        <v>40</v>
      </c>
      <c r="D116" s="151" t="s">
        <v>35</v>
      </c>
    </row>
    <row r="117" spans="1:4" x14ac:dyDescent="0.35">
      <c r="A117" s="151" t="s">
        <v>1148</v>
      </c>
      <c r="B117" s="151" t="s">
        <v>922</v>
      </c>
      <c r="C117" s="151">
        <v>1</v>
      </c>
      <c r="D117" s="151" t="s">
        <v>67</v>
      </c>
    </row>
    <row r="118" spans="1:4" x14ac:dyDescent="0.35">
      <c r="A118" s="151" t="s">
        <v>1148</v>
      </c>
      <c r="B118" s="151" t="s">
        <v>26</v>
      </c>
      <c r="C118" s="151">
        <v>0.8</v>
      </c>
      <c r="D118" s="151" t="s">
        <v>35</v>
      </c>
    </row>
    <row r="119" spans="1:4" x14ac:dyDescent="0.35">
      <c r="A119" s="151" t="s">
        <v>1148</v>
      </c>
      <c r="B119" s="151" t="s">
        <v>30</v>
      </c>
      <c r="C119" s="151">
        <v>0.03</v>
      </c>
      <c r="D119" s="151" t="s">
        <v>67</v>
      </c>
    </row>
    <row r="120" spans="1:4" x14ac:dyDescent="0.35">
      <c r="A120" s="151" t="s">
        <v>1148</v>
      </c>
      <c r="B120" s="151" t="s">
        <v>31</v>
      </c>
      <c r="C120" s="151">
        <v>0.97</v>
      </c>
      <c r="D120" s="151" t="s">
        <v>35</v>
      </c>
    </row>
    <row r="121" spans="1:4" x14ac:dyDescent="0.35">
      <c r="A121" s="151" t="s">
        <v>1154</v>
      </c>
      <c r="B121" s="151" t="s">
        <v>919</v>
      </c>
      <c r="C121" s="151">
        <v>1</v>
      </c>
      <c r="D121" s="151" t="s">
        <v>67</v>
      </c>
    </row>
    <row r="122" spans="1:4" x14ac:dyDescent="0.35">
      <c r="A122" s="151" t="s">
        <v>1154</v>
      </c>
      <c r="B122" s="151" t="s">
        <v>27</v>
      </c>
      <c r="C122" s="151">
        <v>1</v>
      </c>
      <c r="D122" s="151" t="s">
        <v>67</v>
      </c>
    </row>
    <row r="123" spans="1:4" x14ac:dyDescent="0.35">
      <c r="A123" s="151" t="s">
        <v>1154</v>
      </c>
      <c r="B123" s="151" t="s">
        <v>34</v>
      </c>
      <c r="C123" s="151">
        <v>117.25</v>
      </c>
      <c r="D123" s="151" t="s">
        <v>68</v>
      </c>
    </row>
    <row r="124" spans="1:4" x14ac:dyDescent="0.35">
      <c r="A124" s="151" t="s">
        <v>1154</v>
      </c>
      <c r="B124" s="151" t="s">
        <v>920</v>
      </c>
      <c r="C124" s="151">
        <v>1</v>
      </c>
      <c r="D124" s="151" t="s">
        <v>67</v>
      </c>
    </row>
    <row r="125" spans="1:4" x14ac:dyDescent="0.35">
      <c r="A125" s="151" t="s">
        <v>1144</v>
      </c>
      <c r="B125" s="151" t="s">
        <v>919</v>
      </c>
      <c r="C125" s="151">
        <v>1</v>
      </c>
      <c r="D125" s="151" t="s">
        <v>67</v>
      </c>
    </row>
    <row r="126" spans="1:4" x14ac:dyDescent="0.35">
      <c r="A126" s="151" t="s">
        <v>1144</v>
      </c>
      <c r="B126" s="151" t="s">
        <v>27</v>
      </c>
      <c r="C126" s="151">
        <v>1</v>
      </c>
      <c r="D126" s="151" t="s">
        <v>67</v>
      </c>
    </row>
    <row r="127" spans="1:4" x14ac:dyDescent="0.35">
      <c r="A127" s="151" t="s">
        <v>1144</v>
      </c>
      <c r="B127" s="151" t="s">
        <v>34</v>
      </c>
      <c r="C127" s="151">
        <v>117.25</v>
      </c>
      <c r="D127" s="151" t="s">
        <v>68</v>
      </c>
    </row>
    <row r="128" spans="1:4" x14ac:dyDescent="0.35">
      <c r="A128" s="151" t="s">
        <v>1144</v>
      </c>
      <c r="B128" s="151" t="s">
        <v>920</v>
      </c>
      <c r="C128" s="151">
        <v>1</v>
      </c>
      <c r="D128" s="151" t="s">
        <v>67</v>
      </c>
    </row>
    <row r="129" spans="1:4" x14ac:dyDescent="0.35">
      <c r="A129" s="151" t="s">
        <v>1144</v>
      </c>
      <c r="B129" s="151" t="s">
        <v>20</v>
      </c>
      <c r="C129" s="151">
        <v>15.31</v>
      </c>
      <c r="D129" s="151" t="s">
        <v>35</v>
      </c>
    </row>
    <row r="130" spans="1:4" x14ac:dyDescent="0.35">
      <c r="A130" s="151" t="s">
        <v>1145</v>
      </c>
      <c r="B130" s="151" t="s">
        <v>349</v>
      </c>
      <c r="C130" s="151">
        <v>14.58</v>
      </c>
      <c r="D130" s="151" t="s">
        <v>35</v>
      </c>
    </row>
    <row r="131" spans="1:4" x14ac:dyDescent="0.35">
      <c r="A131" s="151" t="s">
        <v>1145</v>
      </c>
      <c r="B131" s="151" t="s">
        <v>350</v>
      </c>
      <c r="C131" s="151">
        <v>10.199999999999999</v>
      </c>
      <c r="D131" s="151" t="s">
        <v>35</v>
      </c>
    </row>
    <row r="132" spans="1:4" x14ac:dyDescent="0.35">
      <c r="A132" s="151" t="s">
        <v>1145</v>
      </c>
      <c r="B132" s="151" t="s">
        <v>919</v>
      </c>
      <c r="C132" s="151">
        <v>1</v>
      </c>
      <c r="D132" s="151" t="s">
        <v>67</v>
      </c>
    </row>
    <row r="133" spans="1:4" x14ac:dyDescent="0.35">
      <c r="A133" s="151" t="s">
        <v>1145</v>
      </c>
      <c r="B133" s="151" t="s">
        <v>27</v>
      </c>
      <c r="C133" s="151">
        <v>1</v>
      </c>
      <c r="D133" s="151" t="s">
        <v>67</v>
      </c>
    </row>
    <row r="134" spans="1:4" x14ac:dyDescent="0.35">
      <c r="A134" s="151" t="s">
        <v>1145</v>
      </c>
      <c r="B134" s="151" t="s">
        <v>34</v>
      </c>
      <c r="C134" s="151">
        <v>117.25</v>
      </c>
      <c r="D134" s="151" t="s">
        <v>68</v>
      </c>
    </row>
    <row r="135" spans="1:4" x14ac:dyDescent="0.35">
      <c r="A135" s="151" t="s">
        <v>1145</v>
      </c>
      <c r="B135" s="151" t="s">
        <v>920</v>
      </c>
      <c r="C135" s="151">
        <v>1</v>
      </c>
      <c r="D135" s="151" t="s">
        <v>67</v>
      </c>
    </row>
    <row r="136" spans="1:4" x14ac:dyDescent="0.35">
      <c r="A136" s="151" t="s">
        <v>1146</v>
      </c>
      <c r="B136" s="151" t="s">
        <v>28</v>
      </c>
      <c r="C136" s="151">
        <v>14</v>
      </c>
      <c r="D136" s="151" t="s">
        <v>35</v>
      </c>
    </row>
    <row r="137" spans="1:4" x14ac:dyDescent="0.35">
      <c r="A137" s="151" t="s">
        <v>1146</v>
      </c>
      <c r="B137" s="151" t="s">
        <v>351</v>
      </c>
      <c r="C137" s="151">
        <v>10</v>
      </c>
      <c r="D137" s="151" t="s">
        <v>35</v>
      </c>
    </row>
    <row r="138" spans="1:4" x14ac:dyDescent="0.35">
      <c r="A138" s="151" t="s">
        <v>1146</v>
      </c>
      <c r="B138" s="151" t="s">
        <v>919</v>
      </c>
      <c r="C138" s="151">
        <v>1</v>
      </c>
      <c r="D138" s="151" t="s">
        <v>67</v>
      </c>
    </row>
    <row r="139" spans="1:4" x14ac:dyDescent="0.35">
      <c r="A139" s="151" t="s">
        <v>1146</v>
      </c>
      <c r="B139" s="151" t="s">
        <v>27</v>
      </c>
      <c r="C139" s="151">
        <v>1</v>
      </c>
      <c r="D139" s="151" t="s">
        <v>67</v>
      </c>
    </row>
    <row r="140" spans="1:4" x14ac:dyDescent="0.35">
      <c r="A140" s="151" t="s">
        <v>1146</v>
      </c>
      <c r="B140" s="151" t="s">
        <v>34</v>
      </c>
      <c r="C140" s="151">
        <v>117.25</v>
      </c>
      <c r="D140" s="151" t="s">
        <v>68</v>
      </c>
    </row>
    <row r="141" spans="1:4" x14ac:dyDescent="0.35">
      <c r="A141" s="151" t="s">
        <v>1146</v>
      </c>
      <c r="B141" s="151" t="s">
        <v>920</v>
      </c>
      <c r="C141" s="151">
        <v>1</v>
      </c>
      <c r="D141" s="151" t="s">
        <v>67</v>
      </c>
    </row>
    <row r="142" spans="1:4" x14ac:dyDescent="0.35">
      <c r="A142" s="151" t="s">
        <v>1147</v>
      </c>
      <c r="B142" s="151" t="s">
        <v>353</v>
      </c>
      <c r="C142" s="151">
        <v>5</v>
      </c>
      <c r="D142" s="151" t="s">
        <v>35</v>
      </c>
    </row>
    <row r="143" spans="1:4" x14ac:dyDescent="0.35">
      <c r="A143" s="151" t="s">
        <v>1147</v>
      </c>
      <c r="B143" s="151" t="s">
        <v>919</v>
      </c>
      <c r="C143" s="151">
        <v>1</v>
      </c>
      <c r="D143" s="151" t="s">
        <v>67</v>
      </c>
    </row>
    <row r="144" spans="1:4" x14ac:dyDescent="0.35">
      <c r="A144" s="151" t="s">
        <v>1147</v>
      </c>
      <c r="B144" s="151" t="s">
        <v>27</v>
      </c>
      <c r="C144" s="151">
        <v>1</v>
      </c>
      <c r="D144" s="151" t="s">
        <v>67</v>
      </c>
    </row>
    <row r="145" spans="1:4" x14ac:dyDescent="0.35">
      <c r="A145" s="151" t="s">
        <v>1147</v>
      </c>
      <c r="B145" s="151" t="s">
        <v>352</v>
      </c>
      <c r="C145" s="151">
        <v>10.52</v>
      </c>
      <c r="D145" s="151" t="s">
        <v>68</v>
      </c>
    </row>
    <row r="146" spans="1:4" x14ac:dyDescent="0.35">
      <c r="A146" s="151" t="s">
        <v>1147</v>
      </c>
      <c r="B146" s="151" t="s">
        <v>34</v>
      </c>
      <c r="C146" s="151">
        <v>117.25</v>
      </c>
      <c r="D146" s="151" t="s">
        <v>68</v>
      </c>
    </row>
    <row r="147" spans="1:4" x14ac:dyDescent="0.35">
      <c r="A147" s="151" t="s">
        <v>1147</v>
      </c>
      <c r="B147" s="151" t="s">
        <v>920</v>
      </c>
      <c r="C147" s="151">
        <v>1</v>
      </c>
      <c r="D147" s="151" t="s">
        <v>67</v>
      </c>
    </row>
    <row r="148" spans="1:4" x14ac:dyDescent="0.35">
      <c r="A148" s="151" t="s">
        <v>1192</v>
      </c>
      <c r="B148" s="151" t="s">
        <v>919</v>
      </c>
      <c r="C148" s="151">
        <v>1</v>
      </c>
      <c r="D148" s="151" t="s">
        <v>67</v>
      </c>
    </row>
    <row r="149" spans="1:4" x14ac:dyDescent="0.35">
      <c r="A149" s="151" t="s">
        <v>1192</v>
      </c>
      <c r="B149" s="151" t="s">
        <v>27</v>
      </c>
      <c r="C149" s="151">
        <v>1</v>
      </c>
      <c r="D149" s="151" t="s">
        <v>67</v>
      </c>
    </row>
    <row r="150" spans="1:4" x14ac:dyDescent="0.35">
      <c r="A150" s="151" t="s">
        <v>1192</v>
      </c>
      <c r="B150" s="151" t="s">
        <v>34</v>
      </c>
      <c r="C150" s="151">
        <v>117.25</v>
      </c>
      <c r="D150" s="151" t="s">
        <v>68</v>
      </c>
    </row>
    <row r="151" spans="1:4" x14ac:dyDescent="0.35">
      <c r="A151" s="151" t="s">
        <v>1192</v>
      </c>
      <c r="B151" s="151" t="s">
        <v>920</v>
      </c>
      <c r="C151" s="151">
        <v>1</v>
      </c>
      <c r="D151" s="151" t="s">
        <v>67</v>
      </c>
    </row>
    <row r="152" spans="1:4" x14ac:dyDescent="0.35">
      <c r="A152" s="151" t="s">
        <v>1192</v>
      </c>
      <c r="B152" s="151" t="s">
        <v>354</v>
      </c>
      <c r="C152" s="151">
        <v>14.58</v>
      </c>
      <c r="D152" s="151" t="s">
        <v>35</v>
      </c>
    </row>
    <row r="153" spans="1:4" x14ac:dyDescent="0.35">
      <c r="A153" s="151" t="s">
        <v>1192</v>
      </c>
      <c r="B153" s="151" t="s">
        <v>355</v>
      </c>
      <c r="C153" s="151">
        <v>10.199999999999999</v>
      </c>
      <c r="D153" s="151" t="s">
        <v>35</v>
      </c>
    </row>
    <row r="154" spans="1:4" x14ac:dyDescent="0.35">
      <c r="A154" s="151" t="s">
        <v>1333</v>
      </c>
      <c r="B154" s="151" t="s">
        <v>922</v>
      </c>
      <c r="C154" s="151">
        <v>1</v>
      </c>
      <c r="D154" s="151" t="s">
        <v>67</v>
      </c>
    </row>
    <row r="155" spans="1:4" x14ac:dyDescent="0.35">
      <c r="A155" s="151" t="s">
        <v>1334</v>
      </c>
      <c r="B155" s="151" t="s">
        <v>34</v>
      </c>
      <c r="C155" s="151">
        <v>117.2</v>
      </c>
      <c r="D155" s="151" t="s">
        <v>68</v>
      </c>
    </row>
    <row r="156" spans="1:4" x14ac:dyDescent="0.35">
      <c r="A156" s="151" t="s">
        <v>1334</v>
      </c>
      <c r="B156" s="151" t="s">
        <v>1343</v>
      </c>
      <c r="C156" s="151">
        <v>14.58</v>
      </c>
      <c r="D156" s="151" t="s">
        <v>35</v>
      </c>
    </row>
    <row r="157" spans="1:4" x14ac:dyDescent="0.35">
      <c r="A157" s="151" t="s">
        <v>1334</v>
      </c>
      <c r="B157" s="151" t="s">
        <v>1344</v>
      </c>
      <c r="C157" s="151">
        <v>7.14</v>
      </c>
      <c r="D157" s="151" t="s">
        <v>35</v>
      </c>
    </row>
    <row r="158" spans="1:4" x14ac:dyDescent="0.35">
      <c r="A158" s="151" t="s">
        <v>1334</v>
      </c>
      <c r="B158" s="151" t="s">
        <v>919</v>
      </c>
      <c r="C158" s="151">
        <v>1</v>
      </c>
      <c r="D158" s="151" t="s">
        <v>67</v>
      </c>
    </row>
    <row r="159" spans="1:4" x14ac:dyDescent="0.35">
      <c r="A159" s="151" t="s">
        <v>1334</v>
      </c>
      <c r="B159" s="151" t="s">
        <v>27</v>
      </c>
      <c r="C159" s="151">
        <v>1</v>
      </c>
      <c r="D159" s="151" t="s">
        <v>67</v>
      </c>
    </row>
    <row r="160" spans="1:4" x14ac:dyDescent="0.35">
      <c r="A160" s="151" t="s">
        <v>1334</v>
      </c>
      <c r="B160" s="151" t="s">
        <v>920</v>
      </c>
      <c r="C160" s="151">
        <v>1</v>
      </c>
      <c r="D160" s="151" t="s">
        <v>67</v>
      </c>
    </row>
    <row r="161" spans="1:4" x14ac:dyDescent="0.35">
      <c r="A161" s="151" t="s">
        <v>1335</v>
      </c>
      <c r="B161" s="151" t="s">
        <v>34</v>
      </c>
      <c r="C161" s="151">
        <v>117.2</v>
      </c>
      <c r="D161" s="151" t="s">
        <v>68</v>
      </c>
    </row>
    <row r="162" spans="1:4" x14ac:dyDescent="0.35">
      <c r="A162" s="151" t="s">
        <v>1335</v>
      </c>
      <c r="B162" s="151" t="s">
        <v>1345</v>
      </c>
      <c r="C162" s="151">
        <v>14.58</v>
      </c>
      <c r="D162" s="151" t="s">
        <v>35</v>
      </c>
    </row>
    <row r="163" spans="1:4" x14ac:dyDescent="0.35">
      <c r="A163" s="151" t="s">
        <v>1335</v>
      </c>
      <c r="B163" s="151" t="s">
        <v>1346</v>
      </c>
      <c r="C163" s="151">
        <v>11</v>
      </c>
      <c r="D163" s="151" t="s">
        <v>35</v>
      </c>
    </row>
    <row r="164" spans="1:4" x14ac:dyDescent="0.35">
      <c r="A164" s="151" t="s">
        <v>1335</v>
      </c>
      <c r="B164" s="151" t="s">
        <v>919</v>
      </c>
      <c r="C164" s="151">
        <v>1</v>
      </c>
      <c r="D164" s="151" t="s">
        <v>67</v>
      </c>
    </row>
    <row r="165" spans="1:4" x14ac:dyDescent="0.35">
      <c r="A165" s="151" t="s">
        <v>1335</v>
      </c>
      <c r="B165" s="151" t="s">
        <v>27</v>
      </c>
      <c r="C165" s="151">
        <v>1</v>
      </c>
      <c r="D165" s="151" t="s">
        <v>67</v>
      </c>
    </row>
    <row r="166" spans="1:4" x14ac:dyDescent="0.35">
      <c r="A166" s="151" t="s">
        <v>1335</v>
      </c>
      <c r="B166" s="151" t="s">
        <v>920</v>
      </c>
      <c r="C166" s="151">
        <v>1</v>
      </c>
      <c r="D166" s="151" t="s">
        <v>67</v>
      </c>
    </row>
    <row r="167" spans="1:4" x14ac:dyDescent="0.35">
      <c r="A167" s="151" t="s">
        <v>1336</v>
      </c>
      <c r="B167" s="151" t="s">
        <v>34</v>
      </c>
      <c r="C167" s="151">
        <v>117.2</v>
      </c>
      <c r="D167" s="151" t="s">
        <v>68</v>
      </c>
    </row>
    <row r="168" spans="1:4" x14ac:dyDescent="0.35">
      <c r="A168" s="151" t="s">
        <v>1336</v>
      </c>
      <c r="B168" s="151" t="s">
        <v>1347</v>
      </c>
      <c r="C168" s="151">
        <v>14.58</v>
      </c>
      <c r="D168" s="151" t="s">
        <v>35</v>
      </c>
    </row>
    <row r="169" spans="1:4" x14ac:dyDescent="0.35">
      <c r="A169" s="151" t="s">
        <v>1336</v>
      </c>
      <c r="B169" s="151" t="s">
        <v>1348</v>
      </c>
      <c r="C169" s="151">
        <v>5.32</v>
      </c>
      <c r="D169" s="151" t="s">
        <v>35</v>
      </c>
    </row>
    <row r="170" spans="1:4" x14ac:dyDescent="0.35">
      <c r="A170" s="151" t="s">
        <v>1336</v>
      </c>
      <c r="B170" s="151" t="s">
        <v>919</v>
      </c>
      <c r="C170" s="151">
        <v>1</v>
      </c>
      <c r="D170" s="151" t="s">
        <v>67</v>
      </c>
    </row>
    <row r="171" spans="1:4" x14ac:dyDescent="0.35">
      <c r="A171" s="151" t="s">
        <v>1336</v>
      </c>
      <c r="B171" s="151" t="s">
        <v>27</v>
      </c>
      <c r="C171" s="151">
        <v>1</v>
      </c>
      <c r="D171" s="151" t="s">
        <v>67</v>
      </c>
    </row>
    <row r="172" spans="1:4" x14ac:dyDescent="0.35">
      <c r="A172" s="151" t="s">
        <v>1336</v>
      </c>
      <c r="B172" s="151" t="s">
        <v>920</v>
      </c>
      <c r="C172" s="151">
        <v>1</v>
      </c>
      <c r="D172" s="151" t="s">
        <v>67</v>
      </c>
    </row>
    <row r="173" spans="1:4" x14ac:dyDescent="0.35">
      <c r="A173" s="151" t="s">
        <v>1337</v>
      </c>
      <c r="B173" s="151" t="s">
        <v>1194</v>
      </c>
      <c r="C173" s="151">
        <v>5.7</v>
      </c>
      <c r="D173" s="151" t="s">
        <v>35</v>
      </c>
    </row>
    <row r="174" spans="1:4" x14ac:dyDescent="0.35">
      <c r="A174" s="151" t="s">
        <v>1337</v>
      </c>
      <c r="B174" s="151" t="s">
        <v>1195</v>
      </c>
      <c r="C174" s="151">
        <v>0.6</v>
      </c>
      <c r="D174" s="151" t="s">
        <v>35</v>
      </c>
    </row>
    <row r="175" spans="1:4" x14ac:dyDescent="0.35">
      <c r="A175" s="151" t="s">
        <v>1337</v>
      </c>
      <c r="B175" s="151" t="s">
        <v>497</v>
      </c>
      <c r="C175" s="151">
        <v>1.25</v>
      </c>
      <c r="D175" s="151" t="s">
        <v>35</v>
      </c>
    </row>
    <row r="176" spans="1:4" x14ac:dyDescent="0.35">
      <c r="A176" s="151" t="s">
        <v>1337</v>
      </c>
      <c r="B176" s="151" t="s">
        <v>2</v>
      </c>
      <c r="C176" s="151">
        <v>3.3</v>
      </c>
      <c r="D176" s="151" t="s">
        <v>35</v>
      </c>
    </row>
    <row r="177" spans="1:4" x14ac:dyDescent="0.35">
      <c r="A177" s="151" t="s">
        <v>1337</v>
      </c>
      <c r="B177" s="151" t="s">
        <v>500</v>
      </c>
      <c r="C177" s="151">
        <v>9</v>
      </c>
      <c r="D177" s="151" t="s">
        <v>35</v>
      </c>
    </row>
    <row r="178" spans="1:4" x14ac:dyDescent="0.35">
      <c r="A178" s="151" t="s">
        <v>1337</v>
      </c>
      <c r="B178" s="151" t="s">
        <v>985</v>
      </c>
      <c r="C178" s="151">
        <v>9</v>
      </c>
      <c r="D178" s="151" t="s">
        <v>35</v>
      </c>
    </row>
    <row r="179" spans="1:4" x14ac:dyDescent="0.35">
      <c r="A179" s="151" t="s">
        <v>1337</v>
      </c>
      <c r="B179" s="151" t="s">
        <v>496</v>
      </c>
      <c r="C179" s="151">
        <v>2.25</v>
      </c>
      <c r="D179" s="151" t="s">
        <v>35</v>
      </c>
    </row>
    <row r="180" spans="1:4" x14ac:dyDescent="0.35">
      <c r="A180" s="151" t="s">
        <v>1337</v>
      </c>
      <c r="B180" s="151" t="s">
        <v>509</v>
      </c>
      <c r="C180" s="151">
        <v>4.83</v>
      </c>
      <c r="D180" s="151" t="s">
        <v>35</v>
      </c>
    </row>
    <row r="181" spans="1:4" x14ac:dyDescent="0.35">
      <c r="A181" s="151" t="s">
        <v>1337</v>
      </c>
      <c r="B181" s="151" t="s">
        <v>1318</v>
      </c>
      <c r="C181" s="151">
        <v>1</v>
      </c>
      <c r="D181" s="151" t="s">
        <v>67</v>
      </c>
    </row>
    <row r="182" spans="1:4" x14ac:dyDescent="0.35">
      <c r="A182" s="151" t="s">
        <v>1337</v>
      </c>
      <c r="B182" s="151" t="s">
        <v>1316</v>
      </c>
      <c r="C182" s="151">
        <v>17</v>
      </c>
      <c r="D182" s="151" t="s">
        <v>35</v>
      </c>
    </row>
    <row r="183" spans="1:4" x14ac:dyDescent="0.35">
      <c r="A183" s="151" t="s">
        <v>1337</v>
      </c>
      <c r="B183" s="151" t="s">
        <v>1339</v>
      </c>
      <c r="C183" s="151">
        <v>25</v>
      </c>
      <c r="D183" s="151" t="s">
        <v>35</v>
      </c>
    </row>
    <row r="184" spans="1:4" x14ac:dyDescent="0.35">
      <c r="A184" s="151" t="s">
        <v>1337</v>
      </c>
      <c r="B184" s="151" t="s">
        <v>507</v>
      </c>
      <c r="C184" s="151">
        <v>2</v>
      </c>
      <c r="D184" s="151" t="s">
        <v>67</v>
      </c>
    </row>
    <row r="185" spans="1:4" x14ac:dyDescent="0.35">
      <c r="A185" s="151" t="s">
        <v>1337</v>
      </c>
      <c r="B185" s="151" t="s">
        <v>484</v>
      </c>
      <c r="C185" s="151">
        <v>2</v>
      </c>
      <c r="D185" s="151" t="s">
        <v>67</v>
      </c>
    </row>
    <row r="186" spans="1:4" x14ac:dyDescent="0.35">
      <c r="A186" s="151" t="s">
        <v>1337</v>
      </c>
      <c r="B186" s="151" t="s">
        <v>501</v>
      </c>
      <c r="C186" s="151">
        <v>10</v>
      </c>
      <c r="D186" s="151" t="s">
        <v>35</v>
      </c>
    </row>
    <row r="187" spans="1:4" x14ac:dyDescent="0.35">
      <c r="A187" s="151" t="s">
        <v>1338</v>
      </c>
      <c r="B187" s="151" t="s">
        <v>1194</v>
      </c>
      <c r="C187" s="151">
        <v>5.7</v>
      </c>
      <c r="D187" s="151" t="s">
        <v>35</v>
      </c>
    </row>
    <row r="188" spans="1:4" x14ac:dyDescent="0.35">
      <c r="A188" s="151" t="s">
        <v>1338</v>
      </c>
      <c r="B188" s="151" t="s">
        <v>1195</v>
      </c>
      <c r="C188" s="151">
        <v>0.6</v>
      </c>
      <c r="D188" s="151" t="s">
        <v>35</v>
      </c>
    </row>
    <row r="189" spans="1:4" x14ac:dyDescent="0.35">
      <c r="A189" s="151" t="s">
        <v>1338</v>
      </c>
      <c r="B189" s="151" t="s">
        <v>497</v>
      </c>
      <c r="C189" s="151">
        <v>1.25</v>
      </c>
      <c r="D189" s="151" t="s">
        <v>35</v>
      </c>
    </row>
    <row r="190" spans="1:4" x14ac:dyDescent="0.35">
      <c r="A190" s="151" t="s">
        <v>1338</v>
      </c>
      <c r="B190" s="151" t="s">
        <v>2</v>
      </c>
      <c r="C190" s="151">
        <v>3.3</v>
      </c>
      <c r="D190" s="151" t="s">
        <v>35</v>
      </c>
    </row>
    <row r="191" spans="1:4" x14ac:dyDescent="0.35">
      <c r="A191" s="151" t="s">
        <v>1338</v>
      </c>
      <c r="B191" s="151" t="s">
        <v>509</v>
      </c>
      <c r="C191" s="151">
        <v>4.83</v>
      </c>
      <c r="D191" s="151" t="s">
        <v>35</v>
      </c>
    </row>
    <row r="192" spans="1:4" x14ac:dyDescent="0.35">
      <c r="A192" s="151" t="s">
        <v>1338</v>
      </c>
      <c r="B192" s="151" t="s">
        <v>500</v>
      </c>
      <c r="C192" s="151">
        <v>9</v>
      </c>
      <c r="D192" s="151" t="s">
        <v>35</v>
      </c>
    </row>
    <row r="193" spans="1:4" x14ac:dyDescent="0.35">
      <c r="A193" s="151" t="s">
        <v>1338</v>
      </c>
      <c r="B193" s="151" t="s">
        <v>507</v>
      </c>
      <c r="C193" s="151">
        <v>2</v>
      </c>
      <c r="D193" s="151" t="s">
        <v>67</v>
      </c>
    </row>
    <row r="194" spans="1:4" x14ac:dyDescent="0.35">
      <c r="A194" s="151" t="s">
        <v>1338</v>
      </c>
      <c r="B194" s="151" t="s">
        <v>496</v>
      </c>
      <c r="C194" s="151">
        <v>2.25</v>
      </c>
      <c r="D194" s="151" t="s">
        <v>35</v>
      </c>
    </row>
    <row r="195" spans="1:4" x14ac:dyDescent="0.35">
      <c r="A195" s="151" t="s">
        <v>1338</v>
      </c>
      <c r="B195" s="151" t="s">
        <v>1318</v>
      </c>
      <c r="C195" s="151">
        <v>1</v>
      </c>
      <c r="D195" s="151" t="s">
        <v>67</v>
      </c>
    </row>
    <row r="196" spans="1:4" x14ac:dyDescent="0.35">
      <c r="A196" s="151" t="s">
        <v>1338</v>
      </c>
      <c r="B196" s="151" t="s">
        <v>484</v>
      </c>
      <c r="C196" s="151">
        <v>2</v>
      </c>
      <c r="D196" s="151" t="s">
        <v>67</v>
      </c>
    </row>
    <row r="197" spans="1:4" x14ac:dyDescent="0.35">
      <c r="A197" s="151" t="s">
        <v>1338</v>
      </c>
      <c r="B197" s="151" t="s">
        <v>501</v>
      </c>
      <c r="C197" s="151">
        <v>10</v>
      </c>
      <c r="D197" s="151" t="s">
        <v>35</v>
      </c>
    </row>
    <row r="198" spans="1:4" x14ac:dyDescent="0.35">
      <c r="A198" s="151" t="s">
        <v>1338</v>
      </c>
      <c r="B198" s="151" t="s">
        <v>1316</v>
      </c>
      <c r="C198" s="151">
        <v>17</v>
      </c>
      <c r="D198" s="151" t="s">
        <v>35</v>
      </c>
    </row>
    <row r="199" spans="1:4" x14ac:dyDescent="0.35">
      <c r="A199" s="151" t="s">
        <v>1338</v>
      </c>
      <c r="B199" s="151" t="s">
        <v>1339</v>
      </c>
      <c r="C199" s="151">
        <v>25</v>
      </c>
      <c r="D199" s="151" t="s">
        <v>35</v>
      </c>
    </row>
    <row r="200" spans="1:4" x14ac:dyDescent="0.35">
      <c r="A200" s="151" t="s">
        <v>1338</v>
      </c>
      <c r="B200" s="151" t="s">
        <v>503</v>
      </c>
      <c r="C200" s="151">
        <v>2</v>
      </c>
      <c r="D200" s="151" t="s">
        <v>150</v>
      </c>
    </row>
    <row r="201" spans="1:4" x14ac:dyDescent="0.35">
      <c r="A201" s="151" t="s">
        <v>1338</v>
      </c>
      <c r="B201" s="151" t="s">
        <v>1340</v>
      </c>
      <c r="C201" s="151">
        <v>1</v>
      </c>
      <c r="D201" s="151" t="s">
        <v>150</v>
      </c>
    </row>
    <row r="202" spans="1:4" x14ac:dyDescent="0.35">
      <c r="A202" s="151" t="s">
        <v>1338</v>
      </c>
      <c r="B202" s="151" t="s">
        <v>499</v>
      </c>
      <c r="C202" s="151">
        <v>1</v>
      </c>
      <c r="D202" s="151" t="s">
        <v>67</v>
      </c>
    </row>
    <row r="203" spans="1:4" x14ac:dyDescent="0.35">
      <c r="A203" s="151" t="s">
        <v>1338</v>
      </c>
      <c r="B203" s="151" t="s">
        <v>504</v>
      </c>
      <c r="C203" s="151">
        <v>1</v>
      </c>
      <c r="D203" s="151" t="s">
        <v>67</v>
      </c>
    </row>
    <row r="204" spans="1:4" x14ac:dyDescent="0.35">
      <c r="A204" s="151" t="s">
        <v>1338</v>
      </c>
      <c r="B204" s="151" t="s">
        <v>1341</v>
      </c>
      <c r="C204" s="151">
        <v>1</v>
      </c>
      <c r="D204" s="151" t="s">
        <v>67</v>
      </c>
    </row>
    <row r="205" spans="1:4" x14ac:dyDescent="0.35">
      <c r="A205" s="151" t="s">
        <v>1338</v>
      </c>
      <c r="B205" s="151" t="s">
        <v>1342</v>
      </c>
      <c r="C205" s="151">
        <v>1</v>
      </c>
      <c r="D205" s="151" t="s">
        <v>67</v>
      </c>
    </row>
    <row r="206" spans="1:4" x14ac:dyDescent="0.35">
      <c r="A206" s="151" t="s">
        <v>836</v>
      </c>
      <c r="B206" s="151" t="s">
        <v>837</v>
      </c>
      <c r="C206" s="151">
        <v>1</v>
      </c>
      <c r="D206" s="151" t="s">
        <v>69</v>
      </c>
    </row>
    <row r="207" spans="1:4" x14ac:dyDescent="0.35">
      <c r="A207" s="151" t="s">
        <v>539</v>
      </c>
      <c r="B207" s="151" t="s">
        <v>540</v>
      </c>
      <c r="C207" s="151">
        <v>3</v>
      </c>
      <c r="D207" s="151" t="s">
        <v>67</v>
      </c>
    </row>
    <row r="208" spans="1:4" x14ac:dyDescent="0.35">
      <c r="A208" s="151" t="s">
        <v>539</v>
      </c>
      <c r="B208" s="151" t="s">
        <v>541</v>
      </c>
      <c r="C208" s="151">
        <v>1</v>
      </c>
      <c r="D208" s="151" t="s">
        <v>67</v>
      </c>
    </row>
    <row r="209" spans="1:4" x14ac:dyDescent="0.35">
      <c r="A209" s="151" t="s">
        <v>539</v>
      </c>
      <c r="B209" s="151" t="s">
        <v>542</v>
      </c>
      <c r="C209" s="151">
        <v>10</v>
      </c>
      <c r="D209" s="151" t="s">
        <v>35</v>
      </c>
    </row>
    <row r="210" spans="1:4" x14ac:dyDescent="0.35">
      <c r="A210" s="151" t="s">
        <v>543</v>
      </c>
      <c r="B210" s="151" t="s">
        <v>540</v>
      </c>
      <c r="C210" s="151">
        <v>3</v>
      </c>
      <c r="D210" s="151" t="s">
        <v>67</v>
      </c>
    </row>
    <row r="211" spans="1:4" x14ac:dyDescent="0.35">
      <c r="A211" s="151" t="s">
        <v>543</v>
      </c>
      <c r="B211" s="151" t="s">
        <v>488</v>
      </c>
      <c r="C211" s="151">
        <v>1</v>
      </c>
      <c r="D211" s="151" t="s">
        <v>67</v>
      </c>
    </row>
    <row r="212" spans="1:4" x14ac:dyDescent="0.35">
      <c r="A212" s="151" t="s">
        <v>543</v>
      </c>
      <c r="B212" s="151" t="s">
        <v>541</v>
      </c>
      <c r="C212" s="151">
        <v>1</v>
      </c>
      <c r="D212" s="151" t="s">
        <v>67</v>
      </c>
    </row>
    <row r="213" spans="1:4" x14ac:dyDescent="0.35">
      <c r="A213" s="151" t="s">
        <v>543</v>
      </c>
      <c r="B213" s="151" t="s">
        <v>542</v>
      </c>
      <c r="C213" s="151">
        <v>10</v>
      </c>
      <c r="D213" s="151" t="s">
        <v>35</v>
      </c>
    </row>
    <row r="214" spans="1:4" x14ac:dyDescent="0.35">
      <c r="A214" s="151" t="s">
        <v>510</v>
      </c>
      <c r="B214" s="151" t="s">
        <v>511</v>
      </c>
      <c r="C214" s="151">
        <v>70</v>
      </c>
      <c r="D214" s="151" t="s">
        <v>35</v>
      </c>
    </row>
    <row r="215" spans="1:4" x14ac:dyDescent="0.35">
      <c r="A215" s="151" t="s">
        <v>510</v>
      </c>
      <c r="B215" s="151" t="s">
        <v>512</v>
      </c>
      <c r="C215" s="151">
        <v>1</v>
      </c>
      <c r="D215" s="151" t="s">
        <v>150</v>
      </c>
    </row>
    <row r="216" spans="1:4" x14ac:dyDescent="0.35">
      <c r="A216" s="151" t="s">
        <v>488</v>
      </c>
      <c r="B216" s="151" t="s">
        <v>488</v>
      </c>
      <c r="C216" s="151">
        <v>1</v>
      </c>
      <c r="D216" s="151" t="s">
        <v>67</v>
      </c>
    </row>
    <row r="217" spans="1:4" x14ac:dyDescent="0.35">
      <c r="A217" s="151" t="s">
        <v>986</v>
      </c>
      <c r="B217" s="151" t="s">
        <v>986</v>
      </c>
      <c r="C217" s="151">
        <v>1</v>
      </c>
      <c r="D217" s="151" t="s">
        <v>67</v>
      </c>
    </row>
    <row r="218" spans="1:4" x14ac:dyDescent="0.35">
      <c r="A218" s="151" t="s">
        <v>485</v>
      </c>
      <c r="B218" s="151" t="s">
        <v>485</v>
      </c>
      <c r="C218" s="151">
        <v>1</v>
      </c>
      <c r="D218" s="151" t="s">
        <v>67</v>
      </c>
    </row>
    <row r="219" spans="1:4" x14ac:dyDescent="0.35">
      <c r="A219" s="151" t="s">
        <v>1466</v>
      </c>
      <c r="B219" s="151" t="s">
        <v>1316</v>
      </c>
      <c r="C219" s="151">
        <v>17</v>
      </c>
      <c r="D219" s="151" t="s">
        <v>35</v>
      </c>
    </row>
    <row r="220" spans="1:4" x14ac:dyDescent="0.35">
      <c r="A220" s="151" t="s">
        <v>1466</v>
      </c>
      <c r="B220" s="151" t="s">
        <v>1339</v>
      </c>
      <c r="C220" s="151">
        <v>25</v>
      </c>
      <c r="D220" s="151" t="s">
        <v>35</v>
      </c>
    </row>
  </sheetData>
  <sheetProtection algorithmName="SHA-512" hashValue="1mAMBK4a55/fooyEkXcV3H7pnTKihTIYr58EVDOCosxfvmGwryDleWMT6+RFOg8JwEZmmgDtQBMhd6N28CK4AQ==" saltValue="wvKCICmr91ejQi67Iraj0g==" spinCount="100000" sheet="1" objects="1" scenarios="1"/>
  <phoneticPr fontId="2" type="noConversion"/>
  <conditionalFormatting sqref="A216:A218">
    <cfRule type="cellIs" dxfId="519" priority="5" operator="equal">
      <formula>0</formula>
    </cfRule>
    <cfRule type="containsText" dxfId="518" priority="6" operator="containsText" text="DINE IN/TAKE AWAY|">
      <formula>NOT(ISERROR(SEARCH("DINE IN/TAKE AWAY|",A216)))</formula>
    </cfRule>
    <cfRule type="containsText" dxfId="517" priority="7" operator="containsText" text="TAKE AWAY|">
      <formula>NOT(ISERROR(SEARCH("TAKE AWAY|",A216)))</formula>
    </cfRule>
    <cfRule type="containsText" dxfId="516" priority="8" operator="containsText" text="DINE IN|">
      <formula>NOT(ISERROR(SEARCH("DINE IN|",A216)))</formula>
    </cfRule>
  </conditionalFormatting>
  <conditionalFormatting sqref="B216:B218">
    <cfRule type="cellIs" dxfId="515" priority="1" operator="equal">
      <formula>0</formula>
    </cfRule>
    <cfRule type="containsText" dxfId="514" priority="2" operator="containsText" text="DINE IN/TAKE AWAY|">
      <formula>NOT(ISERROR(SEARCH("DINE IN/TAKE AWAY|",B216)))</formula>
    </cfRule>
    <cfRule type="containsText" dxfId="513" priority="3" operator="containsText" text="TAKE AWAY|">
      <formula>NOT(ISERROR(SEARCH("TAKE AWAY|",B216)))</formula>
    </cfRule>
    <cfRule type="containsText" dxfId="512" priority="4" operator="containsText" text="DINE IN|">
      <formula>NOT(ISERROR(SEARCH("DINE IN|",B216)))</formula>
    </cfRule>
  </conditionalFormatting>
  <conditionalFormatting sqref="G93:H96">
    <cfRule type="expression" dxfId="511" priority="41">
      <formula>$B93&lt;&gt;""</formula>
    </cfRule>
  </conditionalFormatting>
  <pageMargins left="0.7" right="0.7" top="0.75" bottom="0.75" header="0.3" footer="0.3"/>
  <pageSetup paperSize="9"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D9A63-1687-4270-AF0D-D2A820E89DC0}">
  <sheetPr codeName="Sheet31"/>
  <dimension ref="A1:F85"/>
  <sheetViews>
    <sheetView topLeftCell="A73" workbookViewId="0">
      <selection activeCell="C82" sqref="C82"/>
    </sheetView>
  </sheetViews>
  <sheetFormatPr defaultRowHeight="14.5" x14ac:dyDescent="0.35"/>
  <cols>
    <col min="1" max="1" width="8.54296875" bestFit="1" customWidth="1"/>
    <col min="2" max="2" width="30.26953125" bestFit="1" customWidth="1"/>
    <col min="3" max="3" width="42.54296875" bestFit="1" customWidth="1"/>
    <col min="4" max="4" width="9.7265625" bestFit="1" customWidth="1"/>
    <col min="5" max="5" width="11.7265625" bestFit="1" customWidth="1"/>
    <col min="6" max="6" width="33.54296875" bestFit="1" customWidth="1"/>
  </cols>
  <sheetData>
    <row r="1" spans="1:6" x14ac:dyDescent="0.35">
      <c r="A1" t="s">
        <v>460</v>
      </c>
      <c r="B1" t="s">
        <v>172</v>
      </c>
      <c r="C1" t="s">
        <v>177</v>
      </c>
      <c r="D1" t="s">
        <v>1</v>
      </c>
      <c r="E1" t="s">
        <v>458</v>
      </c>
      <c r="F1" t="s">
        <v>237</v>
      </c>
    </row>
    <row r="2" spans="1:6" x14ac:dyDescent="0.35">
      <c r="B2" t="s">
        <v>1316</v>
      </c>
      <c r="D2" t="s">
        <v>35</v>
      </c>
      <c r="E2">
        <v>1</v>
      </c>
    </row>
    <row r="3" spans="1:6" x14ac:dyDescent="0.35">
      <c r="A3" t="s">
        <v>913</v>
      </c>
      <c r="B3" t="s">
        <v>1316</v>
      </c>
      <c r="D3" t="s">
        <v>35</v>
      </c>
      <c r="E3">
        <v>17</v>
      </c>
      <c r="F3" t="s">
        <v>1416</v>
      </c>
    </row>
    <row r="4" spans="1:6" x14ac:dyDescent="0.35">
      <c r="B4" t="s">
        <v>837</v>
      </c>
      <c r="D4" t="s">
        <v>69</v>
      </c>
      <c r="E4">
        <v>1</v>
      </c>
    </row>
    <row r="5" spans="1:6" x14ac:dyDescent="0.35">
      <c r="B5" t="s">
        <v>914</v>
      </c>
      <c r="D5" t="s">
        <v>35</v>
      </c>
      <c r="E5">
        <v>1</v>
      </c>
    </row>
    <row r="6" spans="1:6" x14ac:dyDescent="0.35">
      <c r="B6" t="s">
        <v>484</v>
      </c>
      <c r="D6" t="s">
        <v>67</v>
      </c>
      <c r="E6">
        <v>1</v>
      </c>
    </row>
    <row r="7" spans="1:6" x14ac:dyDescent="0.35">
      <c r="B7" t="s">
        <v>507</v>
      </c>
      <c r="D7" t="s">
        <v>67</v>
      </c>
      <c r="E7">
        <v>1</v>
      </c>
    </row>
    <row r="8" spans="1:6" x14ac:dyDescent="0.35">
      <c r="B8" t="s">
        <v>915</v>
      </c>
      <c r="D8" t="s">
        <v>35</v>
      </c>
      <c r="E8">
        <v>1</v>
      </c>
    </row>
    <row r="9" spans="1:6" x14ac:dyDescent="0.35">
      <c r="B9" t="s">
        <v>540</v>
      </c>
      <c r="D9" t="s">
        <v>67</v>
      </c>
      <c r="E9">
        <v>1</v>
      </c>
    </row>
    <row r="10" spans="1:6" x14ac:dyDescent="0.35">
      <c r="B10" t="s">
        <v>496</v>
      </c>
      <c r="D10" t="s">
        <v>35</v>
      </c>
      <c r="E10">
        <v>1</v>
      </c>
    </row>
    <row r="11" spans="1:6" x14ac:dyDescent="0.35">
      <c r="A11" t="s">
        <v>913</v>
      </c>
      <c r="B11" t="s">
        <v>496</v>
      </c>
      <c r="D11" t="s">
        <v>35</v>
      </c>
      <c r="E11">
        <f>200/380664</f>
        <v>5.2539772607864159E-4</v>
      </c>
      <c r="F11" t="s">
        <v>498</v>
      </c>
    </row>
    <row r="12" spans="1:6" x14ac:dyDescent="0.35">
      <c r="A12" t="s">
        <v>913</v>
      </c>
      <c r="B12" t="s">
        <v>496</v>
      </c>
      <c r="D12" t="s">
        <v>35</v>
      </c>
      <c r="E12">
        <f>200/37402*0.5</f>
        <v>2.6736538153039942E-3</v>
      </c>
      <c r="F12" t="s">
        <v>927</v>
      </c>
    </row>
    <row r="13" spans="1:6" x14ac:dyDescent="0.35">
      <c r="B13" t="s">
        <v>1195</v>
      </c>
      <c r="D13" t="s">
        <v>35</v>
      </c>
      <c r="E13">
        <v>1</v>
      </c>
    </row>
    <row r="14" spans="1:6" x14ac:dyDescent="0.35">
      <c r="A14" t="s">
        <v>913</v>
      </c>
      <c r="B14" t="s">
        <v>1195</v>
      </c>
      <c r="D14" t="s">
        <v>35</v>
      </c>
      <c r="E14">
        <f>100/380664</f>
        <v>2.6269886303932079E-4</v>
      </c>
      <c r="F14" t="s">
        <v>498</v>
      </c>
    </row>
    <row r="15" spans="1:6" x14ac:dyDescent="0.35">
      <c r="A15" t="s">
        <v>913</v>
      </c>
      <c r="B15" t="s">
        <v>1195</v>
      </c>
      <c r="D15" t="s">
        <v>35</v>
      </c>
      <c r="E15">
        <f>100/37402*0.5</f>
        <v>1.3368269076519971E-3</v>
      </c>
      <c r="F15" t="s">
        <v>927</v>
      </c>
    </row>
    <row r="16" spans="1:6" x14ac:dyDescent="0.35">
      <c r="B16" t="s">
        <v>511</v>
      </c>
      <c r="C16" t="s">
        <v>634</v>
      </c>
      <c r="D16" t="s">
        <v>35</v>
      </c>
      <c r="E16">
        <f>70/150</f>
        <v>0.46666666666666667</v>
      </c>
    </row>
    <row r="17" spans="1:6" x14ac:dyDescent="0.35">
      <c r="B17" t="s">
        <v>511</v>
      </c>
      <c r="C17" t="s">
        <v>749</v>
      </c>
      <c r="D17" t="s">
        <v>35</v>
      </c>
      <c r="E17">
        <f>70/150</f>
        <v>0.46666666666666667</v>
      </c>
    </row>
    <row r="18" spans="1:6" x14ac:dyDescent="0.35">
      <c r="B18" t="s">
        <v>509</v>
      </c>
      <c r="D18" t="s">
        <v>35</v>
      </c>
      <c r="E18">
        <v>1</v>
      </c>
    </row>
    <row r="19" spans="1:6" x14ac:dyDescent="0.35">
      <c r="A19" t="s">
        <v>913</v>
      </c>
      <c r="B19" t="s">
        <v>509</v>
      </c>
      <c r="D19" t="s">
        <v>35</v>
      </c>
      <c r="E19">
        <f>810.4/380664</f>
        <v>2.1289115860706554E-3</v>
      </c>
      <c r="F19" t="s">
        <v>498</v>
      </c>
    </row>
    <row r="20" spans="1:6" x14ac:dyDescent="0.35">
      <c r="A20" t="s">
        <v>913</v>
      </c>
      <c r="B20" t="s">
        <v>509</v>
      </c>
      <c r="D20" t="s">
        <v>35</v>
      </c>
      <c r="E20">
        <f>810.4/37402*0.5</f>
        <v>1.0833645259611785E-2</v>
      </c>
      <c r="F20" t="s">
        <v>927</v>
      </c>
    </row>
    <row r="21" spans="1:6" x14ac:dyDescent="0.35">
      <c r="B21" t="s">
        <v>1345</v>
      </c>
      <c r="D21" t="s">
        <v>35</v>
      </c>
      <c r="E21">
        <v>1</v>
      </c>
    </row>
    <row r="22" spans="1:6" x14ac:dyDescent="0.35">
      <c r="B22" t="s">
        <v>1344</v>
      </c>
      <c r="D22" t="s">
        <v>35</v>
      </c>
      <c r="E22">
        <v>1</v>
      </c>
    </row>
    <row r="23" spans="1:6" x14ac:dyDescent="0.35">
      <c r="B23" t="s">
        <v>1343</v>
      </c>
      <c r="D23" t="s">
        <v>35</v>
      </c>
      <c r="E23">
        <v>1</v>
      </c>
    </row>
    <row r="24" spans="1:6" x14ac:dyDescent="0.35">
      <c r="B24" t="s">
        <v>1196</v>
      </c>
      <c r="D24" t="s">
        <v>35</v>
      </c>
      <c r="E24">
        <v>1</v>
      </c>
    </row>
    <row r="25" spans="1:6" x14ac:dyDescent="0.35">
      <c r="B25" t="s">
        <v>1196</v>
      </c>
      <c r="C25" t="s">
        <v>886</v>
      </c>
      <c r="D25" t="s">
        <v>35</v>
      </c>
      <c r="E25">
        <v>1</v>
      </c>
    </row>
    <row r="26" spans="1:6" x14ac:dyDescent="0.35">
      <c r="B26" t="s">
        <v>1196</v>
      </c>
      <c r="C26" t="s">
        <v>887</v>
      </c>
      <c r="D26" t="s">
        <v>35</v>
      </c>
      <c r="E26">
        <v>1</v>
      </c>
    </row>
    <row r="27" spans="1:6" x14ac:dyDescent="0.35">
      <c r="B27" t="s">
        <v>1196</v>
      </c>
      <c r="C27" t="s">
        <v>888</v>
      </c>
      <c r="D27" t="s">
        <v>35</v>
      </c>
      <c r="E27">
        <v>1</v>
      </c>
    </row>
    <row r="28" spans="1:6" x14ac:dyDescent="0.35">
      <c r="B28" t="s">
        <v>1194</v>
      </c>
      <c r="D28" t="s">
        <v>35</v>
      </c>
      <c r="E28">
        <v>1</v>
      </c>
    </row>
    <row r="29" spans="1:6" x14ac:dyDescent="0.35">
      <c r="A29" t="s">
        <v>913</v>
      </c>
      <c r="B29" t="s">
        <v>1194</v>
      </c>
      <c r="D29" t="s">
        <v>35</v>
      </c>
      <c r="E29">
        <f>956/380664</f>
        <v>2.5114011306559066E-3</v>
      </c>
      <c r="F29" t="s">
        <v>498</v>
      </c>
    </row>
    <row r="30" spans="1:6" x14ac:dyDescent="0.35">
      <c r="A30" t="s">
        <v>913</v>
      </c>
      <c r="B30" t="s">
        <v>1194</v>
      </c>
      <c r="D30" t="s">
        <v>35</v>
      </c>
      <c r="E30">
        <f>1292/37402*0.5</f>
        <v>1.7271803646863804E-2</v>
      </c>
      <c r="F30" t="s">
        <v>927</v>
      </c>
    </row>
    <row r="31" spans="1:6" x14ac:dyDescent="0.35">
      <c r="B31" t="s">
        <v>2</v>
      </c>
      <c r="D31" t="s">
        <v>35</v>
      </c>
      <c r="E31">
        <v>1</v>
      </c>
    </row>
    <row r="32" spans="1:6" x14ac:dyDescent="0.35">
      <c r="B32" t="s">
        <v>2</v>
      </c>
      <c r="C32" t="s">
        <v>927</v>
      </c>
      <c r="D32" t="s">
        <v>35</v>
      </c>
      <c r="E32">
        <v>1</v>
      </c>
    </row>
    <row r="33" spans="1:6" x14ac:dyDescent="0.35">
      <c r="A33" t="s">
        <v>913</v>
      </c>
      <c r="B33" t="s">
        <v>2</v>
      </c>
      <c r="D33" t="s">
        <v>35</v>
      </c>
      <c r="E33" s="118">
        <f>2/100</f>
        <v>0.02</v>
      </c>
      <c r="F33" t="s">
        <v>886</v>
      </c>
    </row>
    <row r="34" spans="1:6" x14ac:dyDescent="0.35">
      <c r="A34" t="s">
        <v>913</v>
      </c>
      <c r="B34" t="s">
        <v>2</v>
      </c>
      <c r="D34" t="s">
        <v>35</v>
      </c>
      <c r="E34" s="118">
        <f>8/100</f>
        <v>0.08</v>
      </c>
      <c r="F34" t="s">
        <v>887</v>
      </c>
    </row>
    <row r="35" spans="1:6" x14ac:dyDescent="0.35">
      <c r="A35" t="s">
        <v>913</v>
      </c>
      <c r="B35" t="s">
        <v>2</v>
      </c>
      <c r="D35" t="s">
        <v>35</v>
      </c>
      <c r="E35" s="118">
        <f>20/100</f>
        <v>0.2</v>
      </c>
      <c r="F35" t="s">
        <v>888</v>
      </c>
    </row>
    <row r="36" spans="1:6" x14ac:dyDescent="0.35">
      <c r="B36" t="s">
        <v>353</v>
      </c>
      <c r="D36" t="s">
        <v>35</v>
      </c>
      <c r="E36">
        <v>1</v>
      </c>
    </row>
    <row r="37" spans="1:6" x14ac:dyDescent="0.35">
      <c r="B37" t="s">
        <v>352</v>
      </c>
      <c r="D37" t="s">
        <v>68</v>
      </c>
      <c r="E37">
        <v>1</v>
      </c>
    </row>
    <row r="38" spans="1:6" x14ac:dyDescent="0.35">
      <c r="B38" t="s">
        <v>1346</v>
      </c>
      <c r="D38" t="s">
        <v>35</v>
      </c>
      <c r="E38">
        <v>1</v>
      </c>
    </row>
    <row r="39" spans="1:6" x14ac:dyDescent="0.35">
      <c r="B39" t="s">
        <v>922</v>
      </c>
      <c r="D39" t="s">
        <v>67</v>
      </c>
      <c r="E39">
        <v>1</v>
      </c>
    </row>
    <row r="40" spans="1:6" x14ac:dyDescent="0.35">
      <c r="B40" t="s">
        <v>923</v>
      </c>
      <c r="D40" t="s">
        <v>67</v>
      </c>
      <c r="E40">
        <v>1</v>
      </c>
    </row>
    <row r="41" spans="1:6" x14ac:dyDescent="0.35">
      <c r="B41" t="s">
        <v>919</v>
      </c>
      <c r="D41" t="s">
        <v>67</v>
      </c>
      <c r="E41">
        <v>1</v>
      </c>
    </row>
    <row r="42" spans="1:6" x14ac:dyDescent="0.35">
      <c r="B42" t="s">
        <v>497</v>
      </c>
      <c r="D42" t="s">
        <v>35</v>
      </c>
      <c r="E42">
        <v>1</v>
      </c>
    </row>
    <row r="43" spans="1:6" x14ac:dyDescent="0.35">
      <c r="B43" t="s">
        <v>1306</v>
      </c>
      <c r="D43" t="s">
        <v>35</v>
      </c>
      <c r="E43">
        <v>1</v>
      </c>
    </row>
    <row r="44" spans="1:6" x14ac:dyDescent="0.35">
      <c r="B44" t="s">
        <v>1416</v>
      </c>
      <c r="C44" t="s">
        <v>1416</v>
      </c>
      <c r="D44" t="s">
        <v>67</v>
      </c>
      <c r="E44">
        <v>1</v>
      </c>
    </row>
    <row r="45" spans="1:6" x14ac:dyDescent="0.35">
      <c r="B45" t="s">
        <v>349</v>
      </c>
      <c r="D45" t="s">
        <v>35</v>
      </c>
      <c r="E45">
        <v>1</v>
      </c>
    </row>
    <row r="46" spans="1:6" x14ac:dyDescent="0.35">
      <c r="B46" t="s">
        <v>985</v>
      </c>
      <c r="D46" t="s">
        <v>35</v>
      </c>
      <c r="E46">
        <v>1</v>
      </c>
    </row>
    <row r="47" spans="1:6" x14ac:dyDescent="0.35">
      <c r="B47" t="s">
        <v>355</v>
      </c>
      <c r="D47" t="s">
        <v>35</v>
      </c>
      <c r="E47">
        <v>1</v>
      </c>
    </row>
    <row r="48" spans="1:6" x14ac:dyDescent="0.35">
      <c r="B48" t="s">
        <v>554</v>
      </c>
      <c r="D48" t="s">
        <v>67</v>
      </c>
      <c r="E48">
        <v>1</v>
      </c>
    </row>
    <row r="49" spans="1:6" x14ac:dyDescent="0.35">
      <c r="B49" t="s">
        <v>10</v>
      </c>
      <c r="D49" t="s">
        <v>149</v>
      </c>
      <c r="E49">
        <v>1</v>
      </c>
    </row>
    <row r="50" spans="1:6" x14ac:dyDescent="0.35">
      <c r="B50" t="s">
        <v>503</v>
      </c>
      <c r="D50" t="s">
        <v>67</v>
      </c>
      <c r="E50">
        <v>1</v>
      </c>
    </row>
    <row r="51" spans="1:6" x14ac:dyDescent="0.35">
      <c r="B51" t="s">
        <v>498</v>
      </c>
      <c r="C51" t="s">
        <v>498</v>
      </c>
      <c r="D51" t="s">
        <v>35</v>
      </c>
      <c r="E51">
        <v>1</v>
      </c>
    </row>
    <row r="52" spans="1:6" x14ac:dyDescent="0.35">
      <c r="B52" t="s">
        <v>1339</v>
      </c>
      <c r="D52" t="s">
        <v>67</v>
      </c>
      <c r="E52">
        <v>1</v>
      </c>
    </row>
    <row r="53" spans="1:6" x14ac:dyDescent="0.35">
      <c r="A53" t="s">
        <v>913</v>
      </c>
      <c r="B53" t="s">
        <v>1339</v>
      </c>
      <c r="D53" t="s">
        <v>35</v>
      </c>
      <c r="E53">
        <v>25</v>
      </c>
      <c r="F53" t="s">
        <v>1416</v>
      </c>
    </row>
    <row r="54" spans="1:6" x14ac:dyDescent="0.35">
      <c r="B54" t="s">
        <v>1348</v>
      </c>
      <c r="D54" t="s">
        <v>35</v>
      </c>
      <c r="E54">
        <v>1</v>
      </c>
    </row>
    <row r="55" spans="1:6" x14ac:dyDescent="0.35">
      <c r="B55" t="s">
        <v>354</v>
      </c>
      <c r="D55" t="s">
        <v>35</v>
      </c>
      <c r="E55">
        <v>1</v>
      </c>
    </row>
    <row r="56" spans="1:6" x14ac:dyDescent="0.35">
      <c r="B56" t="s">
        <v>918</v>
      </c>
      <c r="D56" t="s">
        <v>67</v>
      </c>
      <c r="E56">
        <v>1</v>
      </c>
    </row>
    <row r="57" spans="1:6" x14ac:dyDescent="0.35">
      <c r="B57" t="s">
        <v>743</v>
      </c>
      <c r="D57" t="s">
        <v>35</v>
      </c>
      <c r="E57">
        <v>1</v>
      </c>
    </row>
    <row r="58" spans="1:6" x14ac:dyDescent="0.35">
      <c r="B58" t="s">
        <v>917</v>
      </c>
      <c r="D58" t="s">
        <v>35</v>
      </c>
      <c r="E58">
        <v>1</v>
      </c>
    </row>
    <row r="59" spans="1:6" x14ac:dyDescent="0.35">
      <c r="B59" t="s">
        <v>19</v>
      </c>
      <c r="C59" t="s">
        <v>459</v>
      </c>
      <c r="D59" t="s">
        <v>35</v>
      </c>
      <c r="E59">
        <v>9.5000000000000001E-2</v>
      </c>
    </row>
    <row r="60" spans="1:6" x14ac:dyDescent="0.35">
      <c r="B60" t="s">
        <v>20</v>
      </c>
      <c r="D60" t="s">
        <v>35</v>
      </c>
      <c r="E60">
        <v>1</v>
      </c>
    </row>
    <row r="61" spans="1:6" x14ac:dyDescent="0.35">
      <c r="B61" t="s">
        <v>499</v>
      </c>
      <c r="D61" t="s">
        <v>67</v>
      </c>
      <c r="E61">
        <v>1</v>
      </c>
    </row>
    <row r="62" spans="1:6" x14ac:dyDescent="0.35">
      <c r="B62" t="s">
        <v>488</v>
      </c>
      <c r="D62" t="s">
        <v>67</v>
      </c>
      <c r="E62">
        <v>1</v>
      </c>
    </row>
    <row r="63" spans="1:6" x14ac:dyDescent="0.35">
      <c r="B63" t="s">
        <v>485</v>
      </c>
      <c r="D63" t="s">
        <v>67</v>
      </c>
      <c r="E63">
        <v>1</v>
      </c>
    </row>
    <row r="64" spans="1:6" x14ac:dyDescent="0.35">
      <c r="B64" t="s">
        <v>504</v>
      </c>
      <c r="D64" t="s">
        <v>67</v>
      </c>
      <c r="E64">
        <v>1</v>
      </c>
    </row>
    <row r="65" spans="2:5" x14ac:dyDescent="0.35">
      <c r="B65" t="s">
        <v>350</v>
      </c>
      <c r="D65" t="s">
        <v>35</v>
      </c>
      <c r="E65">
        <v>1</v>
      </c>
    </row>
    <row r="66" spans="2:5" x14ac:dyDescent="0.35">
      <c r="B66" t="s">
        <v>1347</v>
      </c>
      <c r="D66" t="s">
        <v>35</v>
      </c>
      <c r="E66">
        <v>1</v>
      </c>
    </row>
    <row r="67" spans="2:5" x14ac:dyDescent="0.35">
      <c r="B67" t="s">
        <v>505</v>
      </c>
      <c r="D67" t="s">
        <v>67</v>
      </c>
      <c r="E67">
        <v>1</v>
      </c>
    </row>
    <row r="68" spans="2:5" x14ac:dyDescent="0.35">
      <c r="B68" t="s">
        <v>351</v>
      </c>
      <c r="D68" t="s">
        <v>35</v>
      </c>
      <c r="E68">
        <v>1</v>
      </c>
    </row>
    <row r="69" spans="2:5" x14ac:dyDescent="0.35">
      <c r="B69" t="s">
        <v>512</v>
      </c>
      <c r="D69" t="s">
        <v>150</v>
      </c>
      <c r="E69">
        <v>1</v>
      </c>
    </row>
    <row r="70" spans="2:5" x14ac:dyDescent="0.35">
      <c r="B70" t="s">
        <v>500</v>
      </c>
      <c r="D70" t="s">
        <v>35</v>
      </c>
      <c r="E70">
        <v>1</v>
      </c>
    </row>
    <row r="71" spans="2:5" x14ac:dyDescent="0.35">
      <c r="B71" t="s">
        <v>26</v>
      </c>
      <c r="D71" t="s">
        <v>35</v>
      </c>
      <c r="E71">
        <v>1</v>
      </c>
    </row>
    <row r="72" spans="2:5" x14ac:dyDescent="0.35">
      <c r="B72" t="s">
        <v>27</v>
      </c>
      <c r="D72" t="s">
        <v>67</v>
      </c>
      <c r="E72">
        <v>1</v>
      </c>
    </row>
    <row r="73" spans="2:5" x14ac:dyDescent="0.35">
      <c r="B73" t="s">
        <v>501</v>
      </c>
      <c r="D73" t="s">
        <v>35</v>
      </c>
      <c r="E73">
        <v>1</v>
      </c>
    </row>
    <row r="74" spans="2:5" x14ac:dyDescent="0.35">
      <c r="B74" t="s">
        <v>916</v>
      </c>
      <c r="D74" t="s">
        <v>35</v>
      </c>
      <c r="E74">
        <v>1</v>
      </c>
    </row>
    <row r="75" spans="2:5" x14ac:dyDescent="0.35">
      <c r="B75" t="s">
        <v>486</v>
      </c>
      <c r="D75" t="s">
        <v>67</v>
      </c>
      <c r="E75">
        <v>1</v>
      </c>
    </row>
    <row r="76" spans="2:5" x14ac:dyDescent="0.35">
      <c r="B76" t="s">
        <v>28</v>
      </c>
      <c r="D76" t="s">
        <v>35</v>
      </c>
      <c r="E76">
        <v>1</v>
      </c>
    </row>
    <row r="77" spans="2:5" x14ac:dyDescent="0.35">
      <c r="B77" t="s">
        <v>541</v>
      </c>
      <c r="D77" t="s">
        <v>67</v>
      </c>
      <c r="E77">
        <v>1</v>
      </c>
    </row>
    <row r="78" spans="2:5" x14ac:dyDescent="0.35">
      <c r="B78" t="s">
        <v>920</v>
      </c>
      <c r="D78" t="s">
        <v>67</v>
      </c>
      <c r="E78">
        <v>1</v>
      </c>
    </row>
    <row r="79" spans="2:5" x14ac:dyDescent="0.35">
      <c r="B79" t="s">
        <v>1318</v>
      </c>
      <c r="D79" t="s">
        <v>67</v>
      </c>
      <c r="E79">
        <v>1</v>
      </c>
    </row>
    <row r="80" spans="2:5" x14ac:dyDescent="0.35">
      <c r="B80" t="s">
        <v>30</v>
      </c>
      <c r="D80" t="s">
        <v>67</v>
      </c>
      <c r="E80">
        <v>1</v>
      </c>
    </row>
    <row r="81" spans="2:5" x14ac:dyDescent="0.35">
      <c r="B81" t="s">
        <v>31</v>
      </c>
      <c r="D81" t="s">
        <v>35</v>
      </c>
      <c r="E81">
        <v>1</v>
      </c>
    </row>
    <row r="82" spans="2:5" x14ac:dyDescent="0.35">
      <c r="B82" t="s">
        <v>72</v>
      </c>
      <c r="C82" t="s">
        <v>459</v>
      </c>
      <c r="D82" t="s">
        <v>35</v>
      </c>
      <c r="E82">
        <v>0.15</v>
      </c>
    </row>
    <row r="83" spans="2:5" x14ac:dyDescent="0.35">
      <c r="B83" t="s">
        <v>542</v>
      </c>
      <c r="D83" t="s">
        <v>35</v>
      </c>
      <c r="E83">
        <v>1</v>
      </c>
    </row>
    <row r="84" spans="2:5" x14ac:dyDescent="0.35">
      <c r="B84" t="s">
        <v>555</v>
      </c>
      <c r="D84" t="s">
        <v>67</v>
      </c>
      <c r="E84">
        <v>1</v>
      </c>
    </row>
    <row r="85" spans="2:5" x14ac:dyDescent="0.35">
      <c r="B85" t="s">
        <v>34</v>
      </c>
      <c r="C85" t="s">
        <v>459</v>
      </c>
      <c r="D85" t="s">
        <v>68</v>
      </c>
      <c r="E85">
        <v>9.9255583130000005E-2</v>
      </c>
    </row>
  </sheetData>
  <sheetProtection algorithmName="SHA-512" hashValue="I+icVsAHVbg6/xP+59+wzyRt7G5ERd2A+UckZy33pRo6GozKo7dcyyWu82rxtMH1RF5bOLInTMYPtpGRA9ODfg==" saltValue="kP30kIr0cA7+tXQ0lwR9hw==" spinCount="100000"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3ABB-7A75-4F83-97DC-F213F209FCA5}">
  <sheetPr codeName="Sheet5"/>
  <dimension ref="A1:G441"/>
  <sheetViews>
    <sheetView topLeftCell="A411" zoomScale="70" zoomScaleNormal="70" workbookViewId="0">
      <selection activeCell="D419" sqref="D419"/>
    </sheetView>
  </sheetViews>
  <sheetFormatPr defaultRowHeight="14.5" x14ac:dyDescent="0.35"/>
  <cols>
    <col min="1" max="1" width="9.453125" bestFit="1" customWidth="1"/>
    <col min="2" max="2" width="30.26953125" bestFit="1" customWidth="1"/>
    <col min="3" max="3" width="15.453125" bestFit="1" customWidth="1"/>
    <col min="4" max="4" width="66.54296875" bestFit="1" customWidth="1"/>
    <col min="5" max="5" width="10.7265625" bestFit="1" customWidth="1"/>
    <col min="6" max="6" width="62.7265625" bestFit="1" customWidth="1"/>
    <col min="7" max="7" width="12.7265625" bestFit="1" customWidth="1"/>
  </cols>
  <sheetData>
    <row r="1" spans="1:7" x14ac:dyDescent="0.35">
      <c r="A1" t="s">
        <v>460</v>
      </c>
      <c r="B1" t="s">
        <v>172</v>
      </c>
      <c r="C1" t="s">
        <v>177</v>
      </c>
      <c r="D1" t="s">
        <v>178</v>
      </c>
      <c r="E1" t="s">
        <v>1</v>
      </c>
      <c r="F1" t="s">
        <v>237</v>
      </c>
      <c r="G1" t="s">
        <v>458</v>
      </c>
    </row>
    <row r="2" spans="1:7" x14ac:dyDescent="0.35">
      <c r="B2" t="s">
        <v>1316</v>
      </c>
      <c r="C2" t="s">
        <v>179</v>
      </c>
      <c r="D2" t="s">
        <v>1324</v>
      </c>
      <c r="E2" t="s">
        <v>35</v>
      </c>
      <c r="G2">
        <v>1</v>
      </c>
    </row>
    <row r="3" spans="1:7" x14ac:dyDescent="0.35">
      <c r="B3" t="s">
        <v>1316</v>
      </c>
      <c r="C3" t="s">
        <v>180</v>
      </c>
      <c r="D3" t="s">
        <v>1325</v>
      </c>
      <c r="E3" t="s">
        <v>35</v>
      </c>
      <c r="G3">
        <v>1</v>
      </c>
    </row>
    <row r="4" spans="1:7" x14ac:dyDescent="0.35">
      <c r="B4" t="s">
        <v>1316</v>
      </c>
      <c r="C4" t="s">
        <v>181</v>
      </c>
      <c r="D4" t="s">
        <v>1456</v>
      </c>
      <c r="E4" t="s">
        <v>35</v>
      </c>
      <c r="G4">
        <v>1</v>
      </c>
    </row>
    <row r="5" spans="1:7" x14ac:dyDescent="0.35">
      <c r="B5" t="s">
        <v>1316</v>
      </c>
      <c r="C5" t="s">
        <v>182</v>
      </c>
      <c r="D5" t="s">
        <v>1326</v>
      </c>
      <c r="E5" t="s">
        <v>35</v>
      </c>
      <c r="G5">
        <v>1</v>
      </c>
    </row>
    <row r="6" spans="1:7" x14ac:dyDescent="0.35">
      <c r="A6" t="s">
        <v>457</v>
      </c>
      <c r="B6" t="s">
        <v>1316</v>
      </c>
      <c r="C6" t="s">
        <v>179</v>
      </c>
      <c r="D6" t="s">
        <v>1438</v>
      </c>
      <c r="E6" t="s">
        <v>35</v>
      </c>
      <c r="F6" t="s">
        <v>1434</v>
      </c>
      <c r="G6">
        <v>17</v>
      </c>
    </row>
    <row r="7" spans="1:7" x14ac:dyDescent="0.35">
      <c r="A7" t="s">
        <v>457</v>
      </c>
      <c r="B7" t="s">
        <v>1316</v>
      </c>
      <c r="C7" t="s">
        <v>180</v>
      </c>
      <c r="D7" t="s">
        <v>1439</v>
      </c>
      <c r="E7" t="s">
        <v>35</v>
      </c>
      <c r="F7" t="s">
        <v>1435</v>
      </c>
      <c r="G7">
        <v>17</v>
      </c>
    </row>
    <row r="8" spans="1:7" x14ac:dyDescent="0.35">
      <c r="A8" t="s">
        <v>457</v>
      </c>
      <c r="B8" t="s">
        <v>1316</v>
      </c>
      <c r="C8" t="s">
        <v>181</v>
      </c>
      <c r="D8" t="s">
        <v>1455</v>
      </c>
      <c r="E8" t="s">
        <v>35</v>
      </c>
      <c r="F8" t="s">
        <v>1436</v>
      </c>
      <c r="G8">
        <v>17</v>
      </c>
    </row>
    <row r="9" spans="1:7" x14ac:dyDescent="0.35">
      <c r="A9" t="s">
        <v>457</v>
      </c>
      <c r="B9" t="s">
        <v>1316</v>
      </c>
      <c r="C9" t="s">
        <v>182</v>
      </c>
      <c r="D9" t="s">
        <v>1440</v>
      </c>
      <c r="E9" t="s">
        <v>35</v>
      </c>
      <c r="F9" t="s">
        <v>1437</v>
      </c>
      <c r="G9">
        <v>17</v>
      </c>
    </row>
    <row r="10" spans="1:7" x14ac:dyDescent="0.35">
      <c r="B10" t="s">
        <v>837</v>
      </c>
      <c r="C10" t="s">
        <v>179</v>
      </c>
      <c r="D10" t="s">
        <v>838</v>
      </c>
      <c r="E10" t="s">
        <v>69</v>
      </c>
      <c r="G10">
        <v>1</v>
      </c>
    </row>
    <row r="11" spans="1:7" x14ac:dyDescent="0.35">
      <c r="B11" t="s">
        <v>837</v>
      </c>
      <c r="C11" t="s">
        <v>180</v>
      </c>
      <c r="D11" t="s">
        <v>839</v>
      </c>
      <c r="E11" t="s">
        <v>69</v>
      </c>
      <c r="G11">
        <v>1</v>
      </c>
    </row>
    <row r="12" spans="1:7" x14ac:dyDescent="0.35">
      <c r="B12" t="s">
        <v>837</v>
      </c>
      <c r="C12" t="s">
        <v>183</v>
      </c>
      <c r="D12" t="s">
        <v>1107</v>
      </c>
      <c r="E12" t="s">
        <v>69</v>
      </c>
      <c r="G12">
        <v>1</v>
      </c>
    </row>
    <row r="13" spans="1:7" x14ac:dyDescent="0.35">
      <c r="B13" t="s">
        <v>837</v>
      </c>
      <c r="C13" t="s">
        <v>182</v>
      </c>
      <c r="D13" t="s">
        <v>840</v>
      </c>
      <c r="E13" t="s">
        <v>69</v>
      </c>
      <c r="G13">
        <v>1</v>
      </c>
    </row>
    <row r="14" spans="1:7" x14ac:dyDescent="0.35">
      <c r="B14" t="s">
        <v>914</v>
      </c>
      <c r="C14" t="s">
        <v>179</v>
      </c>
      <c r="D14" t="s">
        <v>929</v>
      </c>
      <c r="E14" t="s">
        <v>35</v>
      </c>
      <c r="G14">
        <v>1</v>
      </c>
    </row>
    <row r="15" spans="1:7" x14ac:dyDescent="0.35">
      <c r="B15" t="s">
        <v>914</v>
      </c>
      <c r="C15" t="s">
        <v>180</v>
      </c>
      <c r="D15" t="s">
        <v>930</v>
      </c>
      <c r="E15" t="s">
        <v>35</v>
      </c>
      <c r="G15">
        <v>1</v>
      </c>
    </row>
    <row r="16" spans="1:7" x14ac:dyDescent="0.35">
      <c r="B16" t="s">
        <v>914</v>
      </c>
      <c r="C16" t="s">
        <v>181</v>
      </c>
      <c r="D16" t="s">
        <v>931</v>
      </c>
      <c r="E16" t="s">
        <v>35</v>
      </c>
      <c r="G16">
        <v>1</v>
      </c>
    </row>
    <row r="17" spans="2:7" x14ac:dyDescent="0.35">
      <c r="B17" t="s">
        <v>914</v>
      </c>
      <c r="C17" t="s">
        <v>182</v>
      </c>
      <c r="D17" t="s">
        <v>932</v>
      </c>
      <c r="E17" t="s">
        <v>35</v>
      </c>
      <c r="G17">
        <v>1</v>
      </c>
    </row>
    <row r="18" spans="2:7" x14ac:dyDescent="0.35">
      <c r="B18" t="s">
        <v>484</v>
      </c>
      <c r="C18" t="s">
        <v>179</v>
      </c>
      <c r="D18" t="s">
        <v>645</v>
      </c>
      <c r="E18" t="s">
        <v>67</v>
      </c>
      <c r="G18">
        <v>1</v>
      </c>
    </row>
    <row r="19" spans="2:7" x14ac:dyDescent="0.35">
      <c r="B19" t="s">
        <v>484</v>
      </c>
      <c r="C19" t="s">
        <v>180</v>
      </c>
      <c r="D19" t="s">
        <v>646</v>
      </c>
      <c r="E19" t="s">
        <v>67</v>
      </c>
      <c r="G19">
        <v>1</v>
      </c>
    </row>
    <row r="20" spans="2:7" x14ac:dyDescent="0.35">
      <c r="B20" t="s">
        <v>484</v>
      </c>
      <c r="C20" t="s">
        <v>181</v>
      </c>
      <c r="D20" t="s">
        <v>647</v>
      </c>
      <c r="E20" t="s">
        <v>67</v>
      </c>
      <c r="G20">
        <v>1</v>
      </c>
    </row>
    <row r="21" spans="2:7" x14ac:dyDescent="0.35">
      <c r="B21" t="s">
        <v>484</v>
      </c>
      <c r="C21" t="s">
        <v>182</v>
      </c>
      <c r="D21" t="s">
        <v>648</v>
      </c>
      <c r="E21" t="s">
        <v>67</v>
      </c>
      <c r="G21">
        <v>1</v>
      </c>
    </row>
    <row r="22" spans="2:7" x14ac:dyDescent="0.35">
      <c r="B22" t="s">
        <v>484</v>
      </c>
      <c r="C22" t="s">
        <v>179</v>
      </c>
      <c r="D22" t="s">
        <v>1260</v>
      </c>
      <c r="E22" t="s">
        <v>67</v>
      </c>
      <c r="G22">
        <v>1</v>
      </c>
    </row>
    <row r="23" spans="2:7" x14ac:dyDescent="0.35">
      <c r="B23" t="s">
        <v>484</v>
      </c>
      <c r="C23" t="s">
        <v>180</v>
      </c>
      <c r="D23" t="s">
        <v>1261</v>
      </c>
      <c r="E23" t="s">
        <v>67</v>
      </c>
      <c r="G23">
        <v>1</v>
      </c>
    </row>
    <row r="24" spans="2:7" x14ac:dyDescent="0.35">
      <c r="B24" t="s">
        <v>484</v>
      </c>
      <c r="C24" t="s">
        <v>181</v>
      </c>
      <c r="D24" t="s">
        <v>1262</v>
      </c>
      <c r="E24" t="s">
        <v>67</v>
      </c>
      <c r="G24">
        <v>1</v>
      </c>
    </row>
    <row r="25" spans="2:7" x14ac:dyDescent="0.35">
      <c r="B25" t="s">
        <v>484</v>
      </c>
      <c r="C25" t="s">
        <v>182</v>
      </c>
      <c r="D25" t="s">
        <v>1263</v>
      </c>
      <c r="E25" t="s">
        <v>67</v>
      </c>
      <c r="G25">
        <v>1</v>
      </c>
    </row>
    <row r="26" spans="2:7" x14ac:dyDescent="0.35">
      <c r="B26" t="s">
        <v>484</v>
      </c>
      <c r="C26" t="s">
        <v>179</v>
      </c>
      <c r="D26" t="s">
        <v>1264</v>
      </c>
      <c r="E26" t="s">
        <v>67</v>
      </c>
      <c r="G26">
        <v>1</v>
      </c>
    </row>
    <row r="27" spans="2:7" x14ac:dyDescent="0.35">
      <c r="B27" t="s">
        <v>484</v>
      </c>
      <c r="C27" t="s">
        <v>180</v>
      </c>
      <c r="D27" t="s">
        <v>1265</v>
      </c>
      <c r="E27" t="s">
        <v>67</v>
      </c>
      <c r="G27">
        <v>1</v>
      </c>
    </row>
    <row r="28" spans="2:7" x14ac:dyDescent="0.35">
      <c r="B28" t="s">
        <v>484</v>
      </c>
      <c r="C28" t="s">
        <v>181</v>
      </c>
      <c r="D28" t="s">
        <v>1266</v>
      </c>
      <c r="E28" t="s">
        <v>67</v>
      </c>
      <c r="G28">
        <v>1</v>
      </c>
    </row>
    <row r="29" spans="2:7" x14ac:dyDescent="0.35">
      <c r="B29" t="s">
        <v>484</v>
      </c>
      <c r="C29" t="s">
        <v>182</v>
      </c>
      <c r="D29" t="s">
        <v>1267</v>
      </c>
      <c r="E29" t="s">
        <v>67</v>
      </c>
      <c r="G29">
        <v>1</v>
      </c>
    </row>
    <row r="30" spans="2:7" x14ac:dyDescent="0.35">
      <c r="B30" t="s">
        <v>484</v>
      </c>
      <c r="C30" t="s">
        <v>179</v>
      </c>
      <c r="D30" t="s">
        <v>1273</v>
      </c>
      <c r="E30" t="s">
        <v>67</v>
      </c>
      <c r="G30">
        <v>1</v>
      </c>
    </row>
    <row r="31" spans="2:7" x14ac:dyDescent="0.35">
      <c r="B31" t="s">
        <v>484</v>
      </c>
      <c r="C31" t="s">
        <v>180</v>
      </c>
      <c r="D31" t="s">
        <v>1275</v>
      </c>
      <c r="E31" t="s">
        <v>67</v>
      </c>
      <c r="G31">
        <v>1</v>
      </c>
    </row>
    <row r="32" spans="2:7" x14ac:dyDescent="0.35">
      <c r="B32" t="s">
        <v>484</v>
      </c>
      <c r="C32" t="s">
        <v>181</v>
      </c>
      <c r="D32" t="s">
        <v>1277</v>
      </c>
      <c r="E32" t="s">
        <v>67</v>
      </c>
      <c r="G32">
        <v>1</v>
      </c>
    </row>
    <row r="33" spans="2:7" x14ac:dyDescent="0.35">
      <c r="B33" t="s">
        <v>484</v>
      </c>
      <c r="C33" t="s">
        <v>182</v>
      </c>
      <c r="D33" t="s">
        <v>1279</v>
      </c>
      <c r="E33" t="s">
        <v>67</v>
      </c>
      <c r="G33">
        <v>1</v>
      </c>
    </row>
    <row r="34" spans="2:7" x14ac:dyDescent="0.35">
      <c r="B34" t="s">
        <v>484</v>
      </c>
      <c r="C34" t="s">
        <v>179</v>
      </c>
      <c r="D34" t="s">
        <v>1285</v>
      </c>
      <c r="E34" t="s">
        <v>67</v>
      </c>
      <c r="G34">
        <v>1</v>
      </c>
    </row>
    <row r="35" spans="2:7" x14ac:dyDescent="0.35">
      <c r="B35" t="s">
        <v>484</v>
      </c>
      <c r="C35" t="s">
        <v>180</v>
      </c>
      <c r="D35" t="s">
        <v>1287</v>
      </c>
      <c r="E35" t="s">
        <v>67</v>
      </c>
      <c r="G35">
        <v>1</v>
      </c>
    </row>
    <row r="36" spans="2:7" x14ac:dyDescent="0.35">
      <c r="B36" t="s">
        <v>484</v>
      </c>
      <c r="C36" t="s">
        <v>181</v>
      </c>
      <c r="D36" t="s">
        <v>1289</v>
      </c>
      <c r="E36" t="s">
        <v>67</v>
      </c>
      <c r="G36">
        <v>1</v>
      </c>
    </row>
    <row r="37" spans="2:7" x14ac:dyDescent="0.35">
      <c r="B37" t="s">
        <v>484</v>
      </c>
      <c r="C37" t="s">
        <v>182</v>
      </c>
      <c r="D37" t="s">
        <v>1291</v>
      </c>
      <c r="E37" t="s">
        <v>67</v>
      </c>
      <c r="G37">
        <v>1</v>
      </c>
    </row>
    <row r="38" spans="2:7" x14ac:dyDescent="0.35">
      <c r="B38" t="s">
        <v>507</v>
      </c>
      <c r="C38" t="s">
        <v>179</v>
      </c>
      <c r="D38" t="s">
        <v>668</v>
      </c>
      <c r="E38" t="s">
        <v>67</v>
      </c>
      <c r="G38">
        <v>1</v>
      </c>
    </row>
    <row r="39" spans="2:7" x14ac:dyDescent="0.35">
      <c r="B39" t="s">
        <v>507</v>
      </c>
      <c r="C39" t="s">
        <v>180</v>
      </c>
      <c r="D39" t="s">
        <v>669</v>
      </c>
      <c r="E39" t="s">
        <v>67</v>
      </c>
      <c r="G39">
        <v>1</v>
      </c>
    </row>
    <row r="40" spans="2:7" x14ac:dyDescent="0.35">
      <c r="B40" t="s">
        <v>507</v>
      </c>
      <c r="C40" t="s">
        <v>181</v>
      </c>
      <c r="D40" t="s">
        <v>670</v>
      </c>
      <c r="E40" t="s">
        <v>67</v>
      </c>
      <c r="G40">
        <v>1</v>
      </c>
    </row>
    <row r="41" spans="2:7" x14ac:dyDescent="0.35">
      <c r="B41" t="s">
        <v>507</v>
      </c>
      <c r="C41" t="s">
        <v>182</v>
      </c>
      <c r="D41" t="s">
        <v>671</v>
      </c>
      <c r="E41" t="s">
        <v>67</v>
      </c>
      <c r="G41">
        <v>1</v>
      </c>
    </row>
    <row r="42" spans="2:7" x14ac:dyDescent="0.35">
      <c r="B42" t="s">
        <v>915</v>
      </c>
      <c r="C42" t="s">
        <v>179</v>
      </c>
      <c r="D42" t="s">
        <v>933</v>
      </c>
      <c r="E42" t="s">
        <v>35</v>
      </c>
      <c r="G42">
        <v>1</v>
      </c>
    </row>
    <row r="43" spans="2:7" x14ac:dyDescent="0.35">
      <c r="B43" t="s">
        <v>915</v>
      </c>
      <c r="C43" t="s">
        <v>180</v>
      </c>
      <c r="D43" t="s">
        <v>934</v>
      </c>
      <c r="E43" t="s">
        <v>35</v>
      </c>
      <c r="G43">
        <v>1</v>
      </c>
    </row>
    <row r="44" spans="2:7" x14ac:dyDescent="0.35">
      <c r="B44" t="s">
        <v>915</v>
      </c>
      <c r="C44" t="s">
        <v>181</v>
      </c>
      <c r="D44" t="s">
        <v>935</v>
      </c>
      <c r="E44" t="s">
        <v>35</v>
      </c>
      <c r="G44">
        <v>1</v>
      </c>
    </row>
    <row r="45" spans="2:7" x14ac:dyDescent="0.35">
      <c r="B45" t="s">
        <v>915</v>
      </c>
      <c r="C45" t="s">
        <v>182</v>
      </c>
      <c r="D45" t="s">
        <v>936</v>
      </c>
      <c r="E45" t="s">
        <v>35</v>
      </c>
      <c r="G45">
        <v>1</v>
      </c>
    </row>
    <row r="46" spans="2:7" x14ac:dyDescent="0.35">
      <c r="B46" t="s">
        <v>540</v>
      </c>
      <c r="C46" t="s">
        <v>179</v>
      </c>
      <c r="D46" t="s">
        <v>679</v>
      </c>
      <c r="E46" t="s">
        <v>67</v>
      </c>
      <c r="G46">
        <v>1</v>
      </c>
    </row>
    <row r="47" spans="2:7" x14ac:dyDescent="0.35">
      <c r="B47" t="s">
        <v>540</v>
      </c>
      <c r="C47" t="s">
        <v>180</v>
      </c>
      <c r="D47" t="s">
        <v>680</v>
      </c>
      <c r="E47" t="s">
        <v>67</v>
      </c>
      <c r="G47">
        <v>1</v>
      </c>
    </row>
    <row r="48" spans="2:7" x14ac:dyDescent="0.35">
      <c r="B48" t="s">
        <v>540</v>
      </c>
      <c r="C48" t="s">
        <v>181</v>
      </c>
      <c r="D48" t="s">
        <v>681</v>
      </c>
      <c r="E48" t="s">
        <v>67</v>
      </c>
      <c r="G48">
        <v>1</v>
      </c>
    </row>
    <row r="49" spans="1:7" x14ac:dyDescent="0.35">
      <c r="B49" t="s">
        <v>540</v>
      </c>
      <c r="C49" t="s">
        <v>182</v>
      </c>
      <c r="D49" t="s">
        <v>682</v>
      </c>
      <c r="E49" t="s">
        <v>67</v>
      </c>
      <c r="G49">
        <v>1</v>
      </c>
    </row>
    <row r="50" spans="1:7" x14ac:dyDescent="0.35">
      <c r="B50" t="s">
        <v>496</v>
      </c>
      <c r="C50" t="s">
        <v>179</v>
      </c>
      <c r="D50" t="s">
        <v>703</v>
      </c>
      <c r="E50" t="s">
        <v>35</v>
      </c>
      <c r="G50">
        <v>1</v>
      </c>
    </row>
    <row r="51" spans="1:7" x14ac:dyDescent="0.35">
      <c r="B51" t="s">
        <v>496</v>
      </c>
      <c r="C51" t="s">
        <v>180</v>
      </c>
      <c r="D51" t="s">
        <v>704</v>
      </c>
      <c r="E51" t="s">
        <v>35</v>
      </c>
      <c r="G51">
        <v>1</v>
      </c>
    </row>
    <row r="52" spans="1:7" x14ac:dyDescent="0.35">
      <c r="B52" t="s">
        <v>496</v>
      </c>
      <c r="C52" t="s">
        <v>181</v>
      </c>
      <c r="D52" t="s">
        <v>705</v>
      </c>
      <c r="E52" t="s">
        <v>35</v>
      </c>
      <c r="G52">
        <v>1</v>
      </c>
    </row>
    <row r="53" spans="1:7" x14ac:dyDescent="0.35">
      <c r="B53" t="s">
        <v>496</v>
      </c>
      <c r="C53" t="s">
        <v>182</v>
      </c>
      <c r="D53" t="s">
        <v>706</v>
      </c>
      <c r="E53" t="s">
        <v>35</v>
      </c>
      <c r="G53">
        <v>1</v>
      </c>
    </row>
    <row r="54" spans="1:7" x14ac:dyDescent="0.35">
      <c r="A54" t="s">
        <v>457</v>
      </c>
      <c r="B54" t="s">
        <v>496</v>
      </c>
      <c r="C54" t="s">
        <v>179</v>
      </c>
      <c r="D54" t="s">
        <v>854</v>
      </c>
      <c r="E54" t="s">
        <v>35</v>
      </c>
      <c r="F54" t="s">
        <v>707</v>
      </c>
      <c r="G54">
        <f>200/380664</f>
        <v>5.2539772607864159E-4</v>
      </c>
    </row>
    <row r="55" spans="1:7" x14ac:dyDescent="0.35">
      <c r="A55" t="s">
        <v>457</v>
      </c>
      <c r="B55" t="s">
        <v>496</v>
      </c>
      <c r="C55" t="s">
        <v>180</v>
      </c>
      <c r="D55" t="s">
        <v>855</v>
      </c>
      <c r="E55" t="s">
        <v>35</v>
      </c>
      <c r="F55" t="s">
        <v>708</v>
      </c>
      <c r="G55">
        <f>200/380664</f>
        <v>5.2539772607864159E-4</v>
      </c>
    </row>
    <row r="56" spans="1:7" x14ac:dyDescent="0.35">
      <c r="A56" t="s">
        <v>457</v>
      </c>
      <c r="B56" t="s">
        <v>496</v>
      </c>
      <c r="C56" t="s">
        <v>181</v>
      </c>
      <c r="D56" t="s">
        <v>856</v>
      </c>
      <c r="E56" t="s">
        <v>35</v>
      </c>
      <c r="F56" t="s">
        <v>709</v>
      </c>
      <c r="G56">
        <f>200/380664</f>
        <v>5.2539772607864159E-4</v>
      </c>
    </row>
    <row r="57" spans="1:7" x14ac:dyDescent="0.35">
      <c r="A57" t="s">
        <v>457</v>
      </c>
      <c r="B57" t="s">
        <v>496</v>
      </c>
      <c r="C57" t="s">
        <v>182</v>
      </c>
      <c r="D57" t="s">
        <v>857</v>
      </c>
      <c r="E57" t="s">
        <v>35</v>
      </c>
      <c r="F57" t="s">
        <v>710</v>
      </c>
      <c r="G57">
        <f>200/380664</f>
        <v>5.2539772607864159E-4</v>
      </c>
    </row>
    <row r="58" spans="1:7" x14ac:dyDescent="0.35">
      <c r="A58" t="s">
        <v>457</v>
      </c>
      <c r="B58" t="s">
        <v>496</v>
      </c>
      <c r="C58" t="s">
        <v>179</v>
      </c>
      <c r="D58" t="s">
        <v>858</v>
      </c>
      <c r="E58" t="s">
        <v>35</v>
      </c>
      <c r="F58" t="s">
        <v>862</v>
      </c>
      <c r="G58">
        <f>200/37402*0.5</f>
        <v>2.6736538153039942E-3</v>
      </c>
    </row>
    <row r="59" spans="1:7" x14ac:dyDescent="0.35">
      <c r="A59" t="s">
        <v>457</v>
      </c>
      <c r="B59" t="s">
        <v>496</v>
      </c>
      <c r="C59" t="s">
        <v>180</v>
      </c>
      <c r="D59" t="s">
        <v>859</v>
      </c>
      <c r="E59" t="s">
        <v>35</v>
      </c>
      <c r="F59" t="s">
        <v>863</v>
      </c>
      <c r="G59">
        <f>200/37402*0.5</f>
        <v>2.6736538153039942E-3</v>
      </c>
    </row>
    <row r="60" spans="1:7" x14ac:dyDescent="0.35">
      <c r="A60" t="s">
        <v>457</v>
      </c>
      <c r="B60" t="s">
        <v>496</v>
      </c>
      <c r="C60" t="s">
        <v>181</v>
      </c>
      <c r="D60" t="s">
        <v>860</v>
      </c>
      <c r="E60" t="s">
        <v>35</v>
      </c>
      <c r="F60" t="s">
        <v>864</v>
      </c>
      <c r="G60">
        <f>200/37402*0.5</f>
        <v>2.6736538153039942E-3</v>
      </c>
    </row>
    <row r="61" spans="1:7" x14ac:dyDescent="0.35">
      <c r="A61" t="s">
        <v>457</v>
      </c>
      <c r="B61" t="s">
        <v>496</v>
      </c>
      <c r="C61" t="s">
        <v>182</v>
      </c>
      <c r="D61" t="s">
        <v>861</v>
      </c>
      <c r="E61" t="s">
        <v>35</v>
      </c>
      <c r="F61" t="s">
        <v>865</v>
      </c>
      <c r="G61">
        <f>200/37402*0.5</f>
        <v>2.6736538153039942E-3</v>
      </c>
    </row>
    <row r="62" spans="1:7" x14ac:dyDescent="0.35">
      <c r="B62" t="s">
        <v>1195</v>
      </c>
      <c r="C62" t="s">
        <v>179</v>
      </c>
      <c r="D62" t="s">
        <v>719</v>
      </c>
      <c r="E62" t="s">
        <v>35</v>
      </c>
      <c r="G62">
        <v>1</v>
      </c>
    </row>
    <row r="63" spans="1:7" x14ac:dyDescent="0.35">
      <c r="B63" t="s">
        <v>1195</v>
      </c>
      <c r="C63" t="s">
        <v>180</v>
      </c>
      <c r="D63" t="s">
        <v>720</v>
      </c>
      <c r="E63" t="s">
        <v>35</v>
      </c>
      <c r="G63">
        <v>1</v>
      </c>
    </row>
    <row r="64" spans="1:7" x14ac:dyDescent="0.35">
      <c r="B64" t="s">
        <v>1195</v>
      </c>
      <c r="C64" t="s">
        <v>181</v>
      </c>
      <c r="D64" t="s">
        <v>721</v>
      </c>
      <c r="E64" t="s">
        <v>35</v>
      </c>
      <c r="G64">
        <v>1</v>
      </c>
    </row>
    <row r="65" spans="1:7" x14ac:dyDescent="0.35">
      <c r="B65" t="s">
        <v>1195</v>
      </c>
      <c r="C65" t="s">
        <v>182</v>
      </c>
      <c r="D65" t="s">
        <v>722</v>
      </c>
      <c r="E65" t="s">
        <v>35</v>
      </c>
      <c r="G65">
        <v>1</v>
      </c>
    </row>
    <row r="66" spans="1:7" x14ac:dyDescent="0.35">
      <c r="A66" t="s">
        <v>457</v>
      </c>
      <c r="B66" t="s">
        <v>1195</v>
      </c>
      <c r="C66" t="s">
        <v>179</v>
      </c>
      <c r="D66" t="s">
        <v>866</v>
      </c>
      <c r="E66" t="s">
        <v>35</v>
      </c>
      <c r="F66" t="s">
        <v>707</v>
      </c>
      <c r="G66">
        <f>100/380664</f>
        <v>2.6269886303932079E-4</v>
      </c>
    </row>
    <row r="67" spans="1:7" x14ac:dyDescent="0.35">
      <c r="A67" t="s">
        <v>457</v>
      </c>
      <c r="B67" t="s">
        <v>1195</v>
      </c>
      <c r="C67" t="s">
        <v>180</v>
      </c>
      <c r="D67" t="s">
        <v>867</v>
      </c>
      <c r="E67" t="s">
        <v>35</v>
      </c>
      <c r="F67" t="s">
        <v>708</v>
      </c>
      <c r="G67">
        <f>100/380664</f>
        <v>2.6269886303932079E-4</v>
      </c>
    </row>
    <row r="68" spans="1:7" x14ac:dyDescent="0.35">
      <c r="A68" t="s">
        <v>457</v>
      </c>
      <c r="B68" t="s">
        <v>1195</v>
      </c>
      <c r="C68" t="s">
        <v>181</v>
      </c>
      <c r="D68" t="s">
        <v>868</v>
      </c>
      <c r="E68" t="s">
        <v>35</v>
      </c>
      <c r="F68" t="s">
        <v>709</v>
      </c>
      <c r="G68">
        <f>100/380664</f>
        <v>2.6269886303932079E-4</v>
      </c>
    </row>
    <row r="69" spans="1:7" x14ac:dyDescent="0.35">
      <c r="A69" t="s">
        <v>457</v>
      </c>
      <c r="B69" t="s">
        <v>1195</v>
      </c>
      <c r="C69" t="s">
        <v>182</v>
      </c>
      <c r="D69" t="s">
        <v>869</v>
      </c>
      <c r="E69" t="s">
        <v>35</v>
      </c>
      <c r="F69" t="s">
        <v>710</v>
      </c>
      <c r="G69">
        <f>100/380664</f>
        <v>2.6269886303932079E-4</v>
      </c>
    </row>
    <row r="70" spans="1:7" x14ac:dyDescent="0.35">
      <c r="A70" t="s">
        <v>457</v>
      </c>
      <c r="B70" t="s">
        <v>1195</v>
      </c>
      <c r="C70" t="s">
        <v>179</v>
      </c>
      <c r="D70" t="s">
        <v>870</v>
      </c>
      <c r="E70" t="s">
        <v>35</v>
      </c>
      <c r="F70" t="s">
        <v>862</v>
      </c>
      <c r="G70">
        <f>100/37402*0.5</f>
        <v>1.3368269076519971E-3</v>
      </c>
    </row>
    <row r="71" spans="1:7" x14ac:dyDescent="0.35">
      <c r="A71" t="s">
        <v>457</v>
      </c>
      <c r="B71" t="s">
        <v>1195</v>
      </c>
      <c r="C71" t="s">
        <v>180</v>
      </c>
      <c r="D71" t="s">
        <v>871</v>
      </c>
      <c r="E71" t="s">
        <v>35</v>
      </c>
      <c r="F71" t="s">
        <v>863</v>
      </c>
      <c r="G71">
        <f>100/37402*0.5</f>
        <v>1.3368269076519971E-3</v>
      </c>
    </row>
    <row r="72" spans="1:7" x14ac:dyDescent="0.35">
      <c r="A72" t="s">
        <v>457</v>
      </c>
      <c r="B72" t="s">
        <v>1195</v>
      </c>
      <c r="C72" t="s">
        <v>181</v>
      </c>
      <c r="D72" t="s">
        <v>872</v>
      </c>
      <c r="E72" t="s">
        <v>35</v>
      </c>
      <c r="F72" t="s">
        <v>864</v>
      </c>
      <c r="G72">
        <f>100/37402*0.5</f>
        <v>1.3368269076519971E-3</v>
      </c>
    </row>
    <row r="73" spans="1:7" x14ac:dyDescent="0.35">
      <c r="A73" t="s">
        <v>457</v>
      </c>
      <c r="B73" t="s">
        <v>1195</v>
      </c>
      <c r="C73" t="s">
        <v>182</v>
      </c>
      <c r="D73" t="s">
        <v>873</v>
      </c>
      <c r="E73" t="s">
        <v>35</v>
      </c>
      <c r="F73" t="s">
        <v>865</v>
      </c>
      <c r="G73">
        <f>100/37402*0.5</f>
        <v>1.3368269076519971E-3</v>
      </c>
    </row>
    <row r="74" spans="1:7" x14ac:dyDescent="0.35">
      <c r="B74" t="s">
        <v>511</v>
      </c>
      <c r="C74" t="s">
        <v>179</v>
      </c>
      <c r="D74" t="s">
        <v>676</v>
      </c>
      <c r="E74" t="s">
        <v>35</v>
      </c>
      <c r="G74">
        <v>1</v>
      </c>
    </row>
    <row r="75" spans="1:7" x14ac:dyDescent="0.35">
      <c r="B75" t="s">
        <v>511</v>
      </c>
      <c r="C75" t="s">
        <v>180</v>
      </c>
      <c r="D75" t="s">
        <v>677</v>
      </c>
      <c r="E75" t="s">
        <v>35</v>
      </c>
      <c r="G75">
        <v>1</v>
      </c>
    </row>
    <row r="76" spans="1:7" x14ac:dyDescent="0.35">
      <c r="B76" t="s">
        <v>511</v>
      </c>
      <c r="C76" t="s">
        <v>183</v>
      </c>
      <c r="D76" t="s">
        <v>1108</v>
      </c>
      <c r="E76" t="s">
        <v>35</v>
      </c>
      <c r="G76">
        <v>1</v>
      </c>
    </row>
    <row r="77" spans="1:7" x14ac:dyDescent="0.35">
      <c r="B77" t="s">
        <v>511</v>
      </c>
      <c r="C77" t="s">
        <v>182</v>
      </c>
      <c r="D77" t="s">
        <v>678</v>
      </c>
      <c r="E77" t="s">
        <v>35</v>
      </c>
      <c r="G77">
        <v>1</v>
      </c>
    </row>
    <row r="78" spans="1:7" x14ac:dyDescent="0.35">
      <c r="B78" t="s">
        <v>511</v>
      </c>
      <c r="C78" t="s">
        <v>179</v>
      </c>
      <c r="D78" t="s">
        <v>848</v>
      </c>
      <c r="E78" t="s">
        <v>35</v>
      </c>
      <c r="G78">
        <f t="shared" ref="G78:G85" si="0">70/150</f>
        <v>0.46666666666666667</v>
      </c>
    </row>
    <row r="79" spans="1:7" x14ac:dyDescent="0.35">
      <c r="B79" t="s">
        <v>511</v>
      </c>
      <c r="C79" t="s">
        <v>180</v>
      </c>
      <c r="D79" t="s">
        <v>849</v>
      </c>
      <c r="E79" t="s">
        <v>35</v>
      </c>
      <c r="G79">
        <f t="shared" si="0"/>
        <v>0.46666666666666667</v>
      </c>
    </row>
    <row r="80" spans="1:7" x14ac:dyDescent="0.35">
      <c r="B80" t="s">
        <v>511</v>
      </c>
      <c r="C80" t="s">
        <v>181</v>
      </c>
      <c r="D80" t="s">
        <v>1109</v>
      </c>
      <c r="E80" t="s">
        <v>35</v>
      </c>
      <c r="G80">
        <f t="shared" si="0"/>
        <v>0.46666666666666667</v>
      </c>
    </row>
    <row r="81" spans="1:7" x14ac:dyDescent="0.35">
      <c r="B81" t="s">
        <v>511</v>
      </c>
      <c r="C81" t="s">
        <v>182</v>
      </c>
      <c r="D81" t="s">
        <v>850</v>
      </c>
      <c r="E81" t="s">
        <v>35</v>
      </c>
      <c r="G81">
        <f t="shared" si="0"/>
        <v>0.46666666666666667</v>
      </c>
    </row>
    <row r="82" spans="1:7" x14ac:dyDescent="0.35">
      <c r="B82" t="s">
        <v>511</v>
      </c>
      <c r="C82" t="s">
        <v>179</v>
      </c>
      <c r="D82" t="s">
        <v>851</v>
      </c>
      <c r="E82" t="s">
        <v>35</v>
      </c>
      <c r="G82">
        <f t="shared" si="0"/>
        <v>0.46666666666666667</v>
      </c>
    </row>
    <row r="83" spans="1:7" x14ac:dyDescent="0.35">
      <c r="B83" t="s">
        <v>511</v>
      </c>
      <c r="C83" t="s">
        <v>180</v>
      </c>
      <c r="D83" t="s">
        <v>852</v>
      </c>
      <c r="E83" t="s">
        <v>35</v>
      </c>
      <c r="G83">
        <f t="shared" si="0"/>
        <v>0.46666666666666667</v>
      </c>
    </row>
    <row r="84" spans="1:7" x14ac:dyDescent="0.35">
      <c r="B84" t="s">
        <v>511</v>
      </c>
      <c r="C84" t="s">
        <v>181</v>
      </c>
      <c r="D84" t="s">
        <v>1110</v>
      </c>
      <c r="E84" t="s">
        <v>35</v>
      </c>
      <c r="G84">
        <f t="shared" si="0"/>
        <v>0.46666666666666667</v>
      </c>
    </row>
    <row r="85" spans="1:7" x14ac:dyDescent="0.35">
      <c r="B85" t="s">
        <v>511</v>
      </c>
      <c r="C85" t="s">
        <v>182</v>
      </c>
      <c r="D85" t="s">
        <v>853</v>
      </c>
      <c r="E85" t="s">
        <v>35</v>
      </c>
      <c r="G85">
        <f t="shared" si="0"/>
        <v>0.46666666666666667</v>
      </c>
    </row>
    <row r="86" spans="1:7" x14ac:dyDescent="0.35">
      <c r="B86" t="s">
        <v>509</v>
      </c>
      <c r="C86" t="s">
        <v>179</v>
      </c>
      <c r="D86" t="s">
        <v>672</v>
      </c>
      <c r="E86" t="s">
        <v>35</v>
      </c>
      <c r="G86">
        <v>1</v>
      </c>
    </row>
    <row r="87" spans="1:7" x14ac:dyDescent="0.35">
      <c r="B87" t="s">
        <v>509</v>
      </c>
      <c r="C87" t="s">
        <v>180</v>
      </c>
      <c r="D87" t="s">
        <v>673</v>
      </c>
      <c r="E87" t="s">
        <v>35</v>
      </c>
      <c r="G87">
        <v>1</v>
      </c>
    </row>
    <row r="88" spans="1:7" x14ac:dyDescent="0.35">
      <c r="B88" t="s">
        <v>509</v>
      </c>
      <c r="C88" t="s">
        <v>181</v>
      </c>
      <c r="D88" t="s">
        <v>674</v>
      </c>
      <c r="E88" t="s">
        <v>35</v>
      </c>
      <c r="G88">
        <v>1</v>
      </c>
    </row>
    <row r="89" spans="1:7" x14ac:dyDescent="0.35">
      <c r="B89" t="s">
        <v>509</v>
      </c>
      <c r="C89" t="s">
        <v>182</v>
      </c>
      <c r="D89" t="s">
        <v>675</v>
      </c>
      <c r="E89" t="s">
        <v>35</v>
      </c>
      <c r="G89">
        <v>1</v>
      </c>
    </row>
    <row r="90" spans="1:7" x14ac:dyDescent="0.35">
      <c r="A90" t="s">
        <v>457</v>
      </c>
      <c r="B90" t="s">
        <v>509</v>
      </c>
      <c r="C90" t="s">
        <v>179</v>
      </c>
      <c r="D90" t="s">
        <v>874</v>
      </c>
      <c r="E90" t="s">
        <v>35</v>
      </c>
      <c r="F90" t="s">
        <v>707</v>
      </c>
      <c r="G90">
        <f>810.4/380664</f>
        <v>2.1289115860706554E-3</v>
      </c>
    </row>
    <row r="91" spans="1:7" x14ac:dyDescent="0.35">
      <c r="A91" t="s">
        <v>457</v>
      </c>
      <c r="B91" t="s">
        <v>509</v>
      </c>
      <c r="C91" t="s">
        <v>180</v>
      </c>
      <c r="D91" t="s">
        <v>875</v>
      </c>
      <c r="E91" t="s">
        <v>35</v>
      </c>
      <c r="F91" t="s">
        <v>708</v>
      </c>
      <c r="G91">
        <f>810.4/380664</f>
        <v>2.1289115860706554E-3</v>
      </c>
    </row>
    <row r="92" spans="1:7" x14ac:dyDescent="0.35">
      <c r="A92" t="s">
        <v>457</v>
      </c>
      <c r="B92" t="s">
        <v>509</v>
      </c>
      <c r="C92" t="s">
        <v>181</v>
      </c>
      <c r="D92" t="s">
        <v>876</v>
      </c>
      <c r="E92" t="s">
        <v>35</v>
      </c>
      <c r="F92" t="s">
        <v>709</v>
      </c>
      <c r="G92">
        <f>810.4/380664</f>
        <v>2.1289115860706554E-3</v>
      </c>
    </row>
    <row r="93" spans="1:7" x14ac:dyDescent="0.35">
      <c r="A93" t="s">
        <v>457</v>
      </c>
      <c r="B93" t="s">
        <v>509</v>
      </c>
      <c r="C93" t="s">
        <v>182</v>
      </c>
      <c r="D93" t="s">
        <v>877</v>
      </c>
      <c r="E93" t="s">
        <v>35</v>
      </c>
      <c r="F93" t="s">
        <v>710</v>
      </c>
      <c r="G93">
        <f>810.4/380664</f>
        <v>2.1289115860706554E-3</v>
      </c>
    </row>
    <row r="94" spans="1:7" x14ac:dyDescent="0.35">
      <c r="A94" t="s">
        <v>457</v>
      </c>
      <c r="B94" t="s">
        <v>509</v>
      </c>
      <c r="C94" t="s">
        <v>179</v>
      </c>
      <c r="D94" t="s">
        <v>672</v>
      </c>
      <c r="E94" t="s">
        <v>35</v>
      </c>
      <c r="F94" t="s">
        <v>862</v>
      </c>
      <c r="G94">
        <f>810.4/37402*0.5</f>
        <v>1.0833645259611785E-2</v>
      </c>
    </row>
    <row r="95" spans="1:7" x14ac:dyDescent="0.35">
      <c r="A95" t="s">
        <v>457</v>
      </c>
      <c r="B95" t="s">
        <v>509</v>
      </c>
      <c r="C95" t="s">
        <v>180</v>
      </c>
      <c r="D95" t="s">
        <v>673</v>
      </c>
      <c r="E95" t="s">
        <v>35</v>
      </c>
      <c r="F95" t="s">
        <v>863</v>
      </c>
      <c r="G95">
        <f>810.4/37402*0.5</f>
        <v>1.0833645259611785E-2</v>
      </c>
    </row>
    <row r="96" spans="1:7" x14ac:dyDescent="0.35">
      <c r="A96" t="s">
        <v>457</v>
      </c>
      <c r="B96" t="s">
        <v>509</v>
      </c>
      <c r="C96" t="s">
        <v>181</v>
      </c>
      <c r="D96" t="s">
        <v>674</v>
      </c>
      <c r="E96" t="s">
        <v>35</v>
      </c>
      <c r="F96" t="s">
        <v>864</v>
      </c>
      <c r="G96">
        <f>810.4/37402*0.5</f>
        <v>1.0833645259611785E-2</v>
      </c>
    </row>
    <row r="97" spans="1:7" x14ac:dyDescent="0.35">
      <c r="A97" t="s">
        <v>457</v>
      </c>
      <c r="B97" t="s">
        <v>509</v>
      </c>
      <c r="C97" t="s">
        <v>182</v>
      </c>
      <c r="D97" t="s">
        <v>675</v>
      </c>
      <c r="E97" t="s">
        <v>35</v>
      </c>
      <c r="F97" t="s">
        <v>865</v>
      </c>
      <c r="G97">
        <f>810.4/37402*0.5</f>
        <v>1.0833645259611785E-2</v>
      </c>
    </row>
    <row r="98" spans="1:7" x14ac:dyDescent="0.35">
      <c r="B98" t="s">
        <v>1113</v>
      </c>
      <c r="C98" t="s">
        <v>179</v>
      </c>
      <c r="D98" t="s">
        <v>318</v>
      </c>
      <c r="E98" t="s">
        <v>35</v>
      </c>
      <c r="F98" t="s">
        <v>463</v>
      </c>
      <c r="G98">
        <v>1</v>
      </c>
    </row>
    <row r="99" spans="1:7" x14ac:dyDescent="0.35">
      <c r="B99" t="s">
        <v>1113</v>
      </c>
      <c r="C99" t="s">
        <v>180</v>
      </c>
      <c r="D99" t="s">
        <v>319</v>
      </c>
      <c r="E99" t="s">
        <v>35</v>
      </c>
      <c r="F99" t="s">
        <v>463</v>
      </c>
      <c r="G99">
        <v>1</v>
      </c>
    </row>
    <row r="100" spans="1:7" x14ac:dyDescent="0.35">
      <c r="B100" t="s">
        <v>1113</v>
      </c>
      <c r="C100" t="s">
        <v>1114</v>
      </c>
      <c r="D100" t="s">
        <v>320</v>
      </c>
      <c r="E100" t="s">
        <v>35</v>
      </c>
      <c r="F100" t="s">
        <v>463</v>
      </c>
      <c r="G100">
        <v>1</v>
      </c>
    </row>
    <row r="101" spans="1:7" x14ac:dyDescent="0.35">
      <c r="B101" t="s">
        <v>1113</v>
      </c>
      <c r="C101" t="s">
        <v>182</v>
      </c>
      <c r="D101" t="s">
        <v>321</v>
      </c>
      <c r="E101" t="s">
        <v>35</v>
      </c>
      <c r="F101" t="s">
        <v>463</v>
      </c>
      <c r="G101">
        <v>1</v>
      </c>
    </row>
    <row r="102" spans="1:7" x14ac:dyDescent="0.35">
      <c r="B102" t="s">
        <v>1113</v>
      </c>
      <c r="C102" t="s">
        <v>179</v>
      </c>
      <c r="D102" t="s">
        <v>322</v>
      </c>
      <c r="E102" t="s">
        <v>35</v>
      </c>
      <c r="F102" t="s">
        <v>463</v>
      </c>
      <c r="G102">
        <v>1</v>
      </c>
    </row>
    <row r="103" spans="1:7" x14ac:dyDescent="0.35">
      <c r="B103" t="s">
        <v>1113</v>
      </c>
      <c r="C103" t="s">
        <v>180</v>
      </c>
      <c r="D103" t="s">
        <v>323</v>
      </c>
      <c r="E103" t="s">
        <v>35</v>
      </c>
      <c r="F103" t="s">
        <v>463</v>
      </c>
      <c r="G103">
        <v>1</v>
      </c>
    </row>
    <row r="104" spans="1:7" x14ac:dyDescent="0.35">
      <c r="B104" t="s">
        <v>1113</v>
      </c>
      <c r="C104" t="s">
        <v>1114</v>
      </c>
      <c r="D104" t="s">
        <v>324</v>
      </c>
      <c r="E104" t="s">
        <v>35</v>
      </c>
      <c r="F104" t="s">
        <v>463</v>
      </c>
      <c r="G104">
        <v>1</v>
      </c>
    </row>
    <row r="105" spans="1:7" x14ac:dyDescent="0.35">
      <c r="B105" t="s">
        <v>1113</v>
      </c>
      <c r="C105" t="s">
        <v>182</v>
      </c>
      <c r="D105" t="s">
        <v>325</v>
      </c>
      <c r="E105" t="s">
        <v>35</v>
      </c>
      <c r="F105" t="s">
        <v>463</v>
      </c>
      <c r="G105">
        <v>1</v>
      </c>
    </row>
    <row r="106" spans="1:7" x14ac:dyDescent="0.35">
      <c r="B106" t="s">
        <v>1345</v>
      </c>
      <c r="C106" t="s">
        <v>179</v>
      </c>
      <c r="D106" t="s">
        <v>1360</v>
      </c>
      <c r="E106" t="s">
        <v>35</v>
      </c>
      <c r="G106">
        <v>1</v>
      </c>
    </row>
    <row r="107" spans="1:7" x14ac:dyDescent="0.35">
      <c r="B107" t="s">
        <v>1345</v>
      </c>
      <c r="C107" t="s">
        <v>180</v>
      </c>
      <c r="D107" t="s">
        <v>1361</v>
      </c>
      <c r="E107" t="s">
        <v>35</v>
      </c>
      <c r="G107">
        <v>1</v>
      </c>
    </row>
    <row r="108" spans="1:7" x14ac:dyDescent="0.35">
      <c r="B108" t="s">
        <v>1345</v>
      </c>
      <c r="C108" t="s">
        <v>181</v>
      </c>
      <c r="D108" t="s">
        <v>1362</v>
      </c>
      <c r="E108" t="s">
        <v>35</v>
      </c>
      <c r="G108">
        <v>1</v>
      </c>
    </row>
    <row r="109" spans="1:7" x14ac:dyDescent="0.35">
      <c r="B109" t="s">
        <v>1345</v>
      </c>
      <c r="C109" t="s">
        <v>182</v>
      </c>
      <c r="D109" t="s">
        <v>1363</v>
      </c>
      <c r="E109" t="s">
        <v>35</v>
      </c>
      <c r="G109">
        <v>1</v>
      </c>
    </row>
    <row r="110" spans="1:7" x14ac:dyDescent="0.35">
      <c r="B110" t="s">
        <v>1344</v>
      </c>
      <c r="C110" t="s">
        <v>179</v>
      </c>
      <c r="D110" t="s">
        <v>1356</v>
      </c>
      <c r="E110" t="s">
        <v>35</v>
      </c>
      <c r="G110">
        <v>1</v>
      </c>
    </row>
    <row r="111" spans="1:7" x14ac:dyDescent="0.35">
      <c r="B111" t="s">
        <v>1344</v>
      </c>
      <c r="C111" t="s">
        <v>180</v>
      </c>
      <c r="D111" t="s">
        <v>1357</v>
      </c>
      <c r="E111" t="s">
        <v>35</v>
      </c>
      <c r="G111">
        <v>1</v>
      </c>
    </row>
    <row r="112" spans="1:7" x14ac:dyDescent="0.35">
      <c r="B112" t="s">
        <v>1344</v>
      </c>
      <c r="C112" t="s">
        <v>181</v>
      </c>
      <c r="D112" t="s">
        <v>1358</v>
      </c>
      <c r="E112" t="s">
        <v>35</v>
      </c>
      <c r="G112">
        <v>1</v>
      </c>
    </row>
    <row r="113" spans="2:7" x14ac:dyDescent="0.35">
      <c r="B113" t="s">
        <v>1344</v>
      </c>
      <c r="C113" t="s">
        <v>182</v>
      </c>
      <c r="D113" t="s">
        <v>1359</v>
      </c>
      <c r="E113" t="s">
        <v>35</v>
      </c>
      <c r="G113">
        <v>1</v>
      </c>
    </row>
    <row r="114" spans="2:7" x14ac:dyDescent="0.35">
      <c r="B114" t="s">
        <v>1343</v>
      </c>
      <c r="C114" t="s">
        <v>179</v>
      </c>
      <c r="D114" t="s">
        <v>1352</v>
      </c>
      <c r="E114" t="s">
        <v>35</v>
      </c>
      <c r="G114">
        <v>1</v>
      </c>
    </row>
    <row r="115" spans="2:7" x14ac:dyDescent="0.35">
      <c r="B115" t="s">
        <v>1343</v>
      </c>
      <c r="C115" t="s">
        <v>180</v>
      </c>
      <c r="D115" t="s">
        <v>1353</v>
      </c>
      <c r="E115" t="s">
        <v>35</v>
      </c>
      <c r="G115">
        <v>1</v>
      </c>
    </row>
    <row r="116" spans="2:7" x14ac:dyDescent="0.35">
      <c r="B116" t="s">
        <v>1343</v>
      </c>
      <c r="C116" t="s">
        <v>181</v>
      </c>
      <c r="D116" t="s">
        <v>1354</v>
      </c>
      <c r="E116" t="s">
        <v>35</v>
      </c>
      <c r="G116">
        <v>1</v>
      </c>
    </row>
    <row r="117" spans="2:7" x14ac:dyDescent="0.35">
      <c r="B117" t="s">
        <v>1343</v>
      </c>
      <c r="C117" t="s">
        <v>182</v>
      </c>
      <c r="D117" t="s">
        <v>1355</v>
      </c>
      <c r="E117" t="s">
        <v>35</v>
      </c>
      <c r="G117">
        <v>1</v>
      </c>
    </row>
    <row r="118" spans="2:7" x14ac:dyDescent="0.35">
      <c r="B118" t="s">
        <v>1196</v>
      </c>
      <c r="C118" t="s">
        <v>179</v>
      </c>
      <c r="D118" t="s">
        <v>695</v>
      </c>
      <c r="E118" t="s">
        <v>35</v>
      </c>
      <c r="G118">
        <v>1</v>
      </c>
    </row>
    <row r="119" spans="2:7" x14ac:dyDescent="0.35">
      <c r="B119" t="s">
        <v>1196</v>
      </c>
      <c r="C119" t="s">
        <v>180</v>
      </c>
      <c r="D119" t="s">
        <v>696</v>
      </c>
      <c r="E119" t="s">
        <v>35</v>
      </c>
      <c r="G119">
        <v>1</v>
      </c>
    </row>
    <row r="120" spans="2:7" x14ac:dyDescent="0.35">
      <c r="B120" t="s">
        <v>1196</v>
      </c>
      <c r="C120" t="s">
        <v>181</v>
      </c>
      <c r="D120" t="s">
        <v>697</v>
      </c>
      <c r="E120" t="s">
        <v>35</v>
      </c>
      <c r="G120">
        <v>1</v>
      </c>
    </row>
    <row r="121" spans="2:7" x14ac:dyDescent="0.35">
      <c r="B121" t="s">
        <v>1196</v>
      </c>
      <c r="C121" t="s">
        <v>182</v>
      </c>
      <c r="D121" t="s">
        <v>698</v>
      </c>
      <c r="E121" t="s">
        <v>35</v>
      </c>
      <c r="G121">
        <v>1</v>
      </c>
    </row>
    <row r="122" spans="2:7" x14ac:dyDescent="0.35">
      <c r="B122" t="s">
        <v>1196</v>
      </c>
      <c r="C122" t="s">
        <v>179</v>
      </c>
      <c r="D122" t="s">
        <v>889</v>
      </c>
      <c r="E122" t="s">
        <v>35</v>
      </c>
      <c r="G122">
        <v>1</v>
      </c>
    </row>
    <row r="123" spans="2:7" x14ac:dyDescent="0.35">
      <c r="B123" t="s">
        <v>1196</v>
      </c>
      <c r="C123" t="s">
        <v>180</v>
      </c>
      <c r="D123" t="s">
        <v>890</v>
      </c>
      <c r="E123" t="s">
        <v>35</v>
      </c>
      <c r="G123">
        <v>1</v>
      </c>
    </row>
    <row r="124" spans="2:7" x14ac:dyDescent="0.35">
      <c r="B124" t="s">
        <v>1196</v>
      </c>
      <c r="C124" t="s">
        <v>181</v>
      </c>
      <c r="D124" t="s">
        <v>891</v>
      </c>
      <c r="E124" t="s">
        <v>35</v>
      </c>
      <c r="G124">
        <v>1</v>
      </c>
    </row>
    <row r="125" spans="2:7" x14ac:dyDescent="0.35">
      <c r="B125" t="s">
        <v>1196</v>
      </c>
      <c r="C125" t="s">
        <v>182</v>
      </c>
      <c r="D125" t="s">
        <v>892</v>
      </c>
      <c r="E125" t="s">
        <v>35</v>
      </c>
      <c r="G125">
        <v>1</v>
      </c>
    </row>
    <row r="126" spans="2:7" x14ac:dyDescent="0.35">
      <c r="B126" t="s">
        <v>1196</v>
      </c>
      <c r="C126" t="s">
        <v>179</v>
      </c>
      <c r="D126" t="s">
        <v>897</v>
      </c>
      <c r="E126" t="s">
        <v>35</v>
      </c>
      <c r="G126">
        <v>1</v>
      </c>
    </row>
    <row r="127" spans="2:7" x14ac:dyDescent="0.35">
      <c r="B127" t="s">
        <v>1196</v>
      </c>
      <c r="C127" t="s">
        <v>180</v>
      </c>
      <c r="D127" t="s">
        <v>898</v>
      </c>
      <c r="E127" t="s">
        <v>35</v>
      </c>
      <c r="G127">
        <v>1</v>
      </c>
    </row>
    <row r="128" spans="2:7" x14ac:dyDescent="0.35">
      <c r="B128" t="s">
        <v>1196</v>
      </c>
      <c r="C128" t="s">
        <v>181</v>
      </c>
      <c r="D128" t="s">
        <v>899</v>
      </c>
      <c r="E128" t="s">
        <v>35</v>
      </c>
      <c r="G128">
        <v>1</v>
      </c>
    </row>
    <row r="129" spans="1:7" x14ac:dyDescent="0.35">
      <c r="B129" t="s">
        <v>1196</v>
      </c>
      <c r="C129" t="s">
        <v>182</v>
      </c>
      <c r="D129" t="s">
        <v>900</v>
      </c>
      <c r="E129" t="s">
        <v>35</v>
      </c>
      <c r="G129">
        <v>1</v>
      </c>
    </row>
    <row r="130" spans="1:7" x14ac:dyDescent="0.35">
      <c r="B130" t="s">
        <v>1196</v>
      </c>
      <c r="C130" t="s">
        <v>179</v>
      </c>
      <c r="D130" t="s">
        <v>893</v>
      </c>
      <c r="E130" t="s">
        <v>35</v>
      </c>
      <c r="G130">
        <v>1</v>
      </c>
    </row>
    <row r="131" spans="1:7" x14ac:dyDescent="0.35">
      <c r="B131" t="s">
        <v>1196</v>
      </c>
      <c r="C131" t="s">
        <v>180</v>
      </c>
      <c r="D131" t="s">
        <v>894</v>
      </c>
      <c r="E131" t="s">
        <v>35</v>
      </c>
      <c r="G131">
        <v>1</v>
      </c>
    </row>
    <row r="132" spans="1:7" x14ac:dyDescent="0.35">
      <c r="B132" t="s">
        <v>1196</v>
      </c>
      <c r="C132" t="s">
        <v>181</v>
      </c>
      <c r="D132" t="s">
        <v>895</v>
      </c>
      <c r="E132" t="s">
        <v>35</v>
      </c>
      <c r="G132">
        <v>1</v>
      </c>
    </row>
    <row r="133" spans="1:7" x14ac:dyDescent="0.35">
      <c r="B133" t="s">
        <v>1196</v>
      </c>
      <c r="C133" t="s">
        <v>182</v>
      </c>
      <c r="D133" t="s">
        <v>896</v>
      </c>
      <c r="E133" t="s">
        <v>35</v>
      </c>
      <c r="G133">
        <v>1</v>
      </c>
    </row>
    <row r="134" spans="1:7" x14ac:dyDescent="0.35">
      <c r="A134" t="s">
        <v>457</v>
      </c>
      <c r="B134" t="s">
        <v>1196</v>
      </c>
      <c r="C134" t="s">
        <v>179</v>
      </c>
      <c r="D134" t="s">
        <v>1256</v>
      </c>
      <c r="E134" t="s">
        <v>35</v>
      </c>
      <c r="F134" t="s">
        <v>1260</v>
      </c>
      <c r="G134">
        <f>47/5</f>
        <v>9.4</v>
      </c>
    </row>
    <row r="135" spans="1:7" x14ac:dyDescent="0.35">
      <c r="A135" t="s">
        <v>457</v>
      </c>
      <c r="B135" t="s">
        <v>1196</v>
      </c>
      <c r="C135" t="s">
        <v>180</v>
      </c>
      <c r="D135" t="s">
        <v>1257</v>
      </c>
      <c r="E135" t="s">
        <v>35</v>
      </c>
      <c r="F135" t="s">
        <v>1261</v>
      </c>
      <c r="G135">
        <f>47/5</f>
        <v>9.4</v>
      </c>
    </row>
    <row r="136" spans="1:7" x14ac:dyDescent="0.35">
      <c r="A136" t="s">
        <v>457</v>
      </c>
      <c r="B136" t="s">
        <v>1196</v>
      </c>
      <c r="C136" t="s">
        <v>181</v>
      </c>
      <c r="D136" t="s">
        <v>1258</v>
      </c>
      <c r="E136" t="s">
        <v>35</v>
      </c>
      <c r="F136" t="s">
        <v>1262</v>
      </c>
      <c r="G136">
        <f>47/5</f>
        <v>9.4</v>
      </c>
    </row>
    <row r="137" spans="1:7" x14ac:dyDescent="0.35">
      <c r="A137" t="s">
        <v>457</v>
      </c>
      <c r="B137" t="s">
        <v>1196</v>
      </c>
      <c r="C137" t="s">
        <v>182</v>
      </c>
      <c r="D137" t="s">
        <v>1259</v>
      </c>
      <c r="E137" t="s">
        <v>35</v>
      </c>
      <c r="F137" t="s">
        <v>1263</v>
      </c>
      <c r="G137">
        <f>47/5</f>
        <v>9.4</v>
      </c>
    </row>
    <row r="138" spans="1:7" x14ac:dyDescent="0.35">
      <c r="A138" t="s">
        <v>457</v>
      </c>
      <c r="B138" t="s">
        <v>1196</v>
      </c>
      <c r="C138" t="s">
        <v>179</v>
      </c>
      <c r="D138" t="s">
        <v>1252</v>
      </c>
      <c r="E138" t="s">
        <v>35</v>
      </c>
      <c r="F138" t="s">
        <v>1264</v>
      </c>
      <c r="G138">
        <f>45.1/5</f>
        <v>9.02</v>
      </c>
    </row>
    <row r="139" spans="1:7" x14ac:dyDescent="0.35">
      <c r="A139" t="s">
        <v>457</v>
      </c>
      <c r="B139" t="s">
        <v>1196</v>
      </c>
      <c r="C139" t="s">
        <v>180</v>
      </c>
      <c r="D139" t="s">
        <v>1253</v>
      </c>
      <c r="E139" t="s">
        <v>35</v>
      </c>
      <c r="F139" t="s">
        <v>1265</v>
      </c>
      <c r="G139">
        <f>45.1/5</f>
        <v>9.02</v>
      </c>
    </row>
    <row r="140" spans="1:7" x14ac:dyDescent="0.35">
      <c r="A140" t="s">
        <v>457</v>
      </c>
      <c r="B140" t="s">
        <v>1196</v>
      </c>
      <c r="C140" t="s">
        <v>181</v>
      </c>
      <c r="D140" t="s">
        <v>1254</v>
      </c>
      <c r="E140" t="s">
        <v>35</v>
      </c>
      <c r="F140" t="s">
        <v>1266</v>
      </c>
      <c r="G140">
        <f>45.1/5</f>
        <v>9.02</v>
      </c>
    </row>
    <row r="141" spans="1:7" x14ac:dyDescent="0.35">
      <c r="A141" t="s">
        <v>457</v>
      </c>
      <c r="B141" t="s">
        <v>1196</v>
      </c>
      <c r="C141" t="s">
        <v>182</v>
      </c>
      <c r="D141" t="s">
        <v>1255</v>
      </c>
      <c r="E141" t="s">
        <v>35</v>
      </c>
      <c r="F141" t="s">
        <v>1267</v>
      </c>
      <c r="G141">
        <f>45.1/5</f>
        <v>9.02</v>
      </c>
    </row>
    <row r="142" spans="1:7" x14ac:dyDescent="0.35">
      <c r="A142" t="s">
        <v>457</v>
      </c>
      <c r="B142" t="s">
        <v>1196</v>
      </c>
      <c r="C142" t="s">
        <v>179</v>
      </c>
      <c r="D142" t="s">
        <v>1272</v>
      </c>
      <c r="E142" t="s">
        <v>35</v>
      </c>
      <c r="F142" t="s">
        <v>1273</v>
      </c>
      <c r="G142">
        <f>43.2/5</f>
        <v>8.64</v>
      </c>
    </row>
    <row r="143" spans="1:7" x14ac:dyDescent="0.35">
      <c r="A143" t="s">
        <v>457</v>
      </c>
      <c r="B143" t="s">
        <v>1196</v>
      </c>
      <c r="C143" t="s">
        <v>180</v>
      </c>
      <c r="D143" t="s">
        <v>1274</v>
      </c>
      <c r="E143" t="s">
        <v>35</v>
      </c>
      <c r="F143" t="s">
        <v>1275</v>
      </c>
      <c r="G143">
        <f>43.2/5</f>
        <v>8.64</v>
      </c>
    </row>
    <row r="144" spans="1:7" x14ac:dyDescent="0.35">
      <c r="A144" t="s">
        <v>457</v>
      </c>
      <c r="B144" t="s">
        <v>1196</v>
      </c>
      <c r="C144" t="s">
        <v>181</v>
      </c>
      <c r="D144" t="s">
        <v>1276</v>
      </c>
      <c r="E144" t="s">
        <v>35</v>
      </c>
      <c r="F144" t="s">
        <v>1277</v>
      </c>
      <c r="G144">
        <f>43.2/5</f>
        <v>8.64</v>
      </c>
    </row>
    <row r="145" spans="1:7" x14ac:dyDescent="0.35">
      <c r="A145" t="s">
        <v>457</v>
      </c>
      <c r="B145" t="s">
        <v>1196</v>
      </c>
      <c r="C145" t="s">
        <v>182</v>
      </c>
      <c r="D145" t="s">
        <v>1278</v>
      </c>
      <c r="E145" t="s">
        <v>35</v>
      </c>
      <c r="F145" t="s">
        <v>1279</v>
      </c>
      <c r="G145">
        <f>43.2/5</f>
        <v>8.64</v>
      </c>
    </row>
    <row r="146" spans="1:7" x14ac:dyDescent="0.35">
      <c r="A146" t="s">
        <v>457</v>
      </c>
      <c r="B146" t="s">
        <v>1196</v>
      </c>
      <c r="C146" t="s">
        <v>179</v>
      </c>
      <c r="D146" t="s">
        <v>1284</v>
      </c>
      <c r="E146" t="s">
        <v>35</v>
      </c>
      <c r="F146" t="s">
        <v>1285</v>
      </c>
      <c r="G146">
        <f>37.6/5</f>
        <v>7.5200000000000005</v>
      </c>
    </row>
    <row r="147" spans="1:7" x14ac:dyDescent="0.35">
      <c r="A147" t="s">
        <v>457</v>
      </c>
      <c r="B147" t="s">
        <v>1196</v>
      </c>
      <c r="C147" t="s">
        <v>180</v>
      </c>
      <c r="D147" t="s">
        <v>1286</v>
      </c>
      <c r="E147" t="s">
        <v>35</v>
      </c>
      <c r="F147" t="s">
        <v>1287</v>
      </c>
      <c r="G147">
        <f>37.6/5</f>
        <v>7.5200000000000005</v>
      </c>
    </row>
    <row r="148" spans="1:7" x14ac:dyDescent="0.35">
      <c r="A148" t="s">
        <v>457</v>
      </c>
      <c r="B148" t="s">
        <v>1196</v>
      </c>
      <c r="C148" t="s">
        <v>181</v>
      </c>
      <c r="D148" t="s">
        <v>1288</v>
      </c>
      <c r="E148" t="s">
        <v>35</v>
      </c>
      <c r="F148" t="s">
        <v>1289</v>
      </c>
      <c r="G148">
        <f>37.6/5</f>
        <v>7.5200000000000005</v>
      </c>
    </row>
    <row r="149" spans="1:7" x14ac:dyDescent="0.35">
      <c r="A149" t="s">
        <v>457</v>
      </c>
      <c r="B149" t="s">
        <v>1196</v>
      </c>
      <c r="C149" t="s">
        <v>182</v>
      </c>
      <c r="D149" t="s">
        <v>1290</v>
      </c>
      <c r="E149" t="s">
        <v>35</v>
      </c>
      <c r="F149" t="s">
        <v>1291</v>
      </c>
      <c r="G149">
        <f>37.6/5</f>
        <v>7.5200000000000005</v>
      </c>
    </row>
    <row r="150" spans="1:7" x14ac:dyDescent="0.35">
      <c r="B150" t="s">
        <v>1194</v>
      </c>
      <c r="C150" t="s">
        <v>179</v>
      </c>
      <c r="D150" t="s">
        <v>723</v>
      </c>
      <c r="E150" t="s">
        <v>35</v>
      </c>
      <c r="G150">
        <v>1</v>
      </c>
    </row>
    <row r="151" spans="1:7" x14ac:dyDescent="0.35">
      <c r="B151" t="s">
        <v>1194</v>
      </c>
      <c r="C151" t="s">
        <v>180</v>
      </c>
      <c r="D151" t="s">
        <v>724</v>
      </c>
      <c r="E151" t="s">
        <v>35</v>
      </c>
      <c r="G151">
        <v>1</v>
      </c>
    </row>
    <row r="152" spans="1:7" x14ac:dyDescent="0.35">
      <c r="B152" t="s">
        <v>1194</v>
      </c>
      <c r="C152" t="s">
        <v>181</v>
      </c>
      <c r="D152" t="s">
        <v>725</v>
      </c>
      <c r="E152" t="s">
        <v>35</v>
      </c>
      <c r="G152">
        <v>1</v>
      </c>
    </row>
    <row r="153" spans="1:7" x14ac:dyDescent="0.35">
      <c r="B153" t="s">
        <v>1194</v>
      </c>
      <c r="C153" t="s">
        <v>182</v>
      </c>
      <c r="D153" t="s">
        <v>726</v>
      </c>
      <c r="E153" t="s">
        <v>35</v>
      </c>
      <c r="G153">
        <v>1</v>
      </c>
    </row>
    <row r="154" spans="1:7" x14ac:dyDescent="0.35">
      <c r="A154" t="s">
        <v>457</v>
      </c>
      <c r="B154" t="s">
        <v>1194</v>
      </c>
      <c r="C154" t="s">
        <v>179</v>
      </c>
      <c r="D154" t="s">
        <v>878</v>
      </c>
      <c r="E154" t="s">
        <v>35</v>
      </c>
      <c r="F154" t="s">
        <v>707</v>
      </c>
      <c r="G154">
        <f>956/380664</f>
        <v>2.5114011306559066E-3</v>
      </c>
    </row>
    <row r="155" spans="1:7" x14ac:dyDescent="0.35">
      <c r="A155" t="s">
        <v>457</v>
      </c>
      <c r="B155" t="s">
        <v>1194</v>
      </c>
      <c r="C155" t="s">
        <v>180</v>
      </c>
      <c r="D155" t="s">
        <v>879</v>
      </c>
      <c r="E155" t="s">
        <v>35</v>
      </c>
      <c r="F155" t="s">
        <v>708</v>
      </c>
      <c r="G155">
        <f>956/380664</f>
        <v>2.5114011306559066E-3</v>
      </c>
    </row>
    <row r="156" spans="1:7" x14ac:dyDescent="0.35">
      <c r="A156" t="s">
        <v>457</v>
      </c>
      <c r="B156" t="s">
        <v>1194</v>
      </c>
      <c r="C156" t="s">
        <v>181</v>
      </c>
      <c r="D156" t="s">
        <v>880</v>
      </c>
      <c r="E156" t="s">
        <v>35</v>
      </c>
      <c r="F156" t="s">
        <v>709</v>
      </c>
      <c r="G156">
        <f>956/380664</f>
        <v>2.5114011306559066E-3</v>
      </c>
    </row>
    <row r="157" spans="1:7" x14ac:dyDescent="0.35">
      <c r="A157" t="s">
        <v>457</v>
      </c>
      <c r="B157" t="s">
        <v>1194</v>
      </c>
      <c r="C157" t="s">
        <v>182</v>
      </c>
      <c r="D157" t="s">
        <v>881</v>
      </c>
      <c r="E157" t="s">
        <v>35</v>
      </c>
      <c r="F157" t="s">
        <v>710</v>
      </c>
      <c r="G157">
        <f>956/380664</f>
        <v>2.5114011306559066E-3</v>
      </c>
    </row>
    <row r="158" spans="1:7" x14ac:dyDescent="0.35">
      <c r="A158" t="s">
        <v>457</v>
      </c>
      <c r="B158" t="s">
        <v>1194</v>
      </c>
      <c r="C158" t="s">
        <v>179</v>
      </c>
      <c r="D158" t="s">
        <v>882</v>
      </c>
      <c r="E158" t="s">
        <v>35</v>
      </c>
      <c r="F158" t="s">
        <v>862</v>
      </c>
      <c r="G158">
        <f>1292/37402*0.5</f>
        <v>1.7271803646863804E-2</v>
      </c>
    </row>
    <row r="159" spans="1:7" x14ac:dyDescent="0.35">
      <c r="A159" t="s">
        <v>457</v>
      </c>
      <c r="B159" t="s">
        <v>1194</v>
      </c>
      <c r="C159" t="s">
        <v>180</v>
      </c>
      <c r="D159" t="s">
        <v>883</v>
      </c>
      <c r="E159" t="s">
        <v>35</v>
      </c>
      <c r="F159" t="s">
        <v>863</v>
      </c>
      <c r="G159">
        <f>1292/37402*0.5</f>
        <v>1.7271803646863804E-2</v>
      </c>
    </row>
    <row r="160" spans="1:7" x14ac:dyDescent="0.35">
      <c r="A160" t="s">
        <v>457</v>
      </c>
      <c r="B160" t="s">
        <v>1194</v>
      </c>
      <c r="C160" t="s">
        <v>181</v>
      </c>
      <c r="D160" t="s">
        <v>884</v>
      </c>
      <c r="E160" t="s">
        <v>35</v>
      </c>
      <c r="F160" t="s">
        <v>864</v>
      </c>
      <c r="G160">
        <f>1292/37402*0.5</f>
        <v>1.7271803646863804E-2</v>
      </c>
    </row>
    <row r="161" spans="1:7" x14ac:dyDescent="0.35">
      <c r="A161" t="s">
        <v>457</v>
      </c>
      <c r="B161" t="s">
        <v>1194</v>
      </c>
      <c r="C161" t="s">
        <v>182</v>
      </c>
      <c r="D161" t="s">
        <v>885</v>
      </c>
      <c r="E161" t="s">
        <v>35</v>
      </c>
      <c r="F161" t="s">
        <v>865</v>
      </c>
      <c r="G161">
        <f>1292/37402*0.5</f>
        <v>1.7271803646863804E-2</v>
      </c>
    </row>
    <row r="162" spans="1:7" x14ac:dyDescent="0.35">
      <c r="A162" t="s">
        <v>463</v>
      </c>
      <c r="B162" t="s">
        <v>2</v>
      </c>
      <c r="C162" t="s">
        <v>179</v>
      </c>
      <c r="D162" t="s">
        <v>184</v>
      </c>
      <c r="E162" t="s">
        <v>35</v>
      </c>
      <c r="F162" t="s">
        <v>463</v>
      </c>
      <c r="G162">
        <v>1</v>
      </c>
    </row>
    <row r="163" spans="1:7" x14ac:dyDescent="0.35">
      <c r="A163" t="s">
        <v>463</v>
      </c>
      <c r="B163" t="s">
        <v>2</v>
      </c>
      <c r="C163" t="s">
        <v>180</v>
      </c>
      <c r="D163" t="s">
        <v>185</v>
      </c>
      <c r="E163" t="s">
        <v>35</v>
      </c>
      <c r="F163" t="s">
        <v>463</v>
      </c>
      <c r="G163">
        <v>1</v>
      </c>
    </row>
    <row r="164" spans="1:7" x14ac:dyDescent="0.35">
      <c r="A164" t="s">
        <v>463</v>
      </c>
      <c r="B164" t="s">
        <v>2</v>
      </c>
      <c r="C164" t="s">
        <v>183</v>
      </c>
      <c r="D164" t="s">
        <v>186</v>
      </c>
      <c r="E164" t="s">
        <v>35</v>
      </c>
      <c r="F164" t="s">
        <v>463</v>
      </c>
      <c r="G164">
        <v>1</v>
      </c>
    </row>
    <row r="165" spans="1:7" x14ac:dyDescent="0.35">
      <c r="A165" t="s">
        <v>463</v>
      </c>
      <c r="B165" t="s">
        <v>2</v>
      </c>
      <c r="C165" t="s">
        <v>182</v>
      </c>
      <c r="D165" t="s">
        <v>187</v>
      </c>
      <c r="E165" t="s">
        <v>35</v>
      </c>
      <c r="F165" t="s">
        <v>463</v>
      </c>
      <c r="G165">
        <v>1</v>
      </c>
    </row>
    <row r="166" spans="1:7" x14ac:dyDescent="0.35">
      <c r="B166" t="s">
        <v>2</v>
      </c>
      <c r="C166" t="s">
        <v>179</v>
      </c>
      <c r="D166" t="s">
        <v>862</v>
      </c>
      <c r="E166" t="s">
        <v>35</v>
      </c>
      <c r="F166" t="s">
        <v>463</v>
      </c>
      <c r="G166">
        <v>1</v>
      </c>
    </row>
    <row r="167" spans="1:7" x14ac:dyDescent="0.35">
      <c r="B167" t="s">
        <v>2</v>
      </c>
      <c r="C167" t="s">
        <v>180</v>
      </c>
      <c r="D167" t="s">
        <v>863</v>
      </c>
      <c r="E167" t="s">
        <v>35</v>
      </c>
      <c r="F167" t="s">
        <v>463</v>
      </c>
      <c r="G167">
        <v>1</v>
      </c>
    </row>
    <row r="168" spans="1:7" x14ac:dyDescent="0.35">
      <c r="B168" t="s">
        <v>2</v>
      </c>
      <c r="C168" t="s">
        <v>183</v>
      </c>
      <c r="D168" t="s">
        <v>864</v>
      </c>
      <c r="E168" t="s">
        <v>35</v>
      </c>
      <c r="F168" t="s">
        <v>463</v>
      </c>
      <c r="G168">
        <v>1</v>
      </c>
    </row>
    <row r="169" spans="1:7" x14ac:dyDescent="0.35">
      <c r="B169" t="s">
        <v>2</v>
      </c>
      <c r="C169" t="s">
        <v>182</v>
      </c>
      <c r="D169" t="s">
        <v>865</v>
      </c>
      <c r="E169" t="s">
        <v>35</v>
      </c>
      <c r="F169" t="s">
        <v>463</v>
      </c>
      <c r="G169">
        <v>1</v>
      </c>
    </row>
    <row r="170" spans="1:7" x14ac:dyDescent="0.35">
      <c r="A170" t="s">
        <v>457</v>
      </c>
      <c r="B170" t="s">
        <v>2</v>
      </c>
      <c r="C170" t="s">
        <v>179</v>
      </c>
      <c r="D170" t="s">
        <v>901</v>
      </c>
      <c r="E170" t="s">
        <v>35</v>
      </c>
      <c r="F170" t="s">
        <v>889</v>
      </c>
      <c r="G170">
        <f>2/100</f>
        <v>0.02</v>
      </c>
    </row>
    <row r="171" spans="1:7" x14ac:dyDescent="0.35">
      <c r="A171" t="s">
        <v>457</v>
      </c>
      <c r="B171" t="s">
        <v>2</v>
      </c>
      <c r="C171" t="s">
        <v>180</v>
      </c>
      <c r="D171" t="s">
        <v>902</v>
      </c>
      <c r="E171" t="s">
        <v>35</v>
      </c>
      <c r="F171" t="s">
        <v>890</v>
      </c>
      <c r="G171">
        <f>2/100</f>
        <v>0.02</v>
      </c>
    </row>
    <row r="172" spans="1:7" x14ac:dyDescent="0.35">
      <c r="A172" t="s">
        <v>457</v>
      </c>
      <c r="B172" t="s">
        <v>2</v>
      </c>
      <c r="C172" t="s">
        <v>183</v>
      </c>
      <c r="D172" t="s">
        <v>903</v>
      </c>
      <c r="E172" t="s">
        <v>35</v>
      </c>
      <c r="F172" t="s">
        <v>891</v>
      </c>
      <c r="G172">
        <f>2/100</f>
        <v>0.02</v>
      </c>
    </row>
    <row r="173" spans="1:7" x14ac:dyDescent="0.35">
      <c r="A173" t="s">
        <v>457</v>
      </c>
      <c r="B173" t="s">
        <v>2</v>
      </c>
      <c r="C173" t="s">
        <v>182</v>
      </c>
      <c r="D173" t="s">
        <v>904</v>
      </c>
      <c r="E173" t="s">
        <v>35</v>
      </c>
      <c r="F173" t="s">
        <v>892</v>
      </c>
      <c r="G173">
        <f>2/100</f>
        <v>0.02</v>
      </c>
    </row>
    <row r="174" spans="1:7" x14ac:dyDescent="0.35">
      <c r="A174" t="s">
        <v>457</v>
      </c>
      <c r="B174" t="s">
        <v>2</v>
      </c>
      <c r="C174" t="s">
        <v>179</v>
      </c>
      <c r="D174" t="s">
        <v>905</v>
      </c>
      <c r="E174" t="s">
        <v>35</v>
      </c>
      <c r="F174" t="s">
        <v>897</v>
      </c>
      <c r="G174">
        <f>8/100</f>
        <v>0.08</v>
      </c>
    </row>
    <row r="175" spans="1:7" x14ac:dyDescent="0.35">
      <c r="A175" t="s">
        <v>457</v>
      </c>
      <c r="B175" t="s">
        <v>2</v>
      </c>
      <c r="C175" t="s">
        <v>180</v>
      </c>
      <c r="D175" t="s">
        <v>906</v>
      </c>
      <c r="E175" t="s">
        <v>35</v>
      </c>
      <c r="F175" t="s">
        <v>898</v>
      </c>
      <c r="G175">
        <f>8/100</f>
        <v>0.08</v>
      </c>
    </row>
    <row r="176" spans="1:7" x14ac:dyDescent="0.35">
      <c r="A176" t="s">
        <v>457</v>
      </c>
      <c r="B176" t="s">
        <v>2</v>
      </c>
      <c r="C176" t="s">
        <v>183</v>
      </c>
      <c r="D176" t="s">
        <v>907</v>
      </c>
      <c r="E176" t="s">
        <v>35</v>
      </c>
      <c r="F176" t="s">
        <v>899</v>
      </c>
      <c r="G176">
        <f>8/100</f>
        <v>0.08</v>
      </c>
    </row>
    <row r="177" spans="1:7" x14ac:dyDescent="0.35">
      <c r="A177" t="s">
        <v>457</v>
      </c>
      <c r="B177" t="s">
        <v>2</v>
      </c>
      <c r="C177" t="s">
        <v>182</v>
      </c>
      <c r="D177" t="s">
        <v>908</v>
      </c>
      <c r="E177" t="s">
        <v>35</v>
      </c>
      <c r="F177" t="s">
        <v>900</v>
      </c>
      <c r="G177">
        <f>8/100</f>
        <v>0.08</v>
      </c>
    </row>
    <row r="178" spans="1:7" x14ac:dyDescent="0.35">
      <c r="A178" t="s">
        <v>457</v>
      </c>
      <c r="B178" t="s">
        <v>2</v>
      </c>
      <c r="C178" t="s">
        <v>179</v>
      </c>
      <c r="D178" t="s">
        <v>909</v>
      </c>
      <c r="E178" t="s">
        <v>35</v>
      </c>
      <c r="F178" t="s">
        <v>893</v>
      </c>
      <c r="G178">
        <f>20/100</f>
        <v>0.2</v>
      </c>
    </row>
    <row r="179" spans="1:7" x14ac:dyDescent="0.35">
      <c r="A179" t="s">
        <v>457</v>
      </c>
      <c r="B179" t="s">
        <v>2</v>
      </c>
      <c r="C179" t="s">
        <v>180</v>
      </c>
      <c r="D179" t="s">
        <v>910</v>
      </c>
      <c r="E179" t="s">
        <v>35</v>
      </c>
      <c r="F179" t="s">
        <v>894</v>
      </c>
      <c r="G179">
        <f>20/100</f>
        <v>0.2</v>
      </c>
    </row>
    <row r="180" spans="1:7" x14ac:dyDescent="0.35">
      <c r="A180" t="s">
        <v>457</v>
      </c>
      <c r="B180" t="s">
        <v>2</v>
      </c>
      <c r="C180" t="s">
        <v>183</v>
      </c>
      <c r="D180" t="s">
        <v>911</v>
      </c>
      <c r="E180" t="s">
        <v>35</v>
      </c>
      <c r="F180" t="s">
        <v>895</v>
      </c>
      <c r="G180">
        <f>20/100</f>
        <v>0.2</v>
      </c>
    </row>
    <row r="181" spans="1:7" x14ac:dyDescent="0.35">
      <c r="A181" t="s">
        <v>457</v>
      </c>
      <c r="B181" t="s">
        <v>2</v>
      </c>
      <c r="C181" t="s">
        <v>182</v>
      </c>
      <c r="D181" t="s">
        <v>912</v>
      </c>
      <c r="E181" t="s">
        <v>35</v>
      </c>
      <c r="F181" t="s">
        <v>896</v>
      </c>
      <c r="G181">
        <f>20/100</f>
        <v>0.2</v>
      </c>
    </row>
    <row r="182" spans="1:7" x14ac:dyDescent="0.35">
      <c r="A182" t="s">
        <v>457</v>
      </c>
      <c r="B182" t="s">
        <v>2</v>
      </c>
      <c r="C182" t="s">
        <v>179</v>
      </c>
      <c r="D182" t="s">
        <v>1268</v>
      </c>
      <c r="E182" t="s">
        <v>35</v>
      </c>
      <c r="F182" t="s">
        <v>1264</v>
      </c>
      <c r="G182">
        <f>2.1/5</f>
        <v>0.42000000000000004</v>
      </c>
    </row>
    <row r="183" spans="1:7" x14ac:dyDescent="0.35">
      <c r="A183" t="s">
        <v>457</v>
      </c>
      <c r="B183" t="s">
        <v>2</v>
      </c>
      <c r="C183" t="s">
        <v>180</v>
      </c>
      <c r="D183" t="s">
        <v>1269</v>
      </c>
      <c r="E183" t="s">
        <v>35</v>
      </c>
      <c r="F183" t="s">
        <v>1265</v>
      </c>
      <c r="G183">
        <f>2.1/5</f>
        <v>0.42000000000000004</v>
      </c>
    </row>
    <row r="184" spans="1:7" x14ac:dyDescent="0.35">
      <c r="A184" t="s">
        <v>457</v>
      </c>
      <c r="B184" t="s">
        <v>2</v>
      </c>
      <c r="C184" t="s">
        <v>183</v>
      </c>
      <c r="D184" t="s">
        <v>1270</v>
      </c>
      <c r="E184" t="s">
        <v>35</v>
      </c>
      <c r="F184" t="s">
        <v>1266</v>
      </c>
      <c r="G184">
        <f>2.1/5</f>
        <v>0.42000000000000004</v>
      </c>
    </row>
    <row r="185" spans="1:7" x14ac:dyDescent="0.35">
      <c r="A185" t="s">
        <v>457</v>
      </c>
      <c r="B185" t="s">
        <v>2</v>
      </c>
      <c r="C185" t="s">
        <v>182</v>
      </c>
      <c r="D185" t="s">
        <v>1271</v>
      </c>
      <c r="E185" t="s">
        <v>35</v>
      </c>
      <c r="F185" t="s">
        <v>1267</v>
      </c>
      <c r="G185">
        <f>2.1/5</f>
        <v>0.42000000000000004</v>
      </c>
    </row>
    <row r="186" spans="1:7" x14ac:dyDescent="0.35">
      <c r="A186" t="s">
        <v>457</v>
      </c>
      <c r="B186" t="s">
        <v>2</v>
      </c>
      <c r="C186" t="s">
        <v>179</v>
      </c>
      <c r="D186" t="s">
        <v>1280</v>
      </c>
      <c r="E186" t="s">
        <v>35</v>
      </c>
      <c r="F186" t="s">
        <v>1273</v>
      </c>
      <c r="G186">
        <f>4.2/5</f>
        <v>0.84000000000000008</v>
      </c>
    </row>
    <row r="187" spans="1:7" x14ac:dyDescent="0.35">
      <c r="A187" t="s">
        <v>457</v>
      </c>
      <c r="B187" t="s">
        <v>2</v>
      </c>
      <c r="C187" t="s">
        <v>180</v>
      </c>
      <c r="D187" t="s">
        <v>1281</v>
      </c>
      <c r="E187" t="s">
        <v>35</v>
      </c>
      <c r="F187" t="s">
        <v>1275</v>
      </c>
      <c r="G187">
        <f>4.2/5</f>
        <v>0.84000000000000008</v>
      </c>
    </row>
    <row r="188" spans="1:7" x14ac:dyDescent="0.35">
      <c r="A188" t="s">
        <v>457</v>
      </c>
      <c r="B188" t="s">
        <v>2</v>
      </c>
      <c r="C188" t="s">
        <v>183</v>
      </c>
      <c r="D188" t="s">
        <v>1282</v>
      </c>
      <c r="E188" t="s">
        <v>35</v>
      </c>
      <c r="F188" t="s">
        <v>1277</v>
      </c>
      <c r="G188">
        <f>4.2/5</f>
        <v>0.84000000000000008</v>
      </c>
    </row>
    <row r="189" spans="1:7" x14ac:dyDescent="0.35">
      <c r="A189" t="s">
        <v>457</v>
      </c>
      <c r="B189" t="s">
        <v>2</v>
      </c>
      <c r="C189" t="s">
        <v>182</v>
      </c>
      <c r="D189" t="s">
        <v>1283</v>
      </c>
      <c r="E189" t="s">
        <v>35</v>
      </c>
      <c r="F189" t="s">
        <v>1279</v>
      </c>
      <c r="G189">
        <f>4.2/5</f>
        <v>0.84000000000000008</v>
      </c>
    </row>
    <row r="190" spans="1:7" x14ac:dyDescent="0.35">
      <c r="A190" t="s">
        <v>457</v>
      </c>
      <c r="B190" t="s">
        <v>2</v>
      </c>
      <c r="C190" t="s">
        <v>179</v>
      </c>
      <c r="D190" t="s">
        <v>1292</v>
      </c>
      <c r="E190" t="s">
        <v>35</v>
      </c>
      <c r="F190" t="s">
        <v>1285</v>
      </c>
      <c r="G190">
        <f>11.8/5</f>
        <v>2.3600000000000003</v>
      </c>
    </row>
    <row r="191" spans="1:7" x14ac:dyDescent="0.35">
      <c r="A191" t="s">
        <v>457</v>
      </c>
      <c r="B191" t="s">
        <v>2</v>
      </c>
      <c r="C191" t="s">
        <v>180</v>
      </c>
      <c r="D191" t="s">
        <v>1293</v>
      </c>
      <c r="E191" t="s">
        <v>35</v>
      </c>
      <c r="F191" t="s">
        <v>1287</v>
      </c>
      <c r="G191">
        <f>11.8/5</f>
        <v>2.3600000000000003</v>
      </c>
    </row>
    <row r="192" spans="1:7" x14ac:dyDescent="0.35">
      <c r="A192" t="s">
        <v>457</v>
      </c>
      <c r="B192" t="s">
        <v>2</v>
      </c>
      <c r="C192" t="s">
        <v>183</v>
      </c>
      <c r="D192" t="s">
        <v>1294</v>
      </c>
      <c r="E192" t="s">
        <v>35</v>
      </c>
      <c r="F192" t="s">
        <v>1289</v>
      </c>
      <c r="G192">
        <f>11.8/5</f>
        <v>2.3600000000000003</v>
      </c>
    </row>
    <row r="193" spans="1:7" x14ac:dyDescent="0.35">
      <c r="A193" t="s">
        <v>457</v>
      </c>
      <c r="B193" t="s">
        <v>2</v>
      </c>
      <c r="C193" t="s">
        <v>182</v>
      </c>
      <c r="D193" t="s">
        <v>1295</v>
      </c>
      <c r="E193" t="s">
        <v>35</v>
      </c>
      <c r="F193" t="s">
        <v>1291</v>
      </c>
      <c r="G193">
        <f>11.8/5</f>
        <v>2.3600000000000003</v>
      </c>
    </row>
    <row r="194" spans="1:7" x14ac:dyDescent="0.35">
      <c r="A194" t="s">
        <v>463</v>
      </c>
      <c r="B194" t="s">
        <v>353</v>
      </c>
      <c r="C194" t="s">
        <v>179</v>
      </c>
      <c r="D194" t="s">
        <v>429</v>
      </c>
      <c r="E194" t="s">
        <v>35</v>
      </c>
      <c r="F194" t="s">
        <v>463</v>
      </c>
      <c r="G194">
        <v>1</v>
      </c>
    </row>
    <row r="195" spans="1:7" x14ac:dyDescent="0.35">
      <c r="A195" t="s">
        <v>463</v>
      </c>
      <c r="B195" t="s">
        <v>353</v>
      </c>
      <c r="C195" t="s">
        <v>180</v>
      </c>
      <c r="D195" t="s">
        <v>430</v>
      </c>
      <c r="E195" t="s">
        <v>35</v>
      </c>
      <c r="F195" t="s">
        <v>463</v>
      </c>
      <c r="G195">
        <v>1</v>
      </c>
    </row>
    <row r="196" spans="1:7" x14ac:dyDescent="0.35">
      <c r="A196" t="s">
        <v>463</v>
      </c>
      <c r="B196" t="s">
        <v>353</v>
      </c>
      <c r="C196" t="s">
        <v>181</v>
      </c>
      <c r="D196" t="s">
        <v>431</v>
      </c>
      <c r="E196" t="s">
        <v>35</v>
      </c>
      <c r="F196" t="s">
        <v>463</v>
      </c>
      <c r="G196">
        <v>1</v>
      </c>
    </row>
    <row r="197" spans="1:7" x14ac:dyDescent="0.35">
      <c r="A197" t="s">
        <v>463</v>
      </c>
      <c r="B197" t="s">
        <v>353</v>
      </c>
      <c r="C197" t="s">
        <v>182</v>
      </c>
      <c r="D197" t="s">
        <v>432</v>
      </c>
      <c r="E197" t="s">
        <v>35</v>
      </c>
      <c r="F197" t="s">
        <v>463</v>
      </c>
      <c r="G197">
        <v>1</v>
      </c>
    </row>
    <row r="198" spans="1:7" x14ac:dyDescent="0.35">
      <c r="A198" t="s">
        <v>463</v>
      </c>
      <c r="B198" t="s">
        <v>352</v>
      </c>
      <c r="C198" t="s">
        <v>179</v>
      </c>
      <c r="D198" t="s">
        <v>433</v>
      </c>
      <c r="E198" t="s">
        <v>35</v>
      </c>
      <c r="F198" t="s">
        <v>463</v>
      </c>
      <c r="G198">
        <v>1</v>
      </c>
    </row>
    <row r="199" spans="1:7" x14ac:dyDescent="0.35">
      <c r="A199" t="s">
        <v>463</v>
      </c>
      <c r="B199" t="s">
        <v>352</v>
      </c>
      <c r="C199" t="s">
        <v>180</v>
      </c>
      <c r="D199" t="s">
        <v>434</v>
      </c>
      <c r="E199" t="s">
        <v>35</v>
      </c>
      <c r="F199" t="s">
        <v>463</v>
      </c>
      <c r="G199">
        <v>1</v>
      </c>
    </row>
    <row r="200" spans="1:7" x14ac:dyDescent="0.35">
      <c r="A200" t="s">
        <v>463</v>
      </c>
      <c r="B200" t="s">
        <v>352</v>
      </c>
      <c r="C200" t="s">
        <v>181</v>
      </c>
      <c r="D200" t="s">
        <v>435</v>
      </c>
      <c r="E200" t="s">
        <v>35</v>
      </c>
      <c r="F200" t="s">
        <v>463</v>
      </c>
      <c r="G200">
        <v>1</v>
      </c>
    </row>
    <row r="201" spans="1:7" x14ac:dyDescent="0.35">
      <c r="A201" t="s">
        <v>463</v>
      </c>
      <c r="B201" t="s">
        <v>352</v>
      </c>
      <c r="C201" t="s">
        <v>182</v>
      </c>
      <c r="D201" t="s">
        <v>436</v>
      </c>
      <c r="E201" t="s">
        <v>35</v>
      </c>
      <c r="F201" t="s">
        <v>463</v>
      </c>
      <c r="G201">
        <v>1</v>
      </c>
    </row>
    <row r="202" spans="1:7" x14ac:dyDescent="0.35">
      <c r="B202" t="s">
        <v>1346</v>
      </c>
      <c r="C202" t="s">
        <v>179</v>
      </c>
      <c r="D202" t="s">
        <v>1364</v>
      </c>
      <c r="E202" t="s">
        <v>35</v>
      </c>
      <c r="G202">
        <v>1</v>
      </c>
    </row>
    <row r="203" spans="1:7" x14ac:dyDescent="0.35">
      <c r="B203" t="s">
        <v>1346</v>
      </c>
      <c r="C203" t="s">
        <v>180</v>
      </c>
      <c r="D203" t="s">
        <v>1365</v>
      </c>
      <c r="E203" t="s">
        <v>35</v>
      </c>
      <c r="G203">
        <v>1</v>
      </c>
    </row>
    <row r="204" spans="1:7" x14ac:dyDescent="0.35">
      <c r="B204" t="s">
        <v>1346</v>
      </c>
      <c r="C204" t="s">
        <v>181</v>
      </c>
      <c r="D204" t="s">
        <v>1366</v>
      </c>
      <c r="E204" t="s">
        <v>35</v>
      </c>
      <c r="G204">
        <v>1</v>
      </c>
    </row>
    <row r="205" spans="1:7" x14ac:dyDescent="0.35">
      <c r="B205" t="s">
        <v>1346</v>
      </c>
      <c r="C205" t="s">
        <v>182</v>
      </c>
      <c r="D205" t="s">
        <v>1367</v>
      </c>
      <c r="E205" t="s">
        <v>35</v>
      </c>
      <c r="G205">
        <v>1</v>
      </c>
    </row>
    <row r="206" spans="1:7" x14ac:dyDescent="0.35">
      <c r="B206" t="s">
        <v>922</v>
      </c>
      <c r="C206" t="s">
        <v>179</v>
      </c>
      <c r="D206" t="s">
        <v>956</v>
      </c>
      <c r="E206" t="s">
        <v>67</v>
      </c>
      <c r="G206">
        <v>1</v>
      </c>
    </row>
    <row r="207" spans="1:7" x14ac:dyDescent="0.35">
      <c r="B207" t="s">
        <v>922</v>
      </c>
      <c r="C207" t="s">
        <v>180</v>
      </c>
      <c r="D207" t="s">
        <v>957</v>
      </c>
      <c r="E207" t="s">
        <v>67</v>
      </c>
      <c r="G207">
        <v>1</v>
      </c>
    </row>
    <row r="208" spans="1:7" x14ac:dyDescent="0.35">
      <c r="B208" t="s">
        <v>922</v>
      </c>
      <c r="C208" t="s">
        <v>181</v>
      </c>
      <c r="D208" t="s">
        <v>958</v>
      </c>
      <c r="E208" t="s">
        <v>67</v>
      </c>
      <c r="G208">
        <v>1</v>
      </c>
    </row>
    <row r="209" spans="2:7" x14ac:dyDescent="0.35">
      <c r="B209" t="s">
        <v>922</v>
      </c>
      <c r="C209" t="s">
        <v>182</v>
      </c>
      <c r="D209" t="s">
        <v>959</v>
      </c>
      <c r="E209" t="s">
        <v>67</v>
      </c>
      <c r="G209">
        <v>1</v>
      </c>
    </row>
    <row r="210" spans="2:7" x14ac:dyDescent="0.35">
      <c r="B210" t="s">
        <v>923</v>
      </c>
      <c r="C210" t="s">
        <v>179</v>
      </c>
      <c r="D210" t="s">
        <v>960</v>
      </c>
      <c r="E210" t="s">
        <v>67</v>
      </c>
      <c r="G210">
        <v>1</v>
      </c>
    </row>
    <row r="211" spans="2:7" x14ac:dyDescent="0.35">
      <c r="B211" t="s">
        <v>923</v>
      </c>
      <c r="C211" t="s">
        <v>180</v>
      </c>
      <c r="D211" t="s">
        <v>961</v>
      </c>
      <c r="E211" t="s">
        <v>67</v>
      </c>
      <c r="G211">
        <v>1</v>
      </c>
    </row>
    <row r="212" spans="2:7" x14ac:dyDescent="0.35">
      <c r="B212" t="s">
        <v>923</v>
      </c>
      <c r="C212" t="s">
        <v>181</v>
      </c>
      <c r="D212" t="s">
        <v>962</v>
      </c>
      <c r="E212" t="s">
        <v>67</v>
      </c>
      <c r="G212">
        <v>1</v>
      </c>
    </row>
    <row r="213" spans="2:7" x14ac:dyDescent="0.35">
      <c r="B213" t="s">
        <v>923</v>
      </c>
      <c r="C213" t="s">
        <v>182</v>
      </c>
      <c r="D213" t="s">
        <v>963</v>
      </c>
      <c r="E213" t="s">
        <v>67</v>
      </c>
      <c r="G213">
        <v>1</v>
      </c>
    </row>
    <row r="214" spans="2:7" x14ac:dyDescent="0.35">
      <c r="B214" t="s">
        <v>606</v>
      </c>
      <c r="C214" t="s">
        <v>179</v>
      </c>
      <c r="D214" t="s">
        <v>1128</v>
      </c>
      <c r="E214" t="s">
        <v>67</v>
      </c>
      <c r="G214">
        <v>1</v>
      </c>
    </row>
    <row r="215" spans="2:7" x14ac:dyDescent="0.35">
      <c r="B215" t="s">
        <v>606</v>
      </c>
      <c r="C215" t="s">
        <v>180</v>
      </c>
      <c r="D215" t="s">
        <v>1129</v>
      </c>
      <c r="E215" t="s">
        <v>67</v>
      </c>
      <c r="G215">
        <v>1</v>
      </c>
    </row>
    <row r="216" spans="2:7" x14ac:dyDescent="0.35">
      <c r="B216" t="s">
        <v>606</v>
      </c>
      <c r="C216" t="s">
        <v>181</v>
      </c>
      <c r="D216" t="s">
        <v>1130</v>
      </c>
      <c r="E216" t="s">
        <v>67</v>
      </c>
      <c r="G216">
        <v>1</v>
      </c>
    </row>
    <row r="217" spans="2:7" x14ac:dyDescent="0.35">
      <c r="B217" t="s">
        <v>606</v>
      </c>
      <c r="C217" t="s">
        <v>182</v>
      </c>
      <c r="D217" t="s">
        <v>1131</v>
      </c>
      <c r="E217" t="s">
        <v>67</v>
      </c>
      <c r="G217">
        <v>1</v>
      </c>
    </row>
    <row r="218" spans="2:7" x14ac:dyDescent="0.35">
      <c r="B218" t="s">
        <v>919</v>
      </c>
      <c r="C218" t="s">
        <v>179</v>
      </c>
      <c r="D218" t="s">
        <v>948</v>
      </c>
      <c r="E218" t="s">
        <v>67</v>
      </c>
      <c r="G218">
        <v>1</v>
      </c>
    </row>
    <row r="219" spans="2:7" x14ac:dyDescent="0.35">
      <c r="B219" t="s">
        <v>919</v>
      </c>
      <c r="C219" t="s">
        <v>180</v>
      </c>
      <c r="D219" t="s">
        <v>949</v>
      </c>
      <c r="E219" t="s">
        <v>67</v>
      </c>
      <c r="G219">
        <v>1</v>
      </c>
    </row>
    <row r="220" spans="2:7" x14ac:dyDescent="0.35">
      <c r="B220" t="s">
        <v>919</v>
      </c>
      <c r="C220" t="s">
        <v>181</v>
      </c>
      <c r="D220" t="s">
        <v>950</v>
      </c>
      <c r="E220" t="s">
        <v>67</v>
      </c>
      <c r="G220">
        <v>1</v>
      </c>
    </row>
    <row r="221" spans="2:7" x14ac:dyDescent="0.35">
      <c r="B221" t="s">
        <v>919</v>
      </c>
      <c r="C221" t="s">
        <v>182</v>
      </c>
      <c r="D221" t="s">
        <v>951</v>
      </c>
      <c r="E221" t="s">
        <v>67</v>
      </c>
      <c r="G221">
        <v>1</v>
      </c>
    </row>
    <row r="222" spans="2:7" x14ac:dyDescent="0.35">
      <c r="B222" t="s">
        <v>497</v>
      </c>
      <c r="C222" t="s">
        <v>179</v>
      </c>
      <c r="D222" t="s">
        <v>657</v>
      </c>
      <c r="E222" t="s">
        <v>35</v>
      </c>
      <c r="G222">
        <v>1</v>
      </c>
    </row>
    <row r="223" spans="2:7" x14ac:dyDescent="0.35">
      <c r="B223" t="s">
        <v>497</v>
      </c>
      <c r="C223" t="s">
        <v>180</v>
      </c>
      <c r="D223" t="s">
        <v>658</v>
      </c>
      <c r="E223" t="s">
        <v>35</v>
      </c>
      <c r="G223">
        <v>1</v>
      </c>
    </row>
    <row r="224" spans="2:7" x14ac:dyDescent="0.35">
      <c r="B224" t="s">
        <v>497</v>
      </c>
      <c r="C224" t="s">
        <v>181</v>
      </c>
      <c r="D224" t="s">
        <v>659</v>
      </c>
      <c r="E224" t="s">
        <v>35</v>
      </c>
      <c r="G224">
        <v>1</v>
      </c>
    </row>
    <row r="225" spans="1:7" x14ac:dyDescent="0.35">
      <c r="B225" t="s">
        <v>497</v>
      </c>
      <c r="C225" t="s">
        <v>182</v>
      </c>
      <c r="D225" t="s">
        <v>660</v>
      </c>
      <c r="E225" t="s">
        <v>35</v>
      </c>
      <c r="G225">
        <v>1</v>
      </c>
    </row>
    <row r="226" spans="1:7" x14ac:dyDescent="0.35">
      <c r="A226" t="s">
        <v>463</v>
      </c>
      <c r="B226" t="s">
        <v>1306</v>
      </c>
      <c r="C226" t="s">
        <v>179</v>
      </c>
      <c r="D226" t="s">
        <v>1159</v>
      </c>
      <c r="E226" t="s">
        <v>35</v>
      </c>
      <c r="F226" t="s">
        <v>463</v>
      </c>
      <c r="G226">
        <f>0.5</f>
        <v>0.5</v>
      </c>
    </row>
    <row r="227" spans="1:7" x14ac:dyDescent="0.35">
      <c r="A227" t="s">
        <v>463</v>
      </c>
      <c r="B227" t="s">
        <v>1306</v>
      </c>
      <c r="C227" t="s">
        <v>180</v>
      </c>
      <c r="D227" t="s">
        <v>1160</v>
      </c>
      <c r="E227" t="s">
        <v>35</v>
      </c>
      <c r="F227" t="s">
        <v>463</v>
      </c>
      <c r="G227">
        <f>0.5</f>
        <v>0.5</v>
      </c>
    </row>
    <row r="228" spans="1:7" x14ac:dyDescent="0.35">
      <c r="A228" t="s">
        <v>463</v>
      </c>
      <c r="B228" t="s">
        <v>1306</v>
      </c>
      <c r="C228" t="s">
        <v>181</v>
      </c>
      <c r="D228" t="s">
        <v>1161</v>
      </c>
      <c r="E228" t="s">
        <v>35</v>
      </c>
      <c r="F228" t="s">
        <v>463</v>
      </c>
      <c r="G228">
        <f>0.5</f>
        <v>0.5</v>
      </c>
    </row>
    <row r="229" spans="1:7" x14ac:dyDescent="0.35">
      <c r="A229" t="s">
        <v>463</v>
      </c>
      <c r="B229" t="s">
        <v>1306</v>
      </c>
      <c r="C229" t="s">
        <v>182</v>
      </c>
      <c r="D229" t="s">
        <v>1162</v>
      </c>
      <c r="E229" t="s">
        <v>35</v>
      </c>
      <c r="F229" t="s">
        <v>463</v>
      </c>
      <c r="G229">
        <f>0.5</f>
        <v>0.5</v>
      </c>
    </row>
    <row r="230" spans="1:7" x14ac:dyDescent="0.35">
      <c r="A230" t="s">
        <v>463</v>
      </c>
      <c r="B230" t="s">
        <v>1306</v>
      </c>
      <c r="C230" t="s">
        <v>179</v>
      </c>
      <c r="D230" t="s">
        <v>945</v>
      </c>
      <c r="E230" t="s">
        <v>35</v>
      </c>
      <c r="F230" t="s">
        <v>463</v>
      </c>
      <c r="G230">
        <v>1</v>
      </c>
    </row>
    <row r="231" spans="1:7" x14ac:dyDescent="0.35">
      <c r="A231" t="s">
        <v>463</v>
      </c>
      <c r="B231" t="s">
        <v>1306</v>
      </c>
      <c r="C231" t="s">
        <v>180</v>
      </c>
      <c r="D231" t="s">
        <v>946</v>
      </c>
      <c r="E231" t="s">
        <v>35</v>
      </c>
      <c r="F231" t="s">
        <v>463</v>
      </c>
      <c r="G231">
        <v>1</v>
      </c>
    </row>
    <row r="232" spans="1:7" x14ac:dyDescent="0.35">
      <c r="A232" t="s">
        <v>463</v>
      </c>
      <c r="B232" t="s">
        <v>1306</v>
      </c>
      <c r="C232" t="s">
        <v>183</v>
      </c>
      <c r="D232" t="s">
        <v>1163</v>
      </c>
      <c r="E232" t="s">
        <v>35</v>
      </c>
      <c r="F232" t="s">
        <v>463</v>
      </c>
      <c r="G232">
        <v>1</v>
      </c>
    </row>
    <row r="233" spans="1:7" x14ac:dyDescent="0.35">
      <c r="A233" t="s">
        <v>463</v>
      </c>
      <c r="B233" t="s">
        <v>1306</v>
      </c>
      <c r="C233" t="s">
        <v>182</v>
      </c>
      <c r="D233" t="s">
        <v>947</v>
      </c>
      <c r="E233" t="s">
        <v>35</v>
      </c>
      <c r="F233" t="s">
        <v>463</v>
      </c>
      <c r="G233">
        <v>1</v>
      </c>
    </row>
    <row r="234" spans="1:7" x14ac:dyDescent="0.35">
      <c r="A234" t="s">
        <v>457</v>
      </c>
      <c r="B234" t="s">
        <v>1306</v>
      </c>
      <c r="C234" t="s">
        <v>179</v>
      </c>
      <c r="D234" t="s">
        <v>1158</v>
      </c>
      <c r="E234" t="s">
        <v>35</v>
      </c>
      <c r="F234" t="s">
        <v>322</v>
      </c>
      <c r="G234">
        <f>0.152</f>
        <v>0.152</v>
      </c>
    </row>
    <row r="235" spans="1:7" x14ac:dyDescent="0.35">
      <c r="A235" t="s">
        <v>457</v>
      </c>
      <c r="B235" t="s">
        <v>1306</v>
      </c>
      <c r="C235" t="s">
        <v>180</v>
      </c>
      <c r="D235" t="s">
        <v>1155</v>
      </c>
      <c r="E235" t="s">
        <v>35</v>
      </c>
      <c r="F235" t="s">
        <v>323</v>
      </c>
      <c r="G235">
        <f>0.152</f>
        <v>0.152</v>
      </c>
    </row>
    <row r="236" spans="1:7" x14ac:dyDescent="0.35">
      <c r="A236" t="s">
        <v>457</v>
      </c>
      <c r="B236" t="s">
        <v>1306</v>
      </c>
      <c r="C236" t="s">
        <v>181</v>
      </c>
      <c r="D236" t="s">
        <v>1156</v>
      </c>
      <c r="E236" t="s">
        <v>35</v>
      </c>
      <c r="F236" t="s">
        <v>324</v>
      </c>
      <c r="G236">
        <f>0.152</f>
        <v>0.152</v>
      </c>
    </row>
    <row r="237" spans="1:7" x14ac:dyDescent="0.35">
      <c r="A237" t="s">
        <v>457</v>
      </c>
      <c r="B237" t="s">
        <v>1306</v>
      </c>
      <c r="C237" t="s">
        <v>182</v>
      </c>
      <c r="D237" t="s">
        <v>1157</v>
      </c>
      <c r="E237" t="s">
        <v>35</v>
      </c>
      <c r="F237" t="s">
        <v>325</v>
      </c>
      <c r="G237">
        <f>0.152</f>
        <v>0.152</v>
      </c>
    </row>
    <row r="238" spans="1:7" x14ac:dyDescent="0.35">
      <c r="B238" t="s">
        <v>1342</v>
      </c>
      <c r="C238" t="s">
        <v>179</v>
      </c>
      <c r="D238" t="s">
        <v>1445</v>
      </c>
      <c r="E238" t="s">
        <v>67</v>
      </c>
      <c r="G238">
        <v>1</v>
      </c>
    </row>
    <row r="239" spans="1:7" x14ac:dyDescent="0.35">
      <c r="B239" t="s">
        <v>1342</v>
      </c>
      <c r="C239" t="s">
        <v>180</v>
      </c>
      <c r="D239" t="s">
        <v>1429</v>
      </c>
      <c r="E239" t="s">
        <v>67</v>
      </c>
      <c r="G239">
        <v>1</v>
      </c>
    </row>
    <row r="240" spans="1:7" x14ac:dyDescent="0.35">
      <c r="B240" t="s">
        <v>1342</v>
      </c>
      <c r="C240" t="s">
        <v>181</v>
      </c>
      <c r="D240" t="s">
        <v>1446</v>
      </c>
      <c r="E240" t="s">
        <v>67</v>
      </c>
      <c r="G240">
        <v>1</v>
      </c>
    </row>
    <row r="241" spans="1:7" x14ac:dyDescent="0.35">
      <c r="B241" t="s">
        <v>1342</v>
      </c>
      <c r="C241" t="s">
        <v>182</v>
      </c>
      <c r="D241" t="s">
        <v>1447</v>
      </c>
      <c r="E241" t="s">
        <v>67</v>
      </c>
      <c r="G241">
        <v>1</v>
      </c>
    </row>
    <row r="242" spans="1:7" x14ac:dyDescent="0.35">
      <c r="B242" t="s">
        <v>1416</v>
      </c>
      <c r="C242" t="s">
        <v>179</v>
      </c>
      <c r="D242" t="s">
        <v>1434</v>
      </c>
      <c r="E242" t="s">
        <v>67</v>
      </c>
      <c r="G242">
        <v>1</v>
      </c>
    </row>
    <row r="243" spans="1:7" x14ac:dyDescent="0.35">
      <c r="B243" t="s">
        <v>1416</v>
      </c>
      <c r="C243" t="s">
        <v>180</v>
      </c>
      <c r="D243" t="s">
        <v>1435</v>
      </c>
      <c r="E243" t="s">
        <v>67</v>
      </c>
      <c r="G243">
        <v>1</v>
      </c>
    </row>
    <row r="244" spans="1:7" x14ac:dyDescent="0.35">
      <c r="B244" t="s">
        <v>1416</v>
      </c>
      <c r="C244" t="s">
        <v>181</v>
      </c>
      <c r="D244" t="s">
        <v>1436</v>
      </c>
      <c r="E244" t="s">
        <v>67</v>
      </c>
      <c r="G244">
        <v>1</v>
      </c>
    </row>
    <row r="245" spans="1:7" x14ac:dyDescent="0.35">
      <c r="B245" t="s">
        <v>1416</v>
      </c>
      <c r="C245" t="s">
        <v>182</v>
      </c>
      <c r="D245" t="s">
        <v>1437</v>
      </c>
      <c r="E245" t="s">
        <v>67</v>
      </c>
      <c r="G245">
        <v>1</v>
      </c>
    </row>
    <row r="246" spans="1:7" x14ac:dyDescent="0.35">
      <c r="A246" t="s">
        <v>463</v>
      </c>
      <c r="B246" t="s">
        <v>349</v>
      </c>
      <c r="C246" t="s">
        <v>179</v>
      </c>
      <c r="D246" t="s">
        <v>437</v>
      </c>
      <c r="E246" t="s">
        <v>35</v>
      </c>
      <c r="F246" t="s">
        <v>463</v>
      </c>
      <c r="G246">
        <v>1</v>
      </c>
    </row>
    <row r="247" spans="1:7" x14ac:dyDescent="0.35">
      <c r="A247" t="s">
        <v>463</v>
      </c>
      <c r="B247" t="s">
        <v>349</v>
      </c>
      <c r="C247" t="s">
        <v>180</v>
      </c>
      <c r="D247" t="s">
        <v>438</v>
      </c>
      <c r="E247" t="s">
        <v>35</v>
      </c>
      <c r="F247" t="s">
        <v>463</v>
      </c>
      <c r="G247">
        <v>1</v>
      </c>
    </row>
    <row r="248" spans="1:7" x14ac:dyDescent="0.35">
      <c r="A248" t="s">
        <v>463</v>
      </c>
      <c r="B248" t="s">
        <v>349</v>
      </c>
      <c r="C248" t="s">
        <v>181</v>
      </c>
      <c r="D248" t="s">
        <v>439</v>
      </c>
      <c r="E248" t="s">
        <v>35</v>
      </c>
      <c r="F248" t="s">
        <v>463</v>
      </c>
      <c r="G248">
        <v>1</v>
      </c>
    </row>
    <row r="249" spans="1:7" x14ac:dyDescent="0.35">
      <c r="A249" t="s">
        <v>463</v>
      </c>
      <c r="B249" t="s">
        <v>349</v>
      </c>
      <c r="C249" t="s">
        <v>182</v>
      </c>
      <c r="D249" t="s">
        <v>440</v>
      </c>
      <c r="E249" t="s">
        <v>35</v>
      </c>
      <c r="F249" t="s">
        <v>463</v>
      </c>
      <c r="G249">
        <v>1</v>
      </c>
    </row>
    <row r="250" spans="1:7" x14ac:dyDescent="0.35">
      <c r="B250" t="s">
        <v>985</v>
      </c>
      <c r="C250" t="s">
        <v>179</v>
      </c>
      <c r="D250" t="s">
        <v>1140</v>
      </c>
      <c r="E250" t="s">
        <v>35</v>
      </c>
      <c r="G250">
        <v>1</v>
      </c>
    </row>
    <row r="251" spans="1:7" x14ac:dyDescent="0.35">
      <c r="B251" t="s">
        <v>985</v>
      </c>
      <c r="C251" t="s">
        <v>180</v>
      </c>
      <c r="D251" t="s">
        <v>1141</v>
      </c>
      <c r="E251" t="s">
        <v>35</v>
      </c>
      <c r="G251">
        <v>1</v>
      </c>
    </row>
    <row r="252" spans="1:7" x14ac:dyDescent="0.35">
      <c r="B252" t="s">
        <v>985</v>
      </c>
      <c r="C252" t="s">
        <v>181</v>
      </c>
      <c r="D252" t="s">
        <v>1142</v>
      </c>
      <c r="E252" t="s">
        <v>35</v>
      </c>
      <c r="G252">
        <v>1</v>
      </c>
    </row>
    <row r="253" spans="1:7" x14ac:dyDescent="0.35">
      <c r="B253" t="s">
        <v>985</v>
      </c>
      <c r="C253" t="s">
        <v>182</v>
      </c>
      <c r="D253" t="s">
        <v>1143</v>
      </c>
      <c r="E253" t="s">
        <v>35</v>
      </c>
      <c r="G253">
        <v>1</v>
      </c>
    </row>
    <row r="254" spans="1:7" x14ac:dyDescent="0.35">
      <c r="A254" t="s">
        <v>463</v>
      </c>
      <c r="B254" t="s">
        <v>355</v>
      </c>
      <c r="C254" t="s">
        <v>179</v>
      </c>
      <c r="D254" t="s">
        <v>441</v>
      </c>
      <c r="E254" t="s">
        <v>35</v>
      </c>
      <c r="F254" t="s">
        <v>463</v>
      </c>
      <c r="G254">
        <v>1</v>
      </c>
    </row>
    <row r="255" spans="1:7" x14ac:dyDescent="0.35">
      <c r="A255" t="s">
        <v>463</v>
      </c>
      <c r="B255" t="s">
        <v>355</v>
      </c>
      <c r="C255" t="s">
        <v>180</v>
      </c>
      <c r="D255" t="s">
        <v>442</v>
      </c>
      <c r="E255" t="s">
        <v>35</v>
      </c>
      <c r="F255" t="s">
        <v>463</v>
      </c>
      <c r="G255">
        <v>1</v>
      </c>
    </row>
    <row r="256" spans="1:7" x14ac:dyDescent="0.35">
      <c r="A256" t="s">
        <v>463</v>
      </c>
      <c r="B256" t="s">
        <v>355</v>
      </c>
      <c r="C256" t="s">
        <v>181</v>
      </c>
      <c r="D256" t="s">
        <v>443</v>
      </c>
      <c r="E256" t="s">
        <v>35</v>
      </c>
      <c r="F256" t="s">
        <v>463</v>
      </c>
      <c r="G256">
        <v>1</v>
      </c>
    </row>
    <row r="257" spans="1:7" x14ac:dyDescent="0.35">
      <c r="A257" t="s">
        <v>463</v>
      </c>
      <c r="B257" t="s">
        <v>355</v>
      </c>
      <c r="C257" t="s">
        <v>182</v>
      </c>
      <c r="D257" t="s">
        <v>444</v>
      </c>
      <c r="E257" t="s">
        <v>35</v>
      </c>
      <c r="F257" t="s">
        <v>463</v>
      </c>
      <c r="G257">
        <v>1</v>
      </c>
    </row>
    <row r="258" spans="1:7" x14ac:dyDescent="0.35">
      <c r="B258" t="s">
        <v>554</v>
      </c>
      <c r="C258" t="s">
        <v>179</v>
      </c>
      <c r="D258" t="s">
        <v>735</v>
      </c>
      <c r="E258" t="s">
        <v>67</v>
      </c>
      <c r="G258">
        <v>1</v>
      </c>
    </row>
    <row r="259" spans="1:7" x14ac:dyDescent="0.35">
      <c r="B259" t="s">
        <v>554</v>
      </c>
      <c r="C259" t="s">
        <v>180</v>
      </c>
      <c r="D259" t="s">
        <v>736</v>
      </c>
      <c r="E259" t="s">
        <v>67</v>
      </c>
      <c r="G259">
        <v>1</v>
      </c>
    </row>
    <row r="260" spans="1:7" x14ac:dyDescent="0.35">
      <c r="B260" t="s">
        <v>554</v>
      </c>
      <c r="C260" t="s">
        <v>181</v>
      </c>
      <c r="D260" t="s">
        <v>737</v>
      </c>
      <c r="E260" t="s">
        <v>67</v>
      </c>
      <c r="G260">
        <v>1</v>
      </c>
    </row>
    <row r="261" spans="1:7" x14ac:dyDescent="0.35">
      <c r="B261" t="s">
        <v>554</v>
      </c>
      <c r="C261" t="s">
        <v>182</v>
      </c>
      <c r="D261" t="s">
        <v>738</v>
      </c>
      <c r="E261" t="s">
        <v>67</v>
      </c>
      <c r="G261">
        <v>1</v>
      </c>
    </row>
    <row r="262" spans="1:7" x14ac:dyDescent="0.35">
      <c r="B262" t="s">
        <v>10</v>
      </c>
      <c r="C262" t="s">
        <v>179</v>
      </c>
      <c r="D262" t="s">
        <v>687</v>
      </c>
      <c r="E262" t="s">
        <v>556</v>
      </c>
      <c r="G262">
        <v>1</v>
      </c>
    </row>
    <row r="263" spans="1:7" x14ac:dyDescent="0.35">
      <c r="B263" t="s">
        <v>10</v>
      </c>
      <c r="C263" t="s">
        <v>180</v>
      </c>
      <c r="D263" t="s">
        <v>688</v>
      </c>
      <c r="E263" t="s">
        <v>556</v>
      </c>
      <c r="G263">
        <v>1</v>
      </c>
    </row>
    <row r="264" spans="1:7" x14ac:dyDescent="0.35">
      <c r="B264" t="s">
        <v>10</v>
      </c>
      <c r="C264" t="s">
        <v>181</v>
      </c>
      <c r="D264" t="s">
        <v>689</v>
      </c>
      <c r="E264" t="s">
        <v>556</v>
      </c>
      <c r="G264">
        <v>1</v>
      </c>
    </row>
    <row r="265" spans="1:7" x14ac:dyDescent="0.35">
      <c r="B265" t="s">
        <v>10</v>
      </c>
      <c r="C265" t="s">
        <v>182</v>
      </c>
      <c r="D265" t="s">
        <v>690</v>
      </c>
      <c r="E265" t="s">
        <v>556</v>
      </c>
      <c r="G265">
        <v>1</v>
      </c>
    </row>
    <row r="266" spans="1:7" x14ac:dyDescent="0.35">
      <c r="B266" t="s">
        <v>503</v>
      </c>
      <c r="C266" t="s">
        <v>179</v>
      </c>
      <c r="D266" t="s">
        <v>1132</v>
      </c>
      <c r="E266" t="s">
        <v>67</v>
      </c>
      <c r="G266">
        <v>1</v>
      </c>
    </row>
    <row r="267" spans="1:7" x14ac:dyDescent="0.35">
      <c r="B267" t="s">
        <v>503</v>
      </c>
      <c r="C267" t="s">
        <v>180</v>
      </c>
      <c r="D267" t="s">
        <v>1133</v>
      </c>
      <c r="E267" t="s">
        <v>67</v>
      </c>
      <c r="G267">
        <v>1</v>
      </c>
    </row>
    <row r="268" spans="1:7" x14ac:dyDescent="0.35">
      <c r="B268" t="s">
        <v>503</v>
      </c>
      <c r="C268" t="s">
        <v>181</v>
      </c>
      <c r="D268" t="s">
        <v>1134</v>
      </c>
      <c r="E268" t="s">
        <v>67</v>
      </c>
      <c r="G268">
        <v>1</v>
      </c>
    </row>
    <row r="269" spans="1:7" x14ac:dyDescent="0.35">
      <c r="B269" t="s">
        <v>503</v>
      </c>
      <c r="C269" t="s">
        <v>182</v>
      </c>
      <c r="D269" t="s">
        <v>1135</v>
      </c>
      <c r="E269" t="s">
        <v>67</v>
      </c>
      <c r="G269">
        <v>1</v>
      </c>
    </row>
    <row r="270" spans="1:7" x14ac:dyDescent="0.35">
      <c r="B270" t="s">
        <v>498</v>
      </c>
      <c r="C270" t="s">
        <v>179</v>
      </c>
      <c r="D270" t="s">
        <v>707</v>
      </c>
      <c r="E270" t="s">
        <v>35</v>
      </c>
      <c r="G270">
        <v>1</v>
      </c>
    </row>
    <row r="271" spans="1:7" x14ac:dyDescent="0.35">
      <c r="B271" t="s">
        <v>498</v>
      </c>
      <c r="C271" t="s">
        <v>180</v>
      </c>
      <c r="D271" t="s">
        <v>708</v>
      </c>
      <c r="E271" t="s">
        <v>35</v>
      </c>
      <c r="G271">
        <v>1</v>
      </c>
    </row>
    <row r="272" spans="1:7" x14ac:dyDescent="0.35">
      <c r="B272" t="s">
        <v>498</v>
      </c>
      <c r="C272" t="s">
        <v>181</v>
      </c>
      <c r="D272" t="s">
        <v>709</v>
      </c>
      <c r="E272" t="s">
        <v>35</v>
      </c>
      <c r="G272">
        <v>1</v>
      </c>
    </row>
    <row r="273" spans="1:7" x14ac:dyDescent="0.35">
      <c r="B273" t="s">
        <v>498</v>
      </c>
      <c r="C273" t="s">
        <v>182</v>
      </c>
      <c r="D273" t="s">
        <v>710</v>
      </c>
      <c r="E273" t="s">
        <v>35</v>
      </c>
      <c r="G273">
        <v>1</v>
      </c>
    </row>
    <row r="274" spans="1:7" x14ac:dyDescent="0.35">
      <c r="B274" t="s">
        <v>1339</v>
      </c>
      <c r="C274" t="s">
        <v>179</v>
      </c>
      <c r="D274" t="s">
        <v>1400</v>
      </c>
      <c r="E274" t="s">
        <v>35</v>
      </c>
      <c r="G274">
        <v>1</v>
      </c>
    </row>
    <row r="275" spans="1:7" x14ac:dyDescent="0.35">
      <c r="B275" t="s">
        <v>1339</v>
      </c>
      <c r="C275" t="s">
        <v>180</v>
      </c>
      <c r="D275" t="s">
        <v>1401</v>
      </c>
      <c r="E275" t="s">
        <v>35</v>
      </c>
      <c r="G275">
        <v>1</v>
      </c>
    </row>
    <row r="276" spans="1:7" x14ac:dyDescent="0.35">
      <c r="B276" t="s">
        <v>1339</v>
      </c>
      <c r="C276" t="s">
        <v>181</v>
      </c>
      <c r="D276" t="s">
        <v>1402</v>
      </c>
      <c r="E276" t="s">
        <v>35</v>
      </c>
      <c r="G276">
        <v>1</v>
      </c>
    </row>
    <row r="277" spans="1:7" x14ac:dyDescent="0.35">
      <c r="B277" t="s">
        <v>1339</v>
      </c>
      <c r="C277" t="s">
        <v>182</v>
      </c>
      <c r="D277" t="s">
        <v>1403</v>
      </c>
      <c r="E277" t="s">
        <v>35</v>
      </c>
      <c r="G277">
        <v>1</v>
      </c>
    </row>
    <row r="278" spans="1:7" x14ac:dyDescent="0.35">
      <c r="A278" t="s">
        <v>457</v>
      </c>
      <c r="B278" t="s">
        <v>1339</v>
      </c>
      <c r="C278" t="s">
        <v>179</v>
      </c>
      <c r="D278" t="s">
        <v>1454</v>
      </c>
      <c r="E278" t="s">
        <v>35</v>
      </c>
      <c r="F278" t="s">
        <v>1434</v>
      </c>
      <c r="G278">
        <v>25</v>
      </c>
    </row>
    <row r="279" spans="1:7" x14ac:dyDescent="0.35">
      <c r="A279" t="s">
        <v>457</v>
      </c>
      <c r="B279" t="s">
        <v>1339</v>
      </c>
      <c r="C279" t="s">
        <v>180</v>
      </c>
      <c r="D279" t="s">
        <v>1452</v>
      </c>
      <c r="E279" t="s">
        <v>35</v>
      </c>
      <c r="F279" t="s">
        <v>1435</v>
      </c>
      <c r="G279">
        <v>25</v>
      </c>
    </row>
    <row r="280" spans="1:7" x14ac:dyDescent="0.35">
      <c r="A280" t="s">
        <v>457</v>
      </c>
      <c r="B280" t="s">
        <v>1339</v>
      </c>
      <c r="C280" t="s">
        <v>181</v>
      </c>
      <c r="D280" t="s">
        <v>1453</v>
      </c>
      <c r="E280" t="s">
        <v>35</v>
      </c>
      <c r="F280" t="s">
        <v>1436</v>
      </c>
      <c r="G280">
        <v>25</v>
      </c>
    </row>
    <row r="281" spans="1:7" x14ac:dyDescent="0.35">
      <c r="A281" t="s">
        <v>457</v>
      </c>
      <c r="B281" t="s">
        <v>1339</v>
      </c>
      <c r="C281" t="s">
        <v>182</v>
      </c>
      <c r="D281" t="s">
        <v>1451</v>
      </c>
      <c r="E281" t="s">
        <v>35</v>
      </c>
      <c r="F281" t="s">
        <v>1437</v>
      </c>
      <c r="G281">
        <v>25</v>
      </c>
    </row>
    <row r="282" spans="1:7" x14ac:dyDescent="0.35">
      <c r="B282" t="s">
        <v>1348</v>
      </c>
      <c r="C282" t="s">
        <v>179</v>
      </c>
      <c r="D282" t="s">
        <v>1372</v>
      </c>
      <c r="E282" t="s">
        <v>35</v>
      </c>
      <c r="G282">
        <v>1</v>
      </c>
    </row>
    <row r="283" spans="1:7" x14ac:dyDescent="0.35">
      <c r="B283" t="s">
        <v>1348</v>
      </c>
      <c r="C283" t="s">
        <v>180</v>
      </c>
      <c r="D283" t="s">
        <v>1373</v>
      </c>
      <c r="E283" t="s">
        <v>35</v>
      </c>
      <c r="G283">
        <v>1</v>
      </c>
    </row>
    <row r="284" spans="1:7" x14ac:dyDescent="0.35">
      <c r="B284" t="s">
        <v>1348</v>
      </c>
      <c r="C284" t="s">
        <v>181</v>
      </c>
      <c r="D284" t="s">
        <v>1374</v>
      </c>
      <c r="E284" t="s">
        <v>35</v>
      </c>
      <c r="G284">
        <v>1</v>
      </c>
    </row>
    <row r="285" spans="1:7" x14ac:dyDescent="0.35">
      <c r="B285" t="s">
        <v>1348</v>
      </c>
      <c r="C285" t="s">
        <v>182</v>
      </c>
      <c r="D285" t="s">
        <v>1375</v>
      </c>
      <c r="E285" t="s">
        <v>35</v>
      </c>
      <c r="G285">
        <v>1</v>
      </c>
    </row>
    <row r="286" spans="1:7" x14ac:dyDescent="0.35">
      <c r="A286" t="s">
        <v>463</v>
      </c>
      <c r="B286" t="s">
        <v>354</v>
      </c>
      <c r="C286" t="s">
        <v>179</v>
      </c>
      <c r="D286" t="s">
        <v>445</v>
      </c>
      <c r="E286" t="s">
        <v>35</v>
      </c>
      <c r="F286" t="s">
        <v>463</v>
      </c>
      <c r="G286">
        <v>1</v>
      </c>
    </row>
    <row r="287" spans="1:7" x14ac:dyDescent="0.35">
      <c r="A287" t="s">
        <v>463</v>
      </c>
      <c r="B287" t="s">
        <v>354</v>
      </c>
      <c r="C287" t="s">
        <v>180</v>
      </c>
      <c r="D287" t="s">
        <v>446</v>
      </c>
      <c r="E287" t="s">
        <v>35</v>
      </c>
      <c r="F287" t="s">
        <v>463</v>
      </c>
      <c r="G287">
        <v>1</v>
      </c>
    </row>
    <row r="288" spans="1:7" x14ac:dyDescent="0.35">
      <c r="A288" t="s">
        <v>463</v>
      </c>
      <c r="B288" t="s">
        <v>354</v>
      </c>
      <c r="C288" t="s">
        <v>181</v>
      </c>
      <c r="D288" t="s">
        <v>447</v>
      </c>
      <c r="E288" t="s">
        <v>35</v>
      </c>
      <c r="F288" t="s">
        <v>463</v>
      </c>
      <c r="G288">
        <v>1</v>
      </c>
    </row>
    <row r="289" spans="1:7" x14ac:dyDescent="0.35">
      <c r="A289" t="s">
        <v>463</v>
      </c>
      <c r="B289" t="s">
        <v>354</v>
      </c>
      <c r="C289" t="s">
        <v>182</v>
      </c>
      <c r="D289" t="s">
        <v>448</v>
      </c>
      <c r="E289" t="s">
        <v>35</v>
      </c>
      <c r="F289" t="s">
        <v>463</v>
      </c>
      <c r="G289">
        <v>1</v>
      </c>
    </row>
    <row r="290" spans="1:7" x14ac:dyDescent="0.35">
      <c r="B290" t="s">
        <v>918</v>
      </c>
      <c r="C290" t="s">
        <v>179</v>
      </c>
      <c r="D290" t="s">
        <v>964</v>
      </c>
      <c r="E290" t="s">
        <v>67</v>
      </c>
      <c r="G290">
        <v>1</v>
      </c>
    </row>
    <row r="291" spans="1:7" x14ac:dyDescent="0.35">
      <c r="B291" t="s">
        <v>918</v>
      </c>
      <c r="C291" t="s">
        <v>180</v>
      </c>
      <c r="D291" t="s">
        <v>965</v>
      </c>
      <c r="E291" t="s">
        <v>67</v>
      </c>
      <c r="G291">
        <v>1</v>
      </c>
    </row>
    <row r="292" spans="1:7" x14ac:dyDescent="0.35">
      <c r="B292" t="s">
        <v>918</v>
      </c>
      <c r="C292" t="s">
        <v>183</v>
      </c>
      <c r="D292" t="s">
        <v>1111</v>
      </c>
      <c r="E292" t="s">
        <v>67</v>
      </c>
      <c r="G292">
        <v>1</v>
      </c>
    </row>
    <row r="293" spans="1:7" x14ac:dyDescent="0.35">
      <c r="B293" t="s">
        <v>918</v>
      </c>
      <c r="C293" t="s">
        <v>182</v>
      </c>
      <c r="D293" t="s">
        <v>966</v>
      </c>
      <c r="E293" t="s">
        <v>67</v>
      </c>
      <c r="G293">
        <v>1</v>
      </c>
    </row>
    <row r="294" spans="1:7" x14ac:dyDescent="0.35">
      <c r="B294" t="s">
        <v>743</v>
      </c>
      <c r="C294" t="s">
        <v>179</v>
      </c>
      <c r="D294" t="s">
        <v>745</v>
      </c>
      <c r="E294" t="s">
        <v>35</v>
      </c>
      <c r="G294">
        <v>1</v>
      </c>
    </row>
    <row r="295" spans="1:7" x14ac:dyDescent="0.35">
      <c r="B295" t="s">
        <v>743</v>
      </c>
      <c r="C295" t="s">
        <v>180</v>
      </c>
      <c r="D295" t="s">
        <v>746</v>
      </c>
      <c r="E295" t="s">
        <v>35</v>
      </c>
      <c r="G295">
        <v>1</v>
      </c>
    </row>
    <row r="296" spans="1:7" x14ac:dyDescent="0.35">
      <c r="B296" t="s">
        <v>743</v>
      </c>
      <c r="C296" t="s">
        <v>181</v>
      </c>
      <c r="D296" t="s">
        <v>747</v>
      </c>
      <c r="E296" t="s">
        <v>35</v>
      </c>
      <c r="G296">
        <v>1</v>
      </c>
    </row>
    <row r="297" spans="1:7" x14ac:dyDescent="0.35">
      <c r="B297" t="s">
        <v>743</v>
      </c>
      <c r="C297" t="s">
        <v>182</v>
      </c>
      <c r="D297" t="s">
        <v>748</v>
      </c>
      <c r="E297" t="s">
        <v>35</v>
      </c>
      <c r="G297">
        <v>1</v>
      </c>
    </row>
    <row r="298" spans="1:7" x14ac:dyDescent="0.35">
      <c r="B298" t="s">
        <v>917</v>
      </c>
      <c r="C298" t="s">
        <v>179</v>
      </c>
      <c r="D298" t="s">
        <v>941</v>
      </c>
      <c r="E298" t="s">
        <v>35</v>
      </c>
      <c r="G298">
        <v>1</v>
      </c>
    </row>
    <row r="299" spans="1:7" x14ac:dyDescent="0.35">
      <c r="B299" t="s">
        <v>917</v>
      </c>
      <c r="C299" t="s">
        <v>180</v>
      </c>
      <c r="D299" t="s">
        <v>942</v>
      </c>
      <c r="E299" t="s">
        <v>35</v>
      </c>
      <c r="G299">
        <v>1</v>
      </c>
    </row>
    <row r="300" spans="1:7" x14ac:dyDescent="0.35">
      <c r="B300" t="s">
        <v>917</v>
      </c>
      <c r="C300" t="s">
        <v>181</v>
      </c>
      <c r="D300" t="s">
        <v>943</v>
      </c>
      <c r="E300" t="s">
        <v>35</v>
      </c>
      <c r="G300">
        <v>1</v>
      </c>
    </row>
    <row r="301" spans="1:7" x14ac:dyDescent="0.35">
      <c r="B301" t="s">
        <v>917</v>
      </c>
      <c r="C301" t="s">
        <v>182</v>
      </c>
      <c r="D301" t="s">
        <v>944</v>
      </c>
      <c r="E301" t="s">
        <v>35</v>
      </c>
      <c r="G301">
        <v>1</v>
      </c>
    </row>
    <row r="302" spans="1:7" x14ac:dyDescent="0.35">
      <c r="A302" t="s">
        <v>463</v>
      </c>
      <c r="B302" t="s">
        <v>19</v>
      </c>
      <c r="C302" t="s">
        <v>179</v>
      </c>
      <c r="D302" t="s">
        <v>195</v>
      </c>
      <c r="E302" t="s">
        <v>35</v>
      </c>
      <c r="F302" t="s">
        <v>463</v>
      </c>
      <c r="G302">
        <f>380/(2000+380+1620)</f>
        <v>9.5000000000000001E-2</v>
      </c>
    </row>
    <row r="303" spans="1:7" x14ac:dyDescent="0.35">
      <c r="A303" t="s">
        <v>463</v>
      </c>
      <c r="B303" t="s">
        <v>19</v>
      </c>
      <c r="C303" t="s">
        <v>180</v>
      </c>
      <c r="D303" t="s">
        <v>196</v>
      </c>
      <c r="E303" t="s">
        <v>35</v>
      </c>
      <c r="F303" t="s">
        <v>463</v>
      </c>
      <c r="G303">
        <f>380/(2000+380+1620)</f>
        <v>9.5000000000000001E-2</v>
      </c>
    </row>
    <row r="304" spans="1:7" x14ac:dyDescent="0.35">
      <c r="A304" t="s">
        <v>463</v>
      </c>
      <c r="B304" t="s">
        <v>19</v>
      </c>
      <c r="C304" t="s">
        <v>181</v>
      </c>
      <c r="D304" t="s">
        <v>197</v>
      </c>
      <c r="E304" t="s">
        <v>35</v>
      </c>
      <c r="F304" t="s">
        <v>463</v>
      </c>
      <c r="G304">
        <f>380/(2000+380+1620)</f>
        <v>9.5000000000000001E-2</v>
      </c>
    </row>
    <row r="305" spans="1:7" x14ac:dyDescent="0.35">
      <c r="A305" t="s">
        <v>463</v>
      </c>
      <c r="B305" t="s">
        <v>19</v>
      </c>
      <c r="C305" t="s">
        <v>182</v>
      </c>
      <c r="D305" t="s">
        <v>198</v>
      </c>
      <c r="E305" t="s">
        <v>35</v>
      </c>
      <c r="F305" t="s">
        <v>463</v>
      </c>
      <c r="G305">
        <f>380/(2000+380+1620)</f>
        <v>9.5000000000000001E-2</v>
      </c>
    </row>
    <row r="306" spans="1:7" x14ac:dyDescent="0.35">
      <c r="A306" t="s">
        <v>463</v>
      </c>
      <c r="B306" t="s">
        <v>19</v>
      </c>
      <c r="C306" t="s">
        <v>179</v>
      </c>
      <c r="D306" t="s">
        <v>199</v>
      </c>
      <c r="E306" t="s">
        <v>35</v>
      </c>
      <c r="F306" t="s">
        <v>463</v>
      </c>
      <c r="G306">
        <v>1</v>
      </c>
    </row>
    <row r="307" spans="1:7" x14ac:dyDescent="0.35">
      <c r="A307" t="s">
        <v>463</v>
      </c>
      <c r="B307" t="s">
        <v>19</v>
      </c>
      <c r="C307" t="s">
        <v>180</v>
      </c>
      <c r="D307" t="s">
        <v>200</v>
      </c>
      <c r="E307" t="s">
        <v>35</v>
      </c>
      <c r="F307" t="s">
        <v>463</v>
      </c>
      <c r="G307">
        <v>1</v>
      </c>
    </row>
    <row r="308" spans="1:7" x14ac:dyDescent="0.35">
      <c r="A308" t="s">
        <v>463</v>
      </c>
      <c r="B308" t="s">
        <v>19</v>
      </c>
      <c r="C308" t="s">
        <v>181</v>
      </c>
      <c r="D308" t="s">
        <v>201</v>
      </c>
      <c r="E308" t="s">
        <v>35</v>
      </c>
      <c r="F308" t="s">
        <v>463</v>
      </c>
      <c r="G308">
        <v>1</v>
      </c>
    </row>
    <row r="309" spans="1:7" x14ac:dyDescent="0.35">
      <c r="A309" t="s">
        <v>463</v>
      </c>
      <c r="B309" t="s">
        <v>20</v>
      </c>
      <c r="C309" t="s">
        <v>179</v>
      </c>
      <c r="D309" t="s">
        <v>220</v>
      </c>
      <c r="E309" t="s">
        <v>35</v>
      </c>
      <c r="F309" t="s">
        <v>463</v>
      </c>
      <c r="G309">
        <v>1</v>
      </c>
    </row>
    <row r="310" spans="1:7" x14ac:dyDescent="0.35">
      <c r="A310" t="s">
        <v>463</v>
      </c>
      <c r="B310" t="s">
        <v>20</v>
      </c>
      <c r="C310" t="s">
        <v>180</v>
      </c>
      <c r="D310" t="s">
        <v>221</v>
      </c>
      <c r="E310" t="s">
        <v>35</v>
      </c>
      <c r="F310" t="s">
        <v>463</v>
      </c>
      <c r="G310">
        <v>1</v>
      </c>
    </row>
    <row r="311" spans="1:7" x14ac:dyDescent="0.35">
      <c r="A311" t="s">
        <v>463</v>
      </c>
      <c r="B311" t="s">
        <v>20</v>
      </c>
      <c r="C311" t="s">
        <v>181</v>
      </c>
      <c r="D311" t="s">
        <v>222</v>
      </c>
      <c r="E311" t="s">
        <v>35</v>
      </c>
      <c r="F311" t="s">
        <v>463</v>
      </c>
      <c r="G311">
        <v>1</v>
      </c>
    </row>
    <row r="312" spans="1:7" x14ac:dyDescent="0.35">
      <c r="A312" t="s">
        <v>463</v>
      </c>
      <c r="B312" t="s">
        <v>20</v>
      </c>
      <c r="C312" t="s">
        <v>182</v>
      </c>
      <c r="D312" t="s">
        <v>223</v>
      </c>
      <c r="E312" t="s">
        <v>35</v>
      </c>
      <c r="F312" t="s">
        <v>463</v>
      </c>
      <c r="G312">
        <v>1</v>
      </c>
    </row>
    <row r="313" spans="1:7" x14ac:dyDescent="0.35">
      <c r="B313" t="s">
        <v>499</v>
      </c>
      <c r="C313" t="s">
        <v>179</v>
      </c>
      <c r="D313" t="s">
        <v>661</v>
      </c>
      <c r="E313" t="s">
        <v>67</v>
      </c>
      <c r="G313">
        <v>1</v>
      </c>
    </row>
    <row r="314" spans="1:7" x14ac:dyDescent="0.35">
      <c r="B314" t="s">
        <v>499</v>
      </c>
      <c r="C314" t="s">
        <v>180</v>
      </c>
      <c r="D314" t="s">
        <v>662</v>
      </c>
      <c r="E314" t="s">
        <v>67</v>
      </c>
      <c r="G314">
        <v>1</v>
      </c>
    </row>
    <row r="315" spans="1:7" x14ac:dyDescent="0.35">
      <c r="B315" t="s">
        <v>499</v>
      </c>
      <c r="C315" t="s">
        <v>181</v>
      </c>
      <c r="D315" t="s">
        <v>663</v>
      </c>
      <c r="E315" t="s">
        <v>67</v>
      </c>
      <c r="G315">
        <v>1</v>
      </c>
    </row>
    <row r="316" spans="1:7" x14ac:dyDescent="0.35">
      <c r="B316" t="s">
        <v>499</v>
      </c>
      <c r="C316" t="s">
        <v>182</v>
      </c>
      <c r="D316" t="s">
        <v>664</v>
      </c>
      <c r="E316" t="s">
        <v>67</v>
      </c>
      <c r="G316">
        <v>1</v>
      </c>
    </row>
    <row r="317" spans="1:7" x14ac:dyDescent="0.35">
      <c r="B317" t="s">
        <v>488</v>
      </c>
      <c r="C317" t="s">
        <v>179</v>
      </c>
      <c r="D317" t="s">
        <v>653</v>
      </c>
      <c r="E317" t="s">
        <v>67</v>
      </c>
      <c r="G317">
        <v>1</v>
      </c>
    </row>
    <row r="318" spans="1:7" x14ac:dyDescent="0.35">
      <c r="B318" t="s">
        <v>488</v>
      </c>
      <c r="C318" t="s">
        <v>180</v>
      </c>
      <c r="D318" t="s">
        <v>654</v>
      </c>
      <c r="E318" t="s">
        <v>67</v>
      </c>
      <c r="G318">
        <v>1</v>
      </c>
    </row>
    <row r="319" spans="1:7" x14ac:dyDescent="0.35">
      <c r="B319" t="s">
        <v>488</v>
      </c>
      <c r="C319" t="s">
        <v>181</v>
      </c>
      <c r="D319" t="s">
        <v>655</v>
      </c>
      <c r="E319" t="s">
        <v>67</v>
      </c>
      <c r="G319">
        <v>1</v>
      </c>
    </row>
    <row r="320" spans="1:7" x14ac:dyDescent="0.35">
      <c r="B320" t="s">
        <v>488</v>
      </c>
      <c r="C320" t="s">
        <v>182</v>
      </c>
      <c r="D320" t="s">
        <v>656</v>
      </c>
      <c r="E320" t="s">
        <v>67</v>
      </c>
      <c r="G320">
        <v>1</v>
      </c>
    </row>
    <row r="321" spans="1:7" x14ac:dyDescent="0.35">
      <c r="B321" t="s">
        <v>485</v>
      </c>
      <c r="C321" t="s">
        <v>179</v>
      </c>
      <c r="D321" t="s">
        <v>649</v>
      </c>
      <c r="E321" t="s">
        <v>67</v>
      </c>
      <c r="G321">
        <v>1</v>
      </c>
    </row>
    <row r="322" spans="1:7" x14ac:dyDescent="0.35">
      <c r="B322" t="s">
        <v>485</v>
      </c>
      <c r="C322" t="s">
        <v>180</v>
      </c>
      <c r="D322" t="s">
        <v>650</v>
      </c>
      <c r="E322" t="s">
        <v>67</v>
      </c>
      <c r="G322">
        <v>1</v>
      </c>
    </row>
    <row r="323" spans="1:7" x14ac:dyDescent="0.35">
      <c r="B323" t="s">
        <v>485</v>
      </c>
      <c r="C323" t="s">
        <v>181</v>
      </c>
      <c r="D323" t="s">
        <v>651</v>
      </c>
      <c r="E323" t="s">
        <v>67</v>
      </c>
      <c r="G323">
        <v>1</v>
      </c>
    </row>
    <row r="324" spans="1:7" x14ac:dyDescent="0.35">
      <c r="B324" t="s">
        <v>485</v>
      </c>
      <c r="C324" t="s">
        <v>182</v>
      </c>
      <c r="D324" t="s">
        <v>652</v>
      </c>
      <c r="E324" t="s">
        <v>67</v>
      </c>
      <c r="G324">
        <v>1</v>
      </c>
    </row>
    <row r="325" spans="1:7" x14ac:dyDescent="0.35">
      <c r="B325" t="s">
        <v>504</v>
      </c>
      <c r="C325" t="s">
        <v>179</v>
      </c>
      <c r="D325" t="s">
        <v>715</v>
      </c>
      <c r="E325" t="s">
        <v>67</v>
      </c>
      <c r="G325">
        <v>1</v>
      </c>
    </row>
    <row r="326" spans="1:7" x14ac:dyDescent="0.35">
      <c r="B326" t="s">
        <v>504</v>
      </c>
      <c r="C326" t="s">
        <v>180</v>
      </c>
      <c r="D326" t="s">
        <v>716</v>
      </c>
      <c r="E326" t="s">
        <v>67</v>
      </c>
      <c r="G326">
        <v>1</v>
      </c>
    </row>
    <row r="327" spans="1:7" x14ac:dyDescent="0.35">
      <c r="B327" t="s">
        <v>504</v>
      </c>
      <c r="C327" t="s">
        <v>181</v>
      </c>
      <c r="D327" t="s">
        <v>717</v>
      </c>
      <c r="E327" t="s">
        <v>67</v>
      </c>
      <c r="G327">
        <v>1</v>
      </c>
    </row>
    <row r="328" spans="1:7" x14ac:dyDescent="0.35">
      <c r="B328" t="s">
        <v>504</v>
      </c>
      <c r="C328" t="s">
        <v>182</v>
      </c>
      <c r="D328" t="s">
        <v>718</v>
      </c>
      <c r="E328" t="s">
        <v>67</v>
      </c>
      <c r="G328">
        <v>1</v>
      </c>
    </row>
    <row r="329" spans="1:7" x14ac:dyDescent="0.35">
      <c r="A329" t="s">
        <v>463</v>
      </c>
      <c r="B329" t="s">
        <v>350</v>
      </c>
      <c r="C329" t="s">
        <v>179</v>
      </c>
      <c r="D329" t="s">
        <v>449</v>
      </c>
      <c r="E329" t="s">
        <v>35</v>
      </c>
      <c r="F329" t="s">
        <v>463</v>
      </c>
      <c r="G329">
        <v>1</v>
      </c>
    </row>
    <row r="330" spans="1:7" x14ac:dyDescent="0.35">
      <c r="A330" t="s">
        <v>463</v>
      </c>
      <c r="B330" t="s">
        <v>350</v>
      </c>
      <c r="C330" t="s">
        <v>180</v>
      </c>
      <c r="D330" t="s">
        <v>450</v>
      </c>
      <c r="E330" t="s">
        <v>35</v>
      </c>
      <c r="F330" t="s">
        <v>463</v>
      </c>
      <c r="G330">
        <v>1</v>
      </c>
    </row>
    <row r="331" spans="1:7" x14ac:dyDescent="0.35">
      <c r="A331" t="s">
        <v>463</v>
      </c>
      <c r="B331" t="s">
        <v>350</v>
      </c>
      <c r="C331" t="s">
        <v>181</v>
      </c>
      <c r="D331" t="s">
        <v>451</v>
      </c>
      <c r="E331" t="s">
        <v>35</v>
      </c>
      <c r="F331" t="s">
        <v>463</v>
      </c>
      <c r="G331">
        <v>1</v>
      </c>
    </row>
    <row r="332" spans="1:7" x14ac:dyDescent="0.35">
      <c r="A332" t="s">
        <v>463</v>
      </c>
      <c r="B332" t="s">
        <v>350</v>
      </c>
      <c r="C332" t="s">
        <v>182</v>
      </c>
      <c r="D332" t="s">
        <v>452</v>
      </c>
      <c r="E332" t="s">
        <v>35</v>
      </c>
      <c r="F332" t="s">
        <v>463</v>
      </c>
      <c r="G332">
        <v>1</v>
      </c>
    </row>
    <row r="333" spans="1:7" x14ac:dyDescent="0.35">
      <c r="B333" t="s">
        <v>1347</v>
      </c>
      <c r="C333" t="s">
        <v>179</v>
      </c>
      <c r="D333" t="s">
        <v>1368</v>
      </c>
      <c r="E333" t="s">
        <v>35</v>
      </c>
      <c r="G333">
        <v>1</v>
      </c>
    </row>
    <row r="334" spans="1:7" x14ac:dyDescent="0.35">
      <c r="B334" t="s">
        <v>1347</v>
      </c>
      <c r="C334" t="s">
        <v>180</v>
      </c>
      <c r="D334" t="s">
        <v>1369</v>
      </c>
      <c r="E334" t="s">
        <v>35</v>
      </c>
      <c r="G334">
        <v>1</v>
      </c>
    </row>
    <row r="335" spans="1:7" x14ac:dyDescent="0.35">
      <c r="B335" t="s">
        <v>1347</v>
      </c>
      <c r="C335" t="s">
        <v>181</v>
      </c>
      <c r="D335" t="s">
        <v>1370</v>
      </c>
      <c r="E335" t="s">
        <v>35</v>
      </c>
      <c r="G335">
        <v>1</v>
      </c>
    </row>
    <row r="336" spans="1:7" x14ac:dyDescent="0.35">
      <c r="B336" t="s">
        <v>1347</v>
      </c>
      <c r="C336" t="s">
        <v>182</v>
      </c>
      <c r="D336" t="s">
        <v>1371</v>
      </c>
      <c r="E336" t="s">
        <v>35</v>
      </c>
      <c r="G336">
        <v>1</v>
      </c>
    </row>
    <row r="337" spans="1:7" x14ac:dyDescent="0.35">
      <c r="B337" t="s">
        <v>1340</v>
      </c>
      <c r="C337" t="s">
        <v>179</v>
      </c>
      <c r="D337" t="s">
        <v>1448</v>
      </c>
      <c r="E337" t="s">
        <v>67</v>
      </c>
      <c r="G337">
        <v>1</v>
      </c>
    </row>
    <row r="338" spans="1:7" x14ac:dyDescent="0.35">
      <c r="B338" t="s">
        <v>1340</v>
      </c>
      <c r="C338" t="s">
        <v>180</v>
      </c>
      <c r="D338" t="s">
        <v>1430</v>
      </c>
      <c r="E338" t="s">
        <v>67</v>
      </c>
      <c r="G338">
        <v>1</v>
      </c>
    </row>
    <row r="339" spans="1:7" x14ac:dyDescent="0.35">
      <c r="B339" t="s">
        <v>1340</v>
      </c>
      <c r="C339" t="s">
        <v>181</v>
      </c>
      <c r="D339" t="s">
        <v>1449</v>
      </c>
      <c r="E339" t="s">
        <v>67</v>
      </c>
      <c r="G339">
        <v>1</v>
      </c>
    </row>
    <row r="340" spans="1:7" x14ac:dyDescent="0.35">
      <c r="B340" t="s">
        <v>1340</v>
      </c>
      <c r="C340" t="s">
        <v>182</v>
      </c>
      <c r="D340" t="s">
        <v>1450</v>
      </c>
      <c r="E340" t="s">
        <v>67</v>
      </c>
      <c r="G340">
        <v>1</v>
      </c>
    </row>
    <row r="341" spans="1:7" x14ac:dyDescent="0.35">
      <c r="B341" t="s">
        <v>505</v>
      </c>
      <c r="C341" t="s">
        <v>179</v>
      </c>
      <c r="D341" t="s">
        <v>1136</v>
      </c>
      <c r="E341" t="s">
        <v>67</v>
      </c>
      <c r="G341">
        <v>1</v>
      </c>
    </row>
    <row r="342" spans="1:7" x14ac:dyDescent="0.35">
      <c r="B342" t="s">
        <v>505</v>
      </c>
      <c r="C342" t="s">
        <v>180</v>
      </c>
      <c r="D342" t="s">
        <v>1137</v>
      </c>
      <c r="E342" t="s">
        <v>67</v>
      </c>
      <c r="G342">
        <v>1</v>
      </c>
    </row>
    <row r="343" spans="1:7" x14ac:dyDescent="0.35">
      <c r="B343" t="s">
        <v>505</v>
      </c>
      <c r="C343" t="s">
        <v>181</v>
      </c>
      <c r="D343" t="s">
        <v>1138</v>
      </c>
      <c r="E343" t="s">
        <v>67</v>
      </c>
      <c r="G343">
        <v>1</v>
      </c>
    </row>
    <row r="344" spans="1:7" x14ac:dyDescent="0.35">
      <c r="B344" t="s">
        <v>505</v>
      </c>
      <c r="C344" t="s">
        <v>182</v>
      </c>
      <c r="D344" t="s">
        <v>1139</v>
      </c>
      <c r="E344" t="s">
        <v>67</v>
      </c>
      <c r="G344">
        <v>1</v>
      </c>
    </row>
    <row r="345" spans="1:7" x14ac:dyDescent="0.35">
      <c r="A345" t="s">
        <v>463</v>
      </c>
      <c r="B345" t="s">
        <v>351</v>
      </c>
      <c r="C345" t="s">
        <v>179</v>
      </c>
      <c r="D345" t="s">
        <v>453</v>
      </c>
      <c r="E345" t="s">
        <v>35</v>
      </c>
      <c r="F345" t="s">
        <v>463</v>
      </c>
      <c r="G345">
        <v>1</v>
      </c>
    </row>
    <row r="346" spans="1:7" x14ac:dyDescent="0.35">
      <c r="A346" t="s">
        <v>463</v>
      </c>
      <c r="B346" t="s">
        <v>351</v>
      </c>
      <c r="C346" t="s">
        <v>180</v>
      </c>
      <c r="D346" t="s">
        <v>454</v>
      </c>
      <c r="E346" t="s">
        <v>35</v>
      </c>
      <c r="F346" t="s">
        <v>463</v>
      </c>
      <c r="G346">
        <v>1</v>
      </c>
    </row>
    <row r="347" spans="1:7" x14ac:dyDescent="0.35">
      <c r="A347" t="s">
        <v>463</v>
      </c>
      <c r="B347" t="s">
        <v>351</v>
      </c>
      <c r="C347" t="s">
        <v>181</v>
      </c>
      <c r="D347" t="s">
        <v>455</v>
      </c>
      <c r="E347" t="s">
        <v>35</v>
      </c>
      <c r="F347" t="s">
        <v>463</v>
      </c>
      <c r="G347">
        <v>1</v>
      </c>
    </row>
    <row r="348" spans="1:7" x14ac:dyDescent="0.35">
      <c r="A348" t="s">
        <v>463</v>
      </c>
      <c r="B348" t="s">
        <v>351</v>
      </c>
      <c r="C348" t="s">
        <v>182</v>
      </c>
      <c r="D348" t="s">
        <v>456</v>
      </c>
      <c r="E348" t="s">
        <v>35</v>
      </c>
      <c r="F348" t="s">
        <v>463</v>
      </c>
      <c r="G348">
        <v>1</v>
      </c>
    </row>
    <row r="349" spans="1:7" x14ac:dyDescent="0.35">
      <c r="B349" t="s">
        <v>512</v>
      </c>
      <c r="C349" t="s">
        <v>179</v>
      </c>
      <c r="D349" t="s">
        <v>727</v>
      </c>
      <c r="E349" t="s">
        <v>150</v>
      </c>
      <c r="G349">
        <v>1</v>
      </c>
    </row>
    <row r="350" spans="1:7" x14ac:dyDescent="0.35">
      <c r="B350" t="s">
        <v>512</v>
      </c>
      <c r="C350" t="s">
        <v>180</v>
      </c>
      <c r="D350" t="s">
        <v>728</v>
      </c>
      <c r="E350" t="s">
        <v>150</v>
      </c>
      <c r="G350">
        <v>1</v>
      </c>
    </row>
    <row r="351" spans="1:7" x14ac:dyDescent="0.35">
      <c r="B351" t="s">
        <v>512</v>
      </c>
      <c r="C351" t="s">
        <v>181</v>
      </c>
      <c r="D351" t="s">
        <v>729</v>
      </c>
      <c r="E351" t="s">
        <v>150</v>
      </c>
      <c r="G351">
        <v>1</v>
      </c>
    </row>
    <row r="352" spans="1:7" x14ac:dyDescent="0.35">
      <c r="B352" t="s">
        <v>512</v>
      </c>
      <c r="C352" t="s">
        <v>182</v>
      </c>
      <c r="D352" t="s">
        <v>730</v>
      </c>
      <c r="E352" t="s">
        <v>150</v>
      </c>
      <c r="G352">
        <v>1</v>
      </c>
    </row>
    <row r="353" spans="1:7" x14ac:dyDescent="0.35">
      <c r="A353" t="s">
        <v>457</v>
      </c>
      <c r="B353" t="s">
        <v>512</v>
      </c>
      <c r="C353" t="s">
        <v>179</v>
      </c>
      <c r="D353" t="s">
        <v>844</v>
      </c>
      <c r="E353" t="s">
        <v>150</v>
      </c>
      <c r="F353" t="s">
        <v>848</v>
      </c>
      <c r="G353">
        <f>1/150</f>
        <v>6.6666666666666671E-3</v>
      </c>
    </row>
    <row r="354" spans="1:7" x14ac:dyDescent="0.35">
      <c r="A354" t="s">
        <v>457</v>
      </c>
      <c r="B354" t="s">
        <v>512</v>
      </c>
      <c r="C354" t="s">
        <v>180</v>
      </c>
      <c r="D354" t="s">
        <v>845</v>
      </c>
      <c r="E354" t="s">
        <v>150</v>
      </c>
      <c r="F354" t="s">
        <v>849</v>
      </c>
      <c r="G354">
        <f>1/150</f>
        <v>6.6666666666666671E-3</v>
      </c>
    </row>
    <row r="355" spans="1:7" x14ac:dyDescent="0.35">
      <c r="A355" t="s">
        <v>457</v>
      </c>
      <c r="B355" t="s">
        <v>512</v>
      </c>
      <c r="C355" t="s">
        <v>181</v>
      </c>
      <c r="D355" t="s">
        <v>846</v>
      </c>
      <c r="E355" t="s">
        <v>150</v>
      </c>
      <c r="F355" t="s">
        <v>1109</v>
      </c>
      <c r="G355">
        <f>1/150</f>
        <v>6.6666666666666671E-3</v>
      </c>
    </row>
    <row r="356" spans="1:7" x14ac:dyDescent="0.35">
      <c r="A356" t="s">
        <v>457</v>
      </c>
      <c r="B356" t="s">
        <v>512</v>
      </c>
      <c r="C356" t="s">
        <v>182</v>
      </c>
      <c r="D356" t="s">
        <v>847</v>
      </c>
      <c r="E356" t="s">
        <v>150</v>
      </c>
      <c r="F356" t="s">
        <v>850</v>
      </c>
      <c r="G356">
        <f>1/150</f>
        <v>6.6666666666666671E-3</v>
      </c>
    </row>
    <row r="357" spans="1:7" x14ac:dyDescent="0.35">
      <c r="B357" t="s">
        <v>500</v>
      </c>
      <c r="C357" t="s">
        <v>179</v>
      </c>
      <c r="D357" t="s">
        <v>711</v>
      </c>
      <c r="E357" t="s">
        <v>35</v>
      </c>
      <c r="G357">
        <v>1</v>
      </c>
    </row>
    <row r="358" spans="1:7" x14ac:dyDescent="0.35">
      <c r="B358" t="s">
        <v>500</v>
      </c>
      <c r="C358" t="s">
        <v>180</v>
      </c>
      <c r="D358" t="s">
        <v>712</v>
      </c>
      <c r="E358" t="s">
        <v>35</v>
      </c>
      <c r="G358">
        <v>1</v>
      </c>
    </row>
    <row r="359" spans="1:7" x14ac:dyDescent="0.35">
      <c r="B359" t="s">
        <v>500</v>
      </c>
      <c r="C359" t="s">
        <v>181</v>
      </c>
      <c r="D359" t="s">
        <v>713</v>
      </c>
      <c r="E359" t="s">
        <v>35</v>
      </c>
      <c r="G359">
        <v>1</v>
      </c>
    </row>
    <row r="360" spans="1:7" x14ac:dyDescent="0.35">
      <c r="B360" t="s">
        <v>500</v>
      </c>
      <c r="C360" t="s">
        <v>182</v>
      </c>
      <c r="D360" t="s">
        <v>714</v>
      </c>
      <c r="E360" t="s">
        <v>35</v>
      </c>
      <c r="G360">
        <v>1</v>
      </c>
    </row>
    <row r="361" spans="1:7" x14ac:dyDescent="0.35">
      <c r="A361" t="s">
        <v>463</v>
      </c>
      <c r="B361" t="s">
        <v>26</v>
      </c>
      <c r="C361" t="s">
        <v>179</v>
      </c>
      <c r="D361" t="s">
        <v>232</v>
      </c>
      <c r="E361" t="s">
        <v>148</v>
      </c>
      <c r="F361" t="s">
        <v>463</v>
      </c>
      <c r="G361">
        <v>1</v>
      </c>
    </row>
    <row r="362" spans="1:7" x14ac:dyDescent="0.35">
      <c r="A362" t="s">
        <v>463</v>
      </c>
      <c r="B362" t="s">
        <v>26</v>
      </c>
      <c r="C362" t="s">
        <v>180</v>
      </c>
      <c r="D362" t="s">
        <v>233</v>
      </c>
      <c r="E362" t="s">
        <v>148</v>
      </c>
      <c r="F362" t="s">
        <v>463</v>
      </c>
      <c r="G362">
        <v>1</v>
      </c>
    </row>
    <row r="363" spans="1:7" x14ac:dyDescent="0.35">
      <c r="A363" t="s">
        <v>463</v>
      </c>
      <c r="B363" t="s">
        <v>26</v>
      </c>
      <c r="C363" t="s">
        <v>183</v>
      </c>
      <c r="D363" t="s">
        <v>234</v>
      </c>
      <c r="E363" t="s">
        <v>148</v>
      </c>
      <c r="F363" t="s">
        <v>463</v>
      </c>
      <c r="G363">
        <v>1</v>
      </c>
    </row>
    <row r="364" spans="1:7" x14ac:dyDescent="0.35">
      <c r="A364" t="s">
        <v>463</v>
      </c>
      <c r="B364" t="s">
        <v>26</v>
      </c>
      <c r="C364" t="s">
        <v>182</v>
      </c>
      <c r="D364" t="s">
        <v>235</v>
      </c>
      <c r="E364" t="s">
        <v>148</v>
      </c>
      <c r="F364" t="s">
        <v>463</v>
      </c>
      <c r="G364">
        <v>1</v>
      </c>
    </row>
    <row r="365" spans="1:7" x14ac:dyDescent="0.35">
      <c r="B365" t="s">
        <v>1341</v>
      </c>
      <c r="C365" t="s">
        <v>179</v>
      </c>
      <c r="D365" t="s">
        <v>1441</v>
      </c>
      <c r="E365" t="s">
        <v>67</v>
      </c>
      <c r="G365">
        <v>1</v>
      </c>
    </row>
    <row r="366" spans="1:7" x14ac:dyDescent="0.35">
      <c r="B366" t="s">
        <v>1341</v>
      </c>
      <c r="C366" t="s">
        <v>180</v>
      </c>
      <c r="D366" t="s">
        <v>1442</v>
      </c>
      <c r="E366" t="s">
        <v>67</v>
      </c>
      <c r="G366">
        <v>1</v>
      </c>
    </row>
    <row r="367" spans="1:7" x14ac:dyDescent="0.35">
      <c r="B367" t="s">
        <v>1341</v>
      </c>
      <c r="C367" t="s">
        <v>181</v>
      </c>
      <c r="D367" t="s">
        <v>1443</v>
      </c>
      <c r="E367" t="s">
        <v>67</v>
      </c>
      <c r="G367">
        <v>1</v>
      </c>
    </row>
    <row r="368" spans="1:7" x14ac:dyDescent="0.35">
      <c r="B368" t="s">
        <v>1341</v>
      </c>
      <c r="C368" t="s">
        <v>182</v>
      </c>
      <c r="D368" t="s">
        <v>1444</v>
      </c>
      <c r="E368" t="s">
        <v>67</v>
      </c>
      <c r="G368">
        <v>1</v>
      </c>
    </row>
    <row r="369" spans="1:7" x14ac:dyDescent="0.35">
      <c r="A369" t="s">
        <v>463</v>
      </c>
      <c r="B369" t="s">
        <v>27</v>
      </c>
      <c r="C369" t="s">
        <v>179</v>
      </c>
      <c r="D369" t="s">
        <v>228</v>
      </c>
      <c r="E369" t="s">
        <v>67</v>
      </c>
      <c r="F369" t="s">
        <v>463</v>
      </c>
      <c r="G369">
        <v>1</v>
      </c>
    </row>
    <row r="370" spans="1:7" x14ac:dyDescent="0.35">
      <c r="A370" t="s">
        <v>463</v>
      </c>
      <c r="B370" t="s">
        <v>27</v>
      </c>
      <c r="C370" t="s">
        <v>180</v>
      </c>
      <c r="D370" t="s">
        <v>229</v>
      </c>
      <c r="E370" t="s">
        <v>67</v>
      </c>
      <c r="F370" t="s">
        <v>463</v>
      </c>
      <c r="G370">
        <v>1</v>
      </c>
    </row>
    <row r="371" spans="1:7" x14ac:dyDescent="0.35">
      <c r="A371" t="s">
        <v>463</v>
      </c>
      <c r="B371" t="s">
        <v>27</v>
      </c>
      <c r="C371" t="s">
        <v>181</v>
      </c>
      <c r="D371" t="s">
        <v>230</v>
      </c>
      <c r="E371" t="s">
        <v>67</v>
      </c>
      <c r="F371" t="s">
        <v>463</v>
      </c>
      <c r="G371">
        <v>1</v>
      </c>
    </row>
    <row r="372" spans="1:7" x14ac:dyDescent="0.35">
      <c r="A372" t="s">
        <v>463</v>
      </c>
      <c r="B372" t="s">
        <v>27</v>
      </c>
      <c r="C372" t="s">
        <v>182</v>
      </c>
      <c r="D372" t="s">
        <v>231</v>
      </c>
      <c r="E372" t="s">
        <v>67</v>
      </c>
      <c r="F372" t="s">
        <v>463</v>
      </c>
      <c r="G372">
        <v>1</v>
      </c>
    </row>
    <row r="373" spans="1:7" x14ac:dyDescent="0.35">
      <c r="B373" t="s">
        <v>501</v>
      </c>
      <c r="C373" t="s">
        <v>179</v>
      </c>
      <c r="D373" t="s">
        <v>665</v>
      </c>
      <c r="E373" t="s">
        <v>35</v>
      </c>
      <c r="G373">
        <v>1</v>
      </c>
    </row>
    <row r="374" spans="1:7" x14ac:dyDescent="0.35">
      <c r="B374" t="s">
        <v>501</v>
      </c>
      <c r="C374" t="s">
        <v>180</v>
      </c>
      <c r="D374" t="s">
        <v>666</v>
      </c>
      <c r="E374" t="s">
        <v>35</v>
      </c>
      <c r="G374">
        <v>1</v>
      </c>
    </row>
    <row r="375" spans="1:7" x14ac:dyDescent="0.35">
      <c r="B375" t="s">
        <v>501</v>
      </c>
      <c r="C375" t="s">
        <v>183</v>
      </c>
      <c r="D375" t="s">
        <v>1112</v>
      </c>
      <c r="E375" t="s">
        <v>35</v>
      </c>
      <c r="G375">
        <v>1</v>
      </c>
    </row>
    <row r="376" spans="1:7" x14ac:dyDescent="0.35">
      <c r="B376" t="s">
        <v>501</v>
      </c>
      <c r="C376" t="s">
        <v>182</v>
      </c>
      <c r="D376" t="s">
        <v>667</v>
      </c>
      <c r="E376" t="s">
        <v>35</v>
      </c>
      <c r="G376">
        <v>1</v>
      </c>
    </row>
    <row r="377" spans="1:7" x14ac:dyDescent="0.35">
      <c r="B377" t="s">
        <v>916</v>
      </c>
      <c r="C377" t="s">
        <v>179</v>
      </c>
      <c r="D377" t="s">
        <v>937</v>
      </c>
      <c r="E377" t="s">
        <v>35</v>
      </c>
      <c r="G377">
        <v>1</v>
      </c>
    </row>
    <row r="378" spans="1:7" x14ac:dyDescent="0.35">
      <c r="B378" t="s">
        <v>916</v>
      </c>
      <c r="C378" t="s">
        <v>180</v>
      </c>
      <c r="D378" t="s">
        <v>938</v>
      </c>
      <c r="E378" t="s">
        <v>35</v>
      </c>
      <c r="G378">
        <v>1</v>
      </c>
    </row>
    <row r="379" spans="1:7" x14ac:dyDescent="0.35">
      <c r="B379" t="s">
        <v>916</v>
      </c>
      <c r="C379" t="s">
        <v>181</v>
      </c>
      <c r="D379" t="s">
        <v>939</v>
      </c>
      <c r="E379" t="s">
        <v>35</v>
      </c>
      <c r="G379">
        <v>1</v>
      </c>
    </row>
    <row r="380" spans="1:7" x14ac:dyDescent="0.35">
      <c r="B380" t="s">
        <v>916</v>
      </c>
      <c r="C380" t="s">
        <v>182</v>
      </c>
      <c r="D380" t="s">
        <v>940</v>
      </c>
      <c r="E380" t="s">
        <v>35</v>
      </c>
      <c r="G380">
        <v>1</v>
      </c>
    </row>
    <row r="381" spans="1:7" x14ac:dyDescent="0.35">
      <c r="B381" t="s">
        <v>486</v>
      </c>
      <c r="C381" t="s">
        <v>179</v>
      </c>
      <c r="D381" t="s">
        <v>699</v>
      </c>
      <c r="E381" t="s">
        <v>67</v>
      </c>
      <c r="G381">
        <v>1</v>
      </c>
    </row>
    <row r="382" spans="1:7" x14ac:dyDescent="0.35">
      <c r="B382" t="s">
        <v>486</v>
      </c>
      <c r="C382" t="s">
        <v>180</v>
      </c>
      <c r="D382" t="s">
        <v>700</v>
      </c>
      <c r="E382" t="s">
        <v>67</v>
      </c>
      <c r="G382">
        <v>1</v>
      </c>
    </row>
    <row r="383" spans="1:7" x14ac:dyDescent="0.35">
      <c r="B383" t="s">
        <v>486</v>
      </c>
      <c r="C383" t="s">
        <v>181</v>
      </c>
      <c r="D383" t="s">
        <v>701</v>
      </c>
      <c r="E383" t="s">
        <v>67</v>
      </c>
      <c r="G383">
        <v>1</v>
      </c>
    </row>
    <row r="384" spans="1:7" x14ac:dyDescent="0.35">
      <c r="B384" t="s">
        <v>486</v>
      </c>
      <c r="C384" t="s">
        <v>182</v>
      </c>
      <c r="D384" t="s">
        <v>702</v>
      </c>
      <c r="E384" t="s">
        <v>67</v>
      </c>
      <c r="G384">
        <v>1</v>
      </c>
    </row>
    <row r="385" spans="1:7" x14ac:dyDescent="0.35">
      <c r="A385" t="s">
        <v>463</v>
      </c>
      <c r="B385" t="s">
        <v>28</v>
      </c>
      <c r="C385" t="s">
        <v>179</v>
      </c>
      <c r="D385" t="s">
        <v>224</v>
      </c>
      <c r="E385" t="s">
        <v>35</v>
      </c>
      <c r="F385" t="s">
        <v>463</v>
      </c>
      <c r="G385">
        <v>1</v>
      </c>
    </row>
    <row r="386" spans="1:7" x14ac:dyDescent="0.35">
      <c r="A386" t="s">
        <v>463</v>
      </c>
      <c r="B386" t="s">
        <v>28</v>
      </c>
      <c r="C386" t="s">
        <v>180</v>
      </c>
      <c r="D386" t="s">
        <v>225</v>
      </c>
      <c r="E386" t="s">
        <v>35</v>
      </c>
      <c r="F386" t="s">
        <v>463</v>
      </c>
      <c r="G386">
        <v>1</v>
      </c>
    </row>
    <row r="387" spans="1:7" x14ac:dyDescent="0.35">
      <c r="A387" t="s">
        <v>463</v>
      </c>
      <c r="B387" t="s">
        <v>28</v>
      </c>
      <c r="C387" t="s">
        <v>181</v>
      </c>
      <c r="D387" t="s">
        <v>226</v>
      </c>
      <c r="E387" t="s">
        <v>35</v>
      </c>
      <c r="F387" t="s">
        <v>463</v>
      </c>
      <c r="G387">
        <v>1</v>
      </c>
    </row>
    <row r="388" spans="1:7" x14ac:dyDescent="0.35">
      <c r="A388" t="s">
        <v>463</v>
      </c>
      <c r="B388" t="s">
        <v>28</v>
      </c>
      <c r="C388" t="s">
        <v>182</v>
      </c>
      <c r="D388" t="s">
        <v>227</v>
      </c>
      <c r="E388" t="s">
        <v>35</v>
      </c>
      <c r="F388" t="s">
        <v>463</v>
      </c>
      <c r="G388">
        <v>1</v>
      </c>
    </row>
    <row r="389" spans="1:7" x14ac:dyDescent="0.35">
      <c r="B389" t="s">
        <v>541</v>
      </c>
      <c r="C389" t="s">
        <v>179</v>
      </c>
      <c r="D389" t="s">
        <v>731</v>
      </c>
      <c r="E389" t="s">
        <v>67</v>
      </c>
      <c r="G389">
        <v>1</v>
      </c>
    </row>
    <row r="390" spans="1:7" x14ac:dyDescent="0.35">
      <c r="B390" t="s">
        <v>541</v>
      </c>
      <c r="C390" t="s">
        <v>180</v>
      </c>
      <c r="D390" t="s">
        <v>732</v>
      </c>
      <c r="E390" t="s">
        <v>67</v>
      </c>
      <c r="G390">
        <v>1</v>
      </c>
    </row>
    <row r="391" spans="1:7" x14ac:dyDescent="0.35">
      <c r="B391" t="s">
        <v>541</v>
      </c>
      <c r="C391" t="s">
        <v>181</v>
      </c>
      <c r="D391" t="s">
        <v>733</v>
      </c>
      <c r="E391" t="s">
        <v>67</v>
      </c>
      <c r="G391">
        <v>1</v>
      </c>
    </row>
    <row r="392" spans="1:7" x14ac:dyDescent="0.35">
      <c r="B392" t="s">
        <v>541</v>
      </c>
      <c r="C392" t="s">
        <v>182</v>
      </c>
      <c r="D392" t="s">
        <v>734</v>
      </c>
      <c r="E392" t="s">
        <v>67</v>
      </c>
      <c r="G392">
        <v>1</v>
      </c>
    </row>
    <row r="393" spans="1:7" x14ac:dyDescent="0.35">
      <c r="B393" t="s">
        <v>920</v>
      </c>
      <c r="C393" t="s">
        <v>179</v>
      </c>
      <c r="D393" t="s">
        <v>952</v>
      </c>
      <c r="E393" t="s">
        <v>67</v>
      </c>
      <c r="G393">
        <v>1</v>
      </c>
    </row>
    <row r="394" spans="1:7" x14ac:dyDescent="0.35">
      <c r="B394" t="s">
        <v>920</v>
      </c>
      <c r="C394" t="s">
        <v>180</v>
      </c>
      <c r="D394" t="s">
        <v>953</v>
      </c>
      <c r="E394" t="s">
        <v>67</v>
      </c>
      <c r="G394">
        <v>1</v>
      </c>
    </row>
    <row r="395" spans="1:7" x14ac:dyDescent="0.35">
      <c r="B395" t="s">
        <v>920</v>
      </c>
      <c r="C395" t="s">
        <v>181</v>
      </c>
      <c r="D395" t="s">
        <v>954</v>
      </c>
      <c r="E395" t="s">
        <v>67</v>
      </c>
      <c r="G395">
        <v>1</v>
      </c>
    </row>
    <row r="396" spans="1:7" x14ac:dyDescent="0.35">
      <c r="B396" t="s">
        <v>920</v>
      </c>
      <c r="C396" t="s">
        <v>182</v>
      </c>
      <c r="D396" t="s">
        <v>955</v>
      </c>
      <c r="E396" t="s">
        <v>67</v>
      </c>
      <c r="G396">
        <v>1</v>
      </c>
    </row>
    <row r="397" spans="1:7" x14ac:dyDescent="0.35">
      <c r="B397" t="s">
        <v>1318</v>
      </c>
      <c r="C397" t="s">
        <v>179</v>
      </c>
      <c r="D397" t="s">
        <v>1327</v>
      </c>
      <c r="E397" t="s">
        <v>67</v>
      </c>
      <c r="G397">
        <v>1</v>
      </c>
    </row>
    <row r="398" spans="1:7" x14ac:dyDescent="0.35">
      <c r="B398" t="s">
        <v>1318</v>
      </c>
      <c r="C398" t="s">
        <v>180</v>
      </c>
      <c r="D398" t="s">
        <v>1328</v>
      </c>
      <c r="E398" t="s">
        <v>67</v>
      </c>
      <c r="G398">
        <v>1</v>
      </c>
    </row>
    <row r="399" spans="1:7" x14ac:dyDescent="0.35">
      <c r="B399" t="s">
        <v>1318</v>
      </c>
      <c r="C399" t="s">
        <v>183</v>
      </c>
      <c r="D399" t="s">
        <v>1329</v>
      </c>
      <c r="E399" t="s">
        <v>67</v>
      </c>
      <c r="G399">
        <v>1</v>
      </c>
    </row>
    <row r="400" spans="1:7" x14ac:dyDescent="0.35">
      <c r="B400" t="s">
        <v>1318</v>
      </c>
      <c r="C400" t="s">
        <v>182</v>
      </c>
      <c r="D400" t="s">
        <v>1330</v>
      </c>
      <c r="E400" t="s">
        <v>67</v>
      </c>
      <c r="G400">
        <v>1</v>
      </c>
    </row>
    <row r="401" spans="1:7" x14ac:dyDescent="0.35">
      <c r="A401" t="s">
        <v>457</v>
      </c>
      <c r="B401" t="s">
        <v>30</v>
      </c>
      <c r="C401" t="s">
        <v>179</v>
      </c>
      <c r="D401" t="s">
        <v>326</v>
      </c>
      <c r="E401" t="s">
        <v>67</v>
      </c>
      <c r="F401" t="s">
        <v>318</v>
      </c>
      <c r="G401">
        <f>(40/3070)/40</f>
        <v>3.2573289902280132E-4</v>
      </c>
    </row>
    <row r="402" spans="1:7" x14ac:dyDescent="0.35">
      <c r="A402" t="s">
        <v>457</v>
      </c>
      <c r="B402" t="s">
        <v>30</v>
      </c>
      <c r="C402" t="s">
        <v>180</v>
      </c>
      <c r="D402" t="s">
        <v>327</v>
      </c>
      <c r="E402" t="s">
        <v>67</v>
      </c>
      <c r="F402" t="s">
        <v>319</v>
      </c>
      <c r="G402">
        <f>(40/3070)/40</f>
        <v>3.2573289902280132E-4</v>
      </c>
    </row>
    <row r="403" spans="1:7" x14ac:dyDescent="0.35">
      <c r="A403" t="s">
        <v>457</v>
      </c>
      <c r="B403" t="s">
        <v>30</v>
      </c>
      <c r="C403" t="s">
        <v>181</v>
      </c>
      <c r="D403" t="s">
        <v>328</v>
      </c>
      <c r="E403" t="s">
        <v>67</v>
      </c>
      <c r="F403" t="s">
        <v>320</v>
      </c>
      <c r="G403">
        <f>(40/3070)/40</f>
        <v>3.2573289902280132E-4</v>
      </c>
    </row>
    <row r="404" spans="1:7" x14ac:dyDescent="0.35">
      <c r="A404" t="s">
        <v>457</v>
      </c>
      <c r="B404" t="s">
        <v>30</v>
      </c>
      <c r="C404" t="s">
        <v>182</v>
      </c>
      <c r="D404" t="s">
        <v>329</v>
      </c>
      <c r="E404" t="s">
        <v>67</v>
      </c>
      <c r="F404" t="s">
        <v>321</v>
      </c>
      <c r="G404">
        <f>(40/3070)/40</f>
        <v>3.2573289902280132E-4</v>
      </c>
    </row>
    <row r="405" spans="1:7" x14ac:dyDescent="0.35">
      <c r="A405" t="s">
        <v>457</v>
      </c>
      <c r="B405" t="s">
        <v>30</v>
      </c>
      <c r="C405" t="s">
        <v>179</v>
      </c>
      <c r="D405" t="s">
        <v>202</v>
      </c>
      <c r="E405" t="s">
        <v>67</v>
      </c>
      <c r="F405" t="s">
        <v>322</v>
      </c>
      <c r="G405">
        <f>(40/6000)/40</f>
        <v>1.6666666666666669E-4</v>
      </c>
    </row>
    <row r="406" spans="1:7" x14ac:dyDescent="0.35">
      <c r="A406" t="s">
        <v>457</v>
      </c>
      <c r="B406" t="s">
        <v>30</v>
      </c>
      <c r="C406" t="s">
        <v>180</v>
      </c>
      <c r="D406" t="s">
        <v>203</v>
      </c>
      <c r="E406" t="s">
        <v>67</v>
      </c>
      <c r="F406" t="s">
        <v>323</v>
      </c>
      <c r="G406">
        <f>(40/6000)/40</f>
        <v>1.6666666666666669E-4</v>
      </c>
    </row>
    <row r="407" spans="1:7" x14ac:dyDescent="0.35">
      <c r="A407" t="s">
        <v>457</v>
      </c>
      <c r="B407" t="s">
        <v>30</v>
      </c>
      <c r="C407" t="s">
        <v>181</v>
      </c>
      <c r="D407" t="s">
        <v>204</v>
      </c>
      <c r="E407" t="s">
        <v>67</v>
      </c>
      <c r="F407" t="s">
        <v>324</v>
      </c>
      <c r="G407">
        <f>(40/6000)/40</f>
        <v>1.6666666666666669E-4</v>
      </c>
    </row>
    <row r="408" spans="1:7" x14ac:dyDescent="0.35">
      <c r="A408" t="s">
        <v>457</v>
      </c>
      <c r="B408" t="s">
        <v>30</v>
      </c>
      <c r="C408" t="s">
        <v>182</v>
      </c>
      <c r="D408" t="s">
        <v>205</v>
      </c>
      <c r="E408" t="s">
        <v>67</v>
      </c>
      <c r="F408" t="s">
        <v>325</v>
      </c>
      <c r="G408">
        <f>(40/6000)/40</f>
        <v>1.6666666666666669E-4</v>
      </c>
    </row>
    <row r="409" spans="1:7" x14ac:dyDescent="0.35">
      <c r="A409" t="s">
        <v>463</v>
      </c>
      <c r="B409" t="s">
        <v>30</v>
      </c>
      <c r="C409" t="s">
        <v>179</v>
      </c>
      <c r="D409" t="s">
        <v>206</v>
      </c>
      <c r="E409" t="s">
        <v>67</v>
      </c>
      <c r="F409" t="s">
        <v>463</v>
      </c>
      <c r="G409">
        <v>1</v>
      </c>
    </row>
    <row r="410" spans="1:7" x14ac:dyDescent="0.35">
      <c r="A410" t="s">
        <v>463</v>
      </c>
      <c r="B410" t="s">
        <v>30</v>
      </c>
      <c r="C410" t="s">
        <v>180</v>
      </c>
      <c r="D410" t="s">
        <v>207</v>
      </c>
      <c r="E410" t="s">
        <v>67</v>
      </c>
      <c r="F410" t="s">
        <v>463</v>
      </c>
      <c r="G410">
        <v>1</v>
      </c>
    </row>
    <row r="411" spans="1:7" x14ac:dyDescent="0.35">
      <c r="A411" t="s">
        <v>463</v>
      </c>
      <c r="B411" t="s">
        <v>30</v>
      </c>
      <c r="C411" t="s">
        <v>181</v>
      </c>
      <c r="D411" t="s">
        <v>208</v>
      </c>
      <c r="E411" t="s">
        <v>67</v>
      </c>
      <c r="F411" t="s">
        <v>463</v>
      </c>
      <c r="G411">
        <v>1</v>
      </c>
    </row>
    <row r="412" spans="1:7" x14ac:dyDescent="0.35">
      <c r="A412" t="s">
        <v>457</v>
      </c>
      <c r="B412" t="s">
        <v>31</v>
      </c>
      <c r="C412" t="s">
        <v>179</v>
      </c>
      <c r="D412" t="s">
        <v>330</v>
      </c>
      <c r="E412" t="s">
        <v>35</v>
      </c>
      <c r="F412" t="s">
        <v>318</v>
      </c>
      <c r="G412">
        <f>30/3070</f>
        <v>9.7719869706840382E-3</v>
      </c>
    </row>
    <row r="413" spans="1:7" x14ac:dyDescent="0.35">
      <c r="A413" t="s">
        <v>457</v>
      </c>
      <c r="B413" t="s">
        <v>31</v>
      </c>
      <c r="C413" t="s">
        <v>180</v>
      </c>
      <c r="D413" t="s">
        <v>331</v>
      </c>
      <c r="E413" t="s">
        <v>35</v>
      </c>
      <c r="F413" t="s">
        <v>319</v>
      </c>
      <c r="G413">
        <f>30/3070</f>
        <v>9.7719869706840382E-3</v>
      </c>
    </row>
    <row r="414" spans="1:7" x14ac:dyDescent="0.35">
      <c r="A414" t="s">
        <v>457</v>
      </c>
      <c r="B414" t="s">
        <v>31</v>
      </c>
      <c r="C414" t="s">
        <v>181</v>
      </c>
      <c r="D414" t="s">
        <v>332</v>
      </c>
      <c r="E414" t="s">
        <v>35</v>
      </c>
      <c r="F414" t="s">
        <v>320</v>
      </c>
      <c r="G414">
        <f>30/3070</f>
        <v>9.7719869706840382E-3</v>
      </c>
    </row>
    <row r="415" spans="1:7" x14ac:dyDescent="0.35">
      <c r="A415" t="s">
        <v>457</v>
      </c>
      <c r="B415" t="s">
        <v>31</v>
      </c>
      <c r="C415" t="s">
        <v>182</v>
      </c>
      <c r="D415" t="s">
        <v>333</v>
      </c>
      <c r="E415" t="s">
        <v>35</v>
      </c>
      <c r="F415" t="s">
        <v>321</v>
      </c>
      <c r="G415">
        <f>30/3070</f>
        <v>9.7719869706840382E-3</v>
      </c>
    </row>
    <row r="416" spans="1:7" x14ac:dyDescent="0.35">
      <c r="A416" t="s">
        <v>457</v>
      </c>
      <c r="B416" t="s">
        <v>31</v>
      </c>
      <c r="C416" t="s">
        <v>179</v>
      </c>
      <c r="D416" t="s">
        <v>209</v>
      </c>
      <c r="E416" t="s">
        <v>35</v>
      </c>
      <c r="F416" t="s">
        <v>322</v>
      </c>
      <c r="G416">
        <f>30/6000</f>
        <v>5.0000000000000001E-3</v>
      </c>
    </row>
    <row r="417" spans="1:7" x14ac:dyDescent="0.35">
      <c r="A417" t="s">
        <v>457</v>
      </c>
      <c r="B417" t="s">
        <v>31</v>
      </c>
      <c r="C417" t="s">
        <v>180</v>
      </c>
      <c r="D417" t="s">
        <v>210</v>
      </c>
      <c r="E417" t="s">
        <v>35</v>
      </c>
      <c r="F417" t="s">
        <v>323</v>
      </c>
      <c r="G417">
        <f>30/6000</f>
        <v>5.0000000000000001E-3</v>
      </c>
    </row>
    <row r="418" spans="1:7" x14ac:dyDescent="0.35">
      <c r="A418" t="s">
        <v>457</v>
      </c>
      <c r="B418" t="s">
        <v>31</v>
      </c>
      <c r="C418" t="s">
        <v>181</v>
      </c>
      <c r="D418" t="s">
        <v>211</v>
      </c>
      <c r="E418" t="s">
        <v>35</v>
      </c>
      <c r="F418" t="s">
        <v>324</v>
      </c>
      <c r="G418">
        <f>30/6000</f>
        <v>5.0000000000000001E-3</v>
      </c>
    </row>
    <row r="419" spans="1:7" x14ac:dyDescent="0.35">
      <c r="A419" t="s">
        <v>457</v>
      </c>
      <c r="B419" t="s">
        <v>31</v>
      </c>
      <c r="C419" t="s">
        <v>182</v>
      </c>
      <c r="D419" t="s">
        <v>212</v>
      </c>
      <c r="E419" t="s">
        <v>35</v>
      </c>
      <c r="F419" t="s">
        <v>325</v>
      </c>
      <c r="G419">
        <f>30/6000</f>
        <v>5.0000000000000001E-3</v>
      </c>
    </row>
    <row r="420" spans="1:7" x14ac:dyDescent="0.35">
      <c r="A420" t="s">
        <v>463</v>
      </c>
      <c r="B420" t="s">
        <v>31</v>
      </c>
      <c r="C420" t="s">
        <v>179</v>
      </c>
      <c r="D420" t="s">
        <v>213</v>
      </c>
      <c r="E420" t="s">
        <v>35</v>
      </c>
      <c r="F420" t="s">
        <v>463</v>
      </c>
      <c r="G420">
        <v>1</v>
      </c>
    </row>
    <row r="421" spans="1:7" x14ac:dyDescent="0.35">
      <c r="A421" t="s">
        <v>463</v>
      </c>
      <c r="B421" t="s">
        <v>31</v>
      </c>
      <c r="C421" t="s">
        <v>180</v>
      </c>
      <c r="D421" t="s">
        <v>214</v>
      </c>
      <c r="E421" t="s">
        <v>35</v>
      </c>
      <c r="F421" t="s">
        <v>463</v>
      </c>
      <c r="G421">
        <v>1</v>
      </c>
    </row>
    <row r="422" spans="1:7" x14ac:dyDescent="0.35">
      <c r="A422" t="s">
        <v>463</v>
      </c>
      <c r="B422" t="s">
        <v>31</v>
      </c>
      <c r="C422" t="s">
        <v>181</v>
      </c>
      <c r="D422" t="s">
        <v>215</v>
      </c>
      <c r="E422" t="s">
        <v>35</v>
      </c>
      <c r="F422" t="s">
        <v>463</v>
      </c>
      <c r="G422">
        <v>1</v>
      </c>
    </row>
    <row r="423" spans="1:7" x14ac:dyDescent="0.35">
      <c r="A423" t="s">
        <v>463</v>
      </c>
      <c r="B423" t="s">
        <v>72</v>
      </c>
      <c r="C423" t="s">
        <v>179</v>
      </c>
      <c r="D423" t="s">
        <v>188</v>
      </c>
      <c r="E423" t="s">
        <v>35</v>
      </c>
      <c r="F423" t="s">
        <v>463</v>
      </c>
      <c r="G423">
        <v>0.15</v>
      </c>
    </row>
    <row r="424" spans="1:7" x14ac:dyDescent="0.35">
      <c r="A424" t="s">
        <v>463</v>
      </c>
      <c r="B424" t="s">
        <v>72</v>
      </c>
      <c r="C424" t="s">
        <v>180</v>
      </c>
      <c r="D424" t="s">
        <v>189</v>
      </c>
      <c r="E424" t="s">
        <v>35</v>
      </c>
      <c r="F424" t="s">
        <v>463</v>
      </c>
      <c r="G424">
        <v>0.15</v>
      </c>
    </row>
    <row r="425" spans="1:7" x14ac:dyDescent="0.35">
      <c r="A425" t="s">
        <v>463</v>
      </c>
      <c r="B425" t="s">
        <v>72</v>
      </c>
      <c r="C425" t="s">
        <v>181</v>
      </c>
      <c r="D425" t="s">
        <v>190</v>
      </c>
      <c r="E425" t="s">
        <v>35</v>
      </c>
      <c r="F425" t="s">
        <v>463</v>
      </c>
      <c r="G425">
        <v>0.15</v>
      </c>
    </row>
    <row r="426" spans="1:7" x14ac:dyDescent="0.35">
      <c r="A426" t="s">
        <v>463</v>
      </c>
      <c r="B426" t="s">
        <v>72</v>
      </c>
      <c r="C426" t="s">
        <v>182</v>
      </c>
      <c r="D426" t="s">
        <v>191</v>
      </c>
      <c r="E426" t="s">
        <v>35</v>
      </c>
      <c r="F426" t="s">
        <v>463</v>
      </c>
      <c r="G426">
        <v>0.15</v>
      </c>
    </row>
    <row r="427" spans="1:7" x14ac:dyDescent="0.35">
      <c r="A427" t="s">
        <v>463</v>
      </c>
      <c r="B427" t="s">
        <v>72</v>
      </c>
      <c r="C427" t="s">
        <v>179</v>
      </c>
      <c r="D427" t="s">
        <v>192</v>
      </c>
      <c r="E427" t="s">
        <v>35</v>
      </c>
      <c r="F427" t="s">
        <v>463</v>
      </c>
      <c r="G427">
        <v>1</v>
      </c>
    </row>
    <row r="428" spans="1:7" x14ac:dyDescent="0.35">
      <c r="A428" t="s">
        <v>463</v>
      </c>
      <c r="B428" t="s">
        <v>72</v>
      </c>
      <c r="C428" t="s">
        <v>180</v>
      </c>
      <c r="D428" t="s">
        <v>193</v>
      </c>
      <c r="E428" t="s">
        <v>35</v>
      </c>
      <c r="F428" t="s">
        <v>463</v>
      </c>
      <c r="G428">
        <v>1</v>
      </c>
    </row>
    <row r="429" spans="1:7" x14ac:dyDescent="0.35">
      <c r="A429" t="s">
        <v>463</v>
      </c>
      <c r="B429" t="s">
        <v>72</v>
      </c>
      <c r="C429" t="s">
        <v>181</v>
      </c>
      <c r="D429" t="s">
        <v>194</v>
      </c>
      <c r="E429" t="s">
        <v>35</v>
      </c>
      <c r="F429" t="s">
        <v>463</v>
      </c>
      <c r="G429">
        <v>1</v>
      </c>
    </row>
    <row r="430" spans="1:7" x14ac:dyDescent="0.35">
      <c r="B430" t="s">
        <v>542</v>
      </c>
      <c r="C430" t="s">
        <v>179</v>
      </c>
      <c r="D430" t="s">
        <v>683</v>
      </c>
      <c r="E430" t="s">
        <v>35</v>
      </c>
      <c r="G430">
        <v>1</v>
      </c>
    </row>
    <row r="431" spans="1:7" x14ac:dyDescent="0.35">
      <c r="B431" t="s">
        <v>542</v>
      </c>
      <c r="C431" t="s">
        <v>180</v>
      </c>
      <c r="D431" t="s">
        <v>684</v>
      </c>
      <c r="E431" t="s">
        <v>35</v>
      </c>
      <c r="G431">
        <v>1</v>
      </c>
    </row>
    <row r="432" spans="1:7" x14ac:dyDescent="0.35">
      <c r="B432" t="s">
        <v>542</v>
      </c>
      <c r="C432" t="s">
        <v>181</v>
      </c>
      <c r="D432" t="s">
        <v>685</v>
      </c>
      <c r="E432" t="s">
        <v>35</v>
      </c>
      <c r="G432">
        <v>1</v>
      </c>
    </row>
    <row r="433" spans="1:7" x14ac:dyDescent="0.35">
      <c r="B433" t="s">
        <v>542</v>
      </c>
      <c r="C433" t="s">
        <v>182</v>
      </c>
      <c r="D433" t="s">
        <v>686</v>
      </c>
      <c r="E433" t="s">
        <v>35</v>
      </c>
      <c r="G433">
        <v>1</v>
      </c>
    </row>
    <row r="434" spans="1:7" x14ac:dyDescent="0.35">
      <c r="B434" t="s">
        <v>555</v>
      </c>
      <c r="C434" t="s">
        <v>179</v>
      </c>
      <c r="D434" t="s">
        <v>691</v>
      </c>
      <c r="E434" t="s">
        <v>67</v>
      </c>
      <c r="G434">
        <v>1</v>
      </c>
    </row>
    <row r="435" spans="1:7" x14ac:dyDescent="0.35">
      <c r="B435" t="s">
        <v>555</v>
      </c>
      <c r="C435" t="s">
        <v>180</v>
      </c>
      <c r="D435" t="s">
        <v>692</v>
      </c>
      <c r="E435" t="s">
        <v>67</v>
      </c>
      <c r="G435">
        <v>1</v>
      </c>
    </row>
    <row r="436" spans="1:7" x14ac:dyDescent="0.35">
      <c r="B436" t="s">
        <v>555</v>
      </c>
      <c r="C436" t="s">
        <v>181</v>
      </c>
      <c r="D436" t="s">
        <v>693</v>
      </c>
      <c r="E436" t="s">
        <v>67</v>
      </c>
      <c r="G436">
        <v>1</v>
      </c>
    </row>
    <row r="437" spans="1:7" x14ac:dyDescent="0.35">
      <c r="B437" t="s">
        <v>555</v>
      </c>
      <c r="C437" t="s">
        <v>182</v>
      </c>
      <c r="D437" t="s">
        <v>694</v>
      </c>
      <c r="E437" t="s">
        <v>67</v>
      </c>
      <c r="G437">
        <v>1</v>
      </c>
    </row>
    <row r="438" spans="1:7" x14ac:dyDescent="0.35">
      <c r="A438" t="s">
        <v>463</v>
      </c>
      <c r="B438" t="s">
        <v>34</v>
      </c>
      <c r="C438" t="s">
        <v>179</v>
      </c>
      <c r="D438" t="s">
        <v>216</v>
      </c>
      <c r="E438" t="s">
        <v>68</v>
      </c>
      <c r="F438" t="s">
        <v>463</v>
      </c>
      <c r="G438">
        <f>10000/10750</f>
        <v>0.93023255813953487</v>
      </c>
    </row>
    <row r="439" spans="1:7" x14ac:dyDescent="0.35">
      <c r="A439" t="s">
        <v>463</v>
      </c>
      <c r="B439" t="s">
        <v>34</v>
      </c>
      <c r="C439" t="s">
        <v>180</v>
      </c>
      <c r="D439" t="s">
        <v>217</v>
      </c>
      <c r="E439" t="s">
        <v>68</v>
      </c>
      <c r="F439" t="s">
        <v>463</v>
      </c>
      <c r="G439">
        <f>10000/10750</f>
        <v>0.93023255813953487</v>
      </c>
    </row>
    <row r="440" spans="1:7" x14ac:dyDescent="0.35">
      <c r="A440" t="s">
        <v>463</v>
      </c>
      <c r="B440" t="s">
        <v>34</v>
      </c>
      <c r="C440" t="s">
        <v>181</v>
      </c>
      <c r="D440" t="s">
        <v>218</v>
      </c>
      <c r="E440" t="s">
        <v>68</v>
      </c>
      <c r="F440" t="s">
        <v>463</v>
      </c>
      <c r="G440">
        <f>10000/10750</f>
        <v>0.93023255813953487</v>
      </c>
    </row>
    <row r="441" spans="1:7" x14ac:dyDescent="0.35">
      <c r="A441" t="s">
        <v>463</v>
      </c>
      <c r="B441" t="s">
        <v>34</v>
      </c>
      <c r="C441" t="s">
        <v>182</v>
      </c>
      <c r="D441" t="s">
        <v>219</v>
      </c>
      <c r="E441" t="s">
        <v>68</v>
      </c>
      <c r="F441" t="s">
        <v>463</v>
      </c>
      <c r="G441">
        <f>10000/10750</f>
        <v>0.93023255813953487</v>
      </c>
    </row>
  </sheetData>
  <sheetProtection algorithmName="SHA-512" hashValue="rxg8aVFDKB22ZnucR93QX4uCCMeWzJs1dCiipk0NseVm1N/kAv3n3CKGeDACPUiis1tnFWvFB2HPAdz+NzoCKA==" saltValue="wXSLXWcmM7O9hhxeXnz6Rw==" spinCount="100000" sheet="1"/>
  <pageMargins left="0.7" right="0.7" top="0.75" bottom="0.75" header="0.3" footer="0.3"/>
  <pageSetup paperSize="9"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FB154-C8DE-4993-8B9A-A8CD7994F052}">
  <dimension ref="A1:R4"/>
  <sheetViews>
    <sheetView topLeftCell="R1" workbookViewId="0">
      <selection activeCell="T12" sqref="T12"/>
    </sheetView>
  </sheetViews>
  <sheetFormatPr defaultRowHeight="14.5" x14ac:dyDescent="0.35"/>
  <cols>
    <col min="1" max="1" width="20.1796875" bestFit="1" customWidth="1"/>
    <col min="2" max="2" width="17.453125" bestFit="1" customWidth="1"/>
    <col min="3" max="3" width="9.54296875" bestFit="1" customWidth="1"/>
    <col min="4" max="4" width="10.7265625" bestFit="1" customWidth="1"/>
    <col min="5" max="5" width="11.453125" bestFit="1" customWidth="1"/>
    <col min="6" max="6" width="15.1796875" bestFit="1" customWidth="1"/>
    <col min="7" max="7" width="9.54296875" bestFit="1" customWidth="1"/>
    <col min="8" max="9" width="9.26953125" bestFit="1" customWidth="1"/>
    <col min="10" max="10" width="14.81640625" bestFit="1" customWidth="1"/>
    <col min="11" max="11" width="18.26953125" bestFit="1" customWidth="1"/>
    <col min="12" max="12" width="18.453125" bestFit="1" customWidth="1"/>
    <col min="13" max="13" width="9.26953125" bestFit="1" customWidth="1"/>
    <col min="14" max="14" width="67" bestFit="1" customWidth="1"/>
    <col min="15" max="16" width="9.26953125" bestFit="1" customWidth="1"/>
    <col min="17" max="17" width="51.1796875" bestFit="1" customWidth="1"/>
    <col min="18" max="18" width="136.7265625" bestFit="1" customWidth="1"/>
  </cols>
  <sheetData>
    <row r="1" spans="1:18" x14ac:dyDescent="0.35">
      <c r="A1" s="173" t="s">
        <v>1484</v>
      </c>
    </row>
    <row r="3" spans="1:18" x14ac:dyDescent="0.35">
      <c r="A3" t="s">
        <v>171</v>
      </c>
      <c r="B3" t="s">
        <v>172</v>
      </c>
      <c r="C3" t="s">
        <v>313</v>
      </c>
      <c r="D3" t="s">
        <v>1</v>
      </c>
      <c r="E3" t="s">
        <v>396</v>
      </c>
      <c r="F3" t="s">
        <v>1477</v>
      </c>
      <c r="G3" t="s">
        <v>176</v>
      </c>
      <c r="H3" t="s">
        <v>336</v>
      </c>
      <c r="I3" t="s">
        <v>312</v>
      </c>
      <c r="J3" t="s">
        <v>335</v>
      </c>
      <c r="K3" t="s">
        <v>316</v>
      </c>
      <c r="L3" t="s">
        <v>317</v>
      </c>
      <c r="M3" t="s">
        <v>100</v>
      </c>
      <c r="N3" t="s">
        <v>1478</v>
      </c>
      <c r="O3" t="s">
        <v>340</v>
      </c>
      <c r="P3" t="s">
        <v>1479</v>
      </c>
      <c r="Q3" t="s">
        <v>1480</v>
      </c>
      <c r="R3" t="s">
        <v>1481</v>
      </c>
    </row>
    <row r="4" spans="1:18" x14ac:dyDescent="0.35">
      <c r="A4" t="s">
        <v>174</v>
      </c>
      <c r="B4" t="s">
        <v>985</v>
      </c>
      <c r="C4" t="s">
        <v>387</v>
      </c>
      <c r="D4" t="s">
        <v>35</v>
      </c>
      <c r="E4">
        <v>14</v>
      </c>
      <c r="F4">
        <v>65754</v>
      </c>
      <c r="G4">
        <v>0</v>
      </c>
      <c r="H4">
        <v>72</v>
      </c>
      <c r="I4">
        <v>0</v>
      </c>
      <c r="K4">
        <v>12000</v>
      </c>
      <c r="L4">
        <v>0</v>
      </c>
      <c r="M4">
        <v>13752</v>
      </c>
      <c r="N4">
        <v>64002</v>
      </c>
      <c r="O4">
        <v>52950</v>
      </c>
      <c r="P4">
        <v>-11052</v>
      </c>
      <c r="Q4" t="s">
        <v>1482</v>
      </c>
      <c r="R4" t="s">
        <v>1483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E76AB-DA8F-4D96-94C5-A4AC163CB2DF}">
  <sheetPr codeName="Sheet4">
    <tabColor rgb="FF66FFFF"/>
  </sheetPr>
  <dimension ref="A1"/>
  <sheetViews>
    <sheetView topLeftCell="A2" zoomScale="70" zoomScaleNormal="70" workbookViewId="0">
      <pane xSplit="4" ySplit="1" topLeftCell="J437" activePane="bottomRight" state="frozen"/>
      <selection activeCell="E18" sqref="E18"/>
      <selection pane="topRight" activeCell="E18" sqref="E18"/>
      <selection pane="bottomLeft" activeCell="E18" sqref="E18"/>
      <selection pane="bottomRight" activeCell="R447" sqref="R447"/>
    </sheetView>
  </sheetViews>
  <sheetFormatPr defaultRowHeight="14.5" x14ac:dyDescent="0.35"/>
  <cols>
    <col min="1" max="1" width="25.54296875" customWidth="1"/>
    <col min="2" max="2" width="52.54296875" bestFit="1" customWidth="1"/>
    <col min="3" max="3" width="15.26953125" bestFit="1" customWidth="1"/>
    <col min="4" max="34" width="17.7265625" customWidth="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EEE4F-3111-444C-8962-C8983C46F2B4}">
  <sheetPr codeName="Sheet9">
    <tabColor rgb="FF66FFFF"/>
  </sheetPr>
  <dimension ref="A1"/>
  <sheetViews>
    <sheetView topLeftCell="A2" zoomScale="80" zoomScaleNormal="80" workbookViewId="0">
      <pane xSplit="4" ySplit="1" topLeftCell="H506" activePane="bottomRight" state="frozen"/>
      <selection activeCell="E18" sqref="E18"/>
      <selection pane="topRight" activeCell="E18" sqref="E18"/>
      <selection pane="bottomLeft" activeCell="E18" sqref="E18"/>
      <selection pane="bottomRight" activeCell="B460" sqref="B460"/>
    </sheetView>
  </sheetViews>
  <sheetFormatPr defaultColWidth="15.7265625" defaultRowHeight="21" x14ac:dyDescent="0.5"/>
  <cols>
    <col min="1" max="1" width="36.7265625" style="59" bestFit="1" customWidth="1"/>
    <col min="2" max="2" width="36.7265625" bestFit="1" customWidth="1"/>
    <col min="3" max="3" width="21.54296875" customWidth="1"/>
    <col min="4" max="4" width="11.54296875" bestFit="1" customWidth="1"/>
    <col min="6" max="6" width="16.7265625" bestFit="1" customWidth="1"/>
    <col min="12" max="12" width="17.26953125" bestFit="1" customWidth="1"/>
    <col min="17" max="17" width="19.26953125" bestFit="1" customWidth="1"/>
    <col min="18" max="18" width="19.7265625" bestFit="1" customWidth="1"/>
    <col min="19" max="19" width="18.1796875" customWidth="1"/>
    <col min="24" max="24" width="17.453125" bestFit="1" customWidth="1"/>
  </cols>
  <sheetData/>
  <phoneticPr fontId="2" type="noConversion"/>
  <conditionalFormatting pivot="1">
    <cfRule type="dataBar" priority="4">
      <dataBar>
        <cfvo type="min"/>
        <cfvo type="max"/>
        <color rgb="FFFF555A"/>
      </dataBar>
      <extLst>
        <ext xmlns:x14="http://schemas.microsoft.com/office/spreadsheetml/2009/9/main" uri="{B025F937-C7B1-47D3-B67F-A62EFF666E3E}">
          <x14:id>{9AFF0749-B4F3-4952-A2A8-3D04F709B421}</x14:id>
        </ext>
      </extLst>
    </cfRule>
  </conditionalFormatting>
  <pageMargins left="0.7" right="0.7" top="0.75" bottom="0.75" header="0.3" footer="0.3"/>
  <pageSetup paperSize="9" orientation="portrait" horizontalDpi="0" verticalDpi="0" r:id="rId2"/>
  <extLst>
    <ext xmlns:x14="http://schemas.microsoft.com/office/spreadsheetml/2009/9/main" uri="{78C0D931-6437-407d-A8EE-F0AAD7539E65}">
      <x14:conditionalFormattings>
        <x14:conditionalFormatting xmlns:xm="http://schemas.microsoft.com/office/excel/2006/main" pivot="1">
          <x14:cfRule type="dataBar" id="{9AFF0749-B4F3-4952-A2A8-3D04F709B421}">
            <x14:dataBar minLength="0" maxLength="100" border="1" negativeBarBorderColorSameAsPositive="0">
              <x14:cfvo type="autoMin"/>
              <x14:cfvo type="autoMax"/>
              <x14:borderColor rgb="FFFF555A"/>
              <x14:negativeFillColor rgb="FFFF0000"/>
              <x14:negativeBorderColor rgb="FFFF0000"/>
              <x14:axisColor rgb="FF000000"/>
            </x14:dataBar>
          </x14:cfRule>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B325A-C84C-4B03-AF4C-9C97A971F364}">
  <sheetPr codeName="Sheet12">
    <tabColor theme="9" tint="-0.249977111117893"/>
  </sheetPr>
  <dimension ref="A1:AN1003"/>
  <sheetViews>
    <sheetView topLeftCell="B1" zoomScaleNormal="100" workbookViewId="0">
      <pane xSplit="4" ySplit="1" topLeftCell="F34" activePane="bottomRight" state="frozen"/>
      <selection activeCell="C1" sqref="C1"/>
      <selection pane="topRight" activeCell="F1" sqref="F1"/>
      <selection pane="bottomLeft" activeCell="C2" sqref="C2"/>
      <selection pane="bottomRight" activeCell="S54" sqref="S54"/>
    </sheetView>
  </sheetViews>
  <sheetFormatPr defaultRowHeight="0" customHeight="1" zeroHeight="1" x14ac:dyDescent="0.35"/>
  <cols>
    <col min="1" max="1" width="21.453125" hidden="1" customWidth="1"/>
    <col min="2" max="2" width="19.26953125" hidden="1" customWidth="1"/>
    <col min="3" max="3" width="37.81640625" bestFit="1" customWidth="1" collapsed="1"/>
    <col min="4" max="4" width="14" bestFit="1" customWidth="1"/>
    <col min="5" max="5" width="13.54296875" bestFit="1" customWidth="1"/>
    <col min="6" max="6" width="7.54296875" hidden="1" customWidth="1"/>
    <col min="7" max="8" width="8.7265625" hidden="1" customWidth="1"/>
    <col min="9" max="9" width="7.54296875" hidden="1" customWidth="1"/>
    <col min="10" max="10" width="6.7265625" customWidth="1"/>
    <col min="11" max="11" width="7.81640625" style="1" customWidth="1"/>
    <col min="12" max="12" width="7.7265625" style="1" customWidth="1"/>
    <col min="13" max="13" width="10.26953125" style="1" customWidth="1"/>
    <col min="14" max="14" width="9.54296875" style="1" bestFit="1" customWidth="1"/>
    <col min="15" max="15" width="7" style="1" bestFit="1" customWidth="1"/>
    <col min="16" max="16" width="13" style="1" customWidth="1"/>
    <col min="17" max="17" width="12.54296875" style="1" customWidth="1"/>
    <col min="18" max="19" width="9.54296875" style="1" bestFit="1" customWidth="1"/>
    <col min="20" max="22" width="5.7265625" style="1" bestFit="1" customWidth="1"/>
    <col min="23" max="23" width="8.7265625" style="1" bestFit="1" customWidth="1"/>
    <col min="24" max="40" width="5.7265625" style="1" bestFit="1" customWidth="1"/>
    <col min="41" max="41" width="1.7265625" bestFit="1" customWidth="1"/>
    <col min="42" max="42" width="8.453125" bestFit="1" customWidth="1"/>
    <col min="43" max="43" width="15.26953125" bestFit="1" customWidth="1"/>
    <col min="44" max="44" width="8.453125" bestFit="1" customWidth="1"/>
    <col min="45" max="45" width="15.26953125" bestFit="1" customWidth="1"/>
    <col min="46" max="46" width="8.453125" bestFit="1" customWidth="1"/>
    <col min="47" max="47" width="15.26953125" bestFit="1" customWidth="1"/>
    <col min="48" max="48" width="8.453125" bestFit="1" customWidth="1"/>
    <col min="49" max="49" width="15.26953125" bestFit="1" customWidth="1"/>
    <col min="50" max="50" width="8.453125" bestFit="1" customWidth="1"/>
    <col min="51" max="51" width="15.26953125" bestFit="1" customWidth="1"/>
    <col min="52" max="52" width="8.453125" bestFit="1" customWidth="1"/>
    <col min="53" max="53" width="15.26953125" bestFit="1" customWidth="1"/>
    <col min="54" max="54" width="8.453125" bestFit="1" customWidth="1"/>
    <col min="55" max="55" width="15.26953125" bestFit="1" customWidth="1"/>
    <col min="56" max="56" width="8.453125" bestFit="1" customWidth="1"/>
    <col min="57" max="57" width="15.26953125" bestFit="1" customWidth="1"/>
    <col min="58" max="58" width="8.453125" bestFit="1" customWidth="1"/>
    <col min="59" max="60" width="15.26953125" bestFit="1" customWidth="1"/>
  </cols>
  <sheetData>
    <row r="1" spans="1:40" ht="14.5" x14ac:dyDescent="0.35">
      <c r="A1" s="61" t="s">
        <v>172</v>
      </c>
      <c r="B1" s="61" t="s">
        <v>0</v>
      </c>
      <c r="C1" s="62" t="s">
        <v>170</v>
      </c>
      <c r="D1" s="63" t="s">
        <v>1</v>
      </c>
      <c r="E1" s="64" t="s">
        <v>168</v>
      </c>
      <c r="F1" s="156" t="s">
        <v>36</v>
      </c>
      <c r="G1" s="156" t="s">
        <v>37</v>
      </c>
      <c r="H1" s="156" t="s">
        <v>38</v>
      </c>
      <c r="I1" s="156" t="s">
        <v>39</v>
      </c>
      <c r="J1" s="156" t="s">
        <v>40</v>
      </c>
      <c r="K1" s="156" t="s">
        <v>41</v>
      </c>
      <c r="L1" s="156" t="s">
        <v>42</v>
      </c>
      <c r="M1" s="156" t="s">
        <v>43</v>
      </c>
      <c r="N1" s="156" t="s">
        <v>44</v>
      </c>
      <c r="O1" s="156" t="s">
        <v>45</v>
      </c>
      <c r="P1" s="156" t="s">
        <v>46</v>
      </c>
      <c r="Q1" s="156" t="s">
        <v>47</v>
      </c>
      <c r="R1" s="156" t="s">
        <v>48</v>
      </c>
      <c r="S1" s="156" t="s">
        <v>49</v>
      </c>
      <c r="T1" s="156" t="s">
        <v>50</v>
      </c>
      <c r="U1" s="156" t="s">
        <v>51</v>
      </c>
      <c r="V1" s="156" t="s">
        <v>52</v>
      </c>
      <c r="W1" s="156" t="s">
        <v>53</v>
      </c>
      <c r="X1" s="156" t="s">
        <v>54</v>
      </c>
      <c r="Y1" s="156" t="s">
        <v>55</v>
      </c>
      <c r="Z1" s="156" t="s">
        <v>56</v>
      </c>
      <c r="AA1" s="156" t="s">
        <v>57</v>
      </c>
      <c r="AB1" s="156" t="s">
        <v>58</v>
      </c>
      <c r="AC1" s="156" t="s">
        <v>59</v>
      </c>
      <c r="AD1" s="156" t="s">
        <v>60</v>
      </c>
      <c r="AE1" s="156" t="s">
        <v>61</v>
      </c>
      <c r="AF1" s="156" t="s">
        <v>62</v>
      </c>
      <c r="AG1" s="156" t="s">
        <v>63</v>
      </c>
      <c r="AH1" s="156" t="s">
        <v>64</v>
      </c>
      <c r="AI1" s="156" t="s">
        <v>65</v>
      </c>
      <c r="AJ1" s="156" t="s">
        <v>66</v>
      </c>
      <c r="AK1"/>
      <c r="AL1"/>
      <c r="AM1"/>
      <c r="AN1"/>
    </row>
    <row r="2" spans="1:40" ht="14.5" x14ac:dyDescent="0.35">
      <c r="A2" t="s">
        <v>1316</v>
      </c>
      <c r="C2" t="s">
        <v>1432</v>
      </c>
      <c r="D2" t="s">
        <v>103</v>
      </c>
      <c r="E2">
        <v>15000</v>
      </c>
      <c r="F2" s="68">
        <v>0</v>
      </c>
      <c r="G2" s="68">
        <v>0</v>
      </c>
      <c r="H2" s="68">
        <v>1</v>
      </c>
      <c r="I2" s="68">
        <v>0</v>
      </c>
      <c r="J2" s="68">
        <v>7</v>
      </c>
      <c r="K2" s="68">
        <v>0</v>
      </c>
      <c r="L2" s="68">
        <v>6</v>
      </c>
      <c r="M2" s="68">
        <v>5</v>
      </c>
      <c r="N2" s="68">
        <v>10</v>
      </c>
      <c r="O2" s="68">
        <v>9</v>
      </c>
      <c r="P2" s="68">
        <v>5</v>
      </c>
      <c r="Q2" s="68">
        <v>7</v>
      </c>
      <c r="R2" s="68">
        <v>3</v>
      </c>
      <c r="S2" s="68">
        <v>10</v>
      </c>
      <c r="T2" s="68"/>
      <c r="U2" s="68"/>
      <c r="V2" s="68"/>
      <c r="W2" s="68"/>
      <c r="X2" s="68"/>
      <c r="Y2" s="68"/>
      <c r="Z2" s="68"/>
      <c r="AA2" s="68"/>
      <c r="AB2" s="68"/>
      <c r="AC2" s="68"/>
      <c r="AD2" s="68"/>
      <c r="AE2" s="68"/>
      <c r="AF2" s="68"/>
      <c r="AG2" s="68"/>
      <c r="AH2" s="68"/>
      <c r="AI2" s="68"/>
      <c r="AJ2" s="68"/>
      <c r="AK2"/>
      <c r="AL2"/>
      <c r="AM2"/>
      <c r="AN2"/>
    </row>
    <row r="3" spans="1:40" ht="14.5" x14ac:dyDescent="0.35">
      <c r="A3" t="s">
        <v>1316</v>
      </c>
      <c r="C3" t="s">
        <v>1433</v>
      </c>
      <c r="D3" t="s">
        <v>101</v>
      </c>
      <c r="E3">
        <v>1000</v>
      </c>
      <c r="F3" s="68">
        <v>131</v>
      </c>
      <c r="G3" s="68">
        <v>92</v>
      </c>
      <c r="H3" s="68">
        <v>109</v>
      </c>
      <c r="I3" s="68">
        <v>109</v>
      </c>
      <c r="J3" s="68">
        <v>116</v>
      </c>
      <c r="K3" s="68">
        <f>144+69</f>
        <v>213</v>
      </c>
      <c r="L3" s="68">
        <f>70+19+69</f>
        <v>158</v>
      </c>
      <c r="M3" s="68">
        <f>135+69</f>
        <v>204</v>
      </c>
      <c r="N3" s="68">
        <f>79+69</f>
        <v>148</v>
      </c>
      <c r="O3" s="68">
        <v>71</v>
      </c>
      <c r="P3" s="68">
        <v>57</v>
      </c>
      <c r="Q3" s="68">
        <v>93</v>
      </c>
      <c r="R3" s="68">
        <v>87</v>
      </c>
      <c r="S3" s="68">
        <v>74</v>
      </c>
      <c r="T3" s="68"/>
      <c r="U3" s="68"/>
      <c r="V3" s="68"/>
      <c r="W3" s="68"/>
      <c r="X3" s="68"/>
      <c r="Y3" s="68"/>
      <c r="Z3" s="68"/>
      <c r="AA3" s="68"/>
      <c r="AB3" s="68"/>
      <c r="AC3" s="68"/>
      <c r="AD3" s="68"/>
      <c r="AE3" s="68"/>
      <c r="AF3" s="68"/>
      <c r="AG3" s="68"/>
      <c r="AH3" s="68"/>
      <c r="AI3" s="68"/>
      <c r="AJ3" s="68"/>
      <c r="AK3"/>
      <c r="AL3"/>
      <c r="AM3"/>
      <c r="AN3"/>
    </row>
    <row r="4" spans="1:40" ht="14.5" x14ac:dyDescent="0.35">
      <c r="A4" t="s">
        <v>1316</v>
      </c>
      <c r="C4" t="s">
        <v>1317</v>
      </c>
      <c r="D4" t="s">
        <v>29</v>
      </c>
      <c r="E4">
        <v>1</v>
      </c>
      <c r="F4" s="68">
        <v>439</v>
      </c>
      <c r="G4" s="68">
        <v>0</v>
      </c>
      <c r="H4" s="68">
        <v>0</v>
      </c>
      <c r="I4" s="68">
        <v>0</v>
      </c>
      <c r="J4" s="68">
        <v>0</v>
      </c>
      <c r="K4" s="68">
        <v>612</v>
      </c>
      <c r="L4" s="68">
        <v>0</v>
      </c>
      <c r="M4" s="68">
        <v>0</v>
      </c>
      <c r="N4" s="68">
        <v>0</v>
      </c>
      <c r="O4" s="68">
        <v>708</v>
      </c>
      <c r="P4" s="68">
        <v>662</v>
      </c>
      <c r="Q4" s="68">
        <v>0</v>
      </c>
      <c r="R4" s="68">
        <v>0</v>
      </c>
      <c r="S4" s="68">
        <v>0</v>
      </c>
      <c r="T4" s="68"/>
      <c r="U4" s="68"/>
      <c r="V4" s="68"/>
      <c r="W4" s="68"/>
      <c r="X4" s="68"/>
      <c r="Y4" s="68"/>
      <c r="Z4" s="68"/>
      <c r="AA4" s="68"/>
      <c r="AB4" s="68"/>
      <c r="AC4" s="68"/>
      <c r="AD4" s="68"/>
      <c r="AE4" s="68"/>
      <c r="AF4" s="68"/>
      <c r="AG4" s="68"/>
      <c r="AH4" s="68"/>
      <c r="AI4" s="68"/>
      <c r="AJ4" s="68"/>
      <c r="AK4"/>
      <c r="AL4"/>
      <c r="AM4"/>
      <c r="AN4"/>
    </row>
    <row r="5" spans="1:40" ht="14.5" x14ac:dyDescent="0.35">
      <c r="A5" t="s">
        <v>1316</v>
      </c>
      <c r="B5" t="s">
        <v>1322</v>
      </c>
      <c r="C5" t="s">
        <v>1316</v>
      </c>
      <c r="D5" t="s">
        <v>35</v>
      </c>
      <c r="F5" s="68"/>
      <c r="G5" s="68"/>
      <c r="H5" s="68"/>
      <c r="I5" s="68"/>
      <c r="J5" s="68"/>
      <c r="K5" s="68"/>
      <c r="L5" s="68"/>
      <c r="M5" s="68"/>
      <c r="N5" s="68"/>
      <c r="O5" s="68"/>
      <c r="P5" s="68"/>
      <c r="Q5" s="68"/>
      <c r="R5" s="68"/>
      <c r="S5" s="68"/>
      <c r="T5" s="68"/>
      <c r="U5" s="68"/>
      <c r="V5" s="68"/>
      <c r="W5" s="68"/>
      <c r="X5" s="68"/>
      <c r="Y5" s="68"/>
      <c r="Z5" s="68"/>
      <c r="AA5" s="68"/>
      <c r="AB5" s="68"/>
      <c r="AC5" s="68"/>
      <c r="AD5" s="68"/>
      <c r="AE5" s="68"/>
      <c r="AF5" s="68"/>
      <c r="AG5" s="68"/>
      <c r="AH5" s="68"/>
      <c r="AI5" s="68"/>
      <c r="AJ5" s="68"/>
      <c r="AK5"/>
      <c r="AL5"/>
      <c r="AM5"/>
      <c r="AN5"/>
    </row>
    <row r="6" spans="1:40" ht="14.5" x14ac:dyDescent="0.35">
      <c r="A6" t="s">
        <v>837</v>
      </c>
      <c r="C6" t="s">
        <v>841</v>
      </c>
      <c r="D6" t="s">
        <v>103</v>
      </c>
      <c r="E6">
        <v>24</v>
      </c>
      <c r="F6" s="68">
        <v>33</v>
      </c>
      <c r="G6" s="68">
        <v>73</v>
      </c>
      <c r="H6" s="68">
        <v>56</v>
      </c>
      <c r="I6" s="68">
        <v>41</v>
      </c>
      <c r="J6" s="68">
        <v>29</v>
      </c>
      <c r="K6" s="68">
        <v>53</v>
      </c>
      <c r="L6" s="68">
        <v>39</v>
      </c>
      <c r="M6" s="68">
        <v>25</v>
      </c>
      <c r="N6" s="68">
        <v>76</v>
      </c>
      <c r="O6" s="68">
        <v>60</v>
      </c>
      <c r="P6" s="68">
        <v>44</v>
      </c>
      <c r="Q6" s="68">
        <v>21</v>
      </c>
      <c r="R6" s="68">
        <v>61</v>
      </c>
      <c r="S6" s="68">
        <v>47</v>
      </c>
      <c r="T6" s="68"/>
      <c r="U6" s="68"/>
      <c r="V6" s="68"/>
      <c r="W6" s="68"/>
      <c r="X6" s="68"/>
      <c r="Y6" s="68"/>
      <c r="Z6" s="68"/>
      <c r="AA6" s="68"/>
      <c r="AB6" s="68"/>
      <c r="AC6" s="68"/>
      <c r="AD6" s="68"/>
      <c r="AE6" s="68"/>
      <c r="AF6" s="68"/>
      <c r="AG6" s="68"/>
      <c r="AH6" s="68"/>
      <c r="AI6" s="68"/>
      <c r="AJ6" s="68"/>
      <c r="AK6"/>
      <c r="AL6"/>
      <c r="AM6"/>
      <c r="AN6"/>
    </row>
    <row r="7" spans="1:40" ht="14.5" x14ac:dyDescent="0.35">
      <c r="A7" t="s">
        <v>837</v>
      </c>
      <c r="C7" t="s">
        <v>1123</v>
      </c>
      <c r="D7" t="s">
        <v>358</v>
      </c>
      <c r="E7">
        <v>1</v>
      </c>
      <c r="F7" s="68">
        <v>10</v>
      </c>
      <c r="G7" s="68">
        <v>7</v>
      </c>
      <c r="H7" s="68">
        <v>15</v>
      </c>
      <c r="I7" s="68">
        <v>22</v>
      </c>
      <c r="J7" s="68">
        <v>17</v>
      </c>
      <c r="K7" s="68">
        <v>9</v>
      </c>
      <c r="L7" s="68">
        <v>20</v>
      </c>
      <c r="M7" s="68">
        <v>34</v>
      </c>
      <c r="N7" s="68">
        <v>13</v>
      </c>
      <c r="O7" s="68">
        <v>31</v>
      </c>
      <c r="P7" s="68">
        <v>19</v>
      </c>
      <c r="Q7" s="68">
        <v>34</v>
      </c>
      <c r="R7" s="68">
        <v>1</v>
      </c>
      <c r="S7" s="68">
        <v>37</v>
      </c>
      <c r="T7" s="68"/>
      <c r="U7" s="68"/>
      <c r="V7" s="68"/>
      <c r="W7" s="68"/>
      <c r="X7" s="68"/>
      <c r="Y7" s="68"/>
      <c r="Z7" s="68"/>
      <c r="AA7" s="68"/>
      <c r="AB7" s="68"/>
      <c r="AC7" s="68"/>
      <c r="AD7" s="68"/>
      <c r="AE7" s="68"/>
      <c r="AF7" s="68"/>
      <c r="AG7" s="68"/>
      <c r="AH7" s="68"/>
      <c r="AI7" s="68"/>
      <c r="AJ7" s="68"/>
      <c r="AK7"/>
      <c r="AL7"/>
      <c r="AM7"/>
      <c r="AN7"/>
    </row>
    <row r="8" spans="1:40" ht="14.5" x14ac:dyDescent="0.35">
      <c r="A8" t="s">
        <v>837</v>
      </c>
      <c r="B8" t="s">
        <v>842</v>
      </c>
      <c r="C8" t="s">
        <v>837</v>
      </c>
      <c r="D8" t="s">
        <v>69</v>
      </c>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c r="AL8"/>
      <c r="AM8"/>
      <c r="AN8"/>
    </row>
    <row r="9" spans="1:40" ht="14.5" x14ac:dyDescent="0.35">
      <c r="A9" t="s">
        <v>550</v>
      </c>
      <c r="C9" t="s">
        <v>1116</v>
      </c>
      <c r="D9" t="s">
        <v>103</v>
      </c>
      <c r="E9">
        <v>10000</v>
      </c>
      <c r="F9" s="68">
        <v>0</v>
      </c>
      <c r="G9" s="68">
        <v>0</v>
      </c>
      <c r="H9" s="68">
        <v>0</v>
      </c>
      <c r="I9" s="68">
        <v>0</v>
      </c>
      <c r="J9" s="68">
        <v>0</v>
      </c>
      <c r="K9" s="68">
        <v>0</v>
      </c>
      <c r="L9" s="68">
        <v>0</v>
      </c>
      <c r="M9" s="68">
        <v>0</v>
      </c>
      <c r="N9" s="68">
        <v>0</v>
      </c>
      <c r="O9" s="68">
        <v>0</v>
      </c>
      <c r="P9" s="68">
        <v>0</v>
      </c>
      <c r="Q9" s="68">
        <v>0</v>
      </c>
      <c r="R9" s="68">
        <v>0</v>
      </c>
      <c r="S9" s="68">
        <v>0</v>
      </c>
      <c r="T9" s="68"/>
      <c r="U9" s="68"/>
      <c r="V9" s="68"/>
      <c r="W9" s="68"/>
      <c r="X9" s="68"/>
      <c r="Y9" s="68"/>
      <c r="Z9" s="68"/>
      <c r="AA9" s="68"/>
      <c r="AB9" s="68"/>
      <c r="AC9" s="68"/>
      <c r="AD9" s="68"/>
      <c r="AE9" s="68"/>
      <c r="AF9" s="68"/>
      <c r="AG9" s="68"/>
      <c r="AH9" s="68"/>
      <c r="AI9" s="68"/>
      <c r="AJ9" s="68"/>
      <c r="AK9"/>
      <c r="AL9"/>
      <c r="AM9"/>
      <c r="AN9"/>
    </row>
    <row r="10" spans="1:40" ht="14.5" x14ac:dyDescent="0.35">
      <c r="A10" t="s">
        <v>550</v>
      </c>
      <c r="C10" t="s">
        <v>1072</v>
      </c>
      <c r="D10" t="s">
        <v>29</v>
      </c>
      <c r="E10">
        <v>1</v>
      </c>
      <c r="F10" s="68">
        <v>553860</v>
      </c>
      <c r="G10" s="68">
        <v>526460</v>
      </c>
      <c r="H10" s="68">
        <v>496270</v>
      </c>
      <c r="I10" s="68">
        <v>465440</v>
      </c>
      <c r="J10" s="68">
        <v>435457</v>
      </c>
      <c r="K10" s="68">
        <v>395933</v>
      </c>
      <c r="L10" s="68">
        <v>371602</v>
      </c>
      <c r="M10" s="68">
        <v>344455</v>
      </c>
      <c r="N10" s="68">
        <v>311391</v>
      </c>
      <c r="O10" s="68">
        <v>279660</v>
      </c>
      <c r="P10" s="68">
        <v>250145</v>
      </c>
      <c r="Q10" s="68">
        <v>226499</v>
      </c>
      <c r="R10" s="68">
        <v>20353</v>
      </c>
      <c r="S10" s="68">
        <v>153000</v>
      </c>
      <c r="T10" s="68"/>
      <c r="U10" s="68"/>
      <c r="V10" s="68"/>
      <c r="W10" s="68"/>
      <c r="X10" s="68"/>
      <c r="Y10" s="68"/>
      <c r="Z10" s="68"/>
      <c r="AA10" s="68"/>
      <c r="AB10" s="68"/>
      <c r="AC10" s="68"/>
      <c r="AD10" s="68"/>
      <c r="AE10" s="68"/>
      <c r="AF10" s="68"/>
      <c r="AG10" s="68"/>
      <c r="AH10" s="68"/>
      <c r="AI10" s="68"/>
      <c r="AJ10" s="68"/>
      <c r="AK10"/>
      <c r="AL10"/>
      <c r="AM10"/>
      <c r="AN10"/>
    </row>
    <row r="11" spans="1:40" ht="14.5" x14ac:dyDescent="0.35">
      <c r="A11" t="s">
        <v>550</v>
      </c>
      <c r="B11" t="s">
        <v>627</v>
      </c>
      <c r="C11" t="s">
        <v>550</v>
      </c>
      <c r="D11" t="s">
        <v>35</v>
      </c>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c r="AL11"/>
      <c r="AM11"/>
      <c r="AN11"/>
    </row>
    <row r="12" spans="1:40" ht="14.5" x14ac:dyDescent="0.35">
      <c r="A12" t="s">
        <v>914</v>
      </c>
      <c r="C12" t="s">
        <v>987</v>
      </c>
      <c r="D12" t="s">
        <v>103</v>
      </c>
      <c r="E12">
        <v>12000</v>
      </c>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c r="AJ12" s="68"/>
      <c r="AK12"/>
      <c r="AL12"/>
      <c r="AM12"/>
      <c r="AN12"/>
    </row>
    <row r="13" spans="1:40" ht="14.5" x14ac:dyDescent="0.35">
      <c r="A13" t="s">
        <v>914</v>
      </c>
      <c r="C13" t="s">
        <v>988</v>
      </c>
      <c r="D13" t="s">
        <v>101</v>
      </c>
      <c r="E13">
        <v>1000</v>
      </c>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c r="AL13"/>
      <c r="AM13"/>
      <c r="AN13"/>
    </row>
    <row r="14" spans="1:40" ht="14.5" x14ac:dyDescent="0.35">
      <c r="A14" t="s">
        <v>914</v>
      </c>
      <c r="C14" t="s">
        <v>989</v>
      </c>
      <c r="D14" t="s">
        <v>29</v>
      </c>
      <c r="E14">
        <v>1</v>
      </c>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68"/>
      <c r="AK14"/>
      <c r="AL14"/>
      <c r="AM14"/>
      <c r="AN14"/>
    </row>
    <row r="15" spans="1:40" ht="14.5" x14ac:dyDescent="0.35">
      <c r="A15" t="s">
        <v>914</v>
      </c>
      <c r="B15" t="s">
        <v>1017</v>
      </c>
      <c r="C15" t="s">
        <v>914</v>
      </c>
      <c r="D15" t="s">
        <v>35</v>
      </c>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c r="AL15"/>
      <c r="AM15"/>
      <c r="AN15"/>
    </row>
    <row r="16" spans="1:40" ht="14.5" x14ac:dyDescent="0.35">
      <c r="A16" t="s">
        <v>484</v>
      </c>
      <c r="C16" t="s">
        <v>1031</v>
      </c>
      <c r="D16" t="s">
        <v>103</v>
      </c>
      <c r="E16">
        <v>480</v>
      </c>
      <c r="F16" s="68">
        <v>41</v>
      </c>
      <c r="G16" s="68">
        <v>22</v>
      </c>
      <c r="H16" s="68">
        <v>42</v>
      </c>
      <c r="I16" s="68">
        <v>25</v>
      </c>
      <c r="J16" s="68">
        <v>48</v>
      </c>
      <c r="K16" s="68">
        <v>33</v>
      </c>
      <c r="L16" s="68">
        <v>53</v>
      </c>
      <c r="M16" s="68">
        <v>41</v>
      </c>
      <c r="N16" s="68">
        <v>39</v>
      </c>
      <c r="O16" s="68">
        <v>57</v>
      </c>
      <c r="P16" s="68">
        <v>38</v>
      </c>
      <c r="Q16" s="68">
        <v>52</v>
      </c>
      <c r="R16" s="68">
        <v>37</v>
      </c>
      <c r="S16" s="68">
        <v>46</v>
      </c>
      <c r="T16" s="68"/>
      <c r="U16" s="68"/>
      <c r="V16" s="68"/>
      <c r="W16" s="68"/>
      <c r="X16" s="68"/>
      <c r="Y16" s="68"/>
      <c r="Z16" s="68"/>
      <c r="AA16" s="68"/>
      <c r="AB16" s="68"/>
      <c r="AC16" s="68"/>
      <c r="AD16" s="68"/>
      <c r="AE16" s="68"/>
      <c r="AF16" s="68"/>
      <c r="AG16" s="68"/>
      <c r="AH16" s="68"/>
      <c r="AI16" s="68"/>
      <c r="AJ16" s="68"/>
      <c r="AK16"/>
      <c r="AL16"/>
      <c r="AM16"/>
      <c r="AN16"/>
    </row>
    <row r="17" spans="1:40" ht="14.5" x14ac:dyDescent="0.35">
      <c r="A17" t="s">
        <v>484</v>
      </c>
      <c r="C17" t="s">
        <v>1043</v>
      </c>
      <c r="D17" t="s">
        <v>101</v>
      </c>
      <c r="E17">
        <v>40</v>
      </c>
      <c r="F17" s="68">
        <v>24</v>
      </c>
      <c r="G17" s="68">
        <v>116</v>
      </c>
      <c r="H17" s="68">
        <v>48</v>
      </c>
      <c r="I17" s="68">
        <v>0</v>
      </c>
      <c r="J17" s="68">
        <v>36</v>
      </c>
      <c r="K17" s="68">
        <v>6</v>
      </c>
      <c r="L17" s="68">
        <v>11</v>
      </c>
      <c r="M17" s="68">
        <v>0</v>
      </c>
      <c r="N17" s="68">
        <v>26</v>
      </c>
      <c r="O17" s="68">
        <v>34</v>
      </c>
      <c r="P17" s="68">
        <v>26</v>
      </c>
      <c r="Q17" s="68">
        <v>48</v>
      </c>
      <c r="R17" s="68">
        <v>38</v>
      </c>
      <c r="S17" s="68">
        <v>8</v>
      </c>
      <c r="T17" s="68"/>
      <c r="U17" s="68"/>
      <c r="V17" s="68"/>
      <c r="W17" s="68"/>
      <c r="X17" s="68"/>
      <c r="Y17" s="68"/>
      <c r="Z17" s="68"/>
      <c r="AA17" s="68"/>
      <c r="AB17" s="68"/>
      <c r="AC17" s="68"/>
      <c r="AD17" s="68"/>
      <c r="AE17" s="68"/>
      <c r="AF17" s="68"/>
      <c r="AG17" s="68"/>
      <c r="AH17" s="68"/>
      <c r="AI17" s="68"/>
      <c r="AJ17" s="68"/>
      <c r="AK17"/>
      <c r="AL17"/>
      <c r="AM17"/>
      <c r="AN17"/>
    </row>
    <row r="18" spans="1:40" ht="14.5" x14ac:dyDescent="0.35">
      <c r="A18" t="s">
        <v>484</v>
      </c>
      <c r="C18" t="s">
        <v>1029</v>
      </c>
      <c r="D18" t="s">
        <v>102</v>
      </c>
      <c r="E18">
        <v>1</v>
      </c>
      <c r="F18" s="68">
        <v>1918</v>
      </c>
      <c r="G18" s="68">
        <v>1936</v>
      </c>
      <c r="H18" s="68" t="s">
        <v>1472</v>
      </c>
      <c r="I18" s="68" t="s">
        <v>1472</v>
      </c>
      <c r="J18" s="68" t="s">
        <v>1473</v>
      </c>
      <c r="K18" s="68">
        <v>39</v>
      </c>
      <c r="L18" s="68" t="s">
        <v>1474</v>
      </c>
      <c r="M18" s="171" t="s">
        <v>1475</v>
      </c>
      <c r="N18" s="68">
        <v>105</v>
      </c>
      <c r="O18" s="68">
        <v>70</v>
      </c>
      <c r="P18" s="68">
        <v>79</v>
      </c>
      <c r="Q18" s="171">
        <v>123</v>
      </c>
      <c r="R18" s="68">
        <v>90</v>
      </c>
      <c r="S18" s="68">
        <v>35</v>
      </c>
      <c r="T18" s="68"/>
      <c r="U18" s="68"/>
      <c r="V18" s="68"/>
      <c r="W18" s="68"/>
      <c r="X18" s="68"/>
      <c r="Y18" s="68"/>
      <c r="Z18" s="68"/>
      <c r="AA18" s="68"/>
      <c r="AB18" s="68"/>
      <c r="AC18" s="68"/>
      <c r="AD18" s="68"/>
      <c r="AE18" s="68"/>
      <c r="AF18" s="68"/>
      <c r="AG18" s="68"/>
      <c r="AH18" s="68"/>
      <c r="AI18" s="68"/>
      <c r="AJ18" s="68"/>
      <c r="AK18"/>
      <c r="AL18"/>
      <c r="AM18"/>
      <c r="AN18"/>
    </row>
    <row r="19" spans="1:40" ht="14.5" x14ac:dyDescent="0.35">
      <c r="A19" t="s">
        <v>484</v>
      </c>
      <c r="B19" t="s">
        <v>538</v>
      </c>
      <c r="C19" t="s">
        <v>484</v>
      </c>
      <c r="D19" t="s">
        <v>67</v>
      </c>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c r="AL19"/>
      <c r="AM19"/>
      <c r="AN19"/>
    </row>
    <row r="20" spans="1:40" ht="14.5" x14ac:dyDescent="0.35">
      <c r="A20" t="s">
        <v>507</v>
      </c>
      <c r="C20" t="s">
        <v>1032</v>
      </c>
      <c r="D20" t="s">
        <v>103</v>
      </c>
      <c r="E20">
        <v>480</v>
      </c>
      <c r="F20" s="68">
        <v>31</v>
      </c>
      <c r="G20" s="68">
        <v>19</v>
      </c>
      <c r="H20" s="68">
        <v>25</v>
      </c>
      <c r="I20" s="68">
        <v>15</v>
      </c>
      <c r="J20" s="68">
        <v>29</v>
      </c>
      <c r="K20" s="68">
        <v>21</v>
      </c>
      <c r="L20" s="68">
        <v>39</v>
      </c>
      <c r="M20" s="68">
        <v>31</v>
      </c>
      <c r="N20" s="68">
        <v>26</v>
      </c>
      <c r="O20" s="68">
        <v>36</v>
      </c>
      <c r="P20" s="68">
        <v>24</v>
      </c>
      <c r="Q20" s="68">
        <v>34</v>
      </c>
      <c r="R20" s="68">
        <v>24</v>
      </c>
      <c r="S20" s="68">
        <v>31</v>
      </c>
      <c r="T20" s="68"/>
      <c r="U20" s="68"/>
      <c r="V20" s="68"/>
      <c r="W20" s="68"/>
      <c r="X20" s="68"/>
      <c r="Y20" s="68"/>
      <c r="Z20" s="68"/>
      <c r="AA20" s="68"/>
      <c r="AB20" s="68"/>
      <c r="AC20" s="68"/>
      <c r="AD20" s="68"/>
      <c r="AE20" s="68"/>
      <c r="AF20" s="68"/>
      <c r="AG20" s="68"/>
      <c r="AH20" s="68"/>
      <c r="AI20" s="68"/>
      <c r="AJ20" s="68"/>
      <c r="AK20"/>
      <c r="AL20"/>
      <c r="AM20"/>
      <c r="AN20"/>
    </row>
    <row r="21" spans="1:40" ht="14.5" x14ac:dyDescent="0.35">
      <c r="A21" t="s">
        <v>507</v>
      </c>
      <c r="C21" t="s">
        <v>1044</v>
      </c>
      <c r="D21" t="s">
        <v>101</v>
      </c>
      <c r="E21">
        <v>40</v>
      </c>
      <c r="F21" s="68">
        <v>32</v>
      </c>
      <c r="G21" s="68">
        <v>77</v>
      </c>
      <c r="H21" s="68">
        <v>36</v>
      </c>
      <c r="I21" s="68">
        <v>0</v>
      </c>
      <c r="J21" s="68">
        <v>54</v>
      </c>
      <c r="K21" s="68">
        <v>1</v>
      </c>
      <c r="L21" s="68">
        <v>9</v>
      </c>
      <c r="M21" s="68">
        <v>3</v>
      </c>
      <c r="N21" s="68">
        <v>22</v>
      </c>
      <c r="O21" s="68">
        <v>34</v>
      </c>
      <c r="P21" s="68">
        <v>32</v>
      </c>
      <c r="Q21" s="68">
        <v>52</v>
      </c>
      <c r="R21" s="68">
        <v>50</v>
      </c>
      <c r="S21" s="68">
        <v>10</v>
      </c>
      <c r="T21" s="68"/>
      <c r="U21" s="68"/>
      <c r="V21" s="68"/>
      <c r="W21" s="68"/>
      <c r="X21" s="68"/>
      <c r="Y21" s="68"/>
      <c r="Z21" s="68"/>
      <c r="AA21" s="68"/>
      <c r="AB21" s="68"/>
      <c r="AC21" s="68"/>
      <c r="AD21" s="68"/>
      <c r="AE21" s="68"/>
      <c r="AF21" s="68"/>
      <c r="AG21" s="68"/>
      <c r="AH21" s="68"/>
      <c r="AI21" s="68"/>
      <c r="AJ21" s="68"/>
      <c r="AK21"/>
      <c r="AL21"/>
      <c r="AM21"/>
      <c r="AN21"/>
    </row>
    <row r="22" spans="1:40" ht="14.5" x14ac:dyDescent="0.35">
      <c r="A22" t="s">
        <v>507</v>
      </c>
      <c r="C22" t="s">
        <v>1030</v>
      </c>
      <c r="D22" t="s">
        <v>102</v>
      </c>
      <c r="E22">
        <v>1</v>
      </c>
      <c r="F22" s="68">
        <v>958</v>
      </c>
      <c r="G22" s="68">
        <v>1040</v>
      </c>
      <c r="H22" s="68">
        <v>0</v>
      </c>
      <c r="I22" s="68">
        <v>0</v>
      </c>
      <c r="J22" s="68">
        <v>6</v>
      </c>
      <c r="K22" s="68">
        <v>8</v>
      </c>
      <c r="L22" s="68">
        <v>88</v>
      </c>
      <c r="M22" s="68">
        <v>87</v>
      </c>
      <c r="N22" s="68">
        <v>97</v>
      </c>
      <c r="O22" s="68">
        <v>36</v>
      </c>
      <c r="P22" s="68">
        <v>66</v>
      </c>
      <c r="Q22" s="68">
        <v>28</v>
      </c>
      <c r="R22" s="68">
        <v>58</v>
      </c>
      <c r="S22" s="68">
        <v>26</v>
      </c>
      <c r="T22" s="68"/>
      <c r="U22" s="68"/>
      <c r="V22" s="68"/>
      <c r="W22" s="68"/>
      <c r="X22" s="68"/>
      <c r="Y22" s="68"/>
      <c r="Z22" s="68"/>
      <c r="AA22" s="68"/>
      <c r="AB22" s="68"/>
      <c r="AC22" s="68"/>
      <c r="AD22" s="68"/>
      <c r="AE22" s="68"/>
      <c r="AF22" s="68"/>
      <c r="AG22" s="68"/>
      <c r="AH22" s="68"/>
      <c r="AI22" s="68"/>
      <c r="AJ22" s="68"/>
      <c r="AK22"/>
      <c r="AL22"/>
      <c r="AM22"/>
      <c r="AN22"/>
    </row>
    <row r="23" spans="1:40" ht="14.5" x14ac:dyDescent="0.35">
      <c r="A23" t="s">
        <v>507</v>
      </c>
      <c r="B23" t="s">
        <v>537</v>
      </c>
      <c r="C23" t="s">
        <v>507</v>
      </c>
      <c r="D23" t="s">
        <v>67</v>
      </c>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c r="AL23"/>
      <c r="AM23"/>
      <c r="AN23"/>
    </row>
    <row r="24" spans="1:40" ht="14.5" x14ac:dyDescent="0.35">
      <c r="A24" t="s">
        <v>915</v>
      </c>
      <c r="C24" t="s">
        <v>990</v>
      </c>
      <c r="D24" t="s">
        <v>101</v>
      </c>
      <c r="E24">
        <v>1000</v>
      </c>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8"/>
      <c r="AF24" s="68"/>
      <c r="AG24" s="68"/>
      <c r="AH24" s="68"/>
      <c r="AI24" s="68"/>
      <c r="AJ24" s="68"/>
      <c r="AK24"/>
      <c r="AL24"/>
      <c r="AM24"/>
      <c r="AN24"/>
    </row>
    <row r="25" spans="1:40" ht="14.5" x14ac:dyDescent="0.35">
      <c r="A25" t="s">
        <v>915</v>
      </c>
      <c r="C25" t="s">
        <v>991</v>
      </c>
      <c r="D25" t="s">
        <v>29</v>
      </c>
      <c r="E25">
        <v>1</v>
      </c>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c r="AL25"/>
      <c r="AM25"/>
      <c r="AN25"/>
    </row>
    <row r="26" spans="1:40" ht="14.5" x14ac:dyDescent="0.35">
      <c r="A26" t="s">
        <v>915</v>
      </c>
      <c r="B26" t="s">
        <v>1018</v>
      </c>
      <c r="C26" t="s">
        <v>915</v>
      </c>
      <c r="D26" t="s">
        <v>35</v>
      </c>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c r="AL26"/>
      <c r="AM26"/>
      <c r="AN26"/>
    </row>
    <row r="27" spans="1:40" ht="14.5" x14ac:dyDescent="0.35">
      <c r="A27" t="s">
        <v>540</v>
      </c>
      <c r="C27" t="s">
        <v>1067</v>
      </c>
      <c r="D27" t="s">
        <v>103</v>
      </c>
      <c r="E27">
        <v>150</v>
      </c>
      <c r="F27" s="68">
        <v>36</v>
      </c>
      <c r="G27" s="68">
        <v>15</v>
      </c>
      <c r="H27" s="68">
        <f>43+2</f>
        <v>45</v>
      </c>
      <c r="I27" s="68">
        <v>14</v>
      </c>
      <c r="J27" s="68">
        <v>34</v>
      </c>
      <c r="K27" s="68">
        <v>20</v>
      </c>
      <c r="L27" s="68">
        <v>31</v>
      </c>
      <c r="M27" s="68">
        <v>62</v>
      </c>
      <c r="N27" s="68">
        <v>63</v>
      </c>
      <c r="O27" s="68">
        <v>1</v>
      </c>
      <c r="P27" s="68">
        <v>0</v>
      </c>
      <c r="Q27" s="68">
        <v>10</v>
      </c>
      <c r="R27" s="68">
        <v>2</v>
      </c>
      <c r="S27" s="68">
        <v>10</v>
      </c>
      <c r="T27" s="68"/>
      <c r="U27" s="68"/>
      <c r="V27" s="68"/>
      <c r="W27" s="68"/>
      <c r="X27" s="68"/>
      <c r="Y27" s="68"/>
      <c r="Z27" s="68"/>
      <c r="AA27" s="68"/>
      <c r="AB27" s="68"/>
      <c r="AC27" s="68"/>
      <c r="AD27" s="68"/>
      <c r="AE27" s="68"/>
      <c r="AF27" s="68"/>
      <c r="AG27" s="68"/>
      <c r="AH27" s="68"/>
      <c r="AI27" s="68"/>
      <c r="AJ27" s="68"/>
      <c r="AK27"/>
      <c r="AL27"/>
      <c r="AM27"/>
      <c r="AN27"/>
    </row>
    <row r="28" spans="1:40" ht="14.5" x14ac:dyDescent="0.35">
      <c r="A28" t="s">
        <v>540</v>
      </c>
      <c r="C28" t="s">
        <v>1066</v>
      </c>
      <c r="D28" t="s">
        <v>101</v>
      </c>
      <c r="E28">
        <v>15</v>
      </c>
      <c r="F28" s="68">
        <v>283</v>
      </c>
      <c r="G28" s="68">
        <v>325</v>
      </c>
      <c r="H28" s="68">
        <f>196+18</f>
        <v>214</v>
      </c>
      <c r="I28" s="68">
        <v>265</v>
      </c>
      <c r="J28" s="68">
        <v>263</v>
      </c>
      <c r="K28" s="68">
        <f>266+654</f>
        <v>920</v>
      </c>
      <c r="L28" s="68">
        <f>221+654</f>
        <v>875</v>
      </c>
      <c r="M28" s="68">
        <f>260+654</f>
        <v>914</v>
      </c>
      <c r="N28" s="68">
        <f>301+654</f>
        <v>955</v>
      </c>
      <c r="O28" s="68">
        <f>217+15</f>
        <v>232</v>
      </c>
      <c r="P28" s="68">
        <v>20</v>
      </c>
      <c r="Q28" s="68">
        <v>237</v>
      </c>
      <c r="R28" s="68">
        <v>209</v>
      </c>
      <c r="S28" s="68">
        <v>229</v>
      </c>
      <c r="T28" s="68"/>
      <c r="U28" s="68"/>
      <c r="V28" s="68"/>
      <c r="W28" s="68"/>
      <c r="X28" s="68"/>
      <c r="Y28" s="68"/>
      <c r="Z28" s="68"/>
      <c r="AA28" s="68"/>
      <c r="AB28" s="68"/>
      <c r="AC28" s="68"/>
      <c r="AD28" s="68"/>
      <c r="AE28" s="68"/>
      <c r="AF28" s="68"/>
      <c r="AG28" s="68"/>
      <c r="AH28" s="68"/>
      <c r="AI28" s="68"/>
      <c r="AJ28" s="68"/>
      <c r="AK28"/>
      <c r="AL28"/>
      <c r="AM28"/>
      <c r="AN28"/>
    </row>
    <row r="29" spans="1:40" ht="14.5" x14ac:dyDescent="0.35">
      <c r="A29" t="s">
        <v>540</v>
      </c>
      <c r="C29" t="s">
        <v>548</v>
      </c>
      <c r="D29" t="s">
        <v>101</v>
      </c>
      <c r="E29">
        <v>1</v>
      </c>
      <c r="F29" s="68">
        <v>24</v>
      </c>
      <c r="G29" s="68">
        <v>22</v>
      </c>
      <c r="H29" s="68">
        <v>9</v>
      </c>
      <c r="I29" s="68">
        <v>0</v>
      </c>
      <c r="J29" s="68">
        <v>2</v>
      </c>
      <c r="K29" s="68">
        <v>9</v>
      </c>
      <c r="L29" s="68">
        <v>0</v>
      </c>
      <c r="M29" s="68">
        <v>0</v>
      </c>
      <c r="N29" s="68">
        <v>0</v>
      </c>
      <c r="O29" s="68">
        <v>35</v>
      </c>
      <c r="P29" s="68">
        <v>1</v>
      </c>
      <c r="Q29" s="68">
        <v>6</v>
      </c>
      <c r="R29" s="68">
        <v>12</v>
      </c>
      <c r="S29" s="68">
        <v>12</v>
      </c>
      <c r="T29" s="68"/>
      <c r="U29" s="68"/>
      <c r="V29" s="68"/>
      <c r="W29" s="68"/>
      <c r="X29" s="68"/>
      <c r="Y29" s="68"/>
      <c r="Z29" s="68"/>
      <c r="AA29" s="68"/>
      <c r="AB29" s="68"/>
      <c r="AC29" s="68"/>
      <c r="AD29" s="68"/>
      <c r="AE29" s="68"/>
      <c r="AF29" s="68"/>
      <c r="AG29" s="68"/>
      <c r="AH29" s="68"/>
      <c r="AI29" s="68"/>
      <c r="AJ29" s="68"/>
      <c r="AK29"/>
      <c r="AL29"/>
      <c r="AM29"/>
      <c r="AN29"/>
    </row>
    <row r="30" spans="1:40" ht="14.5" x14ac:dyDescent="0.35">
      <c r="A30" t="s">
        <v>540</v>
      </c>
      <c r="B30" t="s">
        <v>544</v>
      </c>
      <c r="C30" t="s">
        <v>540</v>
      </c>
      <c r="D30" t="s">
        <v>67</v>
      </c>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c r="AL30"/>
      <c r="AM30"/>
      <c r="AN30"/>
    </row>
    <row r="31" spans="1:40" ht="14.5" x14ac:dyDescent="0.35">
      <c r="A31" t="s">
        <v>496</v>
      </c>
      <c r="C31" t="s">
        <v>1033</v>
      </c>
      <c r="D31" t="s">
        <v>103</v>
      </c>
      <c r="E31">
        <v>7500</v>
      </c>
      <c r="F31" s="68">
        <v>3</v>
      </c>
      <c r="G31" s="68">
        <v>3</v>
      </c>
      <c r="H31" s="68">
        <v>5</v>
      </c>
      <c r="I31" s="68">
        <v>3</v>
      </c>
      <c r="J31" s="68">
        <v>3</v>
      </c>
      <c r="K31" s="68">
        <v>2</v>
      </c>
      <c r="L31" s="68">
        <v>4</v>
      </c>
      <c r="M31" s="68">
        <v>3</v>
      </c>
      <c r="N31" s="68">
        <v>2</v>
      </c>
      <c r="O31" s="68">
        <v>5</v>
      </c>
      <c r="P31" s="68">
        <v>4</v>
      </c>
      <c r="Q31" s="68">
        <v>3</v>
      </c>
      <c r="R31" s="68">
        <v>3</v>
      </c>
      <c r="S31" s="68">
        <v>4</v>
      </c>
      <c r="T31" s="68"/>
      <c r="U31" s="68"/>
      <c r="V31" s="68"/>
      <c r="W31" s="68"/>
      <c r="X31" s="68"/>
      <c r="Y31" s="68"/>
      <c r="Z31" s="68"/>
      <c r="AA31" s="68"/>
      <c r="AB31" s="68"/>
      <c r="AC31" s="68"/>
      <c r="AD31" s="68"/>
      <c r="AE31" s="68"/>
      <c r="AF31" s="68"/>
      <c r="AG31" s="68"/>
      <c r="AH31" s="68"/>
      <c r="AI31" s="68"/>
      <c r="AJ31" s="68"/>
      <c r="AK31"/>
      <c r="AL31"/>
      <c r="AM31"/>
      <c r="AN31"/>
    </row>
    <row r="32" spans="1:40" ht="14.5" x14ac:dyDescent="0.35">
      <c r="A32" t="s">
        <v>496</v>
      </c>
      <c r="C32" t="s">
        <v>1068</v>
      </c>
      <c r="D32" t="s">
        <v>101</v>
      </c>
      <c r="E32">
        <v>500</v>
      </c>
      <c r="F32" s="68">
        <v>11</v>
      </c>
      <c r="G32" s="68">
        <v>2</v>
      </c>
      <c r="H32" s="68">
        <v>2</v>
      </c>
      <c r="I32" s="68">
        <v>11</v>
      </c>
      <c r="J32" s="68">
        <v>4</v>
      </c>
      <c r="K32" s="68">
        <v>6</v>
      </c>
      <c r="L32" s="68">
        <v>7</v>
      </c>
      <c r="M32" s="68">
        <v>10</v>
      </c>
      <c r="N32" s="68">
        <v>11</v>
      </c>
      <c r="O32" s="68">
        <v>10</v>
      </c>
      <c r="P32" s="68">
        <v>9</v>
      </c>
      <c r="Q32" s="68">
        <v>12</v>
      </c>
      <c r="R32" s="68">
        <v>4</v>
      </c>
      <c r="S32" s="68">
        <v>8</v>
      </c>
      <c r="T32" s="68"/>
      <c r="U32" s="68"/>
      <c r="V32" s="68"/>
      <c r="W32" s="68"/>
      <c r="X32" s="68"/>
      <c r="Y32" s="68"/>
      <c r="Z32" s="68"/>
      <c r="AA32" s="68"/>
      <c r="AB32" s="68"/>
      <c r="AC32" s="68"/>
      <c r="AD32" s="68"/>
      <c r="AE32" s="68"/>
      <c r="AF32" s="68"/>
      <c r="AG32" s="68"/>
      <c r="AH32" s="68"/>
      <c r="AI32" s="68"/>
      <c r="AJ32" s="68"/>
      <c r="AK32"/>
      <c r="AL32"/>
      <c r="AM32"/>
      <c r="AN32"/>
    </row>
    <row r="33" spans="1:40" ht="14.5" x14ac:dyDescent="0.35">
      <c r="A33" t="s">
        <v>496</v>
      </c>
      <c r="C33" t="s">
        <v>1069</v>
      </c>
      <c r="D33" t="s">
        <v>29</v>
      </c>
      <c r="E33">
        <v>1</v>
      </c>
      <c r="F33" s="68">
        <v>600</v>
      </c>
      <c r="G33" s="68">
        <v>0</v>
      </c>
      <c r="H33" s="68">
        <v>0</v>
      </c>
      <c r="I33" s="68">
        <v>317</v>
      </c>
      <c r="J33" s="68">
        <v>182</v>
      </c>
      <c r="K33" s="68">
        <v>401</v>
      </c>
      <c r="L33" s="68">
        <v>341</v>
      </c>
      <c r="M33" s="68">
        <v>587</v>
      </c>
      <c r="N33" s="68">
        <v>0</v>
      </c>
      <c r="O33" s="68">
        <v>553</v>
      </c>
      <c r="P33" s="68">
        <v>314</v>
      </c>
      <c r="Q33" s="68">
        <v>441</v>
      </c>
      <c r="R33" s="68">
        <v>649</v>
      </c>
      <c r="S33" s="68">
        <v>61</v>
      </c>
      <c r="T33" s="68"/>
      <c r="U33" s="68"/>
      <c r="V33" s="68"/>
      <c r="W33" s="68"/>
      <c r="X33" s="68"/>
      <c r="Y33" s="68"/>
      <c r="Z33" s="68"/>
      <c r="AA33" s="68"/>
      <c r="AB33" s="68"/>
      <c r="AC33" s="68"/>
      <c r="AD33" s="68"/>
      <c r="AE33" s="68"/>
      <c r="AF33" s="68"/>
      <c r="AG33" s="68"/>
      <c r="AH33" s="68"/>
      <c r="AI33" s="68"/>
      <c r="AJ33" s="68"/>
      <c r="AK33"/>
      <c r="AL33"/>
      <c r="AM33"/>
      <c r="AN33"/>
    </row>
    <row r="34" spans="1:40" ht="14.5" x14ac:dyDescent="0.35">
      <c r="A34" t="s">
        <v>496</v>
      </c>
      <c r="B34" t="s">
        <v>528</v>
      </c>
      <c r="C34" t="s">
        <v>496</v>
      </c>
      <c r="D34" t="s">
        <v>35</v>
      </c>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c r="AL34"/>
      <c r="AM34"/>
      <c r="AN34"/>
    </row>
    <row r="35" spans="1:40" ht="14.5" x14ac:dyDescent="0.35">
      <c r="A35" t="s">
        <v>1195</v>
      </c>
      <c r="C35" t="s">
        <v>1034</v>
      </c>
      <c r="D35" t="s">
        <v>557</v>
      </c>
      <c r="E35">
        <v>7500</v>
      </c>
      <c r="F35" s="68">
        <v>1</v>
      </c>
      <c r="G35" s="68">
        <v>1</v>
      </c>
      <c r="H35" s="68">
        <v>2</v>
      </c>
      <c r="I35" s="68">
        <v>1</v>
      </c>
      <c r="J35" s="68">
        <v>1</v>
      </c>
      <c r="K35" s="68">
        <v>1</v>
      </c>
      <c r="L35" s="68">
        <v>1</v>
      </c>
      <c r="M35" s="68">
        <v>1</v>
      </c>
      <c r="N35" s="68">
        <v>1</v>
      </c>
      <c r="O35" s="68">
        <v>2</v>
      </c>
      <c r="P35" s="68">
        <v>1</v>
      </c>
      <c r="Q35" s="68">
        <v>2</v>
      </c>
      <c r="R35" s="68">
        <v>2</v>
      </c>
      <c r="S35" s="68">
        <v>2</v>
      </c>
      <c r="T35" s="68"/>
      <c r="U35" s="68"/>
      <c r="V35" s="68"/>
      <c r="W35" s="68"/>
      <c r="X35" s="68"/>
      <c r="Y35" s="68"/>
      <c r="Z35" s="68"/>
      <c r="AA35" s="68"/>
      <c r="AB35" s="68"/>
      <c r="AC35" s="68"/>
      <c r="AD35" s="68"/>
      <c r="AE35" s="68"/>
      <c r="AF35" s="68"/>
      <c r="AG35" s="68"/>
      <c r="AH35" s="68"/>
      <c r="AI35" s="68"/>
      <c r="AJ35" s="68"/>
      <c r="AK35"/>
      <c r="AL35"/>
      <c r="AM35"/>
      <c r="AN35"/>
    </row>
    <row r="36" spans="1:40" ht="14.5" x14ac:dyDescent="0.35">
      <c r="A36" t="s">
        <v>1195</v>
      </c>
      <c r="C36" t="s">
        <v>1045</v>
      </c>
      <c r="D36" t="s">
        <v>101</v>
      </c>
      <c r="E36">
        <v>500</v>
      </c>
      <c r="F36" s="68">
        <v>19</v>
      </c>
      <c r="G36" s="68">
        <v>16</v>
      </c>
      <c r="H36" s="68">
        <v>8</v>
      </c>
      <c r="I36" s="68">
        <v>13</v>
      </c>
      <c r="J36" s="68">
        <v>22</v>
      </c>
      <c r="K36" s="68">
        <v>20</v>
      </c>
      <c r="L36" s="68">
        <v>16</v>
      </c>
      <c r="M36" s="68">
        <v>14</v>
      </c>
      <c r="N36" s="68">
        <v>11</v>
      </c>
      <c r="O36" s="68">
        <v>8</v>
      </c>
      <c r="P36" s="68">
        <v>19</v>
      </c>
      <c r="Q36" s="68">
        <v>17</v>
      </c>
      <c r="R36" s="68">
        <v>15</v>
      </c>
      <c r="S36" s="68">
        <v>12</v>
      </c>
      <c r="T36" s="68"/>
      <c r="U36" s="68"/>
      <c r="V36" s="68"/>
      <c r="W36" s="68"/>
      <c r="X36" s="68"/>
      <c r="Y36" s="68"/>
      <c r="Z36" s="68"/>
      <c r="AA36" s="68"/>
      <c r="AB36" s="68"/>
      <c r="AC36" s="68"/>
      <c r="AD36" s="68"/>
      <c r="AE36" s="68"/>
      <c r="AF36" s="68"/>
      <c r="AG36" s="68"/>
      <c r="AH36" s="68"/>
      <c r="AI36" s="68"/>
      <c r="AJ36" s="68"/>
      <c r="AK36"/>
      <c r="AL36"/>
      <c r="AM36"/>
      <c r="AN36"/>
    </row>
    <row r="37" spans="1:40" ht="14.5" x14ac:dyDescent="0.35">
      <c r="A37" t="s">
        <v>1195</v>
      </c>
      <c r="C37" t="s">
        <v>1070</v>
      </c>
      <c r="D37" t="s">
        <v>29</v>
      </c>
      <c r="E37">
        <v>1</v>
      </c>
      <c r="F37" s="68">
        <v>500</v>
      </c>
      <c r="G37" s="68">
        <v>0</v>
      </c>
      <c r="H37" s="68">
        <v>0</v>
      </c>
      <c r="I37" s="68">
        <v>406</v>
      </c>
      <c r="J37" s="68">
        <v>518</v>
      </c>
      <c r="K37" s="68">
        <v>316</v>
      </c>
      <c r="L37" s="68">
        <v>401</v>
      </c>
      <c r="M37" s="68">
        <v>113</v>
      </c>
      <c r="N37" s="68">
        <v>203</v>
      </c>
      <c r="O37" s="68">
        <v>96</v>
      </c>
      <c r="P37" s="68">
        <v>276</v>
      </c>
      <c r="Q37" s="68">
        <v>285</v>
      </c>
      <c r="R37" s="68">
        <v>96</v>
      </c>
      <c r="S37" s="68">
        <v>515</v>
      </c>
      <c r="T37" s="68"/>
      <c r="U37" s="68"/>
      <c r="V37" s="68"/>
      <c r="W37" s="68"/>
      <c r="X37" s="68"/>
      <c r="Y37" s="68"/>
      <c r="Z37" s="68"/>
      <c r="AA37" s="68"/>
      <c r="AB37" s="68"/>
      <c r="AC37" s="68"/>
      <c r="AD37" s="68"/>
      <c r="AE37" s="68"/>
      <c r="AF37" s="68"/>
      <c r="AG37" s="68"/>
      <c r="AH37" s="68"/>
      <c r="AI37" s="68"/>
      <c r="AJ37" s="68"/>
      <c r="AK37"/>
      <c r="AL37"/>
      <c r="AM37"/>
      <c r="AN37"/>
    </row>
    <row r="38" spans="1:40" ht="14.5" x14ac:dyDescent="0.35">
      <c r="A38" t="s">
        <v>1195</v>
      </c>
      <c r="B38" t="s">
        <v>1197</v>
      </c>
      <c r="C38" t="s">
        <v>1195</v>
      </c>
      <c r="D38" t="s">
        <v>35</v>
      </c>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c r="AL38"/>
      <c r="AM38"/>
      <c r="AN38"/>
    </row>
    <row r="39" spans="1:40" ht="14.5" x14ac:dyDescent="0.35">
      <c r="A39" t="s">
        <v>511</v>
      </c>
      <c r="C39" t="s">
        <v>551</v>
      </c>
      <c r="D39" t="s">
        <v>136</v>
      </c>
      <c r="E39">
        <v>25000</v>
      </c>
      <c r="F39" s="68">
        <v>1</v>
      </c>
      <c r="G39" s="68">
        <v>1</v>
      </c>
      <c r="H39" s="68">
        <v>1</v>
      </c>
      <c r="I39" s="68">
        <v>1</v>
      </c>
      <c r="J39" s="68">
        <v>1</v>
      </c>
      <c r="K39" s="68">
        <v>1</v>
      </c>
      <c r="L39" s="68">
        <v>1</v>
      </c>
      <c r="M39" s="68">
        <v>1</v>
      </c>
      <c r="N39" s="68">
        <v>1</v>
      </c>
      <c r="O39" s="68">
        <v>1</v>
      </c>
      <c r="P39" s="68">
        <v>1</v>
      </c>
      <c r="Q39" s="68">
        <v>1</v>
      </c>
      <c r="R39" s="68">
        <v>1</v>
      </c>
      <c r="S39" s="68">
        <v>1</v>
      </c>
      <c r="T39" s="68"/>
      <c r="U39" s="68"/>
      <c r="V39" s="68"/>
      <c r="W39" s="68"/>
      <c r="X39" s="68"/>
      <c r="Y39" s="68"/>
      <c r="Z39" s="68"/>
      <c r="AA39" s="68"/>
      <c r="AB39" s="68"/>
      <c r="AC39" s="68"/>
      <c r="AD39" s="68"/>
      <c r="AE39" s="68"/>
      <c r="AF39" s="68"/>
      <c r="AG39" s="68"/>
      <c r="AH39" s="68"/>
      <c r="AI39" s="68"/>
      <c r="AJ39" s="68"/>
      <c r="AK39"/>
      <c r="AL39"/>
      <c r="AM39"/>
      <c r="AN39"/>
    </row>
    <row r="40" spans="1:40" ht="14.5" x14ac:dyDescent="0.35">
      <c r="A40" t="s">
        <v>511</v>
      </c>
      <c r="C40" t="s">
        <v>1071</v>
      </c>
      <c r="D40" t="s">
        <v>29</v>
      </c>
      <c r="E40">
        <v>1</v>
      </c>
      <c r="F40" s="68">
        <v>19070</v>
      </c>
      <c r="G40" s="68">
        <v>19070</v>
      </c>
      <c r="H40" s="68">
        <v>19070</v>
      </c>
      <c r="I40" s="68">
        <v>19070</v>
      </c>
      <c r="J40" s="68">
        <v>9800</v>
      </c>
      <c r="K40" s="68">
        <v>9800</v>
      </c>
      <c r="L40" s="68">
        <v>9800</v>
      </c>
      <c r="M40" s="68">
        <v>9800</v>
      </c>
      <c r="N40" s="68">
        <v>9800</v>
      </c>
      <c r="O40" s="68">
        <v>9800</v>
      </c>
      <c r="P40" s="68">
        <v>9800</v>
      </c>
      <c r="Q40" s="68">
        <v>9800</v>
      </c>
      <c r="R40" s="68">
        <v>18700</v>
      </c>
      <c r="S40" s="68">
        <v>19250</v>
      </c>
      <c r="T40" s="68"/>
      <c r="U40" s="68"/>
      <c r="V40" s="68"/>
      <c r="W40" s="68"/>
      <c r="X40" s="68"/>
      <c r="Y40" s="68"/>
      <c r="Z40" s="68"/>
      <c r="AA40" s="68"/>
      <c r="AB40" s="68"/>
      <c r="AC40" s="68"/>
      <c r="AD40" s="68"/>
      <c r="AE40" s="68"/>
      <c r="AF40" s="68"/>
      <c r="AG40" s="68"/>
      <c r="AH40" s="68"/>
      <c r="AI40" s="68"/>
      <c r="AJ40" s="68"/>
      <c r="AK40"/>
      <c r="AL40"/>
      <c r="AM40"/>
      <c r="AN40"/>
    </row>
    <row r="41" spans="1:40" ht="14.5" x14ac:dyDescent="0.35">
      <c r="A41" t="s">
        <v>511</v>
      </c>
      <c r="C41" t="s">
        <v>634</v>
      </c>
      <c r="D41" t="s">
        <v>102</v>
      </c>
      <c r="E41">
        <v>0.46666666666666667</v>
      </c>
      <c r="F41" s="68">
        <v>0</v>
      </c>
      <c r="G41" s="68">
        <v>0</v>
      </c>
      <c r="H41" s="68">
        <v>0</v>
      </c>
      <c r="I41" s="68">
        <v>0</v>
      </c>
      <c r="J41" s="68">
        <v>0</v>
      </c>
      <c r="K41" s="68">
        <v>0</v>
      </c>
      <c r="L41" s="68">
        <v>0</v>
      </c>
      <c r="M41" s="68">
        <v>0</v>
      </c>
      <c r="N41" s="68">
        <v>0</v>
      </c>
      <c r="O41" s="68">
        <v>0</v>
      </c>
      <c r="P41" s="68">
        <v>0</v>
      </c>
      <c r="Q41" s="68">
        <v>0</v>
      </c>
      <c r="R41" s="68">
        <v>0</v>
      </c>
      <c r="S41" s="68">
        <v>0</v>
      </c>
      <c r="T41" s="68"/>
      <c r="U41" s="68"/>
      <c r="V41" s="68"/>
      <c r="W41" s="68"/>
      <c r="X41" s="68"/>
      <c r="Y41" s="68"/>
      <c r="Z41" s="68"/>
      <c r="AA41" s="68"/>
      <c r="AB41" s="68"/>
      <c r="AC41" s="68"/>
      <c r="AD41" s="68"/>
      <c r="AE41" s="68"/>
      <c r="AF41" s="68"/>
      <c r="AG41" s="68"/>
      <c r="AH41" s="68"/>
      <c r="AI41" s="68"/>
      <c r="AJ41" s="68"/>
      <c r="AK41"/>
      <c r="AL41"/>
      <c r="AM41"/>
      <c r="AN41"/>
    </row>
    <row r="42" spans="1:40" ht="14.5" x14ac:dyDescent="0.35">
      <c r="A42" t="s">
        <v>511</v>
      </c>
      <c r="C42" t="s">
        <v>749</v>
      </c>
      <c r="D42" t="s">
        <v>102</v>
      </c>
      <c r="E42">
        <v>0.46666666666666667</v>
      </c>
      <c r="F42" s="68">
        <v>0</v>
      </c>
      <c r="G42" s="68">
        <v>0</v>
      </c>
      <c r="H42" s="68">
        <v>0</v>
      </c>
      <c r="I42" s="68">
        <v>0</v>
      </c>
      <c r="J42" s="68">
        <v>0</v>
      </c>
      <c r="K42" s="68">
        <v>0</v>
      </c>
      <c r="L42" s="68">
        <v>0</v>
      </c>
      <c r="M42" s="68">
        <v>0</v>
      </c>
      <c r="N42" s="68">
        <v>0</v>
      </c>
      <c r="O42" s="68">
        <v>0</v>
      </c>
      <c r="P42" s="68">
        <v>0</v>
      </c>
      <c r="Q42" s="68">
        <v>0</v>
      </c>
      <c r="R42" s="68">
        <v>0</v>
      </c>
      <c r="S42" s="68">
        <v>0</v>
      </c>
      <c r="T42" s="68"/>
      <c r="U42" s="68"/>
      <c r="V42" s="68"/>
      <c r="W42" s="68"/>
      <c r="X42" s="68"/>
      <c r="Y42" s="68"/>
      <c r="Z42" s="68"/>
      <c r="AA42" s="68"/>
      <c r="AB42" s="68"/>
      <c r="AC42" s="68"/>
      <c r="AD42" s="68"/>
      <c r="AE42" s="68"/>
      <c r="AF42" s="68"/>
      <c r="AG42" s="68"/>
      <c r="AH42" s="68"/>
      <c r="AI42" s="68"/>
      <c r="AJ42" s="68"/>
      <c r="AK42"/>
      <c r="AL42"/>
      <c r="AM42"/>
      <c r="AN42"/>
    </row>
    <row r="43" spans="1:40" ht="14.5" x14ac:dyDescent="0.35">
      <c r="A43" t="s">
        <v>511</v>
      </c>
      <c r="B43" t="s">
        <v>535</v>
      </c>
      <c r="C43" t="s">
        <v>511</v>
      </c>
      <c r="D43" t="s">
        <v>35</v>
      </c>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68"/>
      <c r="AI43" s="68"/>
      <c r="AJ43" s="68"/>
      <c r="AK43"/>
      <c r="AL43"/>
      <c r="AM43"/>
      <c r="AN43"/>
    </row>
    <row r="44" spans="1:40" ht="14.5" x14ac:dyDescent="0.35">
      <c r="A44" t="s">
        <v>509</v>
      </c>
      <c r="C44" t="s">
        <v>1086</v>
      </c>
      <c r="D44" t="s">
        <v>101</v>
      </c>
      <c r="E44">
        <v>810</v>
      </c>
      <c r="F44" s="68">
        <v>106</v>
      </c>
      <c r="G44" s="68">
        <v>91</v>
      </c>
      <c r="H44" s="68">
        <v>133</v>
      </c>
      <c r="I44" s="68">
        <v>127</v>
      </c>
      <c r="J44" s="68">
        <v>107</v>
      </c>
      <c r="K44" s="68">
        <v>94</v>
      </c>
      <c r="L44" s="68">
        <f>79+7</f>
        <v>86</v>
      </c>
      <c r="M44" s="68">
        <v>165</v>
      </c>
      <c r="N44" s="68">
        <v>150</v>
      </c>
      <c r="O44" s="68">
        <f>120+10+5</f>
        <v>135</v>
      </c>
      <c r="P44" s="68">
        <v>118</v>
      </c>
      <c r="Q44" s="68">
        <v>107</v>
      </c>
      <c r="R44" s="68">
        <v>95</v>
      </c>
      <c r="S44" s="68">
        <v>145</v>
      </c>
      <c r="T44" s="68"/>
      <c r="U44" s="68"/>
      <c r="V44" s="68"/>
      <c r="W44" s="68"/>
      <c r="X44" s="68"/>
      <c r="Y44" s="68"/>
      <c r="Z44" s="68"/>
      <c r="AA44" s="68"/>
      <c r="AB44" s="68"/>
      <c r="AC44" s="68"/>
      <c r="AD44" s="68"/>
      <c r="AE44" s="68"/>
      <c r="AF44" s="68"/>
      <c r="AG44" s="68"/>
      <c r="AH44" s="68"/>
      <c r="AI44" s="68"/>
      <c r="AJ44" s="68"/>
      <c r="AK44"/>
      <c r="AL44"/>
      <c r="AM44"/>
      <c r="AN44"/>
    </row>
    <row r="45" spans="1:40" ht="14.5" x14ac:dyDescent="0.35">
      <c r="A45" t="s">
        <v>509</v>
      </c>
      <c r="C45" t="s">
        <v>1117</v>
      </c>
      <c r="D45" t="s">
        <v>29</v>
      </c>
      <c r="E45">
        <v>1</v>
      </c>
      <c r="F45" s="68">
        <v>0</v>
      </c>
      <c r="G45" s="68">
        <v>0</v>
      </c>
      <c r="H45" s="68">
        <v>0</v>
      </c>
      <c r="I45" s="68">
        <v>0</v>
      </c>
      <c r="J45" s="68">
        <v>0</v>
      </c>
      <c r="K45" s="68">
        <v>0</v>
      </c>
      <c r="L45" s="68">
        <v>0</v>
      </c>
      <c r="M45" s="68">
        <v>0</v>
      </c>
      <c r="N45" s="68">
        <v>0</v>
      </c>
      <c r="O45" s="68">
        <v>0</v>
      </c>
      <c r="P45" s="68">
        <v>0</v>
      </c>
      <c r="Q45" s="68">
        <v>0</v>
      </c>
      <c r="R45" s="68">
        <v>0</v>
      </c>
      <c r="S45" s="68">
        <v>0</v>
      </c>
      <c r="T45" s="68"/>
      <c r="U45" s="68"/>
      <c r="V45" s="68"/>
      <c r="W45" s="68"/>
      <c r="X45" s="68"/>
      <c r="Y45" s="68"/>
      <c r="Z45" s="68"/>
      <c r="AA45" s="68"/>
      <c r="AB45" s="68"/>
      <c r="AC45" s="68"/>
      <c r="AD45" s="68"/>
      <c r="AE45" s="68"/>
      <c r="AF45" s="68"/>
      <c r="AG45" s="68"/>
      <c r="AH45" s="68"/>
      <c r="AI45" s="68"/>
      <c r="AJ45" s="68"/>
      <c r="AK45"/>
      <c r="AL45"/>
      <c r="AM45"/>
      <c r="AN45"/>
    </row>
    <row r="46" spans="1:40" ht="14.5" x14ac:dyDescent="0.35">
      <c r="A46" t="s">
        <v>509</v>
      </c>
      <c r="B46" t="s">
        <v>536</v>
      </c>
      <c r="C46" t="s">
        <v>509</v>
      </c>
      <c r="D46" t="s">
        <v>35</v>
      </c>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c r="AL46"/>
      <c r="AM46"/>
      <c r="AN46"/>
    </row>
    <row r="47" spans="1:40" ht="14.5" x14ac:dyDescent="0.35">
      <c r="A47" t="s">
        <v>1345</v>
      </c>
      <c r="C47" t="s">
        <v>1387</v>
      </c>
      <c r="D47" t="s">
        <v>103</v>
      </c>
      <c r="E47">
        <v>7740</v>
      </c>
      <c r="F47" s="68">
        <v>0</v>
      </c>
      <c r="G47" s="68">
        <v>0</v>
      </c>
      <c r="H47" s="68">
        <v>2</v>
      </c>
      <c r="I47" s="68">
        <v>1</v>
      </c>
      <c r="J47" s="68">
        <v>1</v>
      </c>
      <c r="K47" s="68">
        <v>1</v>
      </c>
      <c r="L47" s="68">
        <v>0</v>
      </c>
      <c r="M47" s="68">
        <v>0</v>
      </c>
      <c r="N47" s="68">
        <v>0</v>
      </c>
      <c r="O47" s="68">
        <v>1</v>
      </c>
      <c r="P47" s="68">
        <v>0</v>
      </c>
      <c r="Q47" s="68">
        <v>0</v>
      </c>
      <c r="R47" s="68">
        <v>0</v>
      </c>
      <c r="S47" s="68">
        <v>1</v>
      </c>
      <c r="T47" s="68"/>
      <c r="U47" s="68"/>
      <c r="V47" s="68"/>
      <c r="W47" s="68"/>
      <c r="X47" s="68"/>
      <c r="Y47" s="68"/>
      <c r="Z47" s="68"/>
      <c r="AA47" s="68"/>
      <c r="AB47" s="68"/>
      <c r="AC47" s="68"/>
      <c r="AD47" s="68"/>
      <c r="AE47" s="68"/>
      <c r="AF47" s="68"/>
      <c r="AG47" s="68"/>
      <c r="AH47" s="68"/>
      <c r="AI47" s="68"/>
      <c r="AJ47" s="68"/>
      <c r="AK47"/>
      <c r="AL47"/>
      <c r="AM47"/>
      <c r="AN47"/>
    </row>
    <row r="48" spans="1:40" ht="14.5" x14ac:dyDescent="0.35">
      <c r="A48" t="s">
        <v>1345</v>
      </c>
      <c r="C48" t="s">
        <v>1388</v>
      </c>
      <c r="D48" t="s">
        <v>101</v>
      </c>
      <c r="E48">
        <v>1290</v>
      </c>
      <c r="F48" s="68">
        <v>8</v>
      </c>
      <c r="G48" s="68">
        <v>6</v>
      </c>
      <c r="H48" s="68">
        <v>4</v>
      </c>
      <c r="I48" s="68">
        <v>7</v>
      </c>
      <c r="J48" s="68">
        <v>6</v>
      </c>
      <c r="K48" s="68">
        <v>4</v>
      </c>
      <c r="L48" s="68">
        <v>8</v>
      </c>
      <c r="M48" s="68">
        <v>7</v>
      </c>
      <c r="N48" s="68">
        <v>6</v>
      </c>
      <c r="O48" s="68">
        <v>3</v>
      </c>
      <c r="P48" s="68">
        <v>11</v>
      </c>
      <c r="Q48" s="68">
        <v>5</v>
      </c>
      <c r="R48" s="68">
        <v>4</v>
      </c>
      <c r="S48" s="68">
        <v>2</v>
      </c>
      <c r="T48" s="68"/>
      <c r="U48" s="68"/>
      <c r="V48" s="68"/>
      <c r="W48" s="68"/>
      <c r="X48" s="68"/>
      <c r="Y48" s="68"/>
      <c r="Z48" s="68"/>
      <c r="AA48" s="68"/>
      <c r="AB48" s="68"/>
      <c r="AC48" s="68"/>
      <c r="AD48" s="68"/>
      <c r="AE48" s="68"/>
      <c r="AF48" s="68"/>
      <c r="AG48" s="68"/>
      <c r="AH48" s="68"/>
      <c r="AI48" s="68"/>
      <c r="AJ48" s="68"/>
      <c r="AK48"/>
      <c r="AL48"/>
      <c r="AM48"/>
      <c r="AN48"/>
    </row>
    <row r="49" spans="1:40" ht="14.5" x14ac:dyDescent="0.35">
      <c r="A49" t="s">
        <v>1345</v>
      </c>
      <c r="C49" t="s">
        <v>1389</v>
      </c>
      <c r="D49" t="s">
        <v>29</v>
      </c>
      <c r="E49">
        <v>1</v>
      </c>
      <c r="F49" s="68">
        <v>292</v>
      </c>
      <c r="G49" s="68">
        <v>348</v>
      </c>
      <c r="H49" s="68">
        <v>296</v>
      </c>
      <c r="I49" s="68">
        <v>481</v>
      </c>
      <c r="J49" s="68">
        <v>592</v>
      </c>
      <c r="K49" s="68">
        <v>731</v>
      </c>
      <c r="L49" s="68">
        <v>334</v>
      </c>
      <c r="M49" s="68">
        <v>564</v>
      </c>
      <c r="N49" s="68">
        <v>789</v>
      </c>
      <c r="O49" s="68">
        <v>1620</v>
      </c>
      <c r="P49" s="68">
        <v>1097</v>
      </c>
      <c r="Q49" s="68">
        <v>1281</v>
      </c>
      <c r="R49" s="68">
        <v>916</v>
      </c>
      <c r="S49" s="68">
        <v>1215</v>
      </c>
      <c r="T49" s="68"/>
      <c r="U49" s="68"/>
      <c r="V49" s="68"/>
      <c r="W49" s="68"/>
      <c r="X49" s="68"/>
      <c r="Y49" s="68"/>
      <c r="Z49" s="68"/>
      <c r="AA49" s="68"/>
      <c r="AB49" s="68"/>
      <c r="AC49" s="68"/>
      <c r="AD49" s="68"/>
      <c r="AE49" s="68"/>
      <c r="AF49" s="68"/>
      <c r="AG49" s="68"/>
      <c r="AH49" s="68"/>
      <c r="AI49" s="68"/>
      <c r="AJ49" s="68"/>
      <c r="AK49"/>
      <c r="AL49"/>
      <c r="AM49"/>
      <c r="AN49"/>
    </row>
    <row r="50" spans="1:40" ht="14.5" x14ac:dyDescent="0.35">
      <c r="A50" t="s">
        <v>1345</v>
      </c>
      <c r="B50" t="s">
        <v>1390</v>
      </c>
      <c r="C50" t="s">
        <v>1345</v>
      </c>
      <c r="D50" t="s">
        <v>35</v>
      </c>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c r="AL50"/>
      <c r="AM50"/>
      <c r="AN50"/>
    </row>
    <row r="51" spans="1:40" ht="14.5" x14ac:dyDescent="0.35">
      <c r="A51" t="s">
        <v>1344</v>
      </c>
      <c r="C51" t="s">
        <v>1383</v>
      </c>
      <c r="D51" t="s">
        <v>103</v>
      </c>
      <c r="E51">
        <v>6000</v>
      </c>
      <c r="F51" s="68">
        <v>0</v>
      </c>
      <c r="G51" s="68">
        <v>0</v>
      </c>
      <c r="H51" s="68">
        <v>0</v>
      </c>
      <c r="I51" s="68">
        <v>0</v>
      </c>
      <c r="J51" s="68">
        <v>0</v>
      </c>
      <c r="K51" s="68">
        <v>0</v>
      </c>
      <c r="L51" s="68">
        <v>0</v>
      </c>
      <c r="M51" s="68">
        <v>0</v>
      </c>
      <c r="N51" s="68">
        <v>0</v>
      </c>
      <c r="O51" s="68">
        <v>1</v>
      </c>
      <c r="P51" s="68">
        <v>1</v>
      </c>
      <c r="Q51" s="68">
        <v>0</v>
      </c>
      <c r="R51" s="68">
        <v>0</v>
      </c>
      <c r="S51" s="68">
        <v>0</v>
      </c>
      <c r="T51" s="68"/>
      <c r="U51" s="68"/>
      <c r="V51" s="68"/>
      <c r="W51" s="68"/>
      <c r="X51" s="68"/>
      <c r="Y51" s="68"/>
      <c r="Z51" s="68"/>
      <c r="AA51" s="68"/>
      <c r="AB51" s="68"/>
      <c r="AC51" s="68"/>
      <c r="AD51" s="68"/>
      <c r="AE51" s="68"/>
      <c r="AF51" s="68"/>
      <c r="AG51" s="68"/>
      <c r="AH51" s="68"/>
      <c r="AI51" s="68"/>
      <c r="AJ51" s="68"/>
      <c r="AK51"/>
      <c r="AL51"/>
      <c r="AM51"/>
      <c r="AN51"/>
    </row>
    <row r="52" spans="1:40" ht="14.5" x14ac:dyDescent="0.35">
      <c r="A52" t="s">
        <v>1344</v>
      </c>
      <c r="C52" t="s">
        <v>1384</v>
      </c>
      <c r="D52" t="s">
        <v>101</v>
      </c>
      <c r="E52">
        <v>250</v>
      </c>
      <c r="F52" s="68">
        <v>33</v>
      </c>
      <c r="G52" s="68">
        <v>33</v>
      </c>
      <c r="H52" s="68">
        <v>30</v>
      </c>
      <c r="I52" s="68">
        <v>14</v>
      </c>
      <c r="J52" s="68">
        <v>24</v>
      </c>
      <c r="K52" s="68">
        <v>22</v>
      </c>
      <c r="L52" s="68">
        <v>21</v>
      </c>
      <c r="M52" s="68">
        <v>19</v>
      </c>
      <c r="N52" s="68">
        <v>18</v>
      </c>
      <c r="O52" s="68">
        <v>16</v>
      </c>
      <c r="P52" s="68">
        <v>13</v>
      </c>
      <c r="Q52" s="68">
        <v>36</v>
      </c>
      <c r="R52" s="68">
        <v>36</v>
      </c>
      <c r="S52" s="68">
        <v>32</v>
      </c>
      <c r="T52" s="68"/>
      <c r="U52" s="68"/>
      <c r="V52" s="68"/>
      <c r="W52" s="68"/>
      <c r="X52" s="68"/>
      <c r="Y52" s="68"/>
      <c r="Z52" s="68"/>
      <c r="AA52" s="68"/>
      <c r="AB52" s="68"/>
      <c r="AC52" s="68"/>
      <c r="AD52" s="68"/>
      <c r="AE52" s="68"/>
      <c r="AF52" s="68"/>
      <c r="AG52" s="68"/>
      <c r="AH52" s="68"/>
      <c r="AI52" s="68"/>
      <c r="AJ52" s="68"/>
      <c r="AK52"/>
      <c r="AL52"/>
      <c r="AM52"/>
      <c r="AN52"/>
    </row>
    <row r="53" spans="1:40" ht="14.5" x14ac:dyDescent="0.35">
      <c r="A53" t="s">
        <v>1344</v>
      </c>
      <c r="C53" t="s">
        <v>1385</v>
      </c>
      <c r="D53" t="s">
        <v>29</v>
      </c>
      <c r="E53">
        <v>1</v>
      </c>
      <c r="F53" s="68">
        <v>476</v>
      </c>
      <c r="G53" s="68">
        <v>96</v>
      </c>
      <c r="H53" s="68">
        <v>71</v>
      </c>
      <c r="I53" s="68">
        <v>392</v>
      </c>
      <c r="J53" s="68">
        <v>410</v>
      </c>
      <c r="K53" s="68">
        <v>446</v>
      </c>
      <c r="L53" s="68">
        <v>198</v>
      </c>
      <c r="M53" s="68">
        <v>241</v>
      </c>
      <c r="N53" s="68">
        <v>63</v>
      </c>
      <c r="O53" s="68">
        <v>77</v>
      </c>
      <c r="P53" s="68">
        <v>230</v>
      </c>
      <c r="Q53" s="68">
        <v>175</v>
      </c>
      <c r="R53" s="68">
        <v>219</v>
      </c>
      <c r="S53" s="68">
        <v>105</v>
      </c>
      <c r="T53" s="68"/>
      <c r="U53" s="68"/>
      <c r="V53" s="68"/>
      <c r="W53" s="68"/>
      <c r="X53" s="68"/>
      <c r="Y53" s="68"/>
      <c r="Z53" s="68"/>
      <c r="AA53" s="68"/>
      <c r="AB53" s="68"/>
      <c r="AC53" s="68"/>
      <c r="AD53" s="68"/>
      <c r="AE53" s="68"/>
      <c r="AF53" s="68"/>
      <c r="AG53" s="68"/>
      <c r="AH53" s="68"/>
      <c r="AI53" s="68"/>
      <c r="AJ53" s="68"/>
      <c r="AK53"/>
      <c r="AL53"/>
      <c r="AM53"/>
      <c r="AN53"/>
    </row>
    <row r="54" spans="1:40" ht="14.5" x14ac:dyDescent="0.35">
      <c r="A54" t="s">
        <v>1344</v>
      </c>
      <c r="B54" t="s">
        <v>1386</v>
      </c>
      <c r="C54" t="s">
        <v>1344</v>
      </c>
      <c r="D54" t="s">
        <v>35</v>
      </c>
      <c r="F54" s="68"/>
      <c r="G54" s="68"/>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c r="AL54"/>
      <c r="AM54"/>
      <c r="AN54"/>
    </row>
    <row r="55" spans="1:40" ht="14.5" x14ac:dyDescent="0.35">
      <c r="A55" t="s">
        <v>1343</v>
      </c>
      <c r="C55" t="s">
        <v>1379</v>
      </c>
      <c r="D55" t="s">
        <v>103</v>
      </c>
      <c r="E55">
        <v>12000</v>
      </c>
      <c r="F55" s="68">
        <v>1</v>
      </c>
      <c r="G55" s="68">
        <v>1</v>
      </c>
      <c r="H55" s="68">
        <v>1</v>
      </c>
      <c r="I55" s="68">
        <v>1</v>
      </c>
      <c r="J55" s="68">
        <v>1</v>
      </c>
      <c r="K55" s="68">
        <v>1</v>
      </c>
      <c r="L55" s="68">
        <v>1</v>
      </c>
      <c r="M55" s="68">
        <v>1</v>
      </c>
      <c r="N55" s="68">
        <v>1</v>
      </c>
      <c r="O55" s="68">
        <v>1</v>
      </c>
      <c r="P55" s="68">
        <v>0</v>
      </c>
      <c r="Q55" s="68">
        <v>0</v>
      </c>
      <c r="R55" s="68">
        <v>1</v>
      </c>
      <c r="S55" s="68">
        <v>2</v>
      </c>
      <c r="T55" s="68"/>
      <c r="U55" s="68"/>
      <c r="V55" s="68"/>
      <c r="W55" s="68"/>
      <c r="X55" s="68"/>
      <c r="Y55" s="68"/>
      <c r="Z55" s="68"/>
      <c r="AA55" s="68"/>
      <c r="AB55" s="68"/>
      <c r="AC55" s="68"/>
      <c r="AD55" s="68"/>
      <c r="AE55" s="68"/>
      <c r="AF55" s="68"/>
      <c r="AG55" s="68"/>
      <c r="AH55" s="68"/>
      <c r="AI55" s="68"/>
      <c r="AJ55" s="68"/>
      <c r="AK55"/>
      <c r="AL55"/>
      <c r="AM55"/>
      <c r="AN55"/>
    </row>
    <row r="56" spans="1:40" ht="14.5" x14ac:dyDescent="0.35">
      <c r="A56" t="s">
        <v>1343</v>
      </c>
      <c r="C56" t="s">
        <v>1380</v>
      </c>
      <c r="D56" t="s">
        <v>101</v>
      </c>
      <c r="E56">
        <v>100</v>
      </c>
      <c r="F56" s="68">
        <v>23</v>
      </c>
      <c r="G56" s="68">
        <v>22</v>
      </c>
      <c r="H56" s="68">
        <v>12</v>
      </c>
      <c r="I56" s="68">
        <v>7</v>
      </c>
      <c r="J56" s="68">
        <v>16</v>
      </c>
      <c r="K56" s="68">
        <v>16</v>
      </c>
      <c r="L56" s="68">
        <v>13</v>
      </c>
      <c r="M56" s="68">
        <v>13</v>
      </c>
      <c r="N56" s="68">
        <v>13</v>
      </c>
      <c r="O56" s="68">
        <v>11</v>
      </c>
      <c r="P56" s="68">
        <v>21</v>
      </c>
      <c r="Q56" s="68">
        <v>20</v>
      </c>
      <c r="R56" s="68">
        <v>18</v>
      </c>
      <c r="S56" s="68">
        <v>29</v>
      </c>
      <c r="T56" s="68"/>
      <c r="U56" s="68"/>
      <c r="V56" s="68"/>
      <c r="W56" s="68"/>
      <c r="X56" s="68"/>
      <c r="Y56" s="68"/>
      <c r="Z56" s="68"/>
      <c r="AA56" s="68"/>
      <c r="AB56" s="68"/>
      <c r="AC56" s="68"/>
      <c r="AD56" s="68"/>
      <c r="AE56" s="68"/>
      <c r="AF56" s="68"/>
      <c r="AG56" s="68"/>
      <c r="AH56" s="68"/>
      <c r="AI56" s="68"/>
      <c r="AJ56" s="68"/>
      <c r="AK56"/>
      <c r="AL56"/>
      <c r="AM56"/>
      <c r="AN56"/>
    </row>
    <row r="57" spans="1:40" ht="14.5" x14ac:dyDescent="0.35">
      <c r="A57" t="s">
        <v>1343</v>
      </c>
      <c r="C57" t="s">
        <v>1381</v>
      </c>
      <c r="D57" t="s">
        <v>29</v>
      </c>
      <c r="E57">
        <v>1</v>
      </c>
      <c r="F57" s="68">
        <v>1130</v>
      </c>
      <c r="G57" s="68">
        <v>738</v>
      </c>
      <c r="H57" s="68">
        <v>0</v>
      </c>
      <c r="I57" s="68">
        <v>0</v>
      </c>
      <c r="J57" s="68">
        <v>1401</v>
      </c>
      <c r="K57" s="68">
        <v>333</v>
      </c>
      <c r="L57" s="68">
        <v>423</v>
      </c>
      <c r="M57" s="68">
        <v>1240</v>
      </c>
      <c r="N57" s="68">
        <v>275</v>
      </c>
      <c r="O57" s="68">
        <v>1004</v>
      </c>
      <c r="P57" s="68">
        <v>898</v>
      </c>
      <c r="Q57" s="68">
        <v>243</v>
      </c>
      <c r="R57" s="68">
        <v>728</v>
      </c>
      <c r="S57" s="68">
        <v>1048</v>
      </c>
      <c r="T57" s="68"/>
      <c r="U57" s="68"/>
      <c r="V57" s="68"/>
      <c r="W57" s="68"/>
      <c r="X57" s="68"/>
      <c r="Y57" s="68"/>
      <c r="Z57" s="68"/>
      <c r="AA57" s="68"/>
      <c r="AB57" s="68"/>
      <c r="AC57" s="68"/>
      <c r="AD57" s="68"/>
      <c r="AE57" s="68"/>
      <c r="AF57" s="68"/>
      <c r="AG57" s="68"/>
      <c r="AH57" s="68"/>
      <c r="AI57" s="68"/>
      <c r="AJ57" s="68"/>
      <c r="AK57"/>
      <c r="AL57"/>
      <c r="AM57"/>
      <c r="AN57"/>
    </row>
    <row r="58" spans="1:40" ht="14.5" x14ac:dyDescent="0.35">
      <c r="A58" t="s">
        <v>1343</v>
      </c>
      <c r="B58" t="s">
        <v>1382</v>
      </c>
      <c r="C58" t="s">
        <v>1343</v>
      </c>
      <c r="D58" t="s">
        <v>35</v>
      </c>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c r="AL58"/>
      <c r="AM58"/>
      <c r="AN58"/>
    </row>
    <row r="59" spans="1:40" ht="14.5" x14ac:dyDescent="0.35">
      <c r="A59" t="s">
        <v>1196</v>
      </c>
      <c r="C59" t="s">
        <v>1087</v>
      </c>
      <c r="D59" t="s">
        <v>557</v>
      </c>
      <c r="E59">
        <v>21000</v>
      </c>
      <c r="F59" s="68">
        <v>3</v>
      </c>
      <c r="G59" s="68">
        <v>3</v>
      </c>
      <c r="H59" s="68">
        <v>6</v>
      </c>
      <c r="I59" s="68">
        <v>3</v>
      </c>
      <c r="J59" s="68">
        <v>7</v>
      </c>
      <c r="K59" s="68">
        <v>6</v>
      </c>
      <c r="L59" s="68">
        <v>5</v>
      </c>
      <c r="M59" s="68">
        <v>5</v>
      </c>
      <c r="N59" s="68">
        <v>1</v>
      </c>
      <c r="O59" s="68">
        <v>2</v>
      </c>
      <c r="P59" s="68">
        <v>0</v>
      </c>
      <c r="Q59" s="68">
        <v>2</v>
      </c>
      <c r="R59" s="68">
        <v>1</v>
      </c>
      <c r="S59" s="68">
        <v>5</v>
      </c>
      <c r="T59" s="68"/>
      <c r="U59" s="68"/>
      <c r="V59" s="68"/>
      <c r="W59" s="68"/>
      <c r="X59" s="68"/>
      <c r="Y59" s="68"/>
      <c r="Z59" s="68"/>
      <c r="AA59" s="68"/>
      <c r="AB59" s="68"/>
      <c r="AC59" s="68"/>
      <c r="AD59" s="68"/>
      <c r="AE59" s="68"/>
      <c r="AF59" s="68"/>
      <c r="AG59" s="68"/>
      <c r="AH59" s="68"/>
      <c r="AI59" s="68"/>
      <c r="AJ59" s="68"/>
      <c r="AK59"/>
      <c r="AL59"/>
      <c r="AM59"/>
      <c r="AN59"/>
    </row>
    <row r="60" spans="1:40" ht="14.5" x14ac:dyDescent="0.35">
      <c r="A60" t="s">
        <v>1196</v>
      </c>
      <c r="C60" t="s">
        <v>1088</v>
      </c>
      <c r="D60" t="s">
        <v>101</v>
      </c>
      <c r="E60">
        <v>1500</v>
      </c>
      <c r="F60" s="68">
        <v>67</v>
      </c>
      <c r="G60" s="68">
        <v>54</v>
      </c>
      <c r="H60" s="68">
        <v>32</v>
      </c>
      <c r="I60" s="68">
        <v>56</v>
      </c>
      <c r="J60" s="68">
        <v>8</v>
      </c>
      <c r="K60" s="68">
        <f>26+92</f>
        <v>118</v>
      </c>
      <c r="L60" s="68">
        <f>70+92</f>
        <v>162</v>
      </c>
      <c r="M60" s="68">
        <f>55+92</f>
        <v>147</v>
      </c>
      <c r="N60" s="68">
        <f>102+92</f>
        <v>194</v>
      </c>
      <c r="O60" s="68">
        <v>37</v>
      </c>
      <c r="P60" s="68">
        <v>37</v>
      </c>
      <c r="Q60" s="68">
        <v>23</v>
      </c>
      <c r="R60" s="68">
        <v>27</v>
      </c>
      <c r="S60" s="68">
        <v>45</v>
      </c>
      <c r="T60" s="68"/>
      <c r="U60" s="68"/>
      <c r="V60" s="68"/>
      <c r="W60" s="68"/>
      <c r="X60" s="68"/>
      <c r="Y60" s="68"/>
      <c r="Z60" s="68"/>
      <c r="AA60" s="68"/>
      <c r="AB60" s="68"/>
      <c r="AC60" s="68"/>
      <c r="AD60" s="68"/>
      <c r="AE60" s="68"/>
      <c r="AF60" s="68"/>
      <c r="AG60" s="68"/>
      <c r="AH60" s="68"/>
      <c r="AI60" s="68"/>
      <c r="AJ60" s="68"/>
      <c r="AK60"/>
      <c r="AL60"/>
      <c r="AM60"/>
      <c r="AN60"/>
    </row>
    <row r="61" spans="1:40" ht="14.5" x14ac:dyDescent="0.35">
      <c r="A61" t="s">
        <v>1196</v>
      </c>
      <c r="C61" t="s">
        <v>1089</v>
      </c>
      <c r="D61" t="s">
        <v>29</v>
      </c>
      <c r="E61">
        <v>1000</v>
      </c>
      <c r="F61" s="68">
        <v>0</v>
      </c>
      <c r="G61" s="68">
        <v>0</v>
      </c>
      <c r="H61" s="68">
        <v>0</v>
      </c>
      <c r="I61" s="68">
        <v>0</v>
      </c>
      <c r="J61" s="68">
        <v>0</v>
      </c>
      <c r="K61" s="68">
        <v>0</v>
      </c>
      <c r="L61" s="68">
        <v>0</v>
      </c>
      <c r="M61" s="68">
        <v>0</v>
      </c>
      <c r="N61" s="68">
        <v>0</v>
      </c>
      <c r="O61" s="68">
        <v>0</v>
      </c>
      <c r="P61" s="68">
        <v>0</v>
      </c>
      <c r="Q61" s="68">
        <v>0</v>
      </c>
      <c r="R61" s="68">
        <v>0</v>
      </c>
      <c r="S61" s="68">
        <v>0</v>
      </c>
      <c r="T61" s="68"/>
      <c r="U61" s="68"/>
      <c r="V61" s="68"/>
      <c r="W61" s="68"/>
      <c r="X61" s="68"/>
      <c r="Y61" s="68"/>
      <c r="Z61" s="68"/>
      <c r="AA61" s="68"/>
      <c r="AB61" s="68"/>
      <c r="AC61" s="68"/>
      <c r="AD61" s="68"/>
      <c r="AE61" s="68"/>
      <c r="AF61" s="68"/>
      <c r="AG61" s="68"/>
      <c r="AH61" s="68"/>
      <c r="AI61" s="68"/>
      <c r="AJ61" s="68"/>
      <c r="AK61"/>
      <c r="AL61"/>
      <c r="AM61"/>
      <c r="AN61"/>
    </row>
    <row r="62" spans="1:40" ht="14.5" x14ac:dyDescent="0.35">
      <c r="A62" t="s">
        <v>1196</v>
      </c>
      <c r="C62" t="s">
        <v>1074</v>
      </c>
      <c r="D62" t="s">
        <v>29</v>
      </c>
      <c r="E62">
        <v>0.375</v>
      </c>
      <c r="F62" s="68">
        <v>361</v>
      </c>
      <c r="G62" s="68">
        <v>1356</v>
      </c>
      <c r="H62" s="68">
        <v>0</v>
      </c>
      <c r="I62" s="68">
        <v>0</v>
      </c>
      <c r="J62" s="68">
        <v>1062</v>
      </c>
      <c r="K62" s="68">
        <v>1666</v>
      </c>
      <c r="L62" s="68">
        <v>590</v>
      </c>
      <c r="M62" s="68">
        <v>1812</v>
      </c>
      <c r="N62" s="68">
        <v>923</v>
      </c>
      <c r="O62" s="68">
        <v>836</v>
      </c>
      <c r="P62" s="68">
        <v>983</v>
      </c>
      <c r="Q62" s="68">
        <v>740</v>
      </c>
      <c r="R62" s="68">
        <v>586</v>
      </c>
      <c r="S62" s="68">
        <v>935</v>
      </c>
      <c r="T62" s="68"/>
      <c r="U62" s="68"/>
      <c r="V62" s="68"/>
      <c r="W62" s="68"/>
      <c r="X62" s="68"/>
      <c r="Y62" s="68"/>
      <c r="Z62" s="68"/>
      <c r="AA62" s="68"/>
      <c r="AB62" s="68"/>
      <c r="AC62" s="68"/>
      <c r="AD62" s="68"/>
      <c r="AE62" s="68"/>
      <c r="AF62" s="68"/>
      <c r="AG62" s="68"/>
      <c r="AH62" s="68"/>
      <c r="AI62" s="68"/>
      <c r="AJ62" s="68"/>
      <c r="AK62"/>
      <c r="AL62"/>
      <c r="AM62"/>
      <c r="AN62"/>
    </row>
    <row r="63" spans="1:40" ht="14.5" x14ac:dyDescent="0.35">
      <c r="A63" t="s">
        <v>1196</v>
      </c>
      <c r="C63" t="s">
        <v>1075</v>
      </c>
      <c r="D63" t="s">
        <v>29</v>
      </c>
      <c r="E63">
        <v>0.96</v>
      </c>
      <c r="F63" s="68">
        <v>618</v>
      </c>
      <c r="G63" s="68">
        <v>714</v>
      </c>
      <c r="H63" s="68">
        <v>0</v>
      </c>
      <c r="I63" s="68">
        <v>0</v>
      </c>
      <c r="J63" s="68">
        <v>971</v>
      </c>
      <c r="K63" s="68">
        <v>1432</v>
      </c>
      <c r="L63" s="68">
        <v>686</v>
      </c>
      <c r="M63" s="68">
        <v>1227</v>
      </c>
      <c r="N63" s="68">
        <v>455</v>
      </c>
      <c r="O63" s="68">
        <v>305</v>
      </c>
      <c r="P63" s="68">
        <v>617</v>
      </c>
      <c r="Q63" s="68">
        <v>802</v>
      </c>
      <c r="R63" s="68">
        <v>420</v>
      </c>
      <c r="S63" s="68">
        <v>935</v>
      </c>
      <c r="T63" s="68"/>
      <c r="U63" s="68"/>
      <c r="V63" s="68"/>
      <c r="W63" s="68"/>
      <c r="X63" s="68"/>
      <c r="Y63" s="68"/>
      <c r="Z63" s="68"/>
      <c r="AA63" s="68"/>
      <c r="AB63" s="68"/>
      <c r="AC63" s="68"/>
      <c r="AD63" s="68"/>
      <c r="AE63" s="68"/>
      <c r="AF63" s="68"/>
      <c r="AG63" s="68"/>
      <c r="AH63" s="68"/>
      <c r="AI63" s="68"/>
      <c r="AJ63" s="68"/>
      <c r="AK63"/>
      <c r="AL63"/>
      <c r="AM63"/>
      <c r="AN63"/>
    </row>
    <row r="64" spans="1:40" ht="14.5" x14ac:dyDescent="0.35">
      <c r="A64" t="s">
        <v>1196</v>
      </c>
      <c r="C64" t="s">
        <v>1076</v>
      </c>
      <c r="D64" t="s">
        <v>29</v>
      </c>
      <c r="E64">
        <v>0.92</v>
      </c>
      <c r="F64" s="68">
        <v>1220</v>
      </c>
      <c r="G64" s="68">
        <v>1283</v>
      </c>
      <c r="H64" s="68">
        <v>0</v>
      </c>
      <c r="I64" s="68">
        <v>0</v>
      </c>
      <c r="J64" s="68">
        <v>740</v>
      </c>
      <c r="K64" s="68">
        <v>845</v>
      </c>
      <c r="L64" s="68">
        <v>623</v>
      </c>
      <c r="M64" s="68">
        <v>1522</v>
      </c>
      <c r="N64" s="68">
        <v>650</v>
      </c>
      <c r="O64" s="68">
        <v>539</v>
      </c>
      <c r="P64" s="68">
        <v>630</v>
      </c>
      <c r="Q64" s="68">
        <v>801</v>
      </c>
      <c r="R64" s="68">
        <v>727</v>
      </c>
      <c r="S64" s="68">
        <v>227</v>
      </c>
      <c r="T64" s="68"/>
      <c r="U64" s="68"/>
      <c r="V64" s="68"/>
      <c r="W64" s="68"/>
      <c r="X64" s="68"/>
      <c r="Y64" s="68"/>
      <c r="Z64" s="68"/>
      <c r="AA64" s="68"/>
      <c r="AB64" s="68"/>
      <c r="AC64" s="68"/>
      <c r="AD64" s="68"/>
      <c r="AE64" s="68"/>
      <c r="AF64" s="68"/>
      <c r="AG64" s="68"/>
      <c r="AH64" s="68"/>
      <c r="AI64" s="68"/>
      <c r="AJ64" s="68"/>
      <c r="AK64"/>
      <c r="AL64"/>
      <c r="AM64"/>
      <c r="AN64"/>
    </row>
    <row r="65" spans="1:40" ht="14.5" x14ac:dyDescent="0.35">
      <c r="A65" t="s">
        <v>1196</v>
      </c>
      <c r="C65" t="s">
        <v>1077</v>
      </c>
      <c r="D65" t="s">
        <v>29</v>
      </c>
      <c r="E65">
        <v>0.8</v>
      </c>
      <c r="F65" s="68">
        <v>0</v>
      </c>
      <c r="G65" s="68">
        <v>0</v>
      </c>
      <c r="H65" s="68">
        <v>0</v>
      </c>
      <c r="I65" s="68">
        <v>0</v>
      </c>
      <c r="J65" s="68">
        <v>0</v>
      </c>
      <c r="K65" s="68">
        <v>0</v>
      </c>
      <c r="L65" s="68">
        <v>0</v>
      </c>
      <c r="M65" s="68">
        <v>0</v>
      </c>
      <c r="N65" s="68">
        <v>0</v>
      </c>
      <c r="O65" s="68">
        <v>0</v>
      </c>
      <c r="P65" s="68">
        <v>0</v>
      </c>
      <c r="Q65" s="68">
        <v>0</v>
      </c>
      <c r="R65" s="68">
        <v>0</v>
      </c>
      <c r="S65" s="68">
        <v>0</v>
      </c>
      <c r="T65" s="68"/>
      <c r="U65" s="68"/>
      <c r="V65" s="68"/>
      <c r="W65" s="68"/>
      <c r="X65" s="68"/>
      <c r="Y65" s="68"/>
      <c r="Z65" s="68"/>
      <c r="AA65" s="68"/>
      <c r="AB65" s="68"/>
      <c r="AC65" s="68"/>
      <c r="AD65" s="68"/>
      <c r="AE65" s="68"/>
      <c r="AF65" s="68"/>
      <c r="AG65" s="68"/>
      <c r="AH65" s="68"/>
      <c r="AI65" s="68"/>
      <c r="AJ65" s="68"/>
      <c r="AK65"/>
      <c r="AL65"/>
      <c r="AM65"/>
      <c r="AN65"/>
    </row>
    <row r="66" spans="1:40" ht="14.5" x14ac:dyDescent="0.35">
      <c r="A66" t="s">
        <v>1196</v>
      </c>
      <c r="B66" t="s">
        <v>1198</v>
      </c>
      <c r="C66" t="s">
        <v>1196</v>
      </c>
      <c r="D66" t="s">
        <v>35</v>
      </c>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c r="AL66"/>
      <c r="AM66"/>
      <c r="AN66"/>
    </row>
    <row r="67" spans="1:40" ht="14.5" x14ac:dyDescent="0.35">
      <c r="A67" t="s">
        <v>1194</v>
      </c>
      <c r="C67" t="s">
        <v>1090</v>
      </c>
      <c r="D67" t="s">
        <v>103</v>
      </c>
      <c r="E67">
        <v>14000</v>
      </c>
      <c r="F67" s="68">
        <v>9</v>
      </c>
      <c r="G67" s="68">
        <v>8</v>
      </c>
      <c r="H67" s="68">
        <v>9</v>
      </c>
      <c r="I67" s="68">
        <v>7</v>
      </c>
      <c r="J67" s="68">
        <v>0</v>
      </c>
      <c r="K67" s="68">
        <v>2</v>
      </c>
      <c r="L67" s="68">
        <v>0</v>
      </c>
      <c r="M67" s="68">
        <v>0</v>
      </c>
      <c r="N67" s="68">
        <v>1</v>
      </c>
      <c r="O67" s="68">
        <v>1</v>
      </c>
      <c r="P67" s="68">
        <v>0</v>
      </c>
      <c r="Q67" s="68">
        <v>0</v>
      </c>
      <c r="R67" s="68">
        <v>0</v>
      </c>
      <c r="S67" s="68">
        <v>2</v>
      </c>
      <c r="T67" s="68"/>
      <c r="U67" s="68"/>
      <c r="V67" s="68"/>
      <c r="W67" s="68"/>
      <c r="X67" s="68"/>
      <c r="Y67" s="68"/>
      <c r="Z67" s="68"/>
      <c r="AA67" s="68"/>
      <c r="AB67" s="68"/>
      <c r="AC67" s="68"/>
      <c r="AD67" s="68"/>
      <c r="AE67" s="68"/>
      <c r="AF67" s="68"/>
      <c r="AG67" s="68"/>
      <c r="AH67" s="68"/>
      <c r="AI67" s="68"/>
      <c r="AJ67" s="68"/>
      <c r="AK67"/>
      <c r="AL67"/>
      <c r="AM67"/>
      <c r="AN67"/>
    </row>
    <row r="68" spans="1:40" ht="14.5" x14ac:dyDescent="0.35">
      <c r="A68" t="s">
        <v>1194</v>
      </c>
      <c r="C68" t="s">
        <v>1091</v>
      </c>
      <c r="D68" t="s">
        <v>101</v>
      </c>
      <c r="E68">
        <v>1000</v>
      </c>
      <c r="F68" s="68">
        <v>149</v>
      </c>
      <c r="G68" s="68">
        <v>148</v>
      </c>
      <c r="H68" s="68">
        <v>132</v>
      </c>
      <c r="I68" s="68">
        <v>145</v>
      </c>
      <c r="J68" s="68">
        <v>238</v>
      </c>
      <c r="K68" s="68">
        <f>53+57</f>
        <v>110</v>
      </c>
      <c r="L68" s="68">
        <f>82+57</f>
        <v>139</v>
      </c>
      <c r="M68" s="68">
        <f>83+57</f>
        <v>140</v>
      </c>
      <c r="N68" s="68">
        <f>24+46+57</f>
        <v>127</v>
      </c>
      <c r="O68" s="68">
        <v>26</v>
      </c>
      <c r="P68" s="68">
        <v>23</v>
      </c>
      <c r="Q68" s="68">
        <v>28</v>
      </c>
      <c r="R68" s="68">
        <v>31</v>
      </c>
      <c r="S68" s="68">
        <v>40</v>
      </c>
      <c r="T68" s="68"/>
      <c r="U68" s="68"/>
      <c r="V68" s="68"/>
      <c r="W68" s="68"/>
      <c r="X68" s="68"/>
      <c r="Y68" s="68"/>
      <c r="Z68" s="68"/>
      <c r="AA68" s="68"/>
      <c r="AB68" s="68"/>
      <c r="AC68" s="68"/>
      <c r="AD68" s="68"/>
      <c r="AE68" s="68"/>
      <c r="AF68" s="68"/>
      <c r="AG68" s="68"/>
      <c r="AH68" s="68"/>
      <c r="AI68" s="68"/>
      <c r="AJ68" s="68"/>
      <c r="AK68"/>
      <c r="AL68"/>
      <c r="AM68"/>
      <c r="AN68"/>
    </row>
    <row r="69" spans="1:40" ht="14.5" x14ac:dyDescent="0.35">
      <c r="A69" t="s">
        <v>1194</v>
      </c>
      <c r="C69" t="s">
        <v>1124</v>
      </c>
      <c r="D69" t="s">
        <v>29</v>
      </c>
      <c r="E69">
        <v>1</v>
      </c>
      <c r="F69" s="68">
        <v>0</v>
      </c>
      <c r="G69" s="68">
        <v>0</v>
      </c>
      <c r="H69" s="68">
        <v>0</v>
      </c>
      <c r="I69" s="68">
        <v>0</v>
      </c>
      <c r="J69" s="68">
        <v>0</v>
      </c>
      <c r="K69" s="68">
        <v>0</v>
      </c>
      <c r="L69" s="68">
        <v>0</v>
      </c>
      <c r="M69" s="68">
        <v>0</v>
      </c>
      <c r="N69" s="68">
        <v>0</v>
      </c>
      <c r="O69" s="68">
        <v>0</v>
      </c>
      <c r="P69" s="68">
        <v>0</v>
      </c>
      <c r="Q69" s="68">
        <v>0</v>
      </c>
      <c r="R69" s="68">
        <v>0</v>
      </c>
      <c r="S69" s="68">
        <v>0</v>
      </c>
      <c r="T69" s="68"/>
      <c r="U69" s="68"/>
      <c r="V69" s="68"/>
      <c r="W69" s="68"/>
      <c r="X69" s="68"/>
      <c r="Y69" s="68"/>
      <c r="Z69" s="68"/>
      <c r="AA69" s="68"/>
      <c r="AB69" s="68"/>
      <c r="AC69" s="68"/>
      <c r="AD69" s="68"/>
      <c r="AE69" s="68"/>
      <c r="AF69" s="68"/>
      <c r="AG69" s="68"/>
      <c r="AH69" s="68"/>
      <c r="AI69" s="68"/>
      <c r="AJ69" s="68"/>
      <c r="AK69"/>
      <c r="AL69"/>
      <c r="AM69"/>
      <c r="AN69"/>
    </row>
    <row r="70" spans="1:40" ht="14.5" x14ac:dyDescent="0.35">
      <c r="A70" t="s">
        <v>1194</v>
      </c>
      <c r="B70" t="s">
        <v>1199</v>
      </c>
      <c r="C70" t="s">
        <v>1194</v>
      </c>
      <c r="D70" t="s">
        <v>35</v>
      </c>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8"/>
      <c r="AK70"/>
      <c r="AL70"/>
      <c r="AM70"/>
      <c r="AN70"/>
    </row>
    <row r="71" spans="1:40" ht="14.5" x14ac:dyDescent="0.35">
      <c r="A71" t="s">
        <v>2</v>
      </c>
      <c r="C71" t="s">
        <v>1093</v>
      </c>
      <c r="D71" t="s">
        <v>29</v>
      </c>
      <c r="E71">
        <v>1</v>
      </c>
      <c r="F71" s="68">
        <v>19507</v>
      </c>
      <c r="G71" s="68">
        <v>26068</v>
      </c>
      <c r="H71" s="68">
        <v>30000</v>
      </c>
      <c r="I71" s="68">
        <v>18210</v>
      </c>
      <c r="J71" s="68">
        <v>23890</v>
      </c>
      <c r="K71" s="68">
        <v>26508</v>
      </c>
      <c r="L71" s="68">
        <v>28171</v>
      </c>
      <c r="M71" s="68">
        <v>27431</v>
      </c>
      <c r="N71" s="68">
        <v>35000</v>
      </c>
      <c r="O71" s="68">
        <v>45770</v>
      </c>
      <c r="P71" s="68">
        <v>31505</v>
      </c>
      <c r="Q71" s="68">
        <v>30916</v>
      </c>
      <c r="R71" s="68">
        <v>28190</v>
      </c>
      <c r="S71" s="68">
        <v>15865</v>
      </c>
      <c r="T71" s="68"/>
      <c r="U71" s="68"/>
      <c r="V71" s="68"/>
      <c r="W71" s="68"/>
      <c r="X71" s="68"/>
      <c r="Y71" s="68"/>
      <c r="Z71" s="68"/>
      <c r="AA71" s="68"/>
      <c r="AB71" s="68"/>
      <c r="AC71" s="68"/>
      <c r="AD71" s="68"/>
      <c r="AE71" s="68"/>
      <c r="AF71" s="68"/>
      <c r="AG71" s="68"/>
      <c r="AH71" s="68"/>
      <c r="AI71" s="68"/>
      <c r="AJ71" s="68"/>
      <c r="AK71"/>
      <c r="AL71"/>
      <c r="AM71"/>
      <c r="AN71"/>
    </row>
    <row r="72" spans="1:40" ht="14.5" x14ac:dyDescent="0.35">
      <c r="A72" t="s">
        <v>2</v>
      </c>
      <c r="C72" t="s">
        <v>1092</v>
      </c>
      <c r="D72" t="s">
        <v>29</v>
      </c>
      <c r="E72">
        <v>1</v>
      </c>
      <c r="F72" s="68">
        <v>1216</v>
      </c>
      <c r="G72" s="68">
        <v>1389</v>
      </c>
      <c r="H72" s="68">
        <v>4327</v>
      </c>
      <c r="I72" s="68">
        <v>0</v>
      </c>
      <c r="J72" s="68">
        <v>3600</v>
      </c>
      <c r="K72" s="68">
        <v>4520</v>
      </c>
      <c r="L72" s="68">
        <v>154</v>
      </c>
      <c r="M72" s="68">
        <v>1470</v>
      </c>
      <c r="N72" s="68">
        <v>1309</v>
      </c>
      <c r="O72" s="68">
        <v>351</v>
      </c>
      <c r="P72" s="68">
        <v>1382</v>
      </c>
      <c r="Q72" s="68">
        <v>1904</v>
      </c>
      <c r="R72" s="68">
        <v>1344</v>
      </c>
      <c r="S72" s="68">
        <v>2959</v>
      </c>
      <c r="T72" s="68"/>
      <c r="U72" s="68"/>
      <c r="V72" s="68"/>
      <c r="W72" s="68"/>
      <c r="X72" s="68"/>
      <c r="Y72" s="68"/>
      <c r="Z72" s="68"/>
      <c r="AA72" s="68"/>
      <c r="AB72" s="68"/>
      <c r="AC72" s="68"/>
      <c r="AD72" s="68"/>
      <c r="AE72" s="68"/>
      <c r="AF72" s="68"/>
      <c r="AG72" s="68"/>
      <c r="AH72" s="68"/>
      <c r="AI72" s="68"/>
      <c r="AJ72" s="68"/>
      <c r="AK72"/>
      <c r="AL72"/>
      <c r="AM72"/>
      <c r="AN72"/>
    </row>
    <row r="73" spans="1:40" ht="14.5" x14ac:dyDescent="0.35">
      <c r="A73" t="s">
        <v>2</v>
      </c>
      <c r="B73" t="s">
        <v>73</v>
      </c>
      <c r="C73" t="s">
        <v>2</v>
      </c>
      <c r="D73" t="s">
        <v>35</v>
      </c>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c r="AF73" s="68"/>
      <c r="AG73" s="68"/>
      <c r="AH73" s="68"/>
      <c r="AI73" s="68"/>
      <c r="AJ73" s="68"/>
      <c r="AK73"/>
      <c r="AL73"/>
      <c r="AM73"/>
      <c r="AN73"/>
    </row>
    <row r="74" spans="1:40" ht="14.5" x14ac:dyDescent="0.35">
      <c r="A74" t="s">
        <v>353</v>
      </c>
      <c r="C74" t="s">
        <v>368</v>
      </c>
      <c r="D74" t="s">
        <v>103</v>
      </c>
      <c r="E74">
        <v>1800</v>
      </c>
      <c r="F74" s="68"/>
      <c r="G74" s="68">
        <v>0</v>
      </c>
      <c r="H74" s="68">
        <v>0</v>
      </c>
      <c r="I74" s="68">
        <v>0</v>
      </c>
      <c r="J74" s="68">
        <v>0</v>
      </c>
      <c r="K74" s="68">
        <v>0</v>
      </c>
      <c r="L74" s="68">
        <v>0</v>
      </c>
      <c r="M74" s="68">
        <v>0</v>
      </c>
      <c r="N74" s="68">
        <v>0</v>
      </c>
      <c r="O74" s="68">
        <v>0</v>
      </c>
      <c r="P74" s="68">
        <v>0</v>
      </c>
      <c r="Q74" s="68">
        <v>0</v>
      </c>
      <c r="R74" s="68">
        <v>0</v>
      </c>
      <c r="S74" s="68">
        <v>0</v>
      </c>
      <c r="T74" s="68"/>
      <c r="U74" s="68"/>
      <c r="V74" s="68"/>
      <c r="W74" s="68"/>
      <c r="X74" s="68"/>
      <c r="Y74" s="68"/>
      <c r="Z74" s="68"/>
      <c r="AA74" s="68"/>
      <c r="AB74" s="68"/>
      <c r="AC74" s="68"/>
      <c r="AD74" s="68"/>
      <c r="AE74" s="68"/>
      <c r="AF74" s="68"/>
      <c r="AG74" s="68"/>
      <c r="AH74" s="68"/>
      <c r="AI74" s="68"/>
      <c r="AJ74" s="68"/>
      <c r="AK74"/>
      <c r="AL74"/>
      <c r="AM74"/>
      <c r="AN74"/>
    </row>
    <row r="75" spans="1:40" ht="14.5" x14ac:dyDescent="0.35">
      <c r="A75" t="s">
        <v>353</v>
      </c>
      <c r="C75" t="s">
        <v>369</v>
      </c>
      <c r="D75" t="s">
        <v>358</v>
      </c>
      <c r="E75">
        <v>60</v>
      </c>
      <c r="F75" s="68"/>
      <c r="G75" s="68">
        <v>0</v>
      </c>
      <c r="H75" s="68">
        <v>0</v>
      </c>
      <c r="I75" s="68">
        <v>0</v>
      </c>
      <c r="J75" s="68">
        <v>0</v>
      </c>
      <c r="K75" s="68">
        <v>0</v>
      </c>
      <c r="L75" s="68">
        <v>0</v>
      </c>
      <c r="M75" s="68">
        <v>0</v>
      </c>
      <c r="N75" s="68">
        <v>0</v>
      </c>
      <c r="O75" s="68">
        <v>0</v>
      </c>
      <c r="P75" s="68">
        <v>0</v>
      </c>
      <c r="Q75" s="68">
        <v>0</v>
      </c>
      <c r="R75" s="68">
        <v>0</v>
      </c>
      <c r="S75" s="68">
        <v>0</v>
      </c>
      <c r="T75" s="68"/>
      <c r="U75" s="68"/>
      <c r="V75" s="68"/>
      <c r="W75" s="68"/>
      <c r="X75" s="68"/>
      <c r="Y75" s="68"/>
      <c r="Z75" s="68"/>
      <c r="AA75" s="68"/>
      <c r="AB75" s="68"/>
      <c r="AC75" s="68"/>
      <c r="AD75" s="68"/>
      <c r="AE75" s="68"/>
      <c r="AF75" s="68"/>
      <c r="AG75" s="68"/>
      <c r="AH75" s="68"/>
      <c r="AI75" s="68"/>
      <c r="AJ75" s="68"/>
      <c r="AK75"/>
      <c r="AL75"/>
      <c r="AM75"/>
      <c r="AN75"/>
    </row>
    <row r="76" spans="1:40" ht="14.5" x14ac:dyDescent="0.35">
      <c r="A76" t="s">
        <v>353</v>
      </c>
      <c r="C76" t="s">
        <v>1094</v>
      </c>
      <c r="D76" t="s">
        <v>29</v>
      </c>
      <c r="E76">
        <v>1</v>
      </c>
      <c r="F76" s="68"/>
      <c r="G76" s="68">
        <v>0</v>
      </c>
      <c r="H76" s="68">
        <v>0</v>
      </c>
      <c r="I76" s="68">
        <v>0</v>
      </c>
      <c r="J76" s="68">
        <v>0</v>
      </c>
      <c r="K76" s="68">
        <v>0</v>
      </c>
      <c r="L76" s="68">
        <v>0</v>
      </c>
      <c r="M76" s="68">
        <v>0</v>
      </c>
      <c r="N76" s="68">
        <v>0</v>
      </c>
      <c r="O76" s="68">
        <v>0</v>
      </c>
      <c r="P76" s="68">
        <v>0</v>
      </c>
      <c r="Q76" s="68">
        <v>0</v>
      </c>
      <c r="R76" s="68">
        <v>0</v>
      </c>
      <c r="S76" s="68">
        <v>0</v>
      </c>
      <c r="T76" s="68"/>
      <c r="U76" s="68"/>
      <c r="V76" s="68"/>
      <c r="W76" s="68"/>
      <c r="X76" s="68"/>
      <c r="Y76" s="68"/>
      <c r="Z76" s="68"/>
      <c r="AA76" s="68"/>
      <c r="AB76" s="68"/>
      <c r="AC76" s="68"/>
      <c r="AD76" s="68"/>
      <c r="AE76" s="68"/>
      <c r="AF76" s="68"/>
      <c r="AG76" s="68"/>
      <c r="AH76" s="68"/>
      <c r="AI76" s="68"/>
      <c r="AJ76" s="68"/>
      <c r="AK76"/>
      <c r="AL76"/>
      <c r="AM76"/>
      <c r="AN76"/>
    </row>
    <row r="77" spans="1:40" ht="14.5" x14ac:dyDescent="0.35">
      <c r="A77" t="s">
        <v>353</v>
      </c>
      <c r="B77" t="s">
        <v>383</v>
      </c>
      <c r="C77" t="s">
        <v>353</v>
      </c>
      <c r="D77" t="s">
        <v>35</v>
      </c>
      <c r="F77" s="68"/>
      <c r="G77" s="68"/>
      <c r="H77" s="68"/>
      <c r="I77" s="68"/>
      <c r="J77" s="68"/>
      <c r="K77" s="68"/>
      <c r="L77" s="68"/>
      <c r="M77" s="68"/>
      <c r="N77" s="68"/>
      <c r="O77" s="68"/>
      <c r="P77" s="68"/>
      <c r="Q77" s="68"/>
      <c r="R77" s="68"/>
      <c r="S77" s="68"/>
      <c r="T77" s="68"/>
      <c r="U77" s="68"/>
      <c r="V77" s="68"/>
      <c r="W77" s="68"/>
      <c r="X77" s="68"/>
      <c r="Y77" s="68"/>
      <c r="Z77" s="68"/>
      <c r="AA77" s="68"/>
      <c r="AB77" s="68"/>
      <c r="AC77" s="68"/>
      <c r="AD77" s="68"/>
      <c r="AE77" s="68"/>
      <c r="AF77" s="68"/>
      <c r="AG77" s="68"/>
      <c r="AH77" s="68"/>
      <c r="AI77" s="68"/>
      <c r="AJ77" s="68"/>
      <c r="AK77"/>
      <c r="AL77"/>
      <c r="AM77"/>
      <c r="AN77"/>
    </row>
    <row r="78" spans="1:40" ht="14.5" x14ac:dyDescent="0.35">
      <c r="A78" t="s">
        <v>352</v>
      </c>
      <c r="C78" t="s">
        <v>365</v>
      </c>
      <c r="D78" t="s">
        <v>103</v>
      </c>
      <c r="E78">
        <v>6000</v>
      </c>
      <c r="F78" s="68"/>
      <c r="G78" s="68">
        <v>0</v>
      </c>
      <c r="H78" s="68">
        <v>0</v>
      </c>
      <c r="I78" s="68">
        <v>0</v>
      </c>
      <c r="J78" s="68">
        <v>0</v>
      </c>
      <c r="K78" s="68">
        <v>0</v>
      </c>
      <c r="L78" s="68">
        <v>0</v>
      </c>
      <c r="M78" s="68">
        <v>0</v>
      </c>
      <c r="N78" s="68">
        <v>0</v>
      </c>
      <c r="O78" s="68">
        <v>0</v>
      </c>
      <c r="P78" s="68">
        <v>0</v>
      </c>
      <c r="Q78" s="68">
        <v>0</v>
      </c>
      <c r="R78" s="68">
        <v>0</v>
      </c>
      <c r="S78" s="68">
        <v>0</v>
      </c>
      <c r="T78" s="68"/>
      <c r="U78" s="68"/>
      <c r="V78" s="68"/>
      <c r="W78" s="68"/>
      <c r="X78" s="68"/>
      <c r="Y78" s="68"/>
      <c r="Z78" s="68"/>
      <c r="AA78" s="68"/>
      <c r="AB78" s="68"/>
      <c r="AC78" s="68"/>
      <c r="AD78" s="68"/>
      <c r="AE78" s="68"/>
      <c r="AF78" s="68"/>
      <c r="AG78" s="68"/>
      <c r="AH78" s="68"/>
      <c r="AI78" s="68"/>
      <c r="AJ78" s="68"/>
      <c r="AK78"/>
      <c r="AL78"/>
      <c r="AM78"/>
      <c r="AN78"/>
    </row>
    <row r="79" spans="1:40" ht="14.5" x14ac:dyDescent="0.35">
      <c r="A79" t="s">
        <v>352</v>
      </c>
      <c r="C79" t="s">
        <v>366</v>
      </c>
      <c r="D79" t="s">
        <v>358</v>
      </c>
      <c r="E79">
        <v>1000</v>
      </c>
      <c r="F79" s="68"/>
      <c r="G79" s="68">
        <v>0</v>
      </c>
      <c r="H79" s="68">
        <v>0</v>
      </c>
      <c r="I79" s="68">
        <v>0</v>
      </c>
      <c r="J79" s="68">
        <v>0</v>
      </c>
      <c r="K79" s="68">
        <v>0</v>
      </c>
      <c r="L79" s="68">
        <v>0</v>
      </c>
      <c r="M79" s="68">
        <v>0</v>
      </c>
      <c r="N79" s="68">
        <v>0</v>
      </c>
      <c r="O79" s="68">
        <v>0</v>
      </c>
      <c r="P79" s="68">
        <v>0</v>
      </c>
      <c r="Q79" s="68">
        <v>0</v>
      </c>
      <c r="R79" s="68">
        <v>0</v>
      </c>
      <c r="S79" s="68">
        <v>0</v>
      </c>
      <c r="T79" s="68"/>
      <c r="U79" s="68"/>
      <c r="V79" s="68"/>
      <c r="W79" s="68"/>
      <c r="X79" s="68"/>
      <c r="Y79" s="68"/>
      <c r="Z79" s="68"/>
      <c r="AA79" s="68"/>
      <c r="AB79" s="68"/>
      <c r="AC79" s="68"/>
      <c r="AD79" s="68"/>
      <c r="AE79" s="68"/>
      <c r="AF79" s="68"/>
      <c r="AG79" s="68"/>
      <c r="AH79" s="68"/>
      <c r="AI79" s="68"/>
      <c r="AJ79" s="68"/>
      <c r="AK79"/>
      <c r="AL79"/>
      <c r="AM79"/>
      <c r="AN79"/>
    </row>
    <row r="80" spans="1:40" ht="14.5" x14ac:dyDescent="0.35">
      <c r="A80" t="s">
        <v>352</v>
      </c>
      <c r="C80" t="s">
        <v>367</v>
      </c>
      <c r="D80" t="s">
        <v>29</v>
      </c>
      <c r="E80">
        <v>0.75142771265404273</v>
      </c>
      <c r="F80" s="68"/>
      <c r="G80" s="68">
        <v>0</v>
      </c>
      <c r="H80" s="68">
        <v>0</v>
      </c>
      <c r="I80" s="68">
        <v>0</v>
      </c>
      <c r="J80" s="68">
        <v>0</v>
      </c>
      <c r="K80" s="68">
        <v>0</v>
      </c>
      <c r="L80" s="68">
        <v>0</v>
      </c>
      <c r="M80" s="68">
        <v>0</v>
      </c>
      <c r="N80" s="68">
        <v>0</v>
      </c>
      <c r="O80" s="68">
        <v>0</v>
      </c>
      <c r="P80" s="68">
        <v>0</v>
      </c>
      <c r="Q80" s="68">
        <v>0</v>
      </c>
      <c r="R80" s="68">
        <v>0</v>
      </c>
      <c r="S80" s="68">
        <v>0</v>
      </c>
      <c r="T80" s="68"/>
      <c r="U80" s="68"/>
      <c r="V80" s="68"/>
      <c r="W80" s="68"/>
      <c r="X80" s="68"/>
      <c r="Y80" s="68"/>
      <c r="Z80" s="68"/>
      <c r="AA80" s="68"/>
      <c r="AB80" s="68"/>
      <c r="AC80" s="68"/>
      <c r="AD80" s="68"/>
      <c r="AE80" s="68"/>
      <c r="AF80" s="68"/>
      <c r="AG80" s="68"/>
      <c r="AH80" s="68"/>
      <c r="AI80" s="68"/>
      <c r="AJ80" s="68"/>
      <c r="AK80"/>
      <c r="AL80"/>
      <c r="AM80"/>
      <c r="AN80"/>
    </row>
    <row r="81" spans="1:40" ht="14.5" x14ac:dyDescent="0.35">
      <c r="A81" t="s">
        <v>352</v>
      </c>
      <c r="B81" t="s">
        <v>382</v>
      </c>
      <c r="C81" t="s">
        <v>352</v>
      </c>
      <c r="D81" t="s">
        <v>68</v>
      </c>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c r="AF81" s="68"/>
      <c r="AG81" s="68"/>
      <c r="AH81" s="68"/>
      <c r="AI81" s="68"/>
      <c r="AJ81" s="68"/>
      <c r="AK81"/>
      <c r="AL81"/>
      <c r="AM81"/>
      <c r="AN81"/>
    </row>
    <row r="82" spans="1:40" ht="14.5" x14ac:dyDescent="0.35">
      <c r="A82" t="s">
        <v>1346</v>
      </c>
      <c r="C82" t="s">
        <v>1391</v>
      </c>
      <c r="D82" t="s">
        <v>103</v>
      </c>
      <c r="E82">
        <v>4200</v>
      </c>
      <c r="F82" s="68">
        <v>4</v>
      </c>
      <c r="G82" s="68">
        <v>4</v>
      </c>
      <c r="H82" s="68">
        <v>4</v>
      </c>
      <c r="I82" s="68">
        <v>4</v>
      </c>
      <c r="J82" s="68">
        <v>3</v>
      </c>
      <c r="K82" s="68">
        <v>3</v>
      </c>
      <c r="L82" s="68">
        <v>3</v>
      </c>
      <c r="M82" s="68">
        <v>2</v>
      </c>
      <c r="N82" s="68">
        <v>2</v>
      </c>
      <c r="O82" s="68">
        <v>2</v>
      </c>
      <c r="P82" s="68">
        <v>1</v>
      </c>
      <c r="Q82" s="68">
        <v>1</v>
      </c>
      <c r="R82" s="68">
        <v>0</v>
      </c>
      <c r="S82" s="68">
        <v>1</v>
      </c>
      <c r="T82" s="68"/>
      <c r="U82" s="68"/>
      <c r="V82" s="68"/>
      <c r="W82" s="68"/>
      <c r="X82" s="68"/>
      <c r="Y82" s="68"/>
      <c r="Z82" s="68"/>
      <c r="AA82" s="68"/>
      <c r="AB82" s="68"/>
      <c r="AC82" s="68"/>
      <c r="AD82" s="68"/>
      <c r="AE82" s="68"/>
      <c r="AF82" s="68"/>
      <c r="AG82" s="68"/>
      <c r="AH82" s="68"/>
      <c r="AI82" s="68"/>
      <c r="AJ82" s="68"/>
      <c r="AK82"/>
      <c r="AL82"/>
      <c r="AM82"/>
      <c r="AN82"/>
    </row>
    <row r="83" spans="1:40" ht="14.5" x14ac:dyDescent="0.35">
      <c r="A83" t="s">
        <v>1346</v>
      </c>
      <c r="C83" t="s">
        <v>1392</v>
      </c>
      <c r="D83" t="s">
        <v>101</v>
      </c>
      <c r="E83">
        <v>35</v>
      </c>
      <c r="F83" s="68">
        <v>129</v>
      </c>
      <c r="G83" s="68">
        <v>175</v>
      </c>
      <c r="H83" s="68">
        <v>131</v>
      </c>
      <c r="I83" s="68">
        <v>44</v>
      </c>
      <c r="J83" s="68">
        <v>125</v>
      </c>
      <c r="K83" s="68">
        <v>139</v>
      </c>
      <c r="L83" s="68">
        <v>45</v>
      </c>
      <c r="M83" s="68">
        <v>72</v>
      </c>
      <c r="N83" s="68">
        <v>69</v>
      </c>
      <c r="O83" s="68">
        <v>116</v>
      </c>
      <c r="P83" s="68">
        <v>194</v>
      </c>
      <c r="Q83" s="68">
        <v>104</v>
      </c>
      <c r="R83" s="68">
        <v>24</v>
      </c>
      <c r="S83" s="68">
        <v>219</v>
      </c>
      <c r="T83" s="68"/>
      <c r="U83" s="68"/>
      <c r="V83" s="68"/>
      <c r="W83" s="68"/>
      <c r="X83" s="68"/>
      <c r="Y83" s="68"/>
      <c r="Z83" s="68"/>
      <c r="AA83" s="68"/>
      <c r="AB83" s="68"/>
      <c r="AC83" s="68"/>
      <c r="AD83" s="68"/>
      <c r="AE83" s="68"/>
      <c r="AF83" s="68"/>
      <c r="AG83" s="68"/>
      <c r="AH83" s="68"/>
      <c r="AI83" s="68"/>
      <c r="AJ83" s="68"/>
      <c r="AK83"/>
      <c r="AL83"/>
      <c r="AM83"/>
      <c r="AN83"/>
    </row>
    <row r="84" spans="1:40" ht="14.5" x14ac:dyDescent="0.35">
      <c r="A84" t="s">
        <v>1346</v>
      </c>
      <c r="C84" t="s">
        <v>1393</v>
      </c>
      <c r="D84" t="s">
        <v>29</v>
      </c>
      <c r="E84">
        <v>1</v>
      </c>
      <c r="F84" s="68">
        <v>163</v>
      </c>
      <c r="G84" s="68">
        <v>22</v>
      </c>
      <c r="H84" s="68">
        <v>0</v>
      </c>
      <c r="I84" s="68">
        <v>5</v>
      </c>
      <c r="J84" s="68">
        <v>4</v>
      </c>
      <c r="K84" s="68">
        <v>11</v>
      </c>
      <c r="L84" s="68">
        <v>286</v>
      </c>
      <c r="M84" s="68">
        <v>130</v>
      </c>
      <c r="N84" s="68">
        <v>5</v>
      </c>
      <c r="O84" s="68">
        <v>0</v>
      </c>
      <c r="P84" s="68">
        <v>22</v>
      </c>
      <c r="Q84" s="68">
        <v>14</v>
      </c>
      <c r="R84" s="68">
        <v>2</v>
      </c>
      <c r="S84" s="68">
        <v>10</v>
      </c>
      <c r="T84" s="68"/>
      <c r="U84" s="68"/>
      <c r="V84" s="68"/>
      <c r="W84" s="68"/>
      <c r="X84" s="68"/>
      <c r="Y84" s="68"/>
      <c r="Z84" s="68"/>
      <c r="AA84" s="68"/>
      <c r="AB84" s="68"/>
      <c r="AC84" s="68"/>
      <c r="AD84" s="68"/>
      <c r="AE84" s="68"/>
      <c r="AF84" s="68"/>
      <c r="AG84" s="68"/>
      <c r="AH84" s="68"/>
      <c r="AI84" s="68"/>
      <c r="AJ84" s="68"/>
      <c r="AK84"/>
      <c r="AL84"/>
      <c r="AM84"/>
      <c r="AN84"/>
    </row>
    <row r="85" spans="1:40" ht="14.5" x14ac:dyDescent="0.35">
      <c r="A85" t="s">
        <v>1346</v>
      </c>
      <c r="B85" t="s">
        <v>1394</v>
      </c>
      <c r="C85" t="s">
        <v>1346</v>
      </c>
      <c r="D85" t="s">
        <v>35</v>
      </c>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c r="AG85" s="68"/>
      <c r="AH85" s="68"/>
      <c r="AI85" s="68"/>
      <c r="AJ85" s="68"/>
      <c r="AK85"/>
      <c r="AL85"/>
      <c r="AM85"/>
      <c r="AN85"/>
    </row>
    <row r="86" spans="1:40" ht="14.5" x14ac:dyDescent="0.35">
      <c r="A86" t="s">
        <v>922</v>
      </c>
      <c r="C86" t="s">
        <v>1002</v>
      </c>
      <c r="D86" t="s">
        <v>557</v>
      </c>
      <c r="E86">
        <v>500</v>
      </c>
      <c r="F86" s="68">
        <v>9</v>
      </c>
      <c r="G86" s="68">
        <v>9</v>
      </c>
      <c r="H86" s="68">
        <v>9</v>
      </c>
      <c r="I86" s="68">
        <v>9</v>
      </c>
      <c r="J86" s="68">
        <v>9</v>
      </c>
      <c r="K86" s="68">
        <v>9</v>
      </c>
      <c r="L86" s="68">
        <v>9</v>
      </c>
      <c r="M86" s="68">
        <v>9</v>
      </c>
      <c r="N86" s="68">
        <v>9</v>
      </c>
      <c r="O86" s="68">
        <v>9</v>
      </c>
      <c r="P86" s="68">
        <v>9</v>
      </c>
      <c r="Q86" s="68">
        <v>9</v>
      </c>
      <c r="R86" s="68">
        <v>9</v>
      </c>
      <c r="S86" s="68">
        <v>9</v>
      </c>
      <c r="T86" s="68"/>
      <c r="U86" s="68"/>
      <c r="V86" s="68"/>
      <c r="W86" s="68"/>
      <c r="X86" s="68"/>
      <c r="Y86" s="68"/>
      <c r="Z86" s="68"/>
      <c r="AA86" s="68"/>
      <c r="AB86" s="68"/>
      <c r="AC86" s="68"/>
      <c r="AD86" s="68"/>
      <c r="AE86" s="68"/>
      <c r="AF86" s="68"/>
      <c r="AG86" s="68"/>
      <c r="AH86" s="68"/>
      <c r="AI86" s="68"/>
      <c r="AJ86" s="68"/>
      <c r="AK86"/>
      <c r="AL86"/>
      <c r="AM86"/>
      <c r="AN86"/>
    </row>
    <row r="87" spans="1:40" ht="14.5" x14ac:dyDescent="0.35">
      <c r="A87" t="s">
        <v>922</v>
      </c>
      <c r="C87" t="s">
        <v>1003</v>
      </c>
      <c r="D87" t="s">
        <v>101</v>
      </c>
      <c r="E87">
        <v>50</v>
      </c>
      <c r="F87" s="68">
        <v>26</v>
      </c>
      <c r="G87" s="68">
        <v>23</v>
      </c>
      <c r="H87" s="68">
        <v>22</v>
      </c>
      <c r="I87" s="68">
        <v>21</v>
      </c>
      <c r="J87" s="68">
        <v>23</v>
      </c>
      <c r="K87" s="68">
        <v>20</v>
      </c>
      <c r="L87" s="68">
        <v>19</v>
      </c>
      <c r="M87" s="68">
        <v>16</v>
      </c>
      <c r="N87" s="68">
        <v>17</v>
      </c>
      <c r="O87" s="68">
        <v>18</v>
      </c>
      <c r="P87" s="68">
        <v>17</v>
      </c>
      <c r="Q87" s="68">
        <v>17</v>
      </c>
      <c r="R87" s="68">
        <v>16</v>
      </c>
      <c r="S87" s="68">
        <v>14</v>
      </c>
      <c r="T87" s="68"/>
      <c r="U87" s="68"/>
      <c r="V87" s="68"/>
      <c r="W87" s="68"/>
      <c r="X87" s="68"/>
      <c r="Y87" s="68"/>
      <c r="Z87" s="68"/>
      <c r="AA87" s="68"/>
      <c r="AB87" s="68"/>
      <c r="AC87" s="68"/>
      <c r="AD87" s="68"/>
      <c r="AE87" s="68"/>
      <c r="AF87" s="68"/>
      <c r="AG87" s="68"/>
      <c r="AH87" s="68"/>
      <c r="AI87" s="68"/>
      <c r="AJ87" s="68"/>
      <c r="AK87"/>
      <c r="AL87"/>
      <c r="AM87"/>
      <c r="AN87"/>
    </row>
    <row r="88" spans="1:40" ht="14.5" x14ac:dyDescent="0.35">
      <c r="A88" t="s">
        <v>922</v>
      </c>
      <c r="C88" t="s">
        <v>1004</v>
      </c>
      <c r="D88" t="s">
        <v>102</v>
      </c>
      <c r="E88">
        <v>1</v>
      </c>
      <c r="F88" s="68">
        <v>43</v>
      </c>
      <c r="G88" s="68">
        <v>12</v>
      </c>
      <c r="H88" s="68">
        <v>0</v>
      </c>
      <c r="I88" s="68">
        <v>0</v>
      </c>
      <c r="J88" s="68">
        <v>12</v>
      </c>
      <c r="K88" s="68">
        <v>22</v>
      </c>
      <c r="L88" s="68">
        <v>53</v>
      </c>
      <c r="M88" s="68">
        <v>32</v>
      </c>
      <c r="N88" s="68">
        <v>49</v>
      </c>
      <c r="O88" s="68">
        <v>18</v>
      </c>
      <c r="P88" s="68">
        <v>35</v>
      </c>
      <c r="Q88" s="68">
        <v>3</v>
      </c>
      <c r="R88" s="68">
        <v>10</v>
      </c>
      <c r="S88" s="68">
        <v>35</v>
      </c>
      <c r="T88" s="68"/>
      <c r="U88" s="68"/>
      <c r="V88" s="68"/>
      <c r="W88" s="68"/>
      <c r="X88" s="68"/>
      <c r="Y88" s="68"/>
      <c r="Z88" s="68"/>
      <c r="AA88" s="68"/>
      <c r="AB88" s="68"/>
      <c r="AC88" s="68"/>
      <c r="AD88" s="68"/>
      <c r="AE88" s="68"/>
      <c r="AF88" s="68"/>
      <c r="AG88" s="68"/>
      <c r="AH88" s="68"/>
      <c r="AI88" s="68"/>
      <c r="AJ88" s="68"/>
      <c r="AK88"/>
      <c r="AL88"/>
      <c r="AM88"/>
      <c r="AN88"/>
    </row>
    <row r="89" spans="1:40" ht="14.5" x14ac:dyDescent="0.35">
      <c r="A89" t="s">
        <v>922</v>
      </c>
      <c r="B89" t="s">
        <v>1022</v>
      </c>
      <c r="C89" t="s">
        <v>922</v>
      </c>
      <c r="D89" t="s">
        <v>67</v>
      </c>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c r="AG89" s="68"/>
      <c r="AH89" s="68"/>
      <c r="AI89" s="68"/>
      <c r="AJ89" s="68"/>
      <c r="AK89"/>
      <c r="AL89"/>
      <c r="AM89"/>
      <c r="AN89"/>
    </row>
    <row r="90" spans="1:40" ht="14.5" x14ac:dyDescent="0.35">
      <c r="A90" t="s">
        <v>923</v>
      </c>
      <c r="C90" t="s">
        <v>1006</v>
      </c>
      <c r="D90" t="s">
        <v>101</v>
      </c>
      <c r="E90">
        <v>12</v>
      </c>
      <c r="F90" s="68">
        <v>0</v>
      </c>
      <c r="G90" s="68">
        <v>0</v>
      </c>
      <c r="H90" s="68"/>
      <c r="I90" s="68">
        <v>10</v>
      </c>
      <c r="J90" s="68">
        <v>0</v>
      </c>
      <c r="K90" s="68">
        <v>0</v>
      </c>
      <c r="L90" s="68">
        <v>0</v>
      </c>
      <c r="M90" s="68">
        <v>0</v>
      </c>
      <c r="N90" s="68">
        <v>0</v>
      </c>
      <c r="O90" s="68">
        <v>10</v>
      </c>
      <c r="P90" s="68">
        <v>10</v>
      </c>
      <c r="Q90" s="68">
        <v>10</v>
      </c>
      <c r="R90" s="68">
        <v>10</v>
      </c>
      <c r="S90" s="68">
        <v>0</v>
      </c>
      <c r="T90" s="68"/>
      <c r="U90" s="68"/>
      <c r="V90" s="68"/>
      <c r="W90" s="68"/>
      <c r="X90" s="68"/>
      <c r="Y90" s="68"/>
      <c r="Z90" s="68"/>
      <c r="AA90" s="68"/>
      <c r="AB90" s="68"/>
      <c r="AC90" s="68"/>
      <c r="AD90" s="68"/>
      <c r="AE90" s="68"/>
      <c r="AF90" s="68"/>
      <c r="AG90" s="68"/>
      <c r="AH90" s="68"/>
      <c r="AI90" s="68"/>
      <c r="AJ90" s="68"/>
      <c r="AK90"/>
      <c r="AL90"/>
      <c r="AM90"/>
      <c r="AN90"/>
    </row>
    <row r="91" spans="1:40" ht="14.5" x14ac:dyDescent="0.35">
      <c r="A91" t="s">
        <v>923</v>
      </c>
      <c r="C91" t="s">
        <v>1007</v>
      </c>
      <c r="D91" t="s">
        <v>102</v>
      </c>
      <c r="E91">
        <v>1</v>
      </c>
      <c r="F91" s="68">
        <v>13</v>
      </c>
      <c r="G91" s="68">
        <v>13</v>
      </c>
      <c r="H91" s="68">
        <v>13</v>
      </c>
      <c r="I91" s="68">
        <v>0</v>
      </c>
      <c r="J91" s="68">
        <v>13</v>
      </c>
      <c r="K91" s="68">
        <v>13</v>
      </c>
      <c r="L91" s="68">
        <v>13</v>
      </c>
      <c r="M91" s="68">
        <v>13</v>
      </c>
      <c r="N91" s="68">
        <v>13</v>
      </c>
      <c r="O91" s="68">
        <v>3</v>
      </c>
      <c r="P91" s="68">
        <v>3</v>
      </c>
      <c r="Q91" s="68">
        <v>3</v>
      </c>
      <c r="R91" s="68">
        <v>3</v>
      </c>
      <c r="S91" s="68">
        <v>13</v>
      </c>
      <c r="T91" s="68"/>
      <c r="U91" s="68"/>
      <c r="V91" s="68"/>
      <c r="W91" s="68"/>
      <c r="X91" s="68"/>
      <c r="Y91" s="68"/>
      <c r="Z91" s="68"/>
      <c r="AA91" s="68"/>
      <c r="AB91" s="68"/>
      <c r="AC91" s="68"/>
      <c r="AD91" s="68"/>
      <c r="AE91" s="68"/>
      <c r="AF91" s="68"/>
      <c r="AG91" s="68"/>
      <c r="AH91" s="68"/>
      <c r="AI91" s="68"/>
      <c r="AJ91" s="68"/>
      <c r="AK91"/>
      <c r="AL91"/>
      <c r="AM91"/>
      <c r="AN91"/>
    </row>
    <row r="92" spans="1:40" ht="14.5" x14ac:dyDescent="0.35">
      <c r="A92" t="s">
        <v>923</v>
      </c>
      <c r="B92" t="s">
        <v>1023</v>
      </c>
      <c r="C92" t="s">
        <v>923</v>
      </c>
      <c r="D92" t="s">
        <v>67</v>
      </c>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c r="AI92" s="68"/>
      <c r="AJ92" s="68"/>
      <c r="AK92"/>
      <c r="AL92"/>
      <c r="AM92"/>
      <c r="AN92"/>
    </row>
    <row r="93" spans="1:40" ht="14.5" x14ac:dyDescent="0.35">
      <c r="A93" t="s">
        <v>606</v>
      </c>
      <c r="C93" t="s">
        <v>604</v>
      </c>
      <c r="D93" t="s">
        <v>568</v>
      </c>
      <c r="E93">
        <v>1</v>
      </c>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68"/>
      <c r="AK93"/>
      <c r="AL93"/>
      <c r="AM93"/>
      <c r="AN93"/>
    </row>
    <row r="94" spans="1:40" ht="14.5" x14ac:dyDescent="0.35">
      <c r="A94" t="s">
        <v>606</v>
      </c>
      <c r="B94" t="s">
        <v>605</v>
      </c>
      <c r="C94" t="s">
        <v>606</v>
      </c>
      <c r="D94" t="s">
        <v>67</v>
      </c>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c r="AG94" s="68"/>
      <c r="AH94" s="68"/>
      <c r="AI94" s="68"/>
      <c r="AJ94" s="68"/>
      <c r="AK94"/>
      <c r="AL94"/>
      <c r="AM94"/>
      <c r="AN94"/>
    </row>
    <row r="95" spans="1:40" ht="14.5" x14ac:dyDescent="0.35">
      <c r="A95" t="s">
        <v>919</v>
      </c>
      <c r="C95" t="s">
        <v>996</v>
      </c>
      <c r="D95" t="s">
        <v>557</v>
      </c>
      <c r="E95">
        <v>500</v>
      </c>
      <c r="F95" s="68">
        <v>7</v>
      </c>
      <c r="G95" s="68">
        <v>6</v>
      </c>
      <c r="H95" s="68">
        <v>10</v>
      </c>
      <c r="I95" s="68">
        <v>8</v>
      </c>
      <c r="J95" s="68">
        <v>6</v>
      </c>
      <c r="K95" s="68">
        <v>4</v>
      </c>
      <c r="L95" s="68">
        <v>8</v>
      </c>
      <c r="M95" s="68">
        <v>7</v>
      </c>
      <c r="N95" s="68">
        <v>6</v>
      </c>
      <c r="O95" s="68">
        <v>9</v>
      </c>
      <c r="P95" s="68">
        <v>8</v>
      </c>
      <c r="Q95" s="68">
        <v>7</v>
      </c>
      <c r="R95" s="68">
        <v>5</v>
      </c>
      <c r="S95" s="68">
        <v>4</v>
      </c>
      <c r="T95" s="68"/>
      <c r="U95" s="68"/>
      <c r="V95" s="68"/>
      <c r="W95" s="68"/>
      <c r="X95" s="68"/>
      <c r="Y95" s="68"/>
      <c r="Z95" s="68"/>
      <c r="AA95" s="68"/>
      <c r="AB95" s="68"/>
      <c r="AC95" s="68"/>
      <c r="AD95" s="68"/>
      <c r="AE95" s="68"/>
      <c r="AF95" s="68"/>
      <c r="AG95" s="68"/>
      <c r="AH95" s="68"/>
      <c r="AI95" s="68"/>
      <c r="AJ95" s="68"/>
      <c r="AK95"/>
      <c r="AL95"/>
      <c r="AM95"/>
      <c r="AN95"/>
    </row>
    <row r="96" spans="1:40" ht="14.5" x14ac:dyDescent="0.35">
      <c r="A96" t="s">
        <v>919</v>
      </c>
      <c r="C96" t="s">
        <v>997</v>
      </c>
      <c r="D96" t="s">
        <v>101</v>
      </c>
      <c r="E96">
        <v>50</v>
      </c>
      <c r="F96" s="68">
        <v>20</v>
      </c>
      <c r="G96" s="68">
        <v>14</v>
      </c>
      <c r="H96" s="68">
        <v>5</v>
      </c>
      <c r="I96" s="68">
        <v>4</v>
      </c>
      <c r="J96" s="68">
        <v>9</v>
      </c>
      <c r="K96" s="68">
        <v>17</v>
      </c>
      <c r="L96" s="68">
        <v>20</v>
      </c>
      <c r="M96" s="68">
        <v>16</v>
      </c>
      <c r="N96" s="68">
        <v>13</v>
      </c>
      <c r="O96" s="68">
        <v>15</v>
      </c>
      <c r="P96" s="68">
        <v>15</v>
      </c>
      <c r="Q96" s="68">
        <v>11</v>
      </c>
      <c r="R96" s="68">
        <v>17</v>
      </c>
      <c r="S96" s="68">
        <v>14</v>
      </c>
      <c r="T96" s="68"/>
      <c r="U96" s="68"/>
      <c r="V96" s="68"/>
      <c r="W96" s="68"/>
      <c r="X96" s="68"/>
      <c r="Y96" s="68"/>
      <c r="Z96" s="68"/>
      <c r="AA96" s="68"/>
      <c r="AB96" s="68"/>
      <c r="AC96" s="68"/>
      <c r="AD96" s="68"/>
      <c r="AE96" s="68"/>
      <c r="AF96" s="68"/>
      <c r="AG96" s="68"/>
      <c r="AH96" s="68"/>
      <c r="AI96" s="68"/>
      <c r="AJ96" s="68"/>
      <c r="AK96"/>
      <c r="AL96"/>
      <c r="AM96"/>
      <c r="AN96"/>
    </row>
    <row r="97" spans="1:40" ht="14.5" x14ac:dyDescent="0.35">
      <c r="A97" t="s">
        <v>919</v>
      </c>
      <c r="C97" t="s">
        <v>998</v>
      </c>
      <c r="D97" t="s">
        <v>102</v>
      </c>
      <c r="E97">
        <v>1</v>
      </c>
      <c r="F97" s="68">
        <v>75</v>
      </c>
      <c r="G97" s="68">
        <v>95</v>
      </c>
      <c r="H97" s="68">
        <v>0</v>
      </c>
      <c r="I97" s="68">
        <v>51</v>
      </c>
      <c r="J97" s="68">
        <v>98</v>
      </c>
      <c r="K97" s="68">
        <v>46</v>
      </c>
      <c r="L97" s="68">
        <v>59</v>
      </c>
      <c r="M97" s="68">
        <v>53</v>
      </c>
      <c r="N97" s="68">
        <v>73</v>
      </c>
      <c r="O97" s="68">
        <v>90</v>
      </c>
      <c r="P97" s="68">
        <v>81</v>
      </c>
      <c r="Q97" s="68">
        <v>58</v>
      </c>
      <c r="R97" s="68">
        <v>98</v>
      </c>
      <c r="S97" s="68">
        <v>117</v>
      </c>
      <c r="T97" s="68"/>
      <c r="U97" s="68"/>
      <c r="V97" s="68"/>
      <c r="W97" s="68"/>
      <c r="X97" s="68"/>
      <c r="Y97" s="68"/>
      <c r="Z97" s="68"/>
      <c r="AA97" s="68"/>
      <c r="AB97" s="68"/>
      <c r="AC97" s="68"/>
      <c r="AD97" s="68"/>
      <c r="AE97" s="68"/>
      <c r="AF97" s="68"/>
      <c r="AG97" s="68"/>
      <c r="AH97" s="68"/>
      <c r="AI97" s="68"/>
      <c r="AJ97" s="68"/>
      <c r="AK97"/>
      <c r="AL97"/>
      <c r="AM97"/>
      <c r="AN97"/>
    </row>
    <row r="98" spans="1:40" ht="14.5" x14ac:dyDescent="0.35">
      <c r="A98" t="s">
        <v>919</v>
      </c>
      <c r="B98" t="s">
        <v>1020</v>
      </c>
      <c r="C98" t="s">
        <v>919</v>
      </c>
      <c r="D98" t="s">
        <v>67</v>
      </c>
      <c r="F98" s="68"/>
      <c r="G98" s="68"/>
      <c r="H98" s="68"/>
      <c r="I98" s="68"/>
      <c r="J98" s="68"/>
      <c r="K98" s="68"/>
      <c r="L98" s="68"/>
      <c r="M98" s="68"/>
      <c r="N98" s="68"/>
      <c r="O98" s="68"/>
      <c r="P98" s="68"/>
      <c r="Q98" s="68"/>
      <c r="R98" s="68"/>
      <c r="S98" s="68"/>
      <c r="T98" s="68"/>
      <c r="U98" s="68"/>
      <c r="V98" s="68"/>
      <c r="W98" s="68"/>
      <c r="X98" s="68"/>
      <c r="Y98" s="68"/>
      <c r="Z98" s="68"/>
      <c r="AA98" s="68"/>
      <c r="AB98" s="68"/>
      <c r="AC98" s="68"/>
      <c r="AD98" s="68"/>
      <c r="AE98" s="68"/>
      <c r="AF98" s="68"/>
      <c r="AG98" s="68"/>
      <c r="AH98" s="68"/>
      <c r="AI98" s="68"/>
      <c r="AJ98" s="68"/>
      <c r="AK98"/>
      <c r="AL98"/>
      <c r="AM98"/>
      <c r="AN98"/>
    </row>
    <row r="99" spans="1:40" ht="14.5" x14ac:dyDescent="0.35">
      <c r="A99" t="s">
        <v>497</v>
      </c>
      <c r="C99" t="s">
        <v>516</v>
      </c>
      <c r="D99" t="s">
        <v>125</v>
      </c>
      <c r="E99">
        <v>1000</v>
      </c>
      <c r="F99" s="68">
        <v>0</v>
      </c>
      <c r="G99" s="68">
        <v>0</v>
      </c>
      <c r="H99" s="68">
        <v>0</v>
      </c>
      <c r="I99" s="68">
        <v>0</v>
      </c>
      <c r="J99" s="68">
        <v>0</v>
      </c>
      <c r="K99" s="68">
        <v>0</v>
      </c>
      <c r="L99" s="68">
        <v>0</v>
      </c>
      <c r="M99" s="68">
        <v>0</v>
      </c>
      <c r="N99" s="68">
        <v>0</v>
      </c>
      <c r="O99" s="68">
        <v>0</v>
      </c>
      <c r="P99" s="68">
        <v>0</v>
      </c>
      <c r="Q99" s="68">
        <v>0</v>
      </c>
      <c r="R99" s="68">
        <v>0</v>
      </c>
      <c r="S99" s="68">
        <v>0</v>
      </c>
      <c r="T99" s="68"/>
      <c r="U99" s="68"/>
      <c r="V99" s="68"/>
      <c r="W99" s="68"/>
      <c r="X99" s="68"/>
      <c r="Y99" s="68"/>
      <c r="Z99" s="68"/>
      <c r="AA99" s="68"/>
      <c r="AB99" s="68"/>
      <c r="AC99" s="68"/>
      <c r="AD99" s="68"/>
      <c r="AE99" s="68"/>
      <c r="AF99" s="68"/>
      <c r="AG99" s="68"/>
      <c r="AH99" s="68"/>
      <c r="AI99" s="68"/>
      <c r="AJ99" s="68"/>
      <c r="AK99"/>
      <c r="AL99"/>
      <c r="AM99"/>
      <c r="AN99"/>
    </row>
    <row r="100" spans="1:40" ht="14.5" x14ac:dyDescent="0.35">
      <c r="A100" t="s">
        <v>497</v>
      </c>
      <c r="C100" t="s">
        <v>967</v>
      </c>
      <c r="D100" t="s">
        <v>29</v>
      </c>
      <c r="E100">
        <v>1</v>
      </c>
      <c r="F100" s="68">
        <v>3043</v>
      </c>
      <c r="G100" s="68">
        <v>3289</v>
      </c>
      <c r="H100" s="68">
        <v>5000</v>
      </c>
      <c r="I100" s="68">
        <v>3339</v>
      </c>
      <c r="J100" s="68">
        <v>3654</v>
      </c>
      <c r="K100" s="68">
        <v>3399</v>
      </c>
      <c r="L100" s="68">
        <v>3572</v>
      </c>
      <c r="M100" s="170">
        <v>4000</v>
      </c>
      <c r="N100" s="68">
        <v>6140</v>
      </c>
      <c r="O100" s="68">
        <v>7150</v>
      </c>
      <c r="P100" s="68">
        <v>5811</v>
      </c>
      <c r="Q100" s="68">
        <v>4940</v>
      </c>
      <c r="R100" s="68">
        <v>5183</v>
      </c>
      <c r="S100" s="68">
        <v>3281</v>
      </c>
      <c r="T100" s="68"/>
      <c r="U100" s="68"/>
      <c r="V100" s="68"/>
      <c r="W100" s="68"/>
      <c r="X100" s="68"/>
      <c r="Y100" s="68"/>
      <c r="Z100" s="68"/>
      <c r="AA100" s="68"/>
      <c r="AB100" s="68"/>
      <c r="AC100" s="68"/>
      <c r="AD100" s="68"/>
      <c r="AE100" s="68"/>
      <c r="AF100" s="68"/>
      <c r="AG100" s="68"/>
      <c r="AH100" s="68"/>
      <c r="AI100" s="68"/>
      <c r="AJ100" s="68"/>
      <c r="AK100"/>
      <c r="AL100"/>
      <c r="AM100"/>
      <c r="AN100"/>
    </row>
    <row r="101" spans="1:40" ht="14.5" x14ac:dyDescent="0.35">
      <c r="A101" t="s">
        <v>497</v>
      </c>
      <c r="B101" t="s">
        <v>534</v>
      </c>
      <c r="C101" t="s">
        <v>497</v>
      </c>
      <c r="D101" t="s">
        <v>35</v>
      </c>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c r="AF101" s="68"/>
      <c r="AG101" s="68"/>
      <c r="AH101" s="68"/>
      <c r="AI101" s="68"/>
      <c r="AJ101" s="68"/>
      <c r="AK101"/>
      <c r="AL101"/>
      <c r="AM101"/>
      <c r="AN101"/>
    </row>
    <row r="102" spans="1:40" ht="14.5" x14ac:dyDescent="0.35">
      <c r="A102" t="s">
        <v>1168</v>
      </c>
      <c r="C102" t="s">
        <v>1165</v>
      </c>
      <c r="D102" t="s">
        <v>103</v>
      </c>
      <c r="E102">
        <v>5400</v>
      </c>
      <c r="F102" s="68"/>
      <c r="G102" s="68">
        <v>0</v>
      </c>
      <c r="H102" s="68">
        <v>0</v>
      </c>
      <c r="I102" s="68">
        <v>0</v>
      </c>
      <c r="J102" s="68">
        <v>0</v>
      </c>
      <c r="K102" s="68">
        <v>0</v>
      </c>
      <c r="L102" s="68">
        <v>0</v>
      </c>
      <c r="M102" s="68">
        <v>0</v>
      </c>
      <c r="N102" s="68">
        <v>0</v>
      </c>
      <c r="O102" s="68">
        <v>0</v>
      </c>
      <c r="P102" s="68">
        <v>0</v>
      </c>
      <c r="Q102" s="68">
        <v>0</v>
      </c>
      <c r="R102" s="68">
        <v>0</v>
      </c>
      <c r="S102" s="68">
        <v>0</v>
      </c>
      <c r="T102" s="68"/>
      <c r="U102" s="68"/>
      <c r="V102" s="68"/>
      <c r="W102" s="68"/>
      <c r="X102" s="68"/>
      <c r="Y102" s="68"/>
      <c r="Z102" s="68"/>
      <c r="AA102" s="68"/>
      <c r="AB102" s="68"/>
      <c r="AC102" s="68"/>
      <c r="AD102" s="68"/>
      <c r="AE102" s="68"/>
      <c r="AF102" s="68"/>
      <c r="AG102" s="68"/>
      <c r="AH102" s="68"/>
      <c r="AI102" s="68"/>
      <c r="AJ102" s="68"/>
      <c r="AK102"/>
      <c r="AL102"/>
      <c r="AM102"/>
      <c r="AN102"/>
    </row>
    <row r="103" spans="1:40" ht="14.5" x14ac:dyDescent="0.35">
      <c r="A103" t="s">
        <v>1168</v>
      </c>
      <c r="C103" t="s">
        <v>1166</v>
      </c>
      <c r="D103" t="s">
        <v>102</v>
      </c>
      <c r="E103">
        <v>9</v>
      </c>
      <c r="F103" s="68"/>
      <c r="G103" s="68">
        <v>0</v>
      </c>
      <c r="H103" s="68">
        <v>0</v>
      </c>
      <c r="I103" s="68">
        <v>0</v>
      </c>
      <c r="J103" s="68">
        <v>0</v>
      </c>
      <c r="K103" s="68">
        <v>0</v>
      </c>
      <c r="L103" s="68">
        <v>0</v>
      </c>
      <c r="M103" s="68">
        <v>0</v>
      </c>
      <c r="N103" s="68">
        <v>0</v>
      </c>
      <c r="O103" s="68">
        <v>0</v>
      </c>
      <c r="P103" s="68">
        <v>0</v>
      </c>
      <c r="Q103" s="68">
        <v>0</v>
      </c>
      <c r="R103" s="68">
        <v>0</v>
      </c>
      <c r="S103" s="68">
        <v>0</v>
      </c>
      <c r="T103" s="68"/>
      <c r="U103" s="68"/>
      <c r="V103" s="68"/>
      <c r="W103" s="68"/>
      <c r="X103" s="68"/>
      <c r="Y103" s="68"/>
      <c r="Z103" s="68"/>
      <c r="AA103" s="68"/>
      <c r="AB103" s="68"/>
      <c r="AC103" s="68"/>
      <c r="AD103" s="68"/>
      <c r="AE103" s="68"/>
      <c r="AF103" s="68"/>
      <c r="AG103" s="68"/>
      <c r="AH103" s="68"/>
      <c r="AI103" s="68"/>
      <c r="AJ103" s="68"/>
      <c r="AK103"/>
      <c r="AL103"/>
      <c r="AM103"/>
      <c r="AN103"/>
    </row>
    <row r="104" spans="1:40" ht="14.5" x14ac:dyDescent="0.35">
      <c r="A104" t="s">
        <v>1168</v>
      </c>
      <c r="B104" t="s">
        <v>1167</v>
      </c>
      <c r="C104" t="s">
        <v>1168</v>
      </c>
      <c r="D104" t="s">
        <v>35</v>
      </c>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68"/>
      <c r="AG104" s="68"/>
      <c r="AH104" s="68"/>
      <c r="AI104" s="68"/>
      <c r="AJ104" s="68"/>
      <c r="AK104"/>
      <c r="AL104"/>
      <c r="AM104"/>
      <c r="AN104"/>
    </row>
    <row r="105" spans="1:40" ht="14.5" x14ac:dyDescent="0.35">
      <c r="A105" t="s">
        <v>613</v>
      </c>
      <c r="C105" t="s">
        <v>612</v>
      </c>
      <c r="D105" t="s">
        <v>517</v>
      </c>
      <c r="E105">
        <v>1</v>
      </c>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68"/>
      <c r="AG105" s="68"/>
      <c r="AH105" s="68"/>
      <c r="AI105" s="68"/>
      <c r="AJ105" s="68"/>
      <c r="AK105"/>
      <c r="AL105"/>
      <c r="AM105"/>
      <c r="AN105"/>
    </row>
    <row r="106" spans="1:40" ht="14.5" x14ac:dyDescent="0.35">
      <c r="A106" t="s">
        <v>613</v>
      </c>
      <c r="B106" t="s">
        <v>632</v>
      </c>
      <c r="C106" t="s">
        <v>613</v>
      </c>
      <c r="D106" t="s">
        <v>147</v>
      </c>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c r="AF106" s="68"/>
      <c r="AG106" s="68"/>
      <c r="AH106" s="68"/>
      <c r="AI106" s="68"/>
      <c r="AJ106" s="68"/>
      <c r="AK106"/>
      <c r="AL106"/>
      <c r="AM106"/>
      <c r="AN106"/>
    </row>
    <row r="107" spans="1:40" ht="14.5" x14ac:dyDescent="0.35">
      <c r="A107" t="s">
        <v>1306</v>
      </c>
      <c r="C107" t="s">
        <v>1026</v>
      </c>
      <c r="D107" t="s">
        <v>1027</v>
      </c>
      <c r="E107">
        <v>30000</v>
      </c>
      <c r="F107" s="68">
        <v>9</v>
      </c>
      <c r="G107" s="68">
        <v>8</v>
      </c>
      <c r="H107" s="68">
        <v>9</v>
      </c>
      <c r="I107" s="68">
        <v>9</v>
      </c>
      <c r="J107" s="68">
        <v>8</v>
      </c>
      <c r="K107" s="68">
        <v>7</v>
      </c>
      <c r="L107" s="68">
        <v>6</v>
      </c>
      <c r="M107" s="68">
        <v>5</v>
      </c>
      <c r="N107" s="68">
        <v>5</v>
      </c>
      <c r="O107" s="68">
        <v>3</v>
      </c>
      <c r="P107" s="68">
        <v>3</v>
      </c>
      <c r="Q107" s="68">
        <v>2</v>
      </c>
      <c r="R107" s="68">
        <v>1</v>
      </c>
      <c r="S107" s="68">
        <v>2</v>
      </c>
      <c r="T107" s="68"/>
      <c r="U107" s="68"/>
      <c r="V107" s="68"/>
      <c r="W107" s="68"/>
      <c r="X107" s="68"/>
      <c r="Y107" s="68"/>
      <c r="Z107" s="68"/>
      <c r="AA107" s="68"/>
      <c r="AB107" s="68"/>
      <c r="AC107" s="68"/>
      <c r="AD107" s="68"/>
      <c r="AE107" s="68"/>
      <c r="AF107" s="68"/>
      <c r="AG107" s="68"/>
      <c r="AH107" s="68"/>
      <c r="AI107" s="68"/>
      <c r="AJ107" s="68"/>
      <c r="AK107"/>
      <c r="AL107"/>
      <c r="AM107"/>
      <c r="AN107"/>
    </row>
    <row r="108" spans="1:40" ht="14.5" x14ac:dyDescent="0.35">
      <c r="A108" t="s">
        <v>1306</v>
      </c>
      <c r="C108" t="s">
        <v>995</v>
      </c>
      <c r="D108" t="s">
        <v>29</v>
      </c>
      <c r="E108">
        <v>1</v>
      </c>
      <c r="F108" s="68">
        <v>16540</v>
      </c>
      <c r="G108" s="68">
        <v>20143</v>
      </c>
      <c r="H108">
        <v>19437</v>
      </c>
      <c r="I108" s="68">
        <v>4600</v>
      </c>
      <c r="J108" s="68">
        <v>6673</v>
      </c>
      <c r="K108" s="68">
        <v>5610</v>
      </c>
      <c r="L108" s="68">
        <v>17101</v>
      </c>
      <c r="M108" s="68">
        <v>27257</v>
      </c>
      <c r="N108" s="68">
        <v>3189</v>
      </c>
      <c r="O108" s="68">
        <v>36516</v>
      </c>
      <c r="P108" s="68">
        <v>3423</v>
      </c>
      <c r="Q108" s="68">
        <v>13522</v>
      </c>
      <c r="R108" s="68">
        <v>24593</v>
      </c>
      <c r="S108" s="68">
        <v>4944</v>
      </c>
      <c r="T108" s="68"/>
      <c r="U108" s="68"/>
      <c r="V108" s="68"/>
      <c r="W108" s="68"/>
      <c r="X108" s="68"/>
      <c r="Y108" s="68"/>
      <c r="Z108" s="68"/>
      <c r="AA108" s="68"/>
      <c r="AB108" s="68"/>
      <c r="AC108" s="68"/>
      <c r="AD108" s="68"/>
      <c r="AE108" s="68"/>
      <c r="AF108" s="68"/>
      <c r="AG108" s="68"/>
      <c r="AH108" s="68"/>
      <c r="AI108" s="68"/>
      <c r="AJ108" s="68"/>
      <c r="AK108"/>
      <c r="AL108"/>
      <c r="AM108"/>
      <c r="AN108"/>
    </row>
    <row r="109" spans="1:40" ht="14.5" x14ac:dyDescent="0.35">
      <c r="A109" t="s">
        <v>1306</v>
      </c>
      <c r="B109" t="s">
        <v>1307</v>
      </c>
      <c r="C109" t="s">
        <v>1306</v>
      </c>
      <c r="D109" t="s">
        <v>35</v>
      </c>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68"/>
      <c r="AE109" s="68"/>
      <c r="AF109" s="68"/>
      <c r="AG109" s="68"/>
      <c r="AH109" s="68"/>
      <c r="AI109" s="68"/>
      <c r="AJ109" s="68"/>
      <c r="AK109"/>
      <c r="AL109"/>
      <c r="AM109"/>
      <c r="AN109"/>
    </row>
    <row r="110" spans="1:40" ht="14.5" x14ac:dyDescent="0.35">
      <c r="A110" t="s">
        <v>617</v>
      </c>
      <c r="C110" t="s">
        <v>614</v>
      </c>
      <c r="D110" t="s">
        <v>615</v>
      </c>
      <c r="E110">
        <v>1</v>
      </c>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68"/>
      <c r="AG110" s="68"/>
      <c r="AH110" s="68"/>
      <c r="AI110" s="68"/>
      <c r="AJ110" s="68"/>
      <c r="AK110"/>
      <c r="AL110"/>
      <c r="AM110"/>
      <c r="AN110"/>
    </row>
    <row r="111" spans="1:40" ht="14.5" x14ac:dyDescent="0.35">
      <c r="A111" t="s">
        <v>617</v>
      </c>
      <c r="B111" t="s">
        <v>633</v>
      </c>
      <c r="C111" t="s">
        <v>617</v>
      </c>
      <c r="D111" t="s">
        <v>618</v>
      </c>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c r="AF111" s="68"/>
      <c r="AG111" s="68"/>
      <c r="AH111" s="68"/>
      <c r="AI111" s="68"/>
      <c r="AJ111" s="68"/>
      <c r="AK111"/>
      <c r="AL111"/>
      <c r="AM111"/>
      <c r="AN111"/>
    </row>
    <row r="112" spans="1:40" ht="14.5" x14ac:dyDescent="0.35">
      <c r="A112" t="s">
        <v>4</v>
      </c>
      <c r="C112" t="s">
        <v>1046</v>
      </c>
      <c r="D112" t="s">
        <v>101</v>
      </c>
      <c r="E112">
        <v>250</v>
      </c>
      <c r="F112" s="68">
        <v>17</v>
      </c>
      <c r="G112" s="68">
        <v>16</v>
      </c>
      <c r="H112" s="68">
        <v>35</v>
      </c>
      <c r="I112" s="68">
        <v>34</v>
      </c>
      <c r="J112" s="68">
        <v>33</v>
      </c>
      <c r="K112" s="68">
        <v>33</v>
      </c>
      <c r="L112" s="68">
        <v>32</v>
      </c>
      <c r="M112" s="68">
        <v>31</v>
      </c>
      <c r="N112" s="68">
        <v>30</v>
      </c>
      <c r="O112" s="68">
        <v>29</v>
      </c>
      <c r="P112" s="68">
        <v>29</v>
      </c>
      <c r="Q112" s="68">
        <v>28</v>
      </c>
      <c r="R112" s="68">
        <v>27</v>
      </c>
      <c r="S112" s="68">
        <v>26</v>
      </c>
      <c r="T112" s="68"/>
      <c r="U112" s="68"/>
      <c r="V112" s="68"/>
      <c r="W112" s="68"/>
      <c r="X112" s="68"/>
      <c r="Y112" s="68"/>
      <c r="Z112" s="68"/>
      <c r="AA112" s="68"/>
      <c r="AB112" s="68"/>
      <c r="AC112" s="68"/>
      <c r="AD112" s="68"/>
      <c r="AE112" s="68"/>
      <c r="AF112" s="68"/>
      <c r="AG112" s="68"/>
      <c r="AH112" s="68"/>
      <c r="AI112" s="68"/>
      <c r="AJ112" s="68"/>
      <c r="AK112"/>
      <c r="AL112"/>
      <c r="AM112"/>
      <c r="AN112"/>
    </row>
    <row r="113" spans="1:40" ht="14.5" x14ac:dyDescent="0.35">
      <c r="A113" t="s">
        <v>4</v>
      </c>
      <c r="C113" t="s">
        <v>1081</v>
      </c>
      <c r="D113" t="s">
        <v>29</v>
      </c>
      <c r="E113">
        <v>1</v>
      </c>
      <c r="F113" s="68">
        <v>111</v>
      </c>
      <c r="G113" s="68">
        <v>78</v>
      </c>
      <c r="H113" s="68">
        <v>0</v>
      </c>
      <c r="I113" s="68">
        <v>0</v>
      </c>
      <c r="J113" s="68">
        <v>426</v>
      </c>
      <c r="K113" s="68">
        <v>25</v>
      </c>
      <c r="L113" s="68">
        <v>147</v>
      </c>
      <c r="M113" s="68">
        <v>334</v>
      </c>
      <c r="N113" s="68">
        <v>442</v>
      </c>
      <c r="O113" s="68">
        <v>471</v>
      </c>
      <c r="P113" s="68">
        <v>68</v>
      </c>
      <c r="Q113" s="68">
        <v>172</v>
      </c>
      <c r="R113" s="68">
        <v>242</v>
      </c>
      <c r="S113" s="68">
        <v>0</v>
      </c>
      <c r="T113" s="68"/>
      <c r="U113" s="68"/>
      <c r="V113" s="68"/>
      <c r="W113" s="68"/>
      <c r="X113" s="68"/>
      <c r="Y113" s="68"/>
      <c r="Z113" s="68"/>
      <c r="AA113" s="68"/>
      <c r="AB113" s="68"/>
      <c r="AC113" s="68"/>
      <c r="AD113" s="68"/>
      <c r="AE113" s="68"/>
      <c r="AF113" s="68"/>
      <c r="AG113" s="68"/>
      <c r="AH113" s="68"/>
      <c r="AI113" s="68"/>
      <c r="AJ113" s="68"/>
      <c r="AK113"/>
      <c r="AL113"/>
      <c r="AM113"/>
      <c r="AN113"/>
    </row>
    <row r="114" spans="1:40" ht="14.5" x14ac:dyDescent="0.35">
      <c r="A114" t="s">
        <v>4</v>
      </c>
      <c r="B114" t="s">
        <v>611</v>
      </c>
      <c r="C114" t="s">
        <v>4</v>
      </c>
      <c r="D114" t="s">
        <v>35</v>
      </c>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68"/>
      <c r="AG114" s="68"/>
      <c r="AH114" s="68"/>
      <c r="AI114" s="68"/>
      <c r="AJ114" s="68"/>
      <c r="AK114"/>
      <c r="AL114"/>
      <c r="AM114"/>
      <c r="AN114"/>
    </row>
    <row r="115" spans="1:40" ht="14.5" x14ac:dyDescent="0.35">
      <c r="A115" t="s">
        <v>1342</v>
      </c>
      <c r="C115" t="s">
        <v>1425</v>
      </c>
      <c r="D115" t="s">
        <v>101</v>
      </c>
      <c r="E115">
        <v>193</v>
      </c>
      <c r="F115" s="68"/>
      <c r="G115" s="68">
        <v>0</v>
      </c>
      <c r="H115" s="68">
        <v>0</v>
      </c>
      <c r="I115" s="68">
        <v>0</v>
      </c>
      <c r="J115" s="68">
        <v>0</v>
      </c>
      <c r="K115" s="68">
        <v>0</v>
      </c>
      <c r="L115" s="68">
        <v>0</v>
      </c>
      <c r="M115" s="68">
        <v>0</v>
      </c>
      <c r="N115" s="68">
        <v>0</v>
      </c>
      <c r="O115" s="68">
        <v>0</v>
      </c>
      <c r="P115" s="68">
        <v>0</v>
      </c>
      <c r="Q115" s="68">
        <v>0</v>
      </c>
      <c r="R115" s="68">
        <v>0</v>
      </c>
      <c r="S115" s="68">
        <v>0</v>
      </c>
      <c r="T115" s="68"/>
      <c r="U115" s="68"/>
      <c r="V115" s="68"/>
      <c r="W115" s="68"/>
      <c r="X115" s="68"/>
      <c r="Y115" s="68"/>
      <c r="Z115" s="68"/>
      <c r="AA115" s="68"/>
      <c r="AB115" s="68"/>
      <c r="AC115" s="68"/>
      <c r="AD115" s="68"/>
      <c r="AE115" s="68"/>
      <c r="AF115" s="68"/>
      <c r="AG115" s="68"/>
      <c r="AH115" s="68"/>
      <c r="AI115" s="68"/>
      <c r="AJ115" s="68"/>
      <c r="AK115"/>
      <c r="AL115"/>
      <c r="AM115"/>
      <c r="AN115"/>
    </row>
    <row r="116" spans="1:40" ht="14.5" x14ac:dyDescent="0.35">
      <c r="A116" t="s">
        <v>1342</v>
      </c>
      <c r="C116" t="s">
        <v>1426</v>
      </c>
      <c r="D116" t="s">
        <v>102</v>
      </c>
      <c r="E116">
        <v>1</v>
      </c>
      <c r="F116" s="68"/>
      <c r="G116" s="68">
        <v>0</v>
      </c>
      <c r="H116" s="68">
        <v>0</v>
      </c>
      <c r="I116" s="68">
        <v>0</v>
      </c>
      <c r="J116" s="68">
        <v>0</v>
      </c>
      <c r="K116" s="68">
        <v>0</v>
      </c>
      <c r="L116" s="68">
        <v>0</v>
      </c>
      <c r="M116" s="68">
        <v>0</v>
      </c>
      <c r="N116" s="68">
        <v>0</v>
      </c>
      <c r="O116" s="68">
        <v>0</v>
      </c>
      <c r="P116" s="68">
        <v>0</v>
      </c>
      <c r="Q116" s="68">
        <v>0</v>
      </c>
      <c r="R116" s="68">
        <v>0</v>
      </c>
      <c r="S116" s="68">
        <v>0</v>
      </c>
      <c r="T116" s="68"/>
      <c r="U116" s="68"/>
      <c r="V116" s="68"/>
      <c r="W116" s="68"/>
      <c r="X116" s="68"/>
      <c r="Y116" s="68"/>
      <c r="Z116" s="68"/>
      <c r="AA116" s="68"/>
      <c r="AB116" s="68"/>
      <c r="AC116" s="68"/>
      <c r="AD116" s="68"/>
      <c r="AE116" s="68"/>
      <c r="AF116" s="68"/>
      <c r="AG116" s="68"/>
      <c r="AH116" s="68"/>
      <c r="AI116" s="68"/>
      <c r="AJ116" s="68"/>
      <c r="AK116"/>
      <c r="AL116"/>
      <c r="AM116"/>
      <c r="AN116"/>
    </row>
    <row r="117" spans="1:40" ht="14.5" x14ac:dyDescent="0.35">
      <c r="A117" t="s">
        <v>1342</v>
      </c>
      <c r="B117" t="s">
        <v>1415</v>
      </c>
      <c r="C117" t="s">
        <v>1342</v>
      </c>
      <c r="D117" t="s">
        <v>67</v>
      </c>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c r="AF117" s="68"/>
      <c r="AG117" s="68"/>
      <c r="AH117" s="68"/>
      <c r="AI117" s="68"/>
      <c r="AJ117" s="68"/>
      <c r="AK117"/>
      <c r="AL117"/>
      <c r="AM117"/>
      <c r="AN117"/>
    </row>
    <row r="118" spans="1:40" ht="14.5" x14ac:dyDescent="0.35">
      <c r="A118" t="s">
        <v>1416</v>
      </c>
      <c r="C118" t="s">
        <v>1431</v>
      </c>
      <c r="D118" t="s">
        <v>568</v>
      </c>
      <c r="E118">
        <v>1</v>
      </c>
      <c r="F118" s="68">
        <v>272</v>
      </c>
      <c r="G118" s="68">
        <v>56</v>
      </c>
      <c r="H118" s="68">
        <v>0</v>
      </c>
      <c r="I118" s="68">
        <v>0</v>
      </c>
      <c r="J118" s="68">
        <v>45</v>
      </c>
      <c r="K118" s="68">
        <v>78</v>
      </c>
      <c r="L118" s="68">
        <v>68</v>
      </c>
      <c r="M118" s="68">
        <v>81</v>
      </c>
      <c r="N118" s="68">
        <v>56</v>
      </c>
      <c r="O118" s="68">
        <v>16</v>
      </c>
      <c r="P118" s="68">
        <v>128</v>
      </c>
      <c r="Q118" s="68">
        <v>108</v>
      </c>
      <c r="R118" s="68">
        <v>32</v>
      </c>
      <c r="S118" s="68">
        <v>208</v>
      </c>
      <c r="T118" s="68"/>
      <c r="U118" s="68"/>
      <c r="V118" s="68"/>
      <c r="W118" s="68"/>
      <c r="X118" s="68"/>
      <c r="Y118" s="68"/>
      <c r="Z118" s="68"/>
      <c r="AA118" s="68"/>
      <c r="AB118" s="68"/>
      <c r="AC118" s="68"/>
      <c r="AD118" s="68"/>
      <c r="AE118" s="68"/>
      <c r="AF118" s="68"/>
      <c r="AG118" s="68"/>
      <c r="AH118" s="68"/>
      <c r="AI118" s="68"/>
      <c r="AJ118" s="68"/>
      <c r="AK118"/>
      <c r="AL118"/>
      <c r="AM118"/>
      <c r="AN118"/>
    </row>
    <row r="119" spans="1:40" ht="14.5" x14ac:dyDescent="0.35">
      <c r="A119" t="s">
        <v>1416</v>
      </c>
      <c r="B119" t="s">
        <v>36</v>
      </c>
      <c r="C119" t="s">
        <v>1416</v>
      </c>
      <c r="D119" t="s">
        <v>67</v>
      </c>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68"/>
      <c r="AG119" s="68"/>
      <c r="AH119" s="68"/>
      <c r="AI119" s="68"/>
      <c r="AJ119" s="68"/>
      <c r="AK119"/>
      <c r="AL119"/>
      <c r="AM119"/>
      <c r="AN119"/>
    </row>
    <row r="120" spans="1:40" ht="14.5" x14ac:dyDescent="0.35">
      <c r="A120" t="s">
        <v>1331</v>
      </c>
      <c r="C120" t="s">
        <v>135</v>
      </c>
      <c r="D120" t="s">
        <v>29</v>
      </c>
      <c r="E120">
        <v>50000</v>
      </c>
      <c r="F120" s="68">
        <v>2</v>
      </c>
      <c r="G120" s="68">
        <v>2</v>
      </c>
      <c r="H120" s="68">
        <v>2</v>
      </c>
      <c r="I120" s="68">
        <v>2</v>
      </c>
      <c r="J120" s="68">
        <v>2</v>
      </c>
      <c r="K120" s="68">
        <v>2</v>
      </c>
      <c r="L120" s="68">
        <v>2</v>
      </c>
      <c r="M120" s="68">
        <v>2</v>
      </c>
      <c r="N120" s="68">
        <v>2</v>
      </c>
      <c r="O120" s="68">
        <v>2</v>
      </c>
      <c r="P120" s="68">
        <v>2</v>
      </c>
      <c r="Q120" s="68">
        <v>2</v>
      </c>
      <c r="R120" s="68">
        <v>2</v>
      </c>
      <c r="S120" s="68">
        <v>2</v>
      </c>
      <c r="T120" s="68"/>
      <c r="U120" s="68"/>
      <c r="V120" s="68"/>
      <c r="W120" s="68"/>
      <c r="X120" s="68"/>
      <c r="Y120" s="68"/>
      <c r="Z120" s="68"/>
      <c r="AA120" s="68"/>
      <c r="AB120" s="68"/>
      <c r="AC120" s="68"/>
      <c r="AD120" s="68"/>
      <c r="AE120" s="68"/>
      <c r="AF120" s="68"/>
      <c r="AG120" s="68"/>
      <c r="AH120" s="68"/>
      <c r="AI120" s="68"/>
      <c r="AJ120" s="68"/>
      <c r="AK120"/>
      <c r="AL120"/>
      <c r="AM120"/>
      <c r="AN120"/>
    </row>
    <row r="121" spans="1:40" ht="14.5" x14ac:dyDescent="0.35">
      <c r="A121" t="s">
        <v>1331</v>
      </c>
      <c r="C121" t="s">
        <v>137</v>
      </c>
      <c r="D121" t="s">
        <v>29</v>
      </c>
      <c r="E121">
        <v>1000</v>
      </c>
      <c r="F121" s="68">
        <v>0</v>
      </c>
      <c r="G121" s="68">
        <v>0</v>
      </c>
      <c r="H121" s="68">
        <v>0</v>
      </c>
      <c r="I121" s="68">
        <v>0</v>
      </c>
      <c r="J121" s="68">
        <v>0</v>
      </c>
      <c r="K121" s="68">
        <v>0</v>
      </c>
      <c r="L121" s="68">
        <v>0</v>
      </c>
      <c r="M121" s="68">
        <v>0</v>
      </c>
      <c r="N121" s="68">
        <v>0</v>
      </c>
      <c r="Q121" s="68">
        <v>0</v>
      </c>
      <c r="R121" s="68">
        <v>0</v>
      </c>
      <c r="S121" s="68">
        <v>0</v>
      </c>
      <c r="T121" s="68"/>
      <c r="U121" s="68"/>
      <c r="V121" s="68"/>
      <c r="W121" s="68"/>
      <c r="X121" s="68"/>
      <c r="Y121" s="68"/>
      <c r="Z121" s="68"/>
      <c r="AA121" s="68"/>
      <c r="AB121" s="68"/>
      <c r="AC121" s="68"/>
      <c r="AD121" s="68"/>
      <c r="AE121" s="68"/>
      <c r="AF121" s="68"/>
      <c r="AG121" s="68"/>
      <c r="AH121" s="68"/>
      <c r="AI121" s="68"/>
      <c r="AJ121" s="68"/>
      <c r="AK121"/>
      <c r="AL121"/>
      <c r="AM121"/>
      <c r="AN121"/>
    </row>
    <row r="122" spans="1:40" ht="14.5" x14ac:dyDescent="0.35">
      <c r="A122" t="s">
        <v>1331</v>
      </c>
      <c r="C122" t="s">
        <v>134</v>
      </c>
      <c r="D122" t="s">
        <v>29</v>
      </c>
      <c r="E122">
        <v>1</v>
      </c>
      <c r="F122" s="68">
        <v>34640</v>
      </c>
      <c r="G122" s="68">
        <v>34640</v>
      </c>
      <c r="H122" s="68">
        <v>34800</v>
      </c>
      <c r="I122" s="68">
        <v>34800</v>
      </c>
      <c r="J122" s="68">
        <v>34800</v>
      </c>
      <c r="K122" s="68">
        <v>34800</v>
      </c>
      <c r="L122" s="68">
        <v>34800</v>
      </c>
      <c r="M122" s="68">
        <v>34800</v>
      </c>
      <c r="N122" s="68">
        <v>34800</v>
      </c>
      <c r="O122" s="68">
        <v>34800</v>
      </c>
      <c r="P122" s="68">
        <v>34800</v>
      </c>
      <c r="Q122" s="68">
        <v>34500</v>
      </c>
      <c r="R122" s="68">
        <v>34500</v>
      </c>
      <c r="S122" s="68">
        <v>34500</v>
      </c>
      <c r="T122" s="68"/>
      <c r="U122" s="68"/>
      <c r="V122" s="68"/>
      <c r="W122" s="68"/>
      <c r="X122" s="68"/>
      <c r="Y122" s="68"/>
      <c r="Z122" s="68"/>
      <c r="AA122" s="68"/>
      <c r="AB122" s="68"/>
      <c r="AC122" s="68"/>
      <c r="AD122" s="68"/>
      <c r="AE122" s="68"/>
      <c r="AF122" s="68"/>
      <c r="AG122" s="68"/>
      <c r="AH122" s="68"/>
      <c r="AI122" s="68"/>
      <c r="AJ122" s="68"/>
      <c r="AK122"/>
      <c r="AL122"/>
      <c r="AM122"/>
      <c r="AN122"/>
    </row>
    <row r="123" spans="1:40" ht="14.5" x14ac:dyDescent="0.35">
      <c r="A123" t="s">
        <v>1331</v>
      </c>
      <c r="B123" t="s">
        <v>1332</v>
      </c>
      <c r="C123" t="s">
        <v>1331</v>
      </c>
      <c r="D123" t="s">
        <v>35</v>
      </c>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c r="AE123" s="68"/>
      <c r="AF123" s="68"/>
      <c r="AG123" s="68"/>
      <c r="AH123" s="68"/>
      <c r="AI123" s="68"/>
      <c r="AJ123" s="68"/>
      <c r="AK123"/>
      <c r="AL123"/>
      <c r="AM123"/>
      <c r="AN123"/>
    </row>
    <row r="124" spans="1:40" ht="14.5" x14ac:dyDescent="0.35">
      <c r="A124" t="s">
        <v>598</v>
      </c>
      <c r="C124" t="s">
        <v>1047</v>
      </c>
      <c r="D124" t="s">
        <v>101</v>
      </c>
      <c r="E124">
        <v>100</v>
      </c>
      <c r="F124" s="68">
        <v>18</v>
      </c>
      <c r="G124" s="68">
        <v>12</v>
      </c>
      <c r="H124" s="68">
        <v>25</v>
      </c>
      <c r="I124" s="68">
        <v>20</v>
      </c>
      <c r="J124" s="68">
        <v>12</v>
      </c>
      <c r="K124" s="68">
        <v>4</v>
      </c>
      <c r="L124" s="68">
        <v>22</v>
      </c>
      <c r="M124" s="68">
        <v>15</v>
      </c>
      <c r="N124" s="68">
        <v>9</v>
      </c>
      <c r="O124" s="68">
        <v>30</v>
      </c>
      <c r="P124" s="68">
        <v>23</v>
      </c>
      <c r="Q124" s="68">
        <v>17</v>
      </c>
      <c r="R124" s="68">
        <v>15</v>
      </c>
      <c r="S124" s="68">
        <v>24</v>
      </c>
      <c r="T124" s="68"/>
      <c r="U124" s="68"/>
      <c r="V124" s="68"/>
      <c r="W124" s="68"/>
      <c r="X124" s="68"/>
      <c r="Y124" s="68"/>
      <c r="Z124" s="68"/>
      <c r="AA124" s="68"/>
      <c r="AB124" s="68"/>
      <c r="AC124" s="68"/>
      <c r="AD124" s="68"/>
      <c r="AE124" s="68"/>
      <c r="AF124" s="68"/>
      <c r="AG124" s="68"/>
      <c r="AH124" s="68"/>
      <c r="AI124" s="68"/>
      <c r="AJ124" s="68"/>
      <c r="AK124"/>
      <c r="AL124"/>
      <c r="AM124"/>
      <c r="AN124"/>
    </row>
    <row r="125" spans="1:40" ht="14.5" x14ac:dyDescent="0.35">
      <c r="A125" t="s">
        <v>598</v>
      </c>
      <c r="B125" t="s">
        <v>597</v>
      </c>
      <c r="C125" t="s">
        <v>598</v>
      </c>
      <c r="D125" t="s">
        <v>67</v>
      </c>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68"/>
      <c r="AE125" s="68"/>
      <c r="AF125" s="68"/>
      <c r="AG125" s="68"/>
      <c r="AH125" s="68"/>
      <c r="AI125" s="68"/>
      <c r="AJ125" s="68"/>
      <c r="AK125"/>
      <c r="AL125"/>
      <c r="AM125"/>
      <c r="AN125"/>
    </row>
    <row r="126" spans="1:40" ht="14.5" x14ac:dyDescent="0.35">
      <c r="A126" t="s">
        <v>596</v>
      </c>
      <c r="C126" t="s">
        <v>1048</v>
      </c>
      <c r="D126" t="s">
        <v>101</v>
      </c>
      <c r="E126">
        <v>100</v>
      </c>
      <c r="F126" s="68">
        <v>98</v>
      </c>
      <c r="G126" s="68">
        <v>94</v>
      </c>
      <c r="H126" s="68">
        <v>91</v>
      </c>
      <c r="I126" s="68">
        <v>86</v>
      </c>
      <c r="J126" s="68">
        <v>81</v>
      </c>
      <c r="K126" s="68">
        <v>76</v>
      </c>
      <c r="L126" s="68">
        <v>70</v>
      </c>
      <c r="M126" s="68">
        <v>63</v>
      </c>
      <c r="N126" s="68">
        <v>58</v>
      </c>
      <c r="O126" s="68">
        <v>52</v>
      </c>
      <c r="P126" s="68">
        <v>45</v>
      </c>
      <c r="Q126" s="68">
        <v>39</v>
      </c>
      <c r="R126" s="68">
        <v>33</v>
      </c>
      <c r="S126" s="68">
        <v>24</v>
      </c>
      <c r="T126" s="68"/>
      <c r="U126" s="68"/>
      <c r="V126" s="68"/>
      <c r="W126" s="68"/>
      <c r="X126" s="68"/>
      <c r="Y126" s="68"/>
      <c r="Z126" s="68"/>
      <c r="AA126" s="68"/>
      <c r="AB126" s="68"/>
      <c r="AC126" s="68"/>
      <c r="AD126" s="68"/>
      <c r="AE126" s="68"/>
      <c r="AF126" s="68"/>
      <c r="AG126" s="68"/>
      <c r="AH126" s="68"/>
      <c r="AI126" s="68"/>
      <c r="AJ126" s="68"/>
      <c r="AK126"/>
      <c r="AL126"/>
      <c r="AM126"/>
      <c r="AN126"/>
    </row>
    <row r="127" spans="1:40" ht="14.5" x14ac:dyDescent="0.35">
      <c r="A127" t="s">
        <v>596</v>
      </c>
      <c r="C127" t="s">
        <v>594</v>
      </c>
      <c r="D127" t="s">
        <v>568</v>
      </c>
      <c r="E127">
        <v>1</v>
      </c>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68"/>
      <c r="AG127" s="68"/>
      <c r="AH127" s="68"/>
      <c r="AI127" s="68"/>
      <c r="AJ127" s="68"/>
      <c r="AK127"/>
      <c r="AL127"/>
      <c r="AM127"/>
      <c r="AN127"/>
    </row>
    <row r="128" spans="1:40" ht="14.5" x14ac:dyDescent="0.35">
      <c r="A128" t="s">
        <v>596</v>
      </c>
      <c r="B128" t="s">
        <v>595</v>
      </c>
      <c r="C128" t="s">
        <v>596</v>
      </c>
      <c r="D128" t="s">
        <v>67</v>
      </c>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68"/>
      <c r="AG128" s="68"/>
      <c r="AH128" s="68"/>
      <c r="AI128" s="68"/>
      <c r="AJ128" s="68"/>
      <c r="AK128"/>
      <c r="AL128"/>
      <c r="AM128"/>
      <c r="AN128"/>
    </row>
    <row r="129" spans="1:40" ht="14.5" x14ac:dyDescent="0.35">
      <c r="A129" t="s">
        <v>601</v>
      </c>
      <c r="C129" t="s">
        <v>599</v>
      </c>
      <c r="D129" t="s">
        <v>580</v>
      </c>
      <c r="E129">
        <v>1</v>
      </c>
      <c r="F129" s="68"/>
      <c r="G129" s="68"/>
      <c r="H129" s="68"/>
      <c r="I129" s="68"/>
      <c r="J129" s="68"/>
      <c r="K129" s="68"/>
      <c r="L129" s="68"/>
      <c r="M129" s="68"/>
      <c r="N129" s="68"/>
      <c r="O129" s="68"/>
      <c r="P129" s="68"/>
      <c r="Q129" s="68"/>
      <c r="R129" s="68"/>
      <c r="S129" s="68"/>
      <c r="T129" s="68"/>
      <c r="U129" s="68"/>
      <c r="V129" s="68"/>
      <c r="W129" s="68"/>
      <c r="X129" s="68"/>
      <c r="Y129" s="68"/>
      <c r="Z129" s="68"/>
      <c r="AA129" s="68"/>
      <c r="AB129" s="68"/>
      <c r="AC129" s="68"/>
      <c r="AD129" s="68"/>
      <c r="AE129" s="68"/>
      <c r="AF129" s="68"/>
      <c r="AG129" s="68"/>
      <c r="AH129" s="68"/>
      <c r="AI129" s="68"/>
      <c r="AJ129" s="68"/>
      <c r="AK129"/>
      <c r="AL129"/>
      <c r="AM129"/>
      <c r="AN129"/>
    </row>
    <row r="130" spans="1:40" ht="14.5" x14ac:dyDescent="0.35">
      <c r="A130" t="s">
        <v>601</v>
      </c>
      <c r="B130" t="s">
        <v>600</v>
      </c>
      <c r="C130" t="s">
        <v>601</v>
      </c>
      <c r="D130" t="s">
        <v>151</v>
      </c>
      <c r="F130" s="68"/>
      <c r="G130" s="68"/>
      <c r="H130" s="68"/>
      <c r="I130" s="68"/>
      <c r="J130" s="68"/>
      <c r="K130" s="68"/>
      <c r="L130" s="68"/>
      <c r="M130" s="68"/>
      <c r="N130" s="68"/>
      <c r="O130" s="68"/>
      <c r="P130" s="68"/>
      <c r="Q130" s="68"/>
      <c r="R130" s="68"/>
      <c r="S130" s="68"/>
      <c r="T130" s="68"/>
      <c r="U130" s="68"/>
      <c r="V130" s="68"/>
      <c r="W130" s="68"/>
      <c r="X130" s="68"/>
      <c r="Y130" s="68"/>
      <c r="Z130" s="68"/>
      <c r="AA130" s="68"/>
      <c r="AB130" s="68"/>
      <c r="AC130" s="68"/>
      <c r="AD130" s="68"/>
      <c r="AE130" s="68"/>
      <c r="AF130" s="68"/>
      <c r="AG130" s="68"/>
      <c r="AH130" s="68"/>
      <c r="AI130" s="68"/>
      <c r="AJ130" s="68"/>
      <c r="AK130"/>
      <c r="AL130"/>
      <c r="AM130"/>
      <c r="AN130"/>
    </row>
    <row r="131" spans="1:40" ht="14.5" x14ac:dyDescent="0.35">
      <c r="A131" t="s">
        <v>586</v>
      </c>
      <c r="C131" t="s">
        <v>584</v>
      </c>
      <c r="D131" t="s">
        <v>580</v>
      </c>
      <c r="E131">
        <v>1</v>
      </c>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c r="AD131" s="68"/>
      <c r="AE131" s="68"/>
      <c r="AF131" s="68"/>
      <c r="AG131" s="68"/>
      <c r="AH131" s="68"/>
      <c r="AI131" s="68"/>
      <c r="AJ131" s="68"/>
      <c r="AK131"/>
      <c r="AL131"/>
      <c r="AM131"/>
      <c r="AN131"/>
    </row>
    <row r="132" spans="1:40" ht="14.5" x14ac:dyDescent="0.35">
      <c r="A132" t="s">
        <v>586</v>
      </c>
      <c r="B132" t="s">
        <v>585</v>
      </c>
      <c r="C132" t="s">
        <v>586</v>
      </c>
      <c r="D132" t="s">
        <v>151</v>
      </c>
      <c r="F132" s="68"/>
      <c r="G132" s="68"/>
      <c r="H132" s="68"/>
      <c r="I132" s="68"/>
      <c r="J132" s="68"/>
      <c r="K132" s="68"/>
      <c r="L132" s="68"/>
      <c r="M132" s="68"/>
      <c r="N132" s="68"/>
      <c r="O132" s="68"/>
      <c r="P132" s="68"/>
      <c r="Q132" s="68"/>
      <c r="R132" s="68"/>
      <c r="S132" s="68"/>
      <c r="T132" s="68"/>
      <c r="U132" s="68"/>
      <c r="V132" s="68"/>
      <c r="W132" s="68"/>
      <c r="X132" s="68"/>
      <c r="Y132" s="68"/>
      <c r="Z132" s="68"/>
      <c r="AA132" s="68"/>
      <c r="AB132" s="68"/>
      <c r="AC132" s="68"/>
      <c r="AD132" s="68"/>
      <c r="AE132" s="68"/>
      <c r="AF132" s="68"/>
      <c r="AG132" s="68"/>
      <c r="AH132" s="68"/>
      <c r="AI132" s="68"/>
      <c r="AJ132" s="68"/>
      <c r="AK132"/>
      <c r="AL132"/>
      <c r="AM132"/>
      <c r="AN132"/>
    </row>
    <row r="133" spans="1:40" ht="14.5" x14ac:dyDescent="0.35">
      <c r="A133" t="s">
        <v>349</v>
      </c>
      <c r="C133" t="s">
        <v>356</v>
      </c>
      <c r="D133" t="s">
        <v>103</v>
      </c>
      <c r="E133">
        <v>6600</v>
      </c>
      <c r="F133" s="68">
        <v>2</v>
      </c>
      <c r="G133" s="68">
        <v>2</v>
      </c>
      <c r="H133" s="68">
        <v>2</v>
      </c>
      <c r="I133" s="68">
        <v>2</v>
      </c>
      <c r="J133" s="68">
        <v>1</v>
      </c>
      <c r="K133" s="68">
        <v>1</v>
      </c>
      <c r="L133" s="68">
        <v>2</v>
      </c>
      <c r="M133" s="68">
        <v>1</v>
      </c>
      <c r="N133" s="68">
        <v>1</v>
      </c>
      <c r="O133" s="68">
        <v>2</v>
      </c>
      <c r="P133" s="68">
        <v>1</v>
      </c>
      <c r="Q133" s="68">
        <v>1</v>
      </c>
      <c r="R133" s="68">
        <v>0</v>
      </c>
      <c r="S133" s="68">
        <v>1</v>
      </c>
      <c r="T133" s="68"/>
      <c r="U133" s="68"/>
      <c r="V133" s="68"/>
      <c r="W133" s="68"/>
      <c r="X133" s="68"/>
      <c r="Y133" s="68"/>
      <c r="Z133" s="68"/>
      <c r="AA133" s="68"/>
      <c r="AB133" s="68"/>
      <c r="AC133" s="68"/>
      <c r="AD133" s="68"/>
      <c r="AE133" s="68"/>
      <c r="AF133" s="68"/>
      <c r="AG133" s="68"/>
      <c r="AH133" s="68"/>
      <c r="AI133" s="68"/>
      <c r="AJ133" s="68"/>
      <c r="AK133"/>
      <c r="AL133"/>
      <c r="AM133"/>
      <c r="AN133"/>
    </row>
    <row r="134" spans="1:40" ht="14.5" x14ac:dyDescent="0.35">
      <c r="A134" t="s">
        <v>349</v>
      </c>
      <c r="C134" t="s">
        <v>357</v>
      </c>
      <c r="D134" t="s">
        <v>358</v>
      </c>
      <c r="E134">
        <v>550</v>
      </c>
      <c r="F134" s="68">
        <v>12</v>
      </c>
      <c r="G134" s="68">
        <v>8</v>
      </c>
      <c r="H134" s="68">
        <v>15</v>
      </c>
      <c r="I134" s="68">
        <v>10</v>
      </c>
      <c r="J134" s="68">
        <v>18</v>
      </c>
      <c r="K134" s="68">
        <v>14</v>
      </c>
      <c r="L134" s="68">
        <v>11</v>
      </c>
      <c r="M134" s="68">
        <v>19</v>
      </c>
      <c r="N134" s="68">
        <v>16</v>
      </c>
      <c r="O134" s="68">
        <v>9</v>
      </c>
      <c r="P134" s="68">
        <v>15</v>
      </c>
      <c r="Q134" s="68">
        <v>10</v>
      </c>
      <c r="R134" s="68">
        <v>17</v>
      </c>
      <c r="S134" s="68">
        <v>13</v>
      </c>
      <c r="T134" s="68"/>
      <c r="U134" s="68"/>
      <c r="V134" s="68"/>
      <c r="W134" s="68"/>
      <c r="X134" s="68"/>
      <c r="Y134" s="68"/>
      <c r="Z134" s="68"/>
      <c r="AA134" s="68"/>
      <c r="AB134" s="68"/>
      <c r="AC134" s="68"/>
      <c r="AD134" s="68"/>
      <c r="AE134" s="68"/>
      <c r="AF134" s="68"/>
      <c r="AG134" s="68"/>
      <c r="AH134" s="68"/>
      <c r="AI134" s="68"/>
      <c r="AJ134" s="68"/>
      <c r="AK134"/>
      <c r="AL134"/>
      <c r="AM134"/>
      <c r="AN134"/>
    </row>
    <row r="135" spans="1:40" ht="14.5" x14ac:dyDescent="0.35">
      <c r="A135" t="s">
        <v>349</v>
      </c>
      <c r="C135" t="s">
        <v>359</v>
      </c>
      <c r="D135" t="s">
        <v>29</v>
      </c>
      <c r="E135">
        <v>1</v>
      </c>
      <c r="F135" s="68">
        <v>621</v>
      </c>
      <c r="G135" s="68">
        <v>430</v>
      </c>
      <c r="H135" s="68">
        <v>487</v>
      </c>
      <c r="I135" s="68">
        <v>430</v>
      </c>
      <c r="J135" s="68">
        <v>362</v>
      </c>
      <c r="K135" s="68">
        <v>410</v>
      </c>
      <c r="L135" s="68">
        <v>366</v>
      </c>
      <c r="M135" s="68">
        <v>524</v>
      </c>
      <c r="N135" s="68">
        <v>674</v>
      </c>
      <c r="O135" s="68">
        <v>810</v>
      </c>
      <c r="P135" s="68">
        <v>640</v>
      </c>
      <c r="Q135" s="68">
        <v>368</v>
      </c>
      <c r="R135" s="68">
        <v>495</v>
      </c>
      <c r="S135" s="68">
        <v>461</v>
      </c>
      <c r="T135" s="68"/>
      <c r="U135" s="68"/>
      <c r="V135" s="68"/>
      <c r="W135" s="68"/>
      <c r="X135" s="68"/>
      <c r="Y135" s="68"/>
      <c r="Z135" s="68"/>
      <c r="AA135" s="68"/>
      <c r="AB135" s="68"/>
      <c r="AC135" s="68"/>
      <c r="AD135" s="68"/>
      <c r="AE135" s="68"/>
      <c r="AF135" s="68"/>
      <c r="AG135" s="68"/>
      <c r="AH135" s="68"/>
      <c r="AI135" s="68"/>
      <c r="AJ135" s="68"/>
      <c r="AK135"/>
      <c r="AL135"/>
      <c r="AM135"/>
      <c r="AN135"/>
    </row>
    <row r="136" spans="1:40" ht="14.5" x14ac:dyDescent="0.35">
      <c r="A136" t="s">
        <v>349</v>
      </c>
      <c r="B136" t="s">
        <v>379</v>
      </c>
      <c r="C136" t="s">
        <v>349</v>
      </c>
      <c r="D136" t="s">
        <v>35</v>
      </c>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c r="AD136" s="68"/>
      <c r="AE136" s="68"/>
      <c r="AF136" s="68"/>
      <c r="AG136" s="68"/>
      <c r="AH136" s="68"/>
      <c r="AI136" s="68"/>
      <c r="AJ136" s="68"/>
      <c r="AK136"/>
      <c r="AL136"/>
      <c r="AM136"/>
      <c r="AN136"/>
    </row>
    <row r="137" spans="1:40" ht="14.5" x14ac:dyDescent="0.35">
      <c r="A137" t="s">
        <v>8</v>
      </c>
      <c r="C137" t="s">
        <v>1100</v>
      </c>
      <c r="D137" t="s">
        <v>101</v>
      </c>
      <c r="E137">
        <v>1</v>
      </c>
      <c r="F137" s="68">
        <v>4500</v>
      </c>
      <c r="G137" s="68">
        <v>4400</v>
      </c>
      <c r="H137" s="68">
        <v>4400</v>
      </c>
      <c r="I137" s="68">
        <v>4500</v>
      </c>
      <c r="J137" s="68">
        <v>4500</v>
      </c>
      <c r="K137" s="68">
        <v>4500</v>
      </c>
      <c r="L137" s="68">
        <v>4500</v>
      </c>
      <c r="M137" s="68">
        <v>4500</v>
      </c>
      <c r="N137" s="68">
        <v>4500</v>
      </c>
      <c r="O137" s="1">
        <v>4400</v>
      </c>
      <c r="P137" s="68">
        <v>4400</v>
      </c>
      <c r="Q137" s="68">
        <v>4400</v>
      </c>
      <c r="R137" s="68">
        <v>4400</v>
      </c>
      <c r="S137" s="68">
        <v>4500</v>
      </c>
      <c r="T137" s="68"/>
      <c r="U137" s="68"/>
      <c r="V137" s="68"/>
      <c r="W137" s="68"/>
      <c r="X137" s="68"/>
      <c r="Y137" s="68"/>
      <c r="Z137" s="68"/>
      <c r="AA137" s="68"/>
      <c r="AB137" s="68"/>
      <c r="AC137" s="68"/>
      <c r="AD137" s="68"/>
      <c r="AE137" s="68"/>
      <c r="AF137" s="68"/>
      <c r="AG137" s="68"/>
      <c r="AH137" s="68"/>
      <c r="AI137" s="68"/>
      <c r="AJ137" s="68"/>
      <c r="AK137"/>
      <c r="AL137"/>
      <c r="AM137"/>
      <c r="AN137"/>
    </row>
    <row r="138" spans="1:40" ht="14.5" x14ac:dyDescent="0.35">
      <c r="A138" t="s">
        <v>8</v>
      </c>
      <c r="B138" t="s">
        <v>631</v>
      </c>
      <c r="C138" t="s">
        <v>1465</v>
      </c>
      <c r="D138" t="s">
        <v>67</v>
      </c>
      <c r="F138" s="68"/>
      <c r="G138" s="68"/>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c r="AE138" s="68"/>
      <c r="AF138" s="68"/>
      <c r="AG138" s="68"/>
      <c r="AH138" s="68"/>
      <c r="AI138" s="68"/>
      <c r="AJ138" s="68"/>
      <c r="AK138"/>
      <c r="AL138"/>
      <c r="AM138"/>
      <c r="AN138"/>
    </row>
    <row r="139" spans="1:40" ht="14.5" x14ac:dyDescent="0.35">
      <c r="A139" t="s">
        <v>9</v>
      </c>
      <c r="C139" t="s">
        <v>1049</v>
      </c>
      <c r="D139" t="s">
        <v>462</v>
      </c>
      <c r="E139">
        <v>1</v>
      </c>
      <c r="F139" s="68">
        <v>25</v>
      </c>
      <c r="G139" s="68">
        <v>25</v>
      </c>
      <c r="H139" s="68">
        <v>25</v>
      </c>
      <c r="I139" s="68">
        <v>25</v>
      </c>
      <c r="J139" s="68">
        <v>25</v>
      </c>
      <c r="K139" s="68">
        <v>25</v>
      </c>
      <c r="L139" s="68">
        <v>25</v>
      </c>
      <c r="M139" s="68">
        <v>25</v>
      </c>
      <c r="N139" s="68">
        <v>25</v>
      </c>
      <c r="O139" s="68">
        <v>25</v>
      </c>
      <c r="P139" s="68">
        <v>25</v>
      </c>
      <c r="Q139" s="68">
        <v>25</v>
      </c>
      <c r="R139" s="68">
        <v>25</v>
      </c>
      <c r="S139" s="68">
        <v>25</v>
      </c>
      <c r="T139" s="68"/>
      <c r="U139" s="68"/>
      <c r="V139" s="68"/>
      <c r="W139" s="68"/>
      <c r="X139" s="68"/>
      <c r="Y139" s="68"/>
      <c r="Z139" s="68"/>
      <c r="AA139" s="68"/>
      <c r="AB139" s="68"/>
      <c r="AC139" s="68"/>
      <c r="AD139" s="68"/>
      <c r="AE139" s="68"/>
      <c r="AF139" s="68"/>
      <c r="AG139" s="68"/>
      <c r="AH139" s="68"/>
      <c r="AI139" s="68"/>
      <c r="AJ139" s="68"/>
      <c r="AK139"/>
      <c r="AL139"/>
      <c r="AM139"/>
      <c r="AN139"/>
    </row>
    <row r="140" spans="1:40" ht="14.5" x14ac:dyDescent="0.35">
      <c r="A140" t="s">
        <v>9</v>
      </c>
      <c r="B140" t="s">
        <v>569</v>
      </c>
      <c r="C140" t="s">
        <v>9</v>
      </c>
      <c r="D140" t="s">
        <v>556</v>
      </c>
      <c r="F140" s="68"/>
      <c r="G140" s="68"/>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c r="AF140" s="68"/>
      <c r="AG140" s="68"/>
      <c r="AH140" s="68"/>
      <c r="AI140" s="68"/>
      <c r="AJ140" s="68"/>
      <c r="AK140"/>
      <c r="AL140"/>
      <c r="AM140"/>
      <c r="AN140"/>
    </row>
    <row r="141" spans="1:40" ht="14.5" x14ac:dyDescent="0.35">
      <c r="A141" t="s">
        <v>985</v>
      </c>
      <c r="C141" t="s">
        <v>1011</v>
      </c>
      <c r="D141" t="s">
        <v>103</v>
      </c>
      <c r="E141">
        <v>12000</v>
      </c>
      <c r="F141" s="68">
        <v>0</v>
      </c>
      <c r="G141" s="68"/>
      <c r="H141" s="68"/>
      <c r="I141" s="68"/>
      <c r="J141" s="68"/>
      <c r="K141" s="68"/>
      <c r="L141" s="68"/>
      <c r="M141" s="68"/>
      <c r="N141" s="68"/>
      <c r="O141" s="68"/>
      <c r="P141" s="68"/>
      <c r="Q141" s="68"/>
      <c r="R141" s="68"/>
      <c r="S141" s="68"/>
      <c r="T141" s="68"/>
      <c r="U141" s="68"/>
      <c r="V141" s="68"/>
      <c r="W141" s="68"/>
      <c r="X141" s="68"/>
      <c r="Y141" s="68"/>
      <c r="Z141" s="68"/>
      <c r="AA141" s="68"/>
      <c r="AB141" s="68"/>
      <c r="AC141" s="68"/>
      <c r="AD141" s="68"/>
      <c r="AE141" s="68"/>
      <c r="AF141" s="68"/>
      <c r="AG141" s="68"/>
      <c r="AH141" s="68"/>
      <c r="AI141" s="68"/>
      <c r="AJ141" s="68"/>
      <c r="AK141"/>
      <c r="AL141"/>
      <c r="AM141"/>
      <c r="AN141"/>
    </row>
    <row r="142" spans="1:40" ht="14.5" x14ac:dyDescent="0.35">
      <c r="A142" t="s">
        <v>985</v>
      </c>
      <c r="C142" t="s">
        <v>1200</v>
      </c>
      <c r="D142" t="s">
        <v>1027</v>
      </c>
      <c r="E142">
        <v>6000</v>
      </c>
      <c r="F142" s="68">
        <v>0</v>
      </c>
      <c r="G142" s="68">
        <v>0</v>
      </c>
      <c r="H142" s="68">
        <v>0</v>
      </c>
      <c r="I142" s="68">
        <v>0</v>
      </c>
      <c r="J142" s="68">
        <v>0</v>
      </c>
      <c r="K142" s="68">
        <v>0</v>
      </c>
      <c r="L142" s="68">
        <v>0</v>
      </c>
      <c r="M142" s="68">
        <v>0</v>
      </c>
      <c r="N142" s="68">
        <v>0</v>
      </c>
      <c r="O142" s="68">
        <v>0</v>
      </c>
      <c r="P142" s="68">
        <v>0</v>
      </c>
      <c r="Q142" s="68">
        <v>0</v>
      </c>
      <c r="R142" s="68">
        <v>0</v>
      </c>
      <c r="S142" s="68">
        <v>4</v>
      </c>
      <c r="T142" s="68"/>
      <c r="U142" s="68"/>
      <c r="V142" s="68"/>
      <c r="W142" s="68"/>
      <c r="X142" s="68"/>
      <c r="Y142" s="68"/>
      <c r="Z142" s="68"/>
      <c r="AA142" s="68"/>
      <c r="AB142" s="68"/>
      <c r="AC142" s="68"/>
      <c r="AD142" s="68"/>
      <c r="AE142" s="68"/>
      <c r="AF142" s="68"/>
      <c r="AG142" s="68"/>
      <c r="AH142" s="68"/>
      <c r="AI142" s="68"/>
      <c r="AJ142" s="68"/>
      <c r="AK142"/>
      <c r="AL142"/>
      <c r="AM142"/>
      <c r="AN142"/>
    </row>
    <row r="143" spans="1:40" ht="14.5" x14ac:dyDescent="0.35">
      <c r="A143" t="s">
        <v>985</v>
      </c>
      <c r="C143" t="s">
        <v>1012</v>
      </c>
      <c r="D143" t="s">
        <v>29</v>
      </c>
      <c r="E143">
        <v>1</v>
      </c>
      <c r="F143" s="68">
        <v>72000</v>
      </c>
      <c r="G143" s="68">
        <v>56234</v>
      </c>
      <c r="H143">
        <v>86627</v>
      </c>
      <c r="I143" s="68">
        <v>66361</v>
      </c>
      <c r="J143" s="68">
        <v>53559</v>
      </c>
      <c r="K143" s="68">
        <v>37691</v>
      </c>
      <c r="L143" s="68">
        <v>78000</v>
      </c>
      <c r="M143" s="68">
        <v>63079</v>
      </c>
      <c r="N143" s="68">
        <f>4*12000+4755</f>
        <v>52755</v>
      </c>
      <c r="O143">
        <f>87093+18000</f>
        <v>105093</v>
      </c>
      <c r="P143" s="68">
        <v>84027</v>
      </c>
      <c r="Q143" s="68">
        <v>70851</v>
      </c>
      <c r="R143" s="68">
        <v>65754</v>
      </c>
      <c r="S143" s="68">
        <f>28950+9880</f>
        <v>38830</v>
      </c>
      <c r="T143" s="68"/>
      <c r="U143" s="68"/>
      <c r="V143" s="68"/>
      <c r="W143" s="68"/>
      <c r="X143" s="68"/>
      <c r="Y143" s="68"/>
      <c r="Z143" s="68"/>
      <c r="AA143" s="68"/>
      <c r="AB143" s="68"/>
      <c r="AC143" s="68"/>
      <c r="AD143" s="68"/>
      <c r="AE143" s="68"/>
      <c r="AF143" s="68"/>
      <c r="AG143" s="68"/>
      <c r="AH143" s="68"/>
      <c r="AI143" s="68"/>
      <c r="AJ143" s="68"/>
      <c r="AK143"/>
      <c r="AL143"/>
      <c r="AM143"/>
      <c r="AN143"/>
    </row>
    <row r="144" spans="1:40" ht="14.5" x14ac:dyDescent="0.35">
      <c r="A144" t="s">
        <v>985</v>
      </c>
      <c r="B144" t="s">
        <v>1025</v>
      </c>
      <c r="C144" t="s">
        <v>985</v>
      </c>
      <c r="D144" t="s">
        <v>35</v>
      </c>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c r="AE144" s="68"/>
      <c r="AF144" s="68"/>
      <c r="AG144" s="68"/>
      <c r="AH144" s="68"/>
      <c r="AI144" s="68"/>
      <c r="AJ144" s="68"/>
      <c r="AK144"/>
      <c r="AL144"/>
      <c r="AM144"/>
      <c r="AN144"/>
    </row>
    <row r="145" spans="1:40" ht="14.5" x14ac:dyDescent="0.35">
      <c r="A145" t="s">
        <v>355</v>
      </c>
      <c r="C145" t="s">
        <v>374</v>
      </c>
      <c r="D145" t="s">
        <v>103</v>
      </c>
      <c r="E145">
        <v>5400</v>
      </c>
      <c r="F145" s="68">
        <v>0</v>
      </c>
      <c r="G145" s="68">
        <v>0</v>
      </c>
      <c r="H145" s="68">
        <v>0</v>
      </c>
      <c r="I145" s="68">
        <v>0</v>
      </c>
      <c r="J145" s="68">
        <v>0</v>
      </c>
      <c r="K145" s="68">
        <v>0</v>
      </c>
      <c r="L145" s="68">
        <v>0</v>
      </c>
      <c r="M145" s="68">
        <v>0</v>
      </c>
      <c r="N145" s="68">
        <v>0</v>
      </c>
      <c r="O145" s="68">
        <v>1</v>
      </c>
      <c r="P145" s="68">
        <v>1</v>
      </c>
      <c r="Q145" s="68">
        <v>0</v>
      </c>
      <c r="R145" s="68">
        <v>0</v>
      </c>
      <c r="S145" s="68">
        <v>1</v>
      </c>
      <c r="T145" s="68"/>
      <c r="U145" s="68"/>
      <c r="V145" s="68"/>
      <c r="W145" s="68"/>
      <c r="X145" s="68"/>
      <c r="Y145" s="68"/>
      <c r="Z145" s="68"/>
      <c r="AA145" s="68"/>
      <c r="AB145" s="68"/>
      <c r="AC145" s="68"/>
      <c r="AD145" s="68"/>
      <c r="AE145" s="68"/>
      <c r="AF145" s="68"/>
      <c r="AG145" s="68"/>
      <c r="AH145" s="68"/>
      <c r="AI145" s="68"/>
      <c r="AJ145" s="68"/>
      <c r="AK145"/>
      <c r="AL145"/>
      <c r="AM145"/>
      <c r="AN145"/>
    </row>
    <row r="146" spans="1:40" ht="14.5" x14ac:dyDescent="0.35">
      <c r="A146" t="s">
        <v>355</v>
      </c>
      <c r="C146" t="s">
        <v>1096</v>
      </c>
      <c r="D146" t="s">
        <v>101</v>
      </c>
      <c r="E146">
        <v>300</v>
      </c>
      <c r="F146" s="68">
        <v>20</v>
      </c>
      <c r="G146" s="68">
        <v>19</v>
      </c>
      <c r="H146" s="68">
        <v>17</v>
      </c>
      <c r="I146" s="68">
        <v>15</v>
      </c>
      <c r="J146" s="68">
        <v>14</v>
      </c>
      <c r="K146" s="68">
        <v>12</v>
      </c>
      <c r="L146" s="68">
        <v>11</v>
      </c>
      <c r="M146" s="68">
        <v>9</v>
      </c>
      <c r="N146" s="68">
        <v>8</v>
      </c>
      <c r="O146" s="68">
        <v>6</v>
      </c>
      <c r="P146" s="68">
        <v>2</v>
      </c>
      <c r="Q146" s="68">
        <v>21</v>
      </c>
      <c r="R146" s="68">
        <v>20</v>
      </c>
      <c r="S146" s="68">
        <v>18</v>
      </c>
      <c r="T146" s="68"/>
      <c r="U146" s="68"/>
      <c r="V146" s="68"/>
      <c r="W146" s="68"/>
      <c r="X146" s="68"/>
      <c r="Y146" s="68"/>
      <c r="Z146" s="68"/>
      <c r="AA146" s="68"/>
      <c r="AB146" s="68"/>
      <c r="AC146" s="68"/>
      <c r="AD146" s="68"/>
      <c r="AE146" s="68"/>
      <c r="AF146" s="68"/>
      <c r="AG146" s="68"/>
      <c r="AH146" s="68"/>
      <c r="AI146" s="68"/>
      <c r="AJ146" s="68"/>
      <c r="AK146"/>
      <c r="AL146"/>
      <c r="AM146"/>
      <c r="AN146"/>
    </row>
    <row r="147" spans="1:40" ht="14.5" x14ac:dyDescent="0.35">
      <c r="A147" t="s">
        <v>355</v>
      </c>
      <c r="C147" t="s">
        <v>375</v>
      </c>
      <c r="D147" t="s">
        <v>29</v>
      </c>
      <c r="E147">
        <v>1</v>
      </c>
      <c r="F147" s="68">
        <v>449</v>
      </c>
      <c r="G147" s="68">
        <v>207</v>
      </c>
      <c r="H147" s="68">
        <v>330</v>
      </c>
      <c r="I147" s="68">
        <v>541</v>
      </c>
      <c r="J147" s="68">
        <v>262</v>
      </c>
      <c r="K147" s="68">
        <v>297</v>
      </c>
      <c r="L147" s="68">
        <v>195</v>
      </c>
      <c r="M147" s="68">
        <v>348</v>
      </c>
      <c r="N147" s="68">
        <v>363</v>
      </c>
      <c r="O147" s="68">
        <v>424</v>
      </c>
      <c r="P147" s="68">
        <v>417</v>
      </c>
      <c r="Q147" s="68">
        <v>251</v>
      </c>
      <c r="R147" s="68">
        <v>179</v>
      </c>
      <c r="S147" s="68">
        <v>340</v>
      </c>
      <c r="T147" s="68"/>
      <c r="U147" s="68"/>
      <c r="V147" s="68"/>
      <c r="W147" s="68"/>
      <c r="X147" s="68"/>
      <c r="Y147" s="68"/>
      <c r="Z147" s="68"/>
      <c r="AA147" s="68"/>
      <c r="AB147" s="68"/>
      <c r="AC147" s="68"/>
      <c r="AD147" s="68"/>
      <c r="AE147" s="68"/>
      <c r="AF147" s="68"/>
      <c r="AG147" s="68"/>
      <c r="AH147" s="68"/>
      <c r="AI147" s="68"/>
      <c r="AJ147" s="68"/>
      <c r="AK147"/>
      <c r="AL147"/>
      <c r="AM147"/>
      <c r="AN147"/>
    </row>
    <row r="148" spans="1:40" ht="14.5" x14ac:dyDescent="0.35">
      <c r="A148" t="s">
        <v>355</v>
      </c>
      <c r="B148" t="s">
        <v>385</v>
      </c>
      <c r="C148" t="s">
        <v>355</v>
      </c>
      <c r="D148" t="s">
        <v>35</v>
      </c>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c r="AE148" s="68"/>
      <c r="AF148" s="68"/>
      <c r="AG148" s="68"/>
      <c r="AH148" s="68"/>
      <c r="AI148" s="68"/>
      <c r="AJ148" s="68"/>
      <c r="AK148"/>
      <c r="AL148"/>
      <c r="AM148"/>
      <c r="AN148"/>
    </row>
    <row r="149" spans="1:40" ht="14.5" x14ac:dyDescent="0.35">
      <c r="A149" t="s">
        <v>554</v>
      </c>
      <c r="C149" t="s">
        <v>1035</v>
      </c>
      <c r="D149" t="s">
        <v>557</v>
      </c>
      <c r="E149">
        <v>20000</v>
      </c>
      <c r="F149" s="68">
        <v>0</v>
      </c>
      <c r="G149" s="68">
        <v>0</v>
      </c>
      <c r="H149" s="68">
        <v>0</v>
      </c>
      <c r="I149" s="68">
        <v>0</v>
      </c>
      <c r="J149" s="68">
        <v>0</v>
      </c>
      <c r="K149" s="68">
        <v>0</v>
      </c>
      <c r="L149" s="68">
        <v>0</v>
      </c>
      <c r="M149" s="68">
        <v>0</v>
      </c>
      <c r="N149" s="68">
        <v>0</v>
      </c>
      <c r="O149" s="68">
        <v>0</v>
      </c>
      <c r="P149" s="68">
        <v>0</v>
      </c>
      <c r="Q149" s="68">
        <v>0</v>
      </c>
      <c r="R149" s="68">
        <v>0</v>
      </c>
      <c r="S149" s="68">
        <v>0</v>
      </c>
      <c r="T149" s="68"/>
      <c r="U149" s="68"/>
      <c r="V149" s="68"/>
      <c r="W149" s="68"/>
      <c r="X149" s="68"/>
      <c r="Y149" s="68"/>
      <c r="Z149" s="68"/>
      <c r="AA149" s="68"/>
      <c r="AB149" s="68"/>
      <c r="AC149" s="68"/>
      <c r="AD149" s="68"/>
      <c r="AE149" s="68"/>
      <c r="AF149" s="68"/>
      <c r="AG149" s="68"/>
      <c r="AH149" s="68"/>
      <c r="AI149" s="68"/>
      <c r="AJ149" s="68"/>
      <c r="AK149"/>
      <c r="AL149"/>
      <c r="AM149"/>
      <c r="AN149"/>
    </row>
    <row r="150" spans="1:40" ht="14.5" x14ac:dyDescent="0.35">
      <c r="A150" t="s">
        <v>554</v>
      </c>
      <c r="C150" t="s">
        <v>1050</v>
      </c>
      <c r="D150" t="s">
        <v>101</v>
      </c>
      <c r="E150">
        <v>500</v>
      </c>
      <c r="F150" s="68">
        <v>34</v>
      </c>
      <c r="G150" s="68">
        <v>34</v>
      </c>
      <c r="H150" s="68">
        <v>34</v>
      </c>
      <c r="I150" s="68">
        <v>34</v>
      </c>
      <c r="J150" s="68">
        <v>34</v>
      </c>
      <c r="K150" s="68">
        <v>34</v>
      </c>
      <c r="L150" s="68">
        <v>34</v>
      </c>
      <c r="M150" s="68">
        <v>34</v>
      </c>
      <c r="N150" s="68">
        <v>34</v>
      </c>
      <c r="O150" s="68">
        <v>34</v>
      </c>
      <c r="P150" s="68">
        <v>34</v>
      </c>
      <c r="Q150" s="68">
        <v>34</v>
      </c>
      <c r="R150" s="68">
        <v>34</v>
      </c>
      <c r="S150" s="68">
        <v>34</v>
      </c>
      <c r="T150" s="68"/>
      <c r="U150" s="68"/>
      <c r="V150" s="68"/>
      <c r="W150" s="68"/>
      <c r="X150" s="68"/>
      <c r="Y150" s="68"/>
      <c r="Z150" s="68"/>
      <c r="AA150" s="68"/>
      <c r="AB150" s="68"/>
      <c r="AC150" s="68"/>
      <c r="AD150" s="68"/>
      <c r="AE150" s="68"/>
      <c r="AF150" s="68"/>
      <c r="AG150" s="68"/>
      <c r="AH150" s="68"/>
      <c r="AI150" s="68"/>
      <c r="AJ150" s="68"/>
      <c r="AK150"/>
      <c r="AL150"/>
      <c r="AM150"/>
      <c r="AN150"/>
    </row>
    <row r="151" spans="1:40" ht="14.5" x14ac:dyDescent="0.35">
      <c r="A151" t="s">
        <v>554</v>
      </c>
      <c r="C151" t="s">
        <v>640</v>
      </c>
      <c r="D151" t="s">
        <v>102</v>
      </c>
      <c r="E151">
        <v>1</v>
      </c>
      <c r="F151" s="68">
        <v>0</v>
      </c>
      <c r="G151" s="68">
        <v>0</v>
      </c>
      <c r="H151" s="68">
        <v>0</v>
      </c>
      <c r="I151" s="68">
        <v>0</v>
      </c>
      <c r="J151" s="68">
        <v>0</v>
      </c>
      <c r="K151" s="68">
        <v>0</v>
      </c>
      <c r="L151" s="68">
        <v>0</v>
      </c>
      <c r="M151" s="68">
        <v>0</v>
      </c>
      <c r="N151" s="68">
        <v>0</v>
      </c>
      <c r="O151" s="68">
        <v>0</v>
      </c>
      <c r="P151" s="68">
        <v>0</v>
      </c>
      <c r="Q151" s="68">
        <v>0</v>
      </c>
      <c r="R151" s="68">
        <v>0</v>
      </c>
      <c r="S151" s="68">
        <v>0</v>
      </c>
      <c r="T151" s="68"/>
      <c r="U151" s="68"/>
      <c r="V151" s="68"/>
      <c r="W151" s="68"/>
      <c r="X151" s="68"/>
      <c r="Y151" s="68"/>
      <c r="Z151" s="68"/>
      <c r="AA151" s="68"/>
      <c r="AB151" s="68"/>
      <c r="AC151" s="68"/>
      <c r="AD151" s="68"/>
      <c r="AE151" s="68"/>
      <c r="AF151" s="68"/>
      <c r="AG151" s="68"/>
      <c r="AH151" s="68"/>
      <c r="AI151" s="68"/>
      <c r="AJ151" s="68"/>
      <c r="AK151"/>
      <c r="AL151"/>
      <c r="AM151"/>
      <c r="AN151"/>
    </row>
    <row r="152" spans="1:40" ht="14.5" x14ac:dyDescent="0.35">
      <c r="A152" t="s">
        <v>554</v>
      </c>
      <c r="B152" t="s">
        <v>558</v>
      </c>
      <c r="C152" t="s">
        <v>554</v>
      </c>
      <c r="D152" t="s">
        <v>67</v>
      </c>
      <c r="F152" s="68"/>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c r="AD152" s="68"/>
      <c r="AE152" s="68"/>
      <c r="AF152" s="68"/>
      <c r="AG152" s="68"/>
      <c r="AH152" s="68"/>
      <c r="AI152" s="68"/>
      <c r="AJ152" s="68"/>
      <c r="AK152"/>
      <c r="AL152"/>
      <c r="AM152"/>
      <c r="AN152"/>
    </row>
    <row r="153" spans="1:40" ht="14.5" x14ac:dyDescent="0.35">
      <c r="A153" t="s">
        <v>10</v>
      </c>
      <c r="C153" t="s">
        <v>1051</v>
      </c>
      <c r="D153" t="s">
        <v>101</v>
      </c>
      <c r="E153">
        <v>1</v>
      </c>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c r="AF153" s="68"/>
      <c r="AG153" s="68"/>
      <c r="AH153" s="68"/>
      <c r="AI153" s="68"/>
      <c r="AJ153" s="68"/>
      <c r="AK153"/>
      <c r="AL153"/>
      <c r="AM153"/>
      <c r="AN153"/>
    </row>
    <row r="154" spans="1:40" ht="14.5" x14ac:dyDescent="0.35">
      <c r="A154" t="s">
        <v>10</v>
      </c>
      <c r="B154" t="s">
        <v>560</v>
      </c>
      <c r="C154" t="s">
        <v>10</v>
      </c>
      <c r="D154" t="s">
        <v>556</v>
      </c>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c r="AF154" s="68"/>
      <c r="AG154" s="68"/>
      <c r="AH154" s="68"/>
      <c r="AI154" s="68"/>
      <c r="AJ154" s="68"/>
      <c r="AK154"/>
      <c r="AL154"/>
      <c r="AM154"/>
      <c r="AN154"/>
    </row>
    <row r="155" spans="1:40" ht="14.5" x14ac:dyDescent="0.35">
      <c r="A155" t="s">
        <v>574</v>
      </c>
      <c r="C155" t="s">
        <v>1118</v>
      </c>
      <c r="D155" t="s">
        <v>103</v>
      </c>
      <c r="E155">
        <v>50</v>
      </c>
      <c r="F155" s="68">
        <v>0</v>
      </c>
      <c r="G155" s="68">
        <v>0</v>
      </c>
      <c r="H155" s="68">
        <v>1</v>
      </c>
      <c r="I155" s="68">
        <v>2</v>
      </c>
      <c r="J155" s="68">
        <v>1</v>
      </c>
      <c r="K155" s="68">
        <v>1</v>
      </c>
      <c r="L155" s="68">
        <v>1</v>
      </c>
      <c r="M155" s="68">
        <v>1</v>
      </c>
      <c r="N155" s="68">
        <v>1</v>
      </c>
      <c r="O155" s="68">
        <v>2</v>
      </c>
      <c r="P155" s="68">
        <v>2</v>
      </c>
      <c r="Q155" s="68">
        <v>1</v>
      </c>
      <c r="R155" s="68">
        <v>1</v>
      </c>
      <c r="S155" s="68">
        <v>1</v>
      </c>
      <c r="T155" s="68"/>
      <c r="U155" s="68"/>
      <c r="V155" s="68"/>
      <c r="W155" s="68"/>
      <c r="X155" s="68"/>
      <c r="Y155" s="68"/>
      <c r="Z155" s="68"/>
      <c r="AA155" s="68"/>
      <c r="AB155" s="68"/>
      <c r="AC155" s="68"/>
      <c r="AD155" s="68"/>
      <c r="AE155" s="68"/>
      <c r="AF155" s="68"/>
      <c r="AG155" s="68"/>
      <c r="AH155" s="68"/>
      <c r="AI155" s="68"/>
      <c r="AJ155" s="68"/>
      <c r="AK155"/>
      <c r="AL155"/>
      <c r="AM155"/>
      <c r="AN155"/>
    </row>
    <row r="156" spans="1:40" ht="14.5" x14ac:dyDescent="0.35">
      <c r="A156" t="s">
        <v>574</v>
      </c>
      <c r="C156" t="s">
        <v>572</v>
      </c>
      <c r="D156" t="s">
        <v>102</v>
      </c>
      <c r="E156">
        <v>1</v>
      </c>
      <c r="F156" s="68">
        <v>109</v>
      </c>
      <c r="G156" s="68">
        <v>112</v>
      </c>
      <c r="H156" s="68">
        <v>54</v>
      </c>
      <c r="I156" s="68">
        <v>43</v>
      </c>
      <c r="J156" s="68">
        <v>38</v>
      </c>
      <c r="K156" s="68">
        <v>34</v>
      </c>
      <c r="L156" s="68">
        <v>30</v>
      </c>
      <c r="M156" s="68">
        <v>33</v>
      </c>
      <c r="N156" s="68">
        <v>33</v>
      </c>
      <c r="O156" s="68">
        <v>29</v>
      </c>
      <c r="P156" s="68">
        <v>22</v>
      </c>
      <c r="Q156" s="68">
        <v>70</v>
      </c>
      <c r="R156" s="68">
        <v>66</v>
      </c>
      <c r="S156" s="68">
        <v>59</v>
      </c>
      <c r="T156" s="68"/>
      <c r="U156" s="68"/>
      <c r="V156" s="68"/>
      <c r="W156" s="68"/>
      <c r="X156" s="68"/>
      <c r="Y156" s="68"/>
      <c r="Z156" s="68"/>
      <c r="AA156" s="68"/>
      <c r="AB156" s="68"/>
      <c r="AC156" s="68"/>
      <c r="AD156" s="68"/>
      <c r="AE156" s="68"/>
      <c r="AF156" s="68"/>
      <c r="AG156" s="68"/>
      <c r="AH156" s="68"/>
      <c r="AI156" s="68"/>
      <c r="AJ156" s="68"/>
      <c r="AK156"/>
      <c r="AL156"/>
      <c r="AM156"/>
      <c r="AN156"/>
    </row>
    <row r="157" spans="1:40" ht="14.5" x14ac:dyDescent="0.35">
      <c r="A157" t="s">
        <v>574</v>
      </c>
      <c r="B157" t="s">
        <v>573</v>
      </c>
      <c r="C157" t="s">
        <v>574</v>
      </c>
      <c r="D157" t="s">
        <v>67</v>
      </c>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c r="AD157" s="68"/>
      <c r="AE157" s="68"/>
      <c r="AF157" s="68"/>
      <c r="AG157" s="68"/>
      <c r="AH157" s="68"/>
      <c r="AI157" s="68"/>
      <c r="AJ157" s="68"/>
      <c r="AK157"/>
      <c r="AL157"/>
      <c r="AM157"/>
      <c r="AN157"/>
    </row>
    <row r="158" spans="1:40" ht="14.5" x14ac:dyDescent="0.35">
      <c r="A158" t="s">
        <v>503</v>
      </c>
      <c r="C158" t="s">
        <v>1119</v>
      </c>
      <c r="D158" t="s">
        <v>101</v>
      </c>
      <c r="E158">
        <v>100</v>
      </c>
      <c r="F158" s="68">
        <v>133</v>
      </c>
      <c r="G158" s="68">
        <v>129</v>
      </c>
      <c r="H158" s="68">
        <v>119</v>
      </c>
      <c r="I158" s="68">
        <v>110</v>
      </c>
      <c r="J158" s="68">
        <v>106</v>
      </c>
      <c r="K158" s="68">
        <v>98</v>
      </c>
      <c r="L158" s="68">
        <v>92</v>
      </c>
      <c r="M158" s="68">
        <v>86</v>
      </c>
      <c r="N158" s="68">
        <v>79</v>
      </c>
      <c r="O158" s="68">
        <v>71</v>
      </c>
      <c r="P158" s="68">
        <v>64</v>
      </c>
      <c r="Q158" s="68">
        <v>57</v>
      </c>
      <c r="R158" s="68">
        <v>52</v>
      </c>
      <c r="S158" s="68">
        <v>45</v>
      </c>
      <c r="T158" s="68"/>
      <c r="U158" s="68"/>
      <c r="V158" s="68"/>
      <c r="W158" s="68"/>
      <c r="X158" s="68"/>
      <c r="Y158" s="68"/>
      <c r="Z158" s="68"/>
      <c r="AA158" s="68"/>
      <c r="AB158" s="68"/>
      <c r="AC158" s="68"/>
      <c r="AD158" s="68"/>
      <c r="AE158" s="68"/>
      <c r="AF158" s="68"/>
      <c r="AG158" s="68"/>
      <c r="AH158" s="68"/>
      <c r="AI158" s="68"/>
      <c r="AJ158" s="68"/>
      <c r="AK158"/>
      <c r="AL158"/>
      <c r="AM158"/>
      <c r="AN158"/>
    </row>
    <row r="159" spans="1:40" ht="14.5" x14ac:dyDescent="0.35">
      <c r="A159" t="s">
        <v>503</v>
      </c>
      <c r="C159" t="s">
        <v>525</v>
      </c>
      <c r="D159" t="s">
        <v>549</v>
      </c>
      <c r="E159">
        <v>1</v>
      </c>
      <c r="F159" s="68">
        <v>25</v>
      </c>
      <c r="G159" s="68">
        <v>0</v>
      </c>
      <c r="H159" s="68">
        <v>0</v>
      </c>
      <c r="I159" s="68">
        <v>0</v>
      </c>
      <c r="J159" s="68">
        <v>14</v>
      </c>
      <c r="K159" s="68">
        <v>34</v>
      </c>
      <c r="L159" s="68">
        <v>72</v>
      </c>
      <c r="M159" s="68">
        <v>0</v>
      </c>
      <c r="N159" s="68">
        <v>0</v>
      </c>
      <c r="O159" s="68">
        <v>67</v>
      </c>
      <c r="P159" s="68">
        <v>78</v>
      </c>
      <c r="Q159" s="68">
        <v>27</v>
      </c>
      <c r="R159" s="68">
        <v>11</v>
      </c>
      <c r="S159" s="68">
        <v>79</v>
      </c>
      <c r="T159" s="68"/>
      <c r="U159" s="68"/>
      <c r="V159" s="68"/>
      <c r="W159" s="68"/>
      <c r="X159" s="68"/>
      <c r="Y159" s="68"/>
      <c r="Z159" s="68"/>
      <c r="AA159" s="68"/>
      <c r="AB159" s="68"/>
      <c r="AC159" s="68"/>
      <c r="AD159" s="68"/>
      <c r="AE159" s="68"/>
      <c r="AF159" s="68"/>
      <c r="AG159" s="68"/>
      <c r="AH159" s="68"/>
      <c r="AI159" s="68"/>
      <c r="AJ159" s="68"/>
      <c r="AK159"/>
      <c r="AL159"/>
      <c r="AM159"/>
      <c r="AN159"/>
    </row>
    <row r="160" spans="1:40" ht="14.5" x14ac:dyDescent="0.35">
      <c r="A160" t="s">
        <v>503</v>
      </c>
      <c r="B160" t="s">
        <v>521</v>
      </c>
      <c r="C160" t="s">
        <v>503</v>
      </c>
      <c r="D160" t="s">
        <v>150</v>
      </c>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c r="AF160" s="68"/>
      <c r="AG160" s="68"/>
      <c r="AH160" s="68"/>
      <c r="AI160" s="68"/>
      <c r="AJ160" s="68"/>
      <c r="AK160"/>
      <c r="AL160"/>
      <c r="AM160"/>
      <c r="AN160"/>
    </row>
    <row r="161" spans="1:40" ht="14.5" x14ac:dyDescent="0.35">
      <c r="A161" t="s">
        <v>11</v>
      </c>
      <c r="C161" t="s">
        <v>1052</v>
      </c>
      <c r="D161" t="s">
        <v>101</v>
      </c>
      <c r="E161">
        <v>1</v>
      </c>
      <c r="F161" s="68">
        <v>93</v>
      </c>
      <c r="G161" s="68">
        <v>91</v>
      </c>
      <c r="H161" s="68">
        <v>80</v>
      </c>
      <c r="I161" s="68">
        <v>88</v>
      </c>
      <c r="J161" s="68">
        <v>73</v>
      </c>
      <c r="K161" s="68">
        <v>86</v>
      </c>
      <c r="L161" s="68">
        <v>82</v>
      </c>
      <c r="M161" s="68">
        <v>82</v>
      </c>
      <c r="N161" s="68">
        <v>79</v>
      </c>
      <c r="O161" s="68">
        <v>78</v>
      </c>
      <c r="P161" s="68">
        <v>78</v>
      </c>
      <c r="Q161" s="68">
        <f>34+42</f>
        <v>76</v>
      </c>
      <c r="R161" s="68">
        <v>76</v>
      </c>
      <c r="S161" s="68">
        <v>74</v>
      </c>
      <c r="T161" s="68"/>
      <c r="U161" s="68"/>
      <c r="V161" s="68"/>
      <c r="W161" s="68"/>
      <c r="X161" s="68"/>
      <c r="Y161" s="68"/>
      <c r="Z161" s="68"/>
      <c r="AA161" s="68"/>
      <c r="AB161" s="68"/>
      <c r="AC161" s="68"/>
      <c r="AD161" s="68"/>
      <c r="AE161" s="68"/>
      <c r="AF161" s="68"/>
      <c r="AG161" s="68"/>
      <c r="AH161" s="68"/>
      <c r="AI161" s="68"/>
      <c r="AJ161" s="68"/>
      <c r="AK161"/>
      <c r="AL161"/>
      <c r="AM161"/>
      <c r="AN161"/>
    </row>
    <row r="162" spans="1:40" ht="14.5" x14ac:dyDescent="0.35">
      <c r="A162" t="s">
        <v>11</v>
      </c>
      <c r="B162" t="s">
        <v>566</v>
      </c>
      <c r="C162" t="s">
        <v>11</v>
      </c>
      <c r="D162" t="s">
        <v>556</v>
      </c>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c r="AF162" s="68"/>
      <c r="AG162" s="68"/>
      <c r="AH162" s="68"/>
      <c r="AI162" s="68"/>
      <c r="AJ162" s="68"/>
      <c r="AK162"/>
      <c r="AL162"/>
      <c r="AM162"/>
      <c r="AN162"/>
    </row>
    <row r="163" spans="1:40" ht="14.5" x14ac:dyDescent="0.35">
      <c r="A163" t="s">
        <v>12</v>
      </c>
      <c r="C163" t="s">
        <v>1053</v>
      </c>
      <c r="D163" t="s">
        <v>101</v>
      </c>
      <c r="E163">
        <v>1</v>
      </c>
      <c r="F163" s="68">
        <v>64</v>
      </c>
      <c r="G163" s="68">
        <v>59</v>
      </c>
      <c r="H163" s="68">
        <v>58</v>
      </c>
      <c r="I163" s="68">
        <v>57</v>
      </c>
      <c r="J163" s="68">
        <v>80</v>
      </c>
      <c r="K163" s="68">
        <v>55</v>
      </c>
      <c r="L163" s="68">
        <v>53</v>
      </c>
      <c r="M163" s="68">
        <v>59</v>
      </c>
      <c r="N163" s="68">
        <v>51</v>
      </c>
      <c r="O163" s="68">
        <v>48</v>
      </c>
      <c r="P163" s="68">
        <v>49</v>
      </c>
      <c r="Q163" s="68">
        <f>21+25</f>
        <v>46</v>
      </c>
      <c r="R163" s="68">
        <v>42</v>
      </c>
      <c r="S163" s="68">
        <v>52</v>
      </c>
      <c r="T163" s="68"/>
      <c r="U163" s="68"/>
      <c r="V163" s="68"/>
      <c r="W163" s="68"/>
      <c r="X163" s="68"/>
      <c r="Y163" s="68"/>
      <c r="Z163" s="68"/>
      <c r="AA163" s="68"/>
      <c r="AB163" s="68"/>
      <c r="AC163" s="68"/>
      <c r="AD163" s="68"/>
      <c r="AE163" s="68"/>
      <c r="AF163" s="68"/>
      <c r="AG163" s="68"/>
      <c r="AH163" s="68"/>
      <c r="AI163" s="68"/>
      <c r="AJ163" s="68"/>
      <c r="AK163"/>
      <c r="AL163"/>
      <c r="AM163"/>
      <c r="AN163"/>
    </row>
    <row r="164" spans="1:40" ht="14.5" x14ac:dyDescent="0.35">
      <c r="A164" t="s">
        <v>12</v>
      </c>
      <c r="B164" t="s">
        <v>567</v>
      </c>
      <c r="C164" t="s">
        <v>12</v>
      </c>
      <c r="D164" t="s">
        <v>556</v>
      </c>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c r="AF164" s="68"/>
      <c r="AG164" s="68"/>
      <c r="AH164" s="68"/>
      <c r="AI164" s="68"/>
      <c r="AJ164" s="68"/>
      <c r="AK164"/>
      <c r="AL164"/>
      <c r="AM164"/>
      <c r="AN164"/>
    </row>
    <row r="165" spans="1:40" ht="14.5" x14ac:dyDescent="0.35">
      <c r="A165" t="s">
        <v>13</v>
      </c>
      <c r="C165" t="s">
        <v>1054</v>
      </c>
      <c r="D165" t="s">
        <v>101</v>
      </c>
      <c r="E165">
        <v>1</v>
      </c>
      <c r="F165" s="68">
        <v>115</v>
      </c>
      <c r="G165" s="68">
        <v>112</v>
      </c>
      <c r="H165" s="68">
        <v>109</v>
      </c>
      <c r="I165" s="68">
        <v>107</v>
      </c>
      <c r="J165" s="68">
        <v>105</v>
      </c>
      <c r="K165" s="68">
        <v>105</v>
      </c>
      <c r="L165" s="68">
        <v>103</v>
      </c>
      <c r="M165" s="68">
        <v>99</v>
      </c>
      <c r="N165" s="68">
        <v>99</v>
      </c>
      <c r="O165" s="68">
        <v>94</v>
      </c>
      <c r="P165" s="68">
        <v>94</v>
      </c>
      <c r="Q165" s="68">
        <f>65+26</f>
        <v>91</v>
      </c>
      <c r="R165" s="68">
        <v>91</v>
      </c>
      <c r="S165" s="68">
        <v>85</v>
      </c>
      <c r="T165" s="68"/>
      <c r="U165" s="68"/>
      <c r="V165" s="68"/>
      <c r="W165" s="68"/>
      <c r="X165" s="68"/>
      <c r="Y165" s="68"/>
      <c r="Z165" s="68"/>
      <c r="AA165" s="68"/>
      <c r="AB165" s="68"/>
      <c r="AC165" s="68"/>
      <c r="AD165" s="68"/>
      <c r="AE165" s="68"/>
      <c r="AF165" s="68"/>
      <c r="AG165" s="68"/>
      <c r="AH165" s="68"/>
      <c r="AI165" s="68"/>
      <c r="AJ165" s="68"/>
      <c r="AK165"/>
      <c r="AL165"/>
      <c r="AM165"/>
      <c r="AN165"/>
    </row>
    <row r="166" spans="1:40" ht="14.5" x14ac:dyDescent="0.35">
      <c r="A166" t="s">
        <v>13</v>
      </c>
      <c r="B166" t="s">
        <v>564</v>
      </c>
      <c r="C166" t="s">
        <v>13</v>
      </c>
      <c r="D166" t="s">
        <v>556</v>
      </c>
      <c r="F166" s="68"/>
      <c r="G166" s="68"/>
      <c r="H166" s="68"/>
      <c r="I166" s="68"/>
      <c r="J166" s="68"/>
      <c r="K166" s="68"/>
      <c r="L166" s="68"/>
      <c r="M166" s="68"/>
      <c r="N166" s="68"/>
      <c r="O166" s="68"/>
      <c r="P166" s="68"/>
      <c r="Q166" s="68"/>
      <c r="R166" s="68"/>
      <c r="S166" s="68"/>
      <c r="T166" s="68"/>
      <c r="U166" s="68"/>
      <c r="V166" s="68"/>
      <c r="W166" s="68"/>
      <c r="X166" s="68"/>
      <c r="Y166" s="68"/>
      <c r="Z166" s="68"/>
      <c r="AA166" s="68"/>
      <c r="AB166" s="68"/>
      <c r="AC166" s="68"/>
      <c r="AD166" s="68"/>
      <c r="AE166" s="68"/>
      <c r="AF166" s="68"/>
      <c r="AG166" s="68"/>
      <c r="AH166" s="68"/>
      <c r="AI166" s="68"/>
      <c r="AJ166" s="68"/>
      <c r="AK166"/>
      <c r="AL166"/>
      <c r="AM166"/>
      <c r="AN166"/>
    </row>
    <row r="167" spans="1:40" ht="14.5" x14ac:dyDescent="0.35">
      <c r="A167" t="s">
        <v>14</v>
      </c>
      <c r="C167" t="s">
        <v>1055</v>
      </c>
      <c r="D167" t="s">
        <v>101</v>
      </c>
      <c r="E167">
        <v>1</v>
      </c>
      <c r="F167" s="68">
        <v>165</v>
      </c>
      <c r="G167" s="68">
        <v>143</v>
      </c>
      <c r="H167" s="68">
        <v>137</v>
      </c>
      <c r="I167" s="68">
        <v>155</v>
      </c>
      <c r="J167" s="68">
        <v>152</v>
      </c>
      <c r="K167" s="68">
        <v>150</v>
      </c>
      <c r="L167" s="68">
        <v>146</v>
      </c>
      <c r="M167" s="68">
        <v>152</v>
      </c>
      <c r="N167" s="68">
        <v>141</v>
      </c>
      <c r="O167" s="68">
        <v>140</v>
      </c>
      <c r="P167" s="68">
        <f>105+34</f>
        <v>139</v>
      </c>
      <c r="Q167" s="68">
        <v>121</v>
      </c>
      <c r="R167" s="68">
        <v>136</v>
      </c>
      <c r="S167" s="68">
        <v>123</v>
      </c>
      <c r="T167" s="68"/>
      <c r="U167" s="68"/>
      <c r="V167" s="68"/>
      <c r="W167" s="68"/>
      <c r="X167" s="68"/>
      <c r="Y167" s="68"/>
      <c r="Z167" s="68"/>
      <c r="AA167" s="68"/>
      <c r="AB167" s="68"/>
      <c r="AC167" s="68"/>
      <c r="AD167" s="68"/>
      <c r="AE167" s="68"/>
      <c r="AF167" s="68"/>
      <c r="AG167" s="68"/>
      <c r="AH167" s="68"/>
      <c r="AI167" s="68"/>
      <c r="AJ167" s="68"/>
      <c r="AK167"/>
      <c r="AL167"/>
      <c r="AM167"/>
      <c r="AN167"/>
    </row>
    <row r="168" spans="1:40" ht="14.5" x14ac:dyDescent="0.35">
      <c r="A168" t="s">
        <v>14</v>
      </c>
      <c r="B168" t="s">
        <v>565</v>
      </c>
      <c r="C168" t="s">
        <v>14</v>
      </c>
      <c r="D168" t="s">
        <v>556</v>
      </c>
      <c r="F168" s="68"/>
      <c r="G168" s="68"/>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68"/>
      <c r="AG168" s="68"/>
      <c r="AH168" s="68"/>
      <c r="AI168" s="68"/>
      <c r="AJ168" s="68"/>
      <c r="AK168"/>
      <c r="AL168"/>
      <c r="AM168"/>
      <c r="AN168"/>
    </row>
    <row r="169" spans="1:40" ht="14.5" x14ac:dyDescent="0.35">
      <c r="A169" t="s">
        <v>498</v>
      </c>
      <c r="C169" t="s">
        <v>1073</v>
      </c>
      <c r="D169" t="s">
        <v>29</v>
      </c>
      <c r="E169">
        <v>1</v>
      </c>
      <c r="F169" s="68">
        <v>141000</v>
      </c>
      <c r="G169" s="68">
        <v>210000</v>
      </c>
      <c r="H169" s="68">
        <v>0</v>
      </c>
      <c r="I169" s="68">
        <v>0</v>
      </c>
      <c r="J169" s="68">
        <v>145000</v>
      </c>
      <c r="K169" s="68">
        <v>151500</v>
      </c>
      <c r="L169" s="68">
        <v>15561</v>
      </c>
      <c r="M169" s="68">
        <v>5500</v>
      </c>
      <c r="N169" s="68">
        <v>185000</v>
      </c>
      <c r="O169" s="68">
        <v>0</v>
      </c>
      <c r="P169" s="68">
        <v>178700</v>
      </c>
      <c r="Q169" s="68">
        <v>107000</v>
      </c>
      <c r="R169" s="68">
        <v>144000</v>
      </c>
      <c r="S169" s="68">
        <v>12000</v>
      </c>
      <c r="T169" s="68"/>
      <c r="U169" s="68"/>
      <c r="V169" s="68"/>
      <c r="W169" s="68"/>
      <c r="X169" s="68"/>
      <c r="Y169" s="68"/>
      <c r="Z169" s="68"/>
      <c r="AA169" s="68"/>
      <c r="AB169" s="68"/>
      <c r="AC169" s="68"/>
      <c r="AD169" s="68"/>
      <c r="AE169" s="68"/>
      <c r="AF169" s="68"/>
      <c r="AG169" s="68"/>
      <c r="AH169" s="68"/>
      <c r="AI169" s="68"/>
      <c r="AJ169" s="68"/>
      <c r="AK169"/>
      <c r="AL169"/>
      <c r="AM169"/>
      <c r="AN169"/>
    </row>
    <row r="170" spans="1:40" ht="14.5" x14ac:dyDescent="0.35">
      <c r="A170" t="s">
        <v>498</v>
      </c>
      <c r="C170" t="s">
        <v>1301</v>
      </c>
      <c r="D170" t="s">
        <v>29</v>
      </c>
      <c r="E170">
        <v>1</v>
      </c>
      <c r="F170" s="68"/>
      <c r="G170" s="68">
        <v>0</v>
      </c>
      <c r="H170" s="68">
        <v>0</v>
      </c>
      <c r="I170" s="68">
        <v>0</v>
      </c>
      <c r="J170" s="68">
        <v>0</v>
      </c>
      <c r="K170" s="68">
        <v>0</v>
      </c>
      <c r="L170" s="68">
        <v>0</v>
      </c>
      <c r="M170" s="68">
        <v>0</v>
      </c>
      <c r="N170" s="68">
        <v>0</v>
      </c>
      <c r="O170" s="68">
        <v>0</v>
      </c>
      <c r="P170" s="68">
        <v>0</v>
      </c>
      <c r="Q170" s="68">
        <v>0</v>
      </c>
      <c r="R170" s="68">
        <v>0</v>
      </c>
      <c r="S170" s="68">
        <v>0</v>
      </c>
      <c r="T170" s="68"/>
      <c r="U170" s="68"/>
      <c r="V170" s="68"/>
      <c r="W170" s="68"/>
      <c r="X170" s="68"/>
      <c r="Y170" s="68"/>
      <c r="Z170" s="68"/>
      <c r="AA170" s="68"/>
      <c r="AB170" s="68"/>
      <c r="AC170" s="68"/>
      <c r="AD170" s="68"/>
      <c r="AE170" s="68"/>
      <c r="AF170" s="68"/>
      <c r="AG170" s="68"/>
      <c r="AH170" s="68"/>
      <c r="AI170" s="68"/>
      <c r="AJ170" s="68"/>
      <c r="AK170"/>
      <c r="AL170"/>
      <c r="AM170"/>
      <c r="AN170"/>
    </row>
    <row r="171" spans="1:40" ht="14.5" x14ac:dyDescent="0.35">
      <c r="A171" t="s">
        <v>498</v>
      </c>
      <c r="B171" t="s">
        <v>520</v>
      </c>
      <c r="C171" t="s">
        <v>498</v>
      </c>
      <c r="D171" t="s">
        <v>35</v>
      </c>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c r="AF171" s="68"/>
      <c r="AG171" s="68"/>
      <c r="AH171" s="68"/>
      <c r="AI171" s="68"/>
      <c r="AJ171" s="68"/>
      <c r="AK171"/>
      <c r="AL171"/>
      <c r="AM171"/>
      <c r="AN171"/>
    </row>
    <row r="172" spans="1:40" ht="14.5" x14ac:dyDescent="0.35">
      <c r="A172" t="s">
        <v>1339</v>
      </c>
      <c r="C172" t="s">
        <v>1376</v>
      </c>
      <c r="D172" t="s">
        <v>557</v>
      </c>
      <c r="E172">
        <v>21000</v>
      </c>
      <c r="F172" s="68">
        <v>2</v>
      </c>
      <c r="G172" s="68">
        <v>0</v>
      </c>
      <c r="H172" s="68">
        <v>8</v>
      </c>
      <c r="I172" s="68">
        <v>4</v>
      </c>
      <c r="J172" s="68">
        <v>8</v>
      </c>
      <c r="K172" s="68">
        <v>12</v>
      </c>
      <c r="L172" s="68">
        <v>11</v>
      </c>
      <c r="M172" s="68">
        <v>7</v>
      </c>
      <c r="N172" s="68">
        <v>7</v>
      </c>
      <c r="O172" s="68">
        <v>9</v>
      </c>
      <c r="P172" s="68">
        <v>5</v>
      </c>
      <c r="Q172" s="68">
        <v>7</v>
      </c>
      <c r="R172" s="68">
        <v>11</v>
      </c>
      <c r="S172" s="68">
        <v>7</v>
      </c>
      <c r="T172" s="68"/>
      <c r="U172" s="68"/>
      <c r="V172" s="68"/>
      <c r="W172" s="68"/>
      <c r="X172" s="68"/>
      <c r="Y172" s="68"/>
      <c r="Z172" s="68"/>
      <c r="AA172" s="68"/>
      <c r="AB172" s="68"/>
      <c r="AC172" s="68"/>
      <c r="AD172" s="68"/>
      <c r="AE172" s="68"/>
      <c r="AF172" s="68"/>
      <c r="AG172" s="68"/>
      <c r="AH172" s="68"/>
      <c r="AI172" s="68"/>
      <c r="AJ172" s="68"/>
      <c r="AK172"/>
      <c r="AL172"/>
      <c r="AM172"/>
      <c r="AN172"/>
    </row>
    <row r="173" spans="1:40" ht="14.5" x14ac:dyDescent="0.35">
      <c r="A173" t="s">
        <v>1339</v>
      </c>
      <c r="C173" t="s">
        <v>1377</v>
      </c>
      <c r="D173" t="s">
        <v>101</v>
      </c>
      <c r="E173">
        <v>1000</v>
      </c>
      <c r="F173" s="68">
        <v>184</v>
      </c>
      <c r="G173" s="68">
        <v>161</v>
      </c>
      <c r="H173" s="68">
        <v>147</v>
      </c>
      <c r="I173" s="68">
        <v>168</v>
      </c>
      <c r="J173" s="68">
        <v>153</v>
      </c>
      <c r="K173" s="68">
        <v>6</v>
      </c>
      <c r="L173" s="68">
        <v>132</v>
      </c>
      <c r="M173" s="68">
        <v>155</v>
      </c>
      <c r="N173" s="68">
        <v>154</v>
      </c>
      <c r="O173" s="68">
        <v>150</v>
      </c>
      <c r="P173" s="68">
        <f>23+126</f>
        <v>149</v>
      </c>
      <c r="Q173" s="68">
        <v>153</v>
      </c>
      <c r="R173" s="68">
        <v>140</v>
      </c>
      <c r="S173" s="68">
        <v>157</v>
      </c>
      <c r="T173" s="68"/>
      <c r="U173" s="68"/>
      <c r="V173" s="68"/>
      <c r="W173" s="68"/>
      <c r="X173" s="68"/>
      <c r="Y173" s="68"/>
      <c r="Z173" s="68"/>
      <c r="AA173" s="68"/>
      <c r="AB173" s="68"/>
      <c r="AC173" s="68"/>
      <c r="AD173" s="68"/>
      <c r="AE173" s="68"/>
      <c r="AF173" s="68"/>
      <c r="AG173" s="68"/>
      <c r="AH173" s="68"/>
      <c r="AI173" s="68"/>
      <c r="AJ173" s="68"/>
      <c r="AK173"/>
      <c r="AL173"/>
      <c r="AM173"/>
      <c r="AN173"/>
    </row>
    <row r="174" spans="1:40" ht="14.5" x14ac:dyDescent="0.35">
      <c r="A174" t="s">
        <v>1339</v>
      </c>
      <c r="C174" t="s">
        <v>1457</v>
      </c>
      <c r="D174" t="s">
        <v>29</v>
      </c>
      <c r="E174">
        <v>1</v>
      </c>
      <c r="F174" s="68">
        <v>822</v>
      </c>
      <c r="G174" s="68">
        <v>0</v>
      </c>
      <c r="H174" s="68">
        <v>0</v>
      </c>
      <c r="I174" s="68">
        <v>0</v>
      </c>
      <c r="J174" s="68">
        <v>29</v>
      </c>
      <c r="K174" s="68">
        <v>0</v>
      </c>
      <c r="L174" s="68">
        <v>0</v>
      </c>
      <c r="M174" s="68">
        <v>428</v>
      </c>
      <c r="N174" s="68">
        <v>9</v>
      </c>
      <c r="O174" s="68">
        <v>961</v>
      </c>
      <c r="P174" s="68">
        <v>0</v>
      </c>
      <c r="Q174" s="68">
        <v>395</v>
      </c>
      <c r="R174" s="68">
        <v>0</v>
      </c>
      <c r="S174" s="68">
        <v>0</v>
      </c>
      <c r="T174" s="68"/>
      <c r="U174" s="68"/>
      <c r="V174" s="68"/>
      <c r="W174" s="68"/>
      <c r="X174" s="68"/>
      <c r="Y174" s="68"/>
      <c r="Z174" s="68"/>
      <c r="AA174" s="68"/>
      <c r="AB174" s="68"/>
      <c r="AC174" s="68"/>
      <c r="AD174" s="68"/>
      <c r="AE174" s="68"/>
      <c r="AF174" s="68"/>
      <c r="AG174" s="68"/>
      <c r="AH174" s="68"/>
      <c r="AI174" s="68"/>
      <c r="AJ174" s="68"/>
      <c r="AK174"/>
      <c r="AL174"/>
      <c r="AM174"/>
      <c r="AN174"/>
    </row>
    <row r="175" spans="1:40" ht="14.5" x14ac:dyDescent="0.35">
      <c r="A175" t="s">
        <v>1339</v>
      </c>
      <c r="B175" t="s">
        <v>1378</v>
      </c>
      <c r="C175" t="s">
        <v>1339</v>
      </c>
      <c r="D175" t="s">
        <v>35</v>
      </c>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c r="AD175" s="68"/>
      <c r="AE175" s="68"/>
      <c r="AF175" s="68"/>
      <c r="AG175" s="68"/>
      <c r="AH175" s="68"/>
      <c r="AI175" s="68"/>
      <c r="AJ175" s="68"/>
      <c r="AK175"/>
      <c r="AL175"/>
      <c r="AM175"/>
      <c r="AN175"/>
    </row>
    <row r="176" spans="1:40" ht="14.5" x14ac:dyDescent="0.35">
      <c r="A176" t="s">
        <v>1348</v>
      </c>
      <c r="C176" t="s">
        <v>1419</v>
      </c>
      <c r="D176" t="s">
        <v>103</v>
      </c>
      <c r="E176">
        <v>15000</v>
      </c>
      <c r="F176" s="68">
        <v>1</v>
      </c>
      <c r="G176" s="68">
        <v>1</v>
      </c>
      <c r="H176" s="68">
        <v>1</v>
      </c>
      <c r="I176" s="68">
        <v>1</v>
      </c>
      <c r="J176" s="68">
        <v>1</v>
      </c>
      <c r="K176" s="68">
        <v>1</v>
      </c>
      <c r="L176" s="68">
        <v>0</v>
      </c>
      <c r="M176" s="68">
        <v>0</v>
      </c>
      <c r="N176" s="68">
        <v>0</v>
      </c>
      <c r="O176" s="68">
        <v>0</v>
      </c>
      <c r="P176" s="68">
        <v>0</v>
      </c>
      <c r="Q176" s="68">
        <v>0</v>
      </c>
      <c r="R176" s="68">
        <v>0</v>
      </c>
      <c r="S176" s="68">
        <v>0</v>
      </c>
      <c r="T176" s="68"/>
      <c r="U176" s="68"/>
      <c r="V176" s="68"/>
      <c r="W176" s="68"/>
      <c r="X176" s="68"/>
      <c r="Y176" s="68"/>
      <c r="Z176" s="68"/>
      <c r="AA176" s="68"/>
      <c r="AB176" s="68"/>
      <c r="AC176" s="68"/>
      <c r="AD176" s="68"/>
      <c r="AE176" s="68"/>
      <c r="AF176" s="68"/>
      <c r="AG176" s="68"/>
      <c r="AH176" s="68"/>
      <c r="AI176" s="68"/>
      <c r="AJ176" s="68"/>
      <c r="AK176"/>
      <c r="AL176"/>
      <c r="AM176"/>
      <c r="AN176"/>
    </row>
    <row r="177" spans="1:40" ht="14.5" x14ac:dyDescent="0.35">
      <c r="A177" t="s">
        <v>1348</v>
      </c>
      <c r="C177" t="s">
        <v>1420</v>
      </c>
      <c r="D177" t="s">
        <v>101</v>
      </c>
      <c r="E177">
        <v>1000</v>
      </c>
      <c r="F177" s="68">
        <v>11</v>
      </c>
      <c r="G177" s="68">
        <v>10</v>
      </c>
      <c r="H177" s="68">
        <v>9</v>
      </c>
      <c r="I177" s="68">
        <v>7</v>
      </c>
      <c r="J177" s="68">
        <v>6</v>
      </c>
      <c r="K177" s="68">
        <v>5</v>
      </c>
      <c r="L177" s="68">
        <v>20</v>
      </c>
      <c r="M177" s="68">
        <v>19</v>
      </c>
      <c r="N177" s="68">
        <v>18</v>
      </c>
      <c r="O177" s="68">
        <v>16</v>
      </c>
      <c r="P177" s="68">
        <v>13</v>
      </c>
      <c r="Q177" s="68">
        <v>14</v>
      </c>
      <c r="R177" s="68">
        <v>13</v>
      </c>
      <c r="S177" s="68">
        <v>12</v>
      </c>
      <c r="T177" s="68"/>
      <c r="U177" s="68"/>
      <c r="V177" s="68"/>
      <c r="W177" s="68"/>
      <c r="X177" s="68"/>
      <c r="Y177" s="68"/>
      <c r="Z177" s="68"/>
      <c r="AA177" s="68"/>
      <c r="AB177" s="68"/>
      <c r="AC177" s="68"/>
      <c r="AD177" s="68"/>
      <c r="AE177" s="68"/>
      <c r="AF177" s="68"/>
      <c r="AG177" s="68"/>
      <c r="AH177" s="68"/>
      <c r="AI177" s="68"/>
      <c r="AJ177" s="68"/>
      <c r="AK177"/>
      <c r="AL177"/>
      <c r="AM177"/>
      <c r="AN177"/>
    </row>
    <row r="178" spans="1:40" ht="14.5" x14ac:dyDescent="0.35">
      <c r="A178" t="s">
        <v>1348</v>
      </c>
      <c r="C178" t="s">
        <v>1421</v>
      </c>
      <c r="D178" t="s">
        <v>29</v>
      </c>
      <c r="E178">
        <v>1</v>
      </c>
      <c r="F178" s="68">
        <v>1082</v>
      </c>
      <c r="G178" s="68">
        <v>917</v>
      </c>
      <c r="H178" s="68">
        <v>505</v>
      </c>
      <c r="I178" s="68">
        <v>9074</v>
      </c>
      <c r="J178" s="68">
        <v>934</v>
      </c>
      <c r="K178" s="68">
        <v>855</v>
      </c>
      <c r="L178" s="68">
        <v>107</v>
      </c>
      <c r="M178" s="68">
        <v>159</v>
      </c>
      <c r="N178" s="68">
        <v>357</v>
      </c>
      <c r="O178" s="68">
        <v>1214</v>
      </c>
      <c r="P178" s="68">
        <v>886</v>
      </c>
      <c r="Q178" s="68">
        <v>869</v>
      </c>
      <c r="R178" s="68">
        <v>939</v>
      </c>
      <c r="S178" s="68">
        <v>1149</v>
      </c>
      <c r="T178" s="68"/>
      <c r="U178" s="68"/>
      <c r="V178" s="68"/>
      <c r="W178" s="68"/>
      <c r="X178" s="68"/>
      <c r="Y178" s="68"/>
      <c r="Z178" s="68"/>
      <c r="AA178" s="68"/>
      <c r="AB178" s="68"/>
      <c r="AC178" s="68"/>
      <c r="AD178" s="68"/>
      <c r="AE178" s="68"/>
      <c r="AF178" s="68"/>
      <c r="AG178" s="68"/>
      <c r="AH178" s="68"/>
      <c r="AI178" s="68"/>
      <c r="AJ178" s="68"/>
      <c r="AK178"/>
      <c r="AL178"/>
      <c r="AM178"/>
      <c r="AN178"/>
    </row>
    <row r="179" spans="1:40" ht="14.5" x14ac:dyDescent="0.35">
      <c r="A179" t="s">
        <v>1348</v>
      </c>
      <c r="B179" t="s">
        <v>1399</v>
      </c>
      <c r="C179" t="s">
        <v>1348</v>
      </c>
      <c r="D179" t="s">
        <v>35</v>
      </c>
      <c r="F179" s="68"/>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c r="AD179" s="68"/>
      <c r="AE179" s="68"/>
      <c r="AF179" s="68"/>
      <c r="AG179" s="68"/>
      <c r="AH179" s="68"/>
      <c r="AI179" s="68"/>
      <c r="AJ179" s="68"/>
      <c r="AK179"/>
      <c r="AL179"/>
      <c r="AM179"/>
      <c r="AN179"/>
    </row>
    <row r="180" spans="1:40" ht="14.5" x14ac:dyDescent="0.35">
      <c r="A180" t="s">
        <v>610</v>
      </c>
      <c r="C180" t="s">
        <v>607</v>
      </c>
      <c r="D180" t="s">
        <v>608</v>
      </c>
      <c r="E180">
        <v>1</v>
      </c>
      <c r="F180" s="68"/>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c r="AD180" s="68"/>
      <c r="AE180" s="68"/>
      <c r="AF180" s="68"/>
      <c r="AG180" s="68"/>
      <c r="AH180" s="68"/>
      <c r="AI180" s="68"/>
      <c r="AJ180" s="68"/>
      <c r="AK180"/>
      <c r="AL180"/>
      <c r="AM180"/>
      <c r="AN180"/>
    </row>
    <row r="181" spans="1:40" ht="14.5" x14ac:dyDescent="0.35">
      <c r="A181" t="s">
        <v>610</v>
      </c>
      <c r="B181" t="s">
        <v>609</v>
      </c>
      <c r="C181" t="s">
        <v>610</v>
      </c>
      <c r="D181" t="s">
        <v>1471</v>
      </c>
      <c r="F181" s="68"/>
      <c r="G181" s="68"/>
      <c r="H181" s="68"/>
      <c r="I181" s="68"/>
      <c r="J181" s="68"/>
      <c r="K181" s="68"/>
      <c r="L181" s="68"/>
      <c r="M181" s="68"/>
      <c r="N181" s="68"/>
      <c r="O181" s="68"/>
      <c r="P181" s="68"/>
      <c r="Q181" s="68"/>
      <c r="R181" s="68"/>
      <c r="S181" s="68"/>
      <c r="T181" s="68"/>
      <c r="U181" s="68"/>
      <c r="V181" s="68"/>
      <c r="W181" s="68"/>
      <c r="X181" s="68"/>
      <c r="Y181" s="68"/>
      <c r="Z181" s="68"/>
      <c r="AA181" s="68"/>
      <c r="AB181" s="68"/>
      <c r="AC181" s="68"/>
      <c r="AD181" s="68"/>
      <c r="AE181" s="68"/>
      <c r="AF181" s="68"/>
      <c r="AG181" s="68"/>
      <c r="AH181" s="68"/>
      <c r="AI181" s="68"/>
      <c r="AJ181" s="68"/>
      <c r="AK181"/>
      <c r="AL181"/>
      <c r="AM181"/>
      <c r="AN181"/>
    </row>
    <row r="182" spans="1:40" ht="14.5" x14ac:dyDescent="0.35">
      <c r="A182" t="s">
        <v>354</v>
      </c>
      <c r="C182" t="s">
        <v>370</v>
      </c>
      <c r="D182" t="s">
        <v>103</v>
      </c>
      <c r="E182">
        <v>13800</v>
      </c>
      <c r="F182" s="68">
        <v>0</v>
      </c>
      <c r="G182" s="68">
        <v>0</v>
      </c>
      <c r="H182" s="68">
        <v>0</v>
      </c>
      <c r="I182" s="68">
        <v>0</v>
      </c>
      <c r="J182" s="68">
        <v>0</v>
      </c>
      <c r="K182" s="68">
        <v>0</v>
      </c>
      <c r="L182" s="68">
        <v>0</v>
      </c>
      <c r="M182" s="68">
        <v>0</v>
      </c>
      <c r="N182" s="68">
        <v>0</v>
      </c>
      <c r="O182" s="68">
        <v>0</v>
      </c>
      <c r="P182" s="68">
        <v>0</v>
      </c>
      <c r="Q182" s="68">
        <v>0</v>
      </c>
      <c r="R182" s="68">
        <v>0</v>
      </c>
      <c r="S182" s="68">
        <v>1</v>
      </c>
      <c r="T182" s="68"/>
      <c r="U182" s="68"/>
      <c r="V182" s="68"/>
      <c r="W182" s="68"/>
      <c r="X182" s="68"/>
      <c r="Y182" s="68"/>
      <c r="Z182" s="68"/>
      <c r="AA182" s="68"/>
      <c r="AB182" s="68"/>
      <c r="AC182" s="68"/>
      <c r="AD182" s="68"/>
      <c r="AE182" s="68"/>
      <c r="AF182" s="68"/>
      <c r="AG182" s="68"/>
      <c r="AH182" s="68"/>
      <c r="AI182" s="68"/>
      <c r="AJ182" s="68"/>
      <c r="AK182"/>
      <c r="AL182"/>
      <c r="AM182"/>
      <c r="AN182"/>
    </row>
    <row r="183" spans="1:40" ht="14.5" x14ac:dyDescent="0.35">
      <c r="A183" t="s">
        <v>354</v>
      </c>
      <c r="C183" t="s">
        <v>371</v>
      </c>
      <c r="D183" t="s">
        <v>372</v>
      </c>
      <c r="E183">
        <v>2300</v>
      </c>
      <c r="F183" s="68">
        <v>5</v>
      </c>
      <c r="G183" s="68">
        <v>5</v>
      </c>
      <c r="H183" s="68">
        <v>3</v>
      </c>
      <c r="I183" s="68">
        <v>4</v>
      </c>
      <c r="J183" s="68">
        <v>3</v>
      </c>
      <c r="K183" s="68">
        <v>2</v>
      </c>
      <c r="L183" s="68">
        <v>2</v>
      </c>
      <c r="M183" s="68">
        <v>1</v>
      </c>
      <c r="N183" s="68">
        <v>1</v>
      </c>
      <c r="O183" s="68">
        <v>6</v>
      </c>
      <c r="P183" s="68">
        <v>5</v>
      </c>
      <c r="Q183" s="68">
        <v>6</v>
      </c>
      <c r="R183" s="68">
        <v>4</v>
      </c>
      <c r="S183" s="68">
        <v>3</v>
      </c>
      <c r="T183" s="68"/>
      <c r="U183" s="68"/>
      <c r="V183" s="68"/>
      <c r="W183" s="68"/>
      <c r="X183" s="68"/>
      <c r="Y183" s="68"/>
      <c r="Z183" s="68"/>
      <c r="AA183" s="68"/>
      <c r="AB183" s="68"/>
      <c r="AC183" s="68"/>
      <c r="AD183" s="68"/>
      <c r="AE183" s="68"/>
      <c r="AF183" s="68"/>
      <c r="AG183" s="68"/>
      <c r="AH183" s="68"/>
      <c r="AI183" s="68"/>
      <c r="AJ183" s="68"/>
      <c r="AK183"/>
      <c r="AL183"/>
      <c r="AM183"/>
      <c r="AN183"/>
    </row>
    <row r="184" spans="1:40" ht="14.5" x14ac:dyDescent="0.35">
      <c r="A184" t="s">
        <v>354</v>
      </c>
      <c r="C184" t="s">
        <v>373</v>
      </c>
      <c r="D184" t="s">
        <v>29</v>
      </c>
      <c r="E184">
        <v>1</v>
      </c>
      <c r="F184" s="68">
        <v>2739</v>
      </c>
      <c r="G184" s="68">
        <v>1003</v>
      </c>
      <c r="H184" s="68">
        <v>1995</v>
      </c>
      <c r="I184" s="68">
        <v>452</v>
      </c>
      <c r="J184" s="68">
        <v>1168</v>
      </c>
      <c r="K184" s="68">
        <v>1509</v>
      </c>
      <c r="L184" s="68">
        <v>558</v>
      </c>
      <c r="M184" s="68">
        <v>1356</v>
      </c>
      <c r="N184" s="68">
        <v>621</v>
      </c>
      <c r="O184" s="68">
        <v>969</v>
      </c>
      <c r="P184" s="68">
        <v>1159</v>
      </c>
      <c r="Q184" s="68">
        <v>294</v>
      </c>
      <c r="R184" s="68">
        <v>1340</v>
      </c>
      <c r="S184" s="68">
        <v>2548</v>
      </c>
      <c r="T184" s="68"/>
      <c r="U184" s="68"/>
      <c r="V184" s="68"/>
      <c r="W184" s="68"/>
      <c r="X184" s="68"/>
      <c r="Y184" s="68"/>
      <c r="Z184" s="68"/>
      <c r="AA184" s="68"/>
      <c r="AB184" s="68"/>
      <c r="AC184" s="68"/>
      <c r="AD184" s="68"/>
      <c r="AE184" s="68"/>
      <c r="AF184" s="68"/>
      <c r="AG184" s="68"/>
      <c r="AH184" s="68"/>
      <c r="AI184" s="68"/>
      <c r="AJ184" s="68"/>
      <c r="AK184"/>
      <c r="AL184"/>
      <c r="AM184"/>
      <c r="AN184"/>
    </row>
    <row r="185" spans="1:40" ht="14.5" x14ac:dyDescent="0.35">
      <c r="A185" t="s">
        <v>354</v>
      </c>
      <c r="B185" t="s">
        <v>384</v>
      </c>
      <c r="C185" t="s">
        <v>354</v>
      </c>
      <c r="D185" t="s">
        <v>35</v>
      </c>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8"/>
      <c r="AF185" s="68"/>
      <c r="AG185" s="68"/>
      <c r="AH185" s="68"/>
      <c r="AI185" s="68"/>
      <c r="AJ185" s="68"/>
      <c r="AK185"/>
      <c r="AL185"/>
      <c r="AM185"/>
      <c r="AN185"/>
    </row>
    <row r="186" spans="1:40" ht="14.5" x14ac:dyDescent="0.35">
      <c r="A186" t="s">
        <v>918</v>
      </c>
      <c r="C186" t="s">
        <v>1008</v>
      </c>
      <c r="D186" t="s">
        <v>557</v>
      </c>
      <c r="E186">
        <v>2800</v>
      </c>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c r="AF186" s="68"/>
      <c r="AG186" s="68"/>
      <c r="AH186" s="68"/>
      <c r="AI186" s="68"/>
      <c r="AJ186" s="68"/>
      <c r="AK186"/>
      <c r="AL186"/>
      <c r="AM186"/>
      <c r="AN186"/>
    </row>
    <row r="187" spans="1:40" ht="14.5" x14ac:dyDescent="0.35">
      <c r="A187" t="s">
        <v>918</v>
      </c>
      <c r="C187" t="s">
        <v>1009</v>
      </c>
      <c r="D187" t="s">
        <v>101</v>
      </c>
      <c r="E187">
        <v>40</v>
      </c>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68"/>
      <c r="AG187" s="68"/>
      <c r="AH187" s="68"/>
      <c r="AI187" s="68"/>
      <c r="AJ187" s="68"/>
      <c r="AK187"/>
      <c r="AL187"/>
      <c r="AM187"/>
      <c r="AN187"/>
    </row>
    <row r="188" spans="1:40" ht="14.5" x14ac:dyDescent="0.35">
      <c r="A188" t="s">
        <v>918</v>
      </c>
      <c r="C188" t="s">
        <v>1010</v>
      </c>
      <c r="D188" t="s">
        <v>102</v>
      </c>
      <c r="E188">
        <v>1</v>
      </c>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68"/>
      <c r="AG188" s="68"/>
      <c r="AH188" s="68"/>
      <c r="AI188" s="68"/>
      <c r="AJ188" s="68"/>
      <c r="AK188"/>
      <c r="AL188"/>
      <c r="AM188"/>
      <c r="AN188"/>
    </row>
    <row r="189" spans="1:40" ht="14.5" x14ac:dyDescent="0.35">
      <c r="A189" t="s">
        <v>918</v>
      </c>
      <c r="B189" t="s">
        <v>1024</v>
      </c>
      <c r="C189" t="s">
        <v>918</v>
      </c>
      <c r="D189" t="s">
        <v>67</v>
      </c>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68"/>
      <c r="AG189" s="68"/>
      <c r="AH189" s="68"/>
      <c r="AI189" s="68"/>
      <c r="AJ189" s="68"/>
      <c r="AK189"/>
      <c r="AL189"/>
      <c r="AM189"/>
      <c r="AN189"/>
    </row>
    <row r="190" spans="1:40" ht="14.5" x14ac:dyDescent="0.35">
      <c r="A190" t="s">
        <v>636</v>
      </c>
      <c r="C190" t="s">
        <v>1250</v>
      </c>
      <c r="D190" t="s">
        <v>103</v>
      </c>
      <c r="E190">
        <v>12000</v>
      </c>
      <c r="F190" s="68">
        <v>4</v>
      </c>
      <c r="G190" s="68">
        <v>3</v>
      </c>
      <c r="H190" s="68">
        <v>3</v>
      </c>
      <c r="I190" s="68">
        <v>2</v>
      </c>
      <c r="J190" s="68">
        <v>3</v>
      </c>
      <c r="K190" s="68">
        <v>2</v>
      </c>
      <c r="L190" s="68">
        <v>1</v>
      </c>
      <c r="M190" s="68">
        <v>3</v>
      </c>
      <c r="N190" s="68">
        <v>2</v>
      </c>
      <c r="O190" s="68">
        <v>2</v>
      </c>
      <c r="P190" s="68">
        <v>1</v>
      </c>
      <c r="Q190" s="68">
        <v>1</v>
      </c>
      <c r="R190" s="68">
        <v>1</v>
      </c>
      <c r="S190" s="68">
        <v>0</v>
      </c>
      <c r="T190" s="68"/>
      <c r="U190" s="68"/>
      <c r="V190" s="68"/>
      <c r="W190" s="68"/>
      <c r="X190" s="68"/>
      <c r="Y190" s="68"/>
      <c r="Z190" s="68"/>
      <c r="AA190" s="68"/>
      <c r="AB190" s="68"/>
      <c r="AC190" s="68"/>
      <c r="AD190" s="68"/>
      <c r="AE190" s="68"/>
      <c r="AF190" s="68"/>
      <c r="AG190" s="68"/>
      <c r="AH190" s="68"/>
      <c r="AI190" s="68"/>
      <c r="AJ190" s="68"/>
      <c r="AK190"/>
      <c r="AL190"/>
      <c r="AM190"/>
      <c r="AN190"/>
    </row>
    <row r="191" spans="1:40" ht="14.5" x14ac:dyDescent="0.35">
      <c r="A191" t="s">
        <v>636</v>
      </c>
      <c r="C191" t="s">
        <v>637</v>
      </c>
      <c r="D191" t="s">
        <v>102</v>
      </c>
      <c r="E191">
        <v>1</v>
      </c>
      <c r="F191" s="68">
        <v>448</v>
      </c>
      <c r="G191" s="68">
        <v>5925</v>
      </c>
      <c r="H191" s="68">
        <v>3600</v>
      </c>
      <c r="I191" s="68">
        <v>3293</v>
      </c>
      <c r="J191" s="68">
        <v>1323</v>
      </c>
      <c r="K191" s="68">
        <v>7452</v>
      </c>
      <c r="L191" s="68">
        <v>13924</v>
      </c>
      <c r="M191" s="68">
        <v>8896</v>
      </c>
      <c r="N191" s="68">
        <v>16354</v>
      </c>
      <c r="O191" s="68">
        <v>9600</v>
      </c>
      <c r="P191" s="68">
        <v>13088</v>
      </c>
      <c r="Q191" s="68">
        <v>8578</v>
      </c>
      <c r="R191" s="68">
        <v>5024</v>
      </c>
      <c r="S191" s="68">
        <v>11488</v>
      </c>
      <c r="T191" s="68"/>
      <c r="U191" s="68"/>
      <c r="V191" s="68"/>
      <c r="W191" s="68"/>
      <c r="X191" s="68"/>
      <c r="Y191" s="68"/>
      <c r="Z191" s="68"/>
      <c r="AA191" s="68"/>
      <c r="AB191" s="68"/>
      <c r="AC191" s="68"/>
      <c r="AD191" s="68"/>
      <c r="AE191" s="68"/>
      <c r="AF191" s="68"/>
      <c r="AG191" s="68"/>
      <c r="AH191" s="68"/>
      <c r="AI191" s="68"/>
      <c r="AJ191" s="68"/>
      <c r="AK191"/>
      <c r="AL191"/>
      <c r="AM191"/>
      <c r="AN191"/>
    </row>
    <row r="192" spans="1:40" ht="14.5" x14ac:dyDescent="0.35">
      <c r="A192" t="s">
        <v>636</v>
      </c>
      <c r="B192" t="s">
        <v>635</v>
      </c>
      <c r="C192" t="s">
        <v>636</v>
      </c>
      <c r="D192" t="s">
        <v>67</v>
      </c>
      <c r="F192" s="68"/>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c r="AD192" s="68"/>
      <c r="AE192" s="68"/>
      <c r="AF192" s="68"/>
      <c r="AG192" s="68"/>
      <c r="AH192" s="68"/>
      <c r="AI192" s="68"/>
      <c r="AJ192" s="68"/>
      <c r="AK192"/>
      <c r="AL192"/>
      <c r="AM192"/>
      <c r="AN192"/>
    </row>
    <row r="193" spans="1:40" ht="14.5" x14ac:dyDescent="0.35">
      <c r="A193" t="s">
        <v>743</v>
      </c>
      <c r="C193" t="s">
        <v>739</v>
      </c>
      <c r="D193" t="s">
        <v>103</v>
      </c>
      <c r="E193">
        <v>16200</v>
      </c>
      <c r="F193" s="68">
        <v>24</v>
      </c>
      <c r="G193" s="68">
        <v>23</v>
      </c>
      <c r="H193" s="68">
        <v>23</v>
      </c>
      <c r="I193" s="68">
        <v>20</v>
      </c>
      <c r="J193" s="68">
        <v>19</v>
      </c>
      <c r="K193" s="68">
        <v>17</v>
      </c>
      <c r="L193" s="68">
        <v>16</v>
      </c>
      <c r="M193" s="68">
        <v>14</v>
      </c>
      <c r="N193" s="68">
        <v>13</v>
      </c>
      <c r="O193" s="68">
        <v>11</v>
      </c>
      <c r="P193" s="68">
        <v>9</v>
      </c>
      <c r="Q193" s="68">
        <v>7</v>
      </c>
      <c r="R193" s="68">
        <v>5</v>
      </c>
      <c r="S193" s="68">
        <v>17</v>
      </c>
      <c r="T193" s="68"/>
      <c r="U193" s="68"/>
      <c r="V193" s="68"/>
      <c r="W193" s="68"/>
      <c r="X193" s="68"/>
      <c r="Y193" s="68"/>
      <c r="Z193" s="68"/>
      <c r="AA193" s="68"/>
      <c r="AB193" s="68"/>
      <c r="AC193" s="68"/>
      <c r="AD193" s="68"/>
      <c r="AE193" s="68"/>
      <c r="AF193" s="68"/>
      <c r="AG193" s="68"/>
      <c r="AH193" s="68"/>
      <c r="AI193" s="68"/>
      <c r="AJ193" s="68"/>
      <c r="AK193"/>
      <c r="AL193"/>
      <c r="AM193"/>
      <c r="AN193"/>
    </row>
    <row r="194" spans="1:40" ht="14.5" x14ac:dyDescent="0.35">
      <c r="A194" t="s">
        <v>743</v>
      </c>
      <c r="C194" t="s">
        <v>740</v>
      </c>
      <c r="D194" t="s">
        <v>125</v>
      </c>
      <c r="E194">
        <v>1000</v>
      </c>
      <c r="F194" s="68">
        <v>0</v>
      </c>
      <c r="G194" s="68">
        <v>0</v>
      </c>
      <c r="H194" s="68">
        <v>0</v>
      </c>
      <c r="I194" s="68">
        <v>0</v>
      </c>
      <c r="J194" s="68">
        <v>0</v>
      </c>
      <c r="K194" s="68">
        <v>0</v>
      </c>
      <c r="L194" s="68">
        <v>0</v>
      </c>
      <c r="M194" s="68">
        <v>0</v>
      </c>
      <c r="N194" s="68">
        <v>0</v>
      </c>
      <c r="O194" s="68">
        <v>0</v>
      </c>
      <c r="P194" s="68">
        <v>0</v>
      </c>
      <c r="Q194" s="68">
        <v>0</v>
      </c>
      <c r="R194" s="68">
        <v>0</v>
      </c>
      <c r="S194" s="68">
        <v>0</v>
      </c>
      <c r="T194" s="68"/>
      <c r="U194" s="68"/>
      <c r="V194" s="68"/>
      <c r="W194" s="68"/>
      <c r="X194" s="68"/>
      <c r="Y194" s="68"/>
      <c r="Z194" s="68"/>
      <c r="AA194" s="68"/>
      <c r="AB194" s="68"/>
      <c r="AC194" s="68"/>
      <c r="AD194" s="68"/>
      <c r="AE194" s="68"/>
      <c r="AF194" s="68"/>
      <c r="AG194" s="68"/>
      <c r="AH194" s="68"/>
      <c r="AI194" s="68"/>
      <c r="AJ194" s="68"/>
      <c r="AK194"/>
      <c r="AL194"/>
      <c r="AM194"/>
      <c r="AN194"/>
    </row>
    <row r="195" spans="1:40" ht="14.5" x14ac:dyDescent="0.35">
      <c r="A195" t="s">
        <v>743</v>
      </c>
      <c r="C195" t="s">
        <v>741</v>
      </c>
      <c r="D195" t="s">
        <v>461</v>
      </c>
      <c r="E195">
        <v>1</v>
      </c>
      <c r="F195" s="68">
        <v>230800</v>
      </c>
      <c r="G195" s="68">
        <v>213480</v>
      </c>
      <c r="H195" s="68">
        <v>274850</v>
      </c>
      <c r="I195" s="68">
        <v>299740</v>
      </c>
      <c r="J195">
        <v>215460</v>
      </c>
      <c r="K195" s="170">
        <v>318625</v>
      </c>
      <c r="L195" s="68">
        <v>286750</v>
      </c>
      <c r="M195" s="68">
        <v>279523</v>
      </c>
      <c r="N195">
        <v>301340</v>
      </c>
      <c r="O195" s="68">
        <f>253855</f>
        <v>253855</v>
      </c>
      <c r="P195" s="68">
        <v>297490</v>
      </c>
      <c r="Q195" s="68">
        <v>41950</v>
      </c>
      <c r="R195" s="68">
        <v>318250</v>
      </c>
      <c r="S195" s="68">
        <v>339120</v>
      </c>
      <c r="T195" s="68"/>
      <c r="U195" s="68"/>
      <c r="V195" s="68"/>
      <c r="W195" s="68"/>
      <c r="X195" s="68"/>
      <c r="Y195" s="68"/>
      <c r="Z195" s="68"/>
      <c r="AA195" s="68"/>
      <c r="AB195" s="68"/>
      <c r="AC195" s="68"/>
      <c r="AD195" s="68"/>
      <c r="AE195" s="68"/>
      <c r="AF195" s="68"/>
      <c r="AG195" s="68"/>
      <c r="AH195" s="68"/>
      <c r="AI195" s="68"/>
      <c r="AJ195" s="68"/>
      <c r="AK195"/>
      <c r="AL195"/>
      <c r="AM195"/>
      <c r="AN195"/>
    </row>
    <row r="196" spans="1:40" ht="14.5" x14ac:dyDescent="0.35">
      <c r="A196" t="s">
        <v>743</v>
      </c>
      <c r="B196" t="s">
        <v>742</v>
      </c>
      <c r="C196" t="s">
        <v>743</v>
      </c>
      <c r="D196" t="s">
        <v>35</v>
      </c>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8"/>
      <c r="AF196" s="68"/>
      <c r="AG196" s="68"/>
      <c r="AH196" s="68"/>
      <c r="AI196" s="68"/>
      <c r="AJ196" s="68"/>
      <c r="AK196"/>
      <c r="AL196"/>
      <c r="AM196"/>
      <c r="AN196"/>
    </row>
    <row r="197" spans="1:40" ht="14.5" x14ac:dyDescent="0.35">
      <c r="A197" t="s">
        <v>593</v>
      </c>
      <c r="C197" t="s">
        <v>590</v>
      </c>
      <c r="D197" t="s">
        <v>591</v>
      </c>
      <c r="E197">
        <v>1</v>
      </c>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c r="AF197" s="68"/>
      <c r="AG197" s="68"/>
      <c r="AH197" s="68"/>
      <c r="AI197" s="68"/>
      <c r="AJ197" s="68"/>
      <c r="AK197"/>
      <c r="AL197"/>
      <c r="AM197"/>
      <c r="AN197"/>
    </row>
    <row r="198" spans="1:40" ht="14.5" x14ac:dyDescent="0.35">
      <c r="A198" t="s">
        <v>593</v>
      </c>
      <c r="B198" t="s">
        <v>592</v>
      </c>
      <c r="C198" t="s">
        <v>593</v>
      </c>
      <c r="D198" t="s">
        <v>69</v>
      </c>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68"/>
      <c r="AG198" s="68"/>
      <c r="AH198" s="68"/>
      <c r="AI198" s="68"/>
      <c r="AJ198" s="68"/>
      <c r="AK198"/>
      <c r="AL198"/>
      <c r="AM198"/>
      <c r="AN198"/>
    </row>
    <row r="199" spans="1:40" ht="14.5" x14ac:dyDescent="0.35">
      <c r="A199" t="s">
        <v>19</v>
      </c>
      <c r="C199" t="s">
        <v>117</v>
      </c>
      <c r="D199" t="s">
        <v>103</v>
      </c>
      <c r="E199">
        <v>6720</v>
      </c>
      <c r="F199" s="68">
        <v>8</v>
      </c>
      <c r="G199" s="68">
        <v>7</v>
      </c>
      <c r="H199" s="68">
        <v>9</v>
      </c>
      <c r="I199" s="68">
        <v>7</v>
      </c>
      <c r="J199" s="68">
        <v>6</v>
      </c>
      <c r="K199" s="68">
        <v>5</v>
      </c>
      <c r="L199" s="68">
        <v>7</v>
      </c>
      <c r="M199" s="68">
        <v>7</v>
      </c>
      <c r="N199" s="68">
        <v>6</v>
      </c>
      <c r="O199" s="68">
        <v>11</v>
      </c>
      <c r="P199" s="68">
        <v>8</v>
      </c>
      <c r="Q199" s="68">
        <v>7</v>
      </c>
      <c r="R199" s="68">
        <v>7</v>
      </c>
      <c r="S199" s="68">
        <v>9</v>
      </c>
      <c r="T199" s="68"/>
      <c r="U199" s="68"/>
      <c r="V199" s="68"/>
      <c r="W199" s="68"/>
      <c r="X199" s="68"/>
      <c r="Y199" s="68"/>
      <c r="Z199" s="68"/>
      <c r="AA199" s="68"/>
      <c r="AB199" s="68"/>
      <c r="AC199" s="68"/>
      <c r="AD199" s="68"/>
      <c r="AE199" s="68"/>
      <c r="AF199" s="68"/>
      <c r="AG199" s="68"/>
      <c r="AH199" s="68"/>
      <c r="AI199" s="68"/>
      <c r="AJ199" s="68"/>
      <c r="AK199"/>
      <c r="AL199"/>
      <c r="AM199"/>
      <c r="AN199"/>
    </row>
    <row r="200" spans="1:40" ht="14.5" x14ac:dyDescent="0.35">
      <c r="A200" t="s">
        <v>19</v>
      </c>
      <c r="C200" t="s">
        <v>118</v>
      </c>
      <c r="D200" t="s">
        <v>101</v>
      </c>
      <c r="E200">
        <v>560</v>
      </c>
      <c r="F200" s="68">
        <v>18</v>
      </c>
      <c r="G200" s="68">
        <v>15</v>
      </c>
      <c r="H200" s="68">
        <v>11</v>
      </c>
      <c r="I200" s="68">
        <v>18</v>
      </c>
      <c r="J200" s="68">
        <v>18</v>
      </c>
      <c r="K200" s="68">
        <v>14</v>
      </c>
      <c r="L200" s="68">
        <v>26</v>
      </c>
      <c r="M200" s="68">
        <v>14</v>
      </c>
      <c r="N200" s="68">
        <v>13</v>
      </c>
      <c r="O200" s="68">
        <v>5</v>
      </c>
      <c r="P200" s="68">
        <v>21</v>
      </c>
      <c r="Q200" s="68">
        <v>23</v>
      </c>
      <c r="R200" s="68">
        <v>11</v>
      </c>
      <c r="S200" s="68">
        <v>13</v>
      </c>
      <c r="T200" s="68"/>
      <c r="U200" s="68"/>
      <c r="V200" s="68"/>
      <c r="W200" s="68"/>
      <c r="X200" s="68"/>
      <c r="Y200" s="68"/>
      <c r="Z200" s="68"/>
      <c r="AA200" s="68"/>
      <c r="AB200" s="68"/>
      <c r="AC200" s="68"/>
      <c r="AD200" s="68"/>
      <c r="AE200" s="68"/>
      <c r="AF200" s="68"/>
      <c r="AG200" s="68"/>
      <c r="AH200" s="68"/>
      <c r="AI200" s="68"/>
      <c r="AJ200" s="68"/>
      <c r="AK200"/>
      <c r="AL200"/>
      <c r="AM200"/>
      <c r="AN200"/>
    </row>
    <row r="201" spans="1:40" ht="14.5" x14ac:dyDescent="0.35">
      <c r="A201" t="s">
        <v>19</v>
      </c>
      <c r="C201" t="s">
        <v>119</v>
      </c>
      <c r="D201" t="s">
        <v>29</v>
      </c>
      <c r="E201">
        <v>1</v>
      </c>
      <c r="F201" s="68">
        <v>331</v>
      </c>
      <c r="G201" s="68">
        <v>45</v>
      </c>
      <c r="H201" s="68">
        <v>0</v>
      </c>
      <c r="I201" s="68">
        <v>0</v>
      </c>
      <c r="J201" s="68">
        <v>45</v>
      </c>
      <c r="K201" s="68">
        <v>363</v>
      </c>
      <c r="L201" s="68">
        <v>209</v>
      </c>
      <c r="M201" s="68">
        <v>127</v>
      </c>
      <c r="N201" s="68">
        <v>65</v>
      </c>
      <c r="O201" s="68">
        <v>385</v>
      </c>
      <c r="P201" s="68">
        <v>460</v>
      </c>
      <c r="Q201" s="68">
        <v>451</v>
      </c>
      <c r="R201" s="68">
        <v>469</v>
      </c>
      <c r="S201" s="68">
        <v>130</v>
      </c>
      <c r="T201" s="68"/>
      <c r="U201" s="68"/>
      <c r="V201" s="68"/>
      <c r="W201" s="68"/>
      <c r="X201" s="68"/>
      <c r="Y201" s="68"/>
      <c r="Z201" s="68"/>
      <c r="AA201" s="68"/>
      <c r="AB201" s="68"/>
      <c r="AC201" s="68"/>
      <c r="AD201" s="68"/>
      <c r="AE201" s="68"/>
      <c r="AF201" s="68"/>
      <c r="AG201" s="68"/>
      <c r="AH201" s="68"/>
      <c r="AI201" s="68"/>
      <c r="AJ201" s="68"/>
      <c r="AK201"/>
      <c r="AL201"/>
      <c r="AM201"/>
      <c r="AN201"/>
    </row>
    <row r="202" spans="1:40" ht="14.5" x14ac:dyDescent="0.35">
      <c r="A202" t="s">
        <v>19</v>
      </c>
      <c r="C202" t="s">
        <v>120</v>
      </c>
      <c r="D202" t="s">
        <v>29</v>
      </c>
      <c r="E202">
        <v>9.5000000000000001E-2</v>
      </c>
      <c r="F202" s="68">
        <v>0</v>
      </c>
      <c r="G202" s="68">
        <v>0</v>
      </c>
      <c r="H202" s="68">
        <v>0</v>
      </c>
      <c r="I202" s="68">
        <v>0</v>
      </c>
      <c r="J202" s="68">
        <v>0</v>
      </c>
      <c r="K202" s="68">
        <v>0</v>
      </c>
      <c r="L202" s="68">
        <v>0</v>
      </c>
      <c r="M202" s="68">
        <v>0</v>
      </c>
      <c r="N202" s="68">
        <v>0</v>
      </c>
      <c r="O202" s="68">
        <v>0</v>
      </c>
      <c r="P202" s="68">
        <v>0</v>
      </c>
      <c r="Q202" s="68">
        <v>0</v>
      </c>
      <c r="R202" s="68">
        <v>0</v>
      </c>
      <c r="S202" s="68">
        <v>0</v>
      </c>
      <c r="T202" s="68"/>
      <c r="U202" s="68"/>
      <c r="V202" s="68"/>
      <c r="W202" s="68"/>
      <c r="X202" s="68"/>
      <c r="Y202" s="68"/>
      <c r="Z202" s="68"/>
      <c r="AA202" s="68"/>
      <c r="AB202" s="68"/>
      <c r="AC202" s="68"/>
      <c r="AD202" s="68"/>
      <c r="AE202" s="68"/>
      <c r="AF202" s="68"/>
      <c r="AG202" s="68"/>
      <c r="AH202" s="68"/>
      <c r="AI202" s="68"/>
      <c r="AJ202" s="68"/>
      <c r="AK202"/>
      <c r="AL202"/>
      <c r="AM202"/>
      <c r="AN202"/>
    </row>
    <row r="203" spans="1:40" ht="14.5" x14ac:dyDescent="0.35">
      <c r="A203" t="s">
        <v>19</v>
      </c>
      <c r="C203" t="s">
        <v>121</v>
      </c>
      <c r="D203" t="s">
        <v>29</v>
      </c>
      <c r="E203">
        <v>9.5000000000000001E-2</v>
      </c>
      <c r="F203" s="68">
        <v>0</v>
      </c>
      <c r="G203" s="68">
        <v>0</v>
      </c>
      <c r="H203" s="68">
        <v>0</v>
      </c>
      <c r="I203" s="68">
        <v>0</v>
      </c>
      <c r="J203" s="68">
        <v>0</v>
      </c>
      <c r="K203" s="68">
        <v>0</v>
      </c>
      <c r="L203" s="68">
        <v>0</v>
      </c>
      <c r="M203" s="68">
        <v>0</v>
      </c>
      <c r="N203" s="68">
        <v>0</v>
      </c>
      <c r="O203" s="68">
        <v>0</v>
      </c>
      <c r="P203" s="68">
        <v>0</v>
      </c>
      <c r="Q203" s="68">
        <v>0</v>
      </c>
      <c r="R203" s="68">
        <v>0</v>
      </c>
      <c r="S203" s="68">
        <v>0</v>
      </c>
      <c r="T203" s="68"/>
      <c r="U203" s="68"/>
      <c r="V203" s="68"/>
      <c r="W203" s="68"/>
      <c r="X203" s="68"/>
      <c r="Y203" s="68"/>
      <c r="Z203" s="68"/>
      <c r="AA203" s="68"/>
      <c r="AB203" s="68"/>
      <c r="AC203" s="68"/>
      <c r="AD203" s="68"/>
      <c r="AE203" s="68"/>
      <c r="AF203" s="68"/>
      <c r="AG203" s="68"/>
      <c r="AH203" s="68"/>
      <c r="AI203" s="68"/>
      <c r="AJ203" s="68"/>
      <c r="AK203"/>
      <c r="AL203"/>
      <c r="AM203"/>
      <c r="AN203"/>
    </row>
    <row r="204" spans="1:40" ht="14.5" x14ac:dyDescent="0.35">
      <c r="A204" t="s">
        <v>19</v>
      </c>
      <c r="B204" t="s">
        <v>74</v>
      </c>
      <c r="C204" t="s">
        <v>19</v>
      </c>
      <c r="D204" t="s">
        <v>35</v>
      </c>
      <c r="F204" s="68"/>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c r="AD204" s="68"/>
      <c r="AE204" s="68"/>
      <c r="AF204" s="68"/>
      <c r="AG204" s="68"/>
      <c r="AH204" s="68"/>
      <c r="AI204" s="68"/>
      <c r="AJ204" s="68"/>
      <c r="AK204"/>
      <c r="AL204"/>
      <c r="AM204"/>
      <c r="AN204"/>
    </row>
    <row r="205" spans="1:40" ht="14.5" x14ac:dyDescent="0.35">
      <c r="A205" t="s">
        <v>20</v>
      </c>
      <c r="C205" t="s">
        <v>1036</v>
      </c>
      <c r="D205" t="s">
        <v>103</v>
      </c>
      <c r="E205">
        <v>12000</v>
      </c>
      <c r="F205" s="68">
        <v>1</v>
      </c>
      <c r="G205" s="68">
        <v>1</v>
      </c>
      <c r="H205" s="68">
        <v>1</v>
      </c>
      <c r="I205" s="68">
        <v>1</v>
      </c>
      <c r="J205" s="68">
        <v>0</v>
      </c>
      <c r="K205" s="68">
        <v>0</v>
      </c>
      <c r="L205" s="68">
        <v>0</v>
      </c>
      <c r="M205" s="68">
        <v>0</v>
      </c>
      <c r="N205" s="68">
        <v>0</v>
      </c>
      <c r="O205" s="68">
        <v>1</v>
      </c>
      <c r="P205" s="68">
        <v>0</v>
      </c>
      <c r="Q205" s="68">
        <v>0</v>
      </c>
      <c r="R205" s="68">
        <v>0</v>
      </c>
      <c r="S205" s="68">
        <v>1</v>
      </c>
      <c r="T205" s="68"/>
      <c r="U205" s="68"/>
      <c r="V205" s="68"/>
      <c r="W205" s="68"/>
      <c r="X205" s="68"/>
      <c r="Y205" s="68"/>
      <c r="Z205" s="68"/>
      <c r="AA205" s="68"/>
      <c r="AB205" s="68"/>
      <c r="AC205" s="68"/>
      <c r="AD205" s="68"/>
      <c r="AE205" s="68"/>
      <c r="AF205" s="68"/>
      <c r="AG205" s="68"/>
      <c r="AH205" s="68"/>
      <c r="AI205" s="68"/>
      <c r="AJ205" s="68"/>
      <c r="AK205"/>
      <c r="AL205"/>
      <c r="AM205"/>
      <c r="AN205"/>
    </row>
    <row r="206" spans="1:40" ht="14.5" x14ac:dyDescent="0.35">
      <c r="A206" t="s">
        <v>20</v>
      </c>
      <c r="C206" t="s">
        <v>1056</v>
      </c>
      <c r="D206" t="s">
        <v>101</v>
      </c>
      <c r="E206">
        <v>1000</v>
      </c>
      <c r="F206" s="68">
        <v>0</v>
      </c>
      <c r="G206" s="68">
        <v>0</v>
      </c>
      <c r="H206" s="68">
        <v>0</v>
      </c>
      <c r="I206" s="68">
        <v>0</v>
      </c>
      <c r="J206" s="68">
        <v>0</v>
      </c>
      <c r="K206" s="68">
        <v>0</v>
      </c>
      <c r="L206" s="68">
        <v>0</v>
      </c>
      <c r="M206" s="68">
        <v>0</v>
      </c>
      <c r="N206" s="68">
        <v>0</v>
      </c>
      <c r="O206" s="68">
        <v>0</v>
      </c>
      <c r="P206" s="68">
        <v>0</v>
      </c>
      <c r="Q206" s="68">
        <v>0</v>
      </c>
      <c r="R206" s="68">
        <v>0</v>
      </c>
      <c r="S206" s="68">
        <v>0</v>
      </c>
      <c r="T206" s="68"/>
      <c r="U206" s="68"/>
      <c r="V206" s="68"/>
      <c r="W206" s="68"/>
      <c r="X206" s="68"/>
      <c r="Y206" s="68"/>
      <c r="Z206" s="68"/>
      <c r="AA206" s="68"/>
      <c r="AB206" s="68"/>
      <c r="AC206" s="68"/>
      <c r="AD206" s="68"/>
      <c r="AE206" s="68"/>
      <c r="AF206" s="68"/>
      <c r="AG206" s="68"/>
      <c r="AH206" s="68"/>
      <c r="AI206" s="68"/>
      <c r="AJ206" s="68"/>
      <c r="AK206"/>
      <c r="AL206"/>
      <c r="AM206"/>
      <c r="AN206"/>
    </row>
    <row r="207" spans="1:40" ht="14.5" x14ac:dyDescent="0.35">
      <c r="A207" t="s">
        <v>20</v>
      </c>
      <c r="C207" t="s">
        <v>1082</v>
      </c>
      <c r="D207" t="s">
        <v>29</v>
      </c>
      <c r="E207">
        <v>1</v>
      </c>
      <c r="F207" s="68">
        <v>7574</v>
      </c>
      <c r="G207" s="68">
        <v>5634</v>
      </c>
      <c r="H207" s="68">
        <f>2420+461</f>
        <v>2881</v>
      </c>
      <c r="I207" s="68">
        <v>0</v>
      </c>
      <c r="J207" s="68">
        <v>11970</v>
      </c>
      <c r="K207" s="68">
        <v>10264</v>
      </c>
      <c r="L207" s="68">
        <v>8892</v>
      </c>
      <c r="M207" s="68">
        <v>7306</v>
      </c>
      <c r="N207" s="68">
        <v>5748</v>
      </c>
      <c r="O207" s="68">
        <v>3696</v>
      </c>
      <c r="P207" s="68">
        <v>12746</v>
      </c>
      <c r="Q207" s="68">
        <v>11303</v>
      </c>
      <c r="R207" s="68">
        <v>9872</v>
      </c>
      <c r="S207" s="68">
        <v>8663</v>
      </c>
      <c r="T207" s="68"/>
      <c r="U207" s="68"/>
      <c r="V207" s="68"/>
      <c r="W207" s="68"/>
      <c r="X207" s="68"/>
      <c r="Y207" s="68"/>
      <c r="Z207" s="68"/>
      <c r="AA207" s="68"/>
      <c r="AB207" s="68"/>
      <c r="AC207" s="68"/>
      <c r="AD207" s="68"/>
      <c r="AE207" s="68"/>
      <c r="AF207" s="68"/>
      <c r="AG207" s="68"/>
      <c r="AH207" s="68"/>
      <c r="AI207" s="68"/>
      <c r="AJ207" s="68"/>
      <c r="AK207"/>
      <c r="AL207"/>
      <c r="AM207"/>
      <c r="AN207"/>
    </row>
    <row r="208" spans="1:40" ht="14.5" x14ac:dyDescent="0.35">
      <c r="A208" t="s">
        <v>20</v>
      </c>
      <c r="B208" t="s">
        <v>97</v>
      </c>
      <c r="C208" t="s">
        <v>20</v>
      </c>
      <c r="D208" t="s">
        <v>35</v>
      </c>
      <c r="F208" s="68"/>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c r="AD208" s="68"/>
      <c r="AE208" s="68"/>
      <c r="AF208" s="68"/>
      <c r="AG208" s="68"/>
      <c r="AH208" s="68"/>
      <c r="AI208" s="68"/>
      <c r="AJ208" s="68"/>
      <c r="AK208"/>
      <c r="AL208"/>
      <c r="AM208"/>
      <c r="AN208"/>
    </row>
    <row r="209" spans="1:40" ht="14.5" x14ac:dyDescent="0.35">
      <c r="A209" t="s">
        <v>499</v>
      </c>
      <c r="C209" t="s">
        <v>973</v>
      </c>
      <c r="D209" t="s">
        <v>103</v>
      </c>
      <c r="E209">
        <v>500</v>
      </c>
      <c r="F209" s="68">
        <v>21</v>
      </c>
      <c r="G209" s="68">
        <v>19</v>
      </c>
      <c r="H209" s="68">
        <v>18</v>
      </c>
      <c r="I209" s="68">
        <v>17</v>
      </c>
      <c r="J209" s="68">
        <v>17</v>
      </c>
      <c r="K209" s="68">
        <v>16</v>
      </c>
      <c r="L209" s="68">
        <v>15</v>
      </c>
      <c r="M209" s="68">
        <v>15</v>
      </c>
      <c r="N209" s="68">
        <v>14</v>
      </c>
      <c r="O209" s="68">
        <v>19</v>
      </c>
      <c r="P209" s="68">
        <v>18</v>
      </c>
      <c r="Q209" s="68">
        <v>16</v>
      </c>
      <c r="R209" s="68">
        <v>16</v>
      </c>
      <c r="S209" s="68">
        <v>16</v>
      </c>
      <c r="T209" s="68"/>
      <c r="U209" s="68"/>
      <c r="V209" s="68"/>
      <c r="W209" s="68"/>
      <c r="X209" s="68"/>
      <c r="Y209" s="68"/>
      <c r="Z209" s="68"/>
      <c r="AA209" s="68"/>
      <c r="AB209" s="68"/>
      <c r="AC209" s="68"/>
      <c r="AD209" s="68"/>
      <c r="AE209" s="68"/>
      <c r="AF209" s="68"/>
      <c r="AG209" s="68"/>
      <c r="AH209" s="68"/>
      <c r="AI209" s="68"/>
      <c r="AJ209" s="68"/>
      <c r="AK209"/>
      <c r="AL209"/>
      <c r="AM209"/>
      <c r="AN209"/>
    </row>
    <row r="210" spans="1:40" ht="14.5" x14ac:dyDescent="0.35">
      <c r="A210" t="s">
        <v>499</v>
      </c>
      <c r="C210" t="s">
        <v>974</v>
      </c>
      <c r="D210" t="s">
        <v>969</v>
      </c>
      <c r="E210">
        <v>25</v>
      </c>
      <c r="F210" s="68">
        <v>0</v>
      </c>
      <c r="G210" s="68">
        <v>11</v>
      </c>
      <c r="H210" s="68">
        <v>18</v>
      </c>
      <c r="I210" s="68">
        <v>22</v>
      </c>
      <c r="J210" s="68">
        <v>14</v>
      </c>
      <c r="K210" s="68">
        <v>21</v>
      </c>
      <c r="L210" s="68">
        <v>21</v>
      </c>
      <c r="M210" s="68">
        <v>19</v>
      </c>
      <c r="N210" s="68">
        <v>24</v>
      </c>
      <c r="O210" s="68">
        <v>0</v>
      </c>
      <c r="P210" s="68">
        <v>17</v>
      </c>
      <c r="Q210" s="68">
        <v>41</v>
      </c>
      <c r="R210" s="68">
        <v>31</v>
      </c>
      <c r="S210" s="68">
        <v>17</v>
      </c>
      <c r="T210" s="68"/>
      <c r="U210" s="68"/>
      <c r="V210" s="68"/>
      <c r="W210" s="68"/>
      <c r="X210" s="68"/>
      <c r="Y210" s="68"/>
      <c r="Z210" s="68"/>
      <c r="AA210" s="68"/>
      <c r="AB210" s="68"/>
      <c r="AC210" s="68"/>
      <c r="AD210" s="68"/>
      <c r="AE210" s="68"/>
      <c r="AF210" s="68"/>
      <c r="AG210" s="68"/>
      <c r="AH210" s="68"/>
      <c r="AI210" s="68"/>
      <c r="AJ210" s="68"/>
      <c r="AK210"/>
      <c r="AL210"/>
      <c r="AM210"/>
      <c r="AN210"/>
    </row>
    <row r="211" spans="1:40" ht="14.5" x14ac:dyDescent="0.35">
      <c r="A211" t="s">
        <v>499</v>
      </c>
      <c r="C211" t="s">
        <v>975</v>
      </c>
      <c r="D211" t="s">
        <v>102</v>
      </c>
      <c r="E211">
        <v>1</v>
      </c>
      <c r="F211" s="68">
        <v>0</v>
      </c>
      <c r="G211" s="68">
        <v>248</v>
      </c>
      <c r="H211" s="68">
        <v>0</v>
      </c>
      <c r="I211" s="68">
        <v>0</v>
      </c>
      <c r="J211" s="68">
        <v>0</v>
      </c>
      <c r="K211" s="68">
        <v>0</v>
      </c>
      <c r="L211" s="68">
        <v>0</v>
      </c>
      <c r="M211" s="68">
        <v>0</v>
      </c>
      <c r="N211" s="68">
        <v>0</v>
      </c>
      <c r="O211">
        <v>272</v>
      </c>
      <c r="P211" s="68">
        <v>0</v>
      </c>
      <c r="Q211" s="68">
        <v>0</v>
      </c>
      <c r="R211" s="68">
        <v>0</v>
      </c>
      <c r="S211" s="68">
        <v>0</v>
      </c>
      <c r="T211" s="68"/>
      <c r="U211" s="68"/>
      <c r="V211" s="68"/>
      <c r="W211" s="68"/>
      <c r="X211" s="68"/>
      <c r="Y211" s="68"/>
      <c r="Z211" s="68"/>
      <c r="AA211" s="68"/>
      <c r="AB211" s="68"/>
      <c r="AC211" s="68"/>
      <c r="AD211" s="68"/>
      <c r="AE211" s="68"/>
      <c r="AF211" s="68"/>
      <c r="AG211" s="68"/>
      <c r="AH211" s="68"/>
      <c r="AI211" s="68"/>
      <c r="AJ211" s="68"/>
      <c r="AK211"/>
      <c r="AL211"/>
      <c r="AM211"/>
      <c r="AN211"/>
    </row>
    <row r="212" spans="1:40" ht="14.5" x14ac:dyDescent="0.35">
      <c r="A212" t="s">
        <v>499</v>
      </c>
      <c r="B212" t="s">
        <v>531</v>
      </c>
      <c r="C212" t="s">
        <v>499</v>
      </c>
      <c r="D212" t="s">
        <v>67</v>
      </c>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c r="AF212" s="68"/>
      <c r="AG212" s="68"/>
      <c r="AH212" s="68"/>
      <c r="AI212" s="68"/>
      <c r="AJ212" s="68"/>
      <c r="AK212"/>
      <c r="AL212"/>
      <c r="AM212"/>
      <c r="AN212"/>
    </row>
    <row r="213" spans="1:40" ht="14.5" x14ac:dyDescent="0.35">
      <c r="A213" t="s">
        <v>488</v>
      </c>
      <c r="C213" t="s">
        <v>972</v>
      </c>
      <c r="D213" t="s">
        <v>557</v>
      </c>
      <c r="E213">
        <v>500</v>
      </c>
      <c r="F213" s="68">
        <v>29</v>
      </c>
      <c r="G213" s="68">
        <v>29</v>
      </c>
      <c r="H213" s="68">
        <v>28</v>
      </c>
      <c r="I213" s="68">
        <v>26</v>
      </c>
      <c r="J213" s="68">
        <v>26</v>
      </c>
      <c r="K213" s="68">
        <v>26</v>
      </c>
      <c r="L213" s="68">
        <v>26</v>
      </c>
      <c r="M213" s="68">
        <v>26</v>
      </c>
      <c r="N213" s="68">
        <v>25</v>
      </c>
      <c r="O213" s="68">
        <v>24</v>
      </c>
      <c r="P213" s="68">
        <v>24</v>
      </c>
      <c r="Q213" s="68">
        <v>24</v>
      </c>
      <c r="R213" s="68">
        <v>24</v>
      </c>
      <c r="S213" s="68">
        <v>24</v>
      </c>
      <c r="T213" s="68"/>
      <c r="U213" s="68"/>
      <c r="V213" s="68"/>
      <c r="W213" s="68"/>
      <c r="X213" s="68"/>
      <c r="Y213" s="68"/>
      <c r="Z213" s="68"/>
      <c r="AA213" s="68"/>
      <c r="AB213" s="68"/>
      <c r="AC213" s="68"/>
      <c r="AD213" s="68"/>
      <c r="AE213" s="68"/>
      <c r="AF213" s="68"/>
      <c r="AG213" s="68"/>
      <c r="AH213" s="68"/>
      <c r="AI213" s="68"/>
      <c r="AJ213" s="68"/>
      <c r="AK213"/>
      <c r="AL213"/>
      <c r="AM213"/>
      <c r="AN213"/>
    </row>
    <row r="214" spans="1:40" ht="14.5" x14ac:dyDescent="0.35">
      <c r="A214" t="s">
        <v>488</v>
      </c>
      <c r="C214" t="s">
        <v>971</v>
      </c>
      <c r="D214" t="s">
        <v>101</v>
      </c>
      <c r="E214">
        <v>25</v>
      </c>
      <c r="F214" s="68">
        <v>5</v>
      </c>
      <c r="G214" s="68">
        <v>3</v>
      </c>
      <c r="H214" s="68">
        <v>0</v>
      </c>
      <c r="I214" s="68">
        <v>11</v>
      </c>
      <c r="J214" s="68">
        <v>9</v>
      </c>
      <c r="K214" s="68">
        <v>8</v>
      </c>
      <c r="L214" s="68">
        <v>6</v>
      </c>
      <c r="M214" s="68">
        <v>5</v>
      </c>
      <c r="N214" s="68">
        <v>6</v>
      </c>
      <c r="O214" s="68">
        <v>9</v>
      </c>
      <c r="P214" s="68">
        <v>7</v>
      </c>
      <c r="Q214" s="68">
        <v>5</v>
      </c>
      <c r="R214" s="68">
        <v>4</v>
      </c>
      <c r="S214" s="68">
        <v>6</v>
      </c>
      <c r="T214" s="68"/>
      <c r="U214" s="68"/>
      <c r="V214" s="68"/>
      <c r="W214" s="68"/>
      <c r="X214" s="68"/>
      <c r="Y214" s="68"/>
      <c r="Z214" s="68"/>
      <c r="AA214" s="68"/>
      <c r="AB214" s="68"/>
      <c r="AC214" s="68"/>
      <c r="AD214" s="68"/>
      <c r="AE214" s="68"/>
      <c r="AF214" s="68"/>
      <c r="AG214" s="68"/>
      <c r="AH214" s="68"/>
      <c r="AI214" s="68"/>
      <c r="AJ214" s="68"/>
      <c r="AK214"/>
      <c r="AL214"/>
      <c r="AM214"/>
      <c r="AN214"/>
    </row>
    <row r="215" spans="1:40" ht="14.5" x14ac:dyDescent="0.35">
      <c r="A215" t="s">
        <v>488</v>
      </c>
      <c r="C215" t="s">
        <v>970</v>
      </c>
      <c r="D215" t="s">
        <v>102</v>
      </c>
      <c r="E215">
        <v>1</v>
      </c>
      <c r="F215" s="68">
        <v>55</v>
      </c>
      <c r="G215" s="68">
        <v>75</v>
      </c>
      <c r="H215" s="68">
        <v>0</v>
      </c>
      <c r="I215" s="68">
        <v>35</v>
      </c>
      <c r="J215" s="68">
        <v>134</v>
      </c>
      <c r="K215" s="68">
        <v>2</v>
      </c>
      <c r="L215" s="68">
        <v>95</v>
      </c>
      <c r="M215" s="68">
        <v>40</v>
      </c>
      <c r="N215" s="68">
        <v>94</v>
      </c>
      <c r="O215" s="68">
        <v>9</v>
      </c>
      <c r="P215" s="68">
        <v>19</v>
      </c>
      <c r="Q215" s="68">
        <v>113</v>
      </c>
      <c r="R215" s="68">
        <v>25</v>
      </c>
      <c r="S215" s="68">
        <v>55</v>
      </c>
      <c r="T215" s="68"/>
      <c r="U215" s="68"/>
      <c r="V215" s="68"/>
      <c r="W215" s="68"/>
      <c r="X215" s="68"/>
      <c r="Y215" s="68"/>
      <c r="Z215" s="68"/>
      <c r="AA215" s="68"/>
      <c r="AB215" s="68"/>
      <c r="AC215" s="68"/>
      <c r="AD215" s="68"/>
      <c r="AE215" s="68"/>
      <c r="AF215" s="68"/>
      <c r="AG215" s="68"/>
      <c r="AH215" s="68"/>
      <c r="AI215" s="68"/>
      <c r="AJ215" s="68"/>
      <c r="AK215"/>
      <c r="AL215"/>
      <c r="AM215"/>
      <c r="AN215"/>
    </row>
    <row r="216" spans="1:40" ht="14.5" x14ac:dyDescent="0.35">
      <c r="A216" t="s">
        <v>488</v>
      </c>
      <c r="B216" t="s">
        <v>519</v>
      </c>
      <c r="C216" t="s">
        <v>488</v>
      </c>
      <c r="D216" t="s">
        <v>67</v>
      </c>
      <c r="F216" s="68"/>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c r="AD216" s="68"/>
      <c r="AE216" s="68"/>
      <c r="AF216" s="68"/>
      <c r="AG216" s="68"/>
      <c r="AH216" s="68"/>
      <c r="AI216" s="68"/>
      <c r="AJ216" s="68"/>
      <c r="AK216"/>
      <c r="AL216"/>
      <c r="AM216"/>
      <c r="AN216"/>
    </row>
    <row r="217" spans="1:40" ht="14.5" x14ac:dyDescent="0.35">
      <c r="A217" t="s">
        <v>485</v>
      </c>
      <c r="C217" t="s">
        <v>1127</v>
      </c>
      <c r="D217" t="s">
        <v>103</v>
      </c>
      <c r="E217">
        <v>1000</v>
      </c>
      <c r="F217" s="68">
        <v>4</v>
      </c>
      <c r="G217" s="68">
        <v>4</v>
      </c>
      <c r="H217" s="68">
        <v>4</v>
      </c>
      <c r="I217" s="68">
        <v>2</v>
      </c>
      <c r="J217" s="68">
        <v>2</v>
      </c>
      <c r="K217" s="68">
        <v>2</v>
      </c>
      <c r="L217" s="68">
        <v>3</v>
      </c>
      <c r="M217" s="68">
        <v>2</v>
      </c>
      <c r="N217" s="68">
        <v>2</v>
      </c>
      <c r="O217" s="68">
        <v>3</v>
      </c>
      <c r="P217" s="68">
        <v>3</v>
      </c>
      <c r="Q217" s="68">
        <v>2</v>
      </c>
      <c r="R217" s="68">
        <v>2</v>
      </c>
      <c r="S217" s="68">
        <v>2</v>
      </c>
      <c r="T217" s="68"/>
      <c r="U217" s="68"/>
      <c r="V217" s="68"/>
      <c r="W217" s="68"/>
      <c r="X217" s="68"/>
      <c r="Y217" s="68"/>
      <c r="Z217" s="68"/>
      <c r="AA217" s="68"/>
      <c r="AB217" s="68"/>
      <c r="AC217" s="68"/>
      <c r="AD217" s="68"/>
      <c r="AE217" s="68"/>
      <c r="AF217" s="68"/>
      <c r="AG217" s="68"/>
      <c r="AH217" s="68"/>
      <c r="AI217" s="68"/>
      <c r="AJ217" s="68"/>
      <c r="AK217"/>
      <c r="AL217"/>
      <c r="AM217"/>
      <c r="AN217"/>
    </row>
    <row r="218" spans="1:40" ht="14.5" x14ac:dyDescent="0.35">
      <c r="A218" t="s">
        <v>485</v>
      </c>
      <c r="C218" t="s">
        <v>1251</v>
      </c>
      <c r="D218" t="s">
        <v>969</v>
      </c>
      <c r="E218">
        <v>250</v>
      </c>
      <c r="F218" s="68">
        <v>5</v>
      </c>
      <c r="G218" s="68">
        <v>2</v>
      </c>
      <c r="H218" s="68">
        <v>0</v>
      </c>
      <c r="I218" s="68">
        <v>11</v>
      </c>
      <c r="J218" s="68">
        <v>6</v>
      </c>
      <c r="K218" s="68">
        <v>4</v>
      </c>
      <c r="L218" s="68">
        <v>2</v>
      </c>
      <c r="M218" s="68">
        <v>7</v>
      </c>
      <c r="N218" s="68">
        <v>4</v>
      </c>
      <c r="O218" s="68">
        <v>6</v>
      </c>
      <c r="P218" s="68">
        <v>3</v>
      </c>
      <c r="Q218" s="68">
        <v>6</v>
      </c>
      <c r="R218" s="68">
        <v>4</v>
      </c>
      <c r="S218" s="68">
        <v>7</v>
      </c>
      <c r="T218" s="68"/>
      <c r="U218" s="68"/>
      <c r="V218" s="68"/>
      <c r="W218" s="68"/>
      <c r="X218" s="68"/>
      <c r="Y218" s="68"/>
      <c r="Z218" s="68"/>
      <c r="AA218" s="68"/>
      <c r="AB218" s="68"/>
      <c r="AC218" s="68"/>
      <c r="AD218" s="68"/>
      <c r="AE218" s="68"/>
      <c r="AF218" s="68"/>
      <c r="AG218" s="68"/>
      <c r="AH218" s="68"/>
      <c r="AI218" s="68"/>
      <c r="AJ218" s="68"/>
      <c r="AK218"/>
      <c r="AL218"/>
      <c r="AM218"/>
      <c r="AN218"/>
    </row>
    <row r="219" spans="1:40" ht="14.5" x14ac:dyDescent="0.35">
      <c r="A219" t="s">
        <v>485</v>
      </c>
      <c r="C219" t="s">
        <v>524</v>
      </c>
      <c r="D219" t="s">
        <v>102</v>
      </c>
      <c r="E219">
        <v>1</v>
      </c>
      <c r="F219" s="68">
        <v>85</v>
      </c>
      <c r="G219" s="68">
        <v>133</v>
      </c>
      <c r="H219" s="68">
        <v>0</v>
      </c>
      <c r="I219" s="68">
        <v>76</v>
      </c>
      <c r="J219" s="68">
        <v>578</v>
      </c>
      <c r="K219" s="68">
        <v>525</v>
      </c>
      <c r="L219" s="68">
        <v>483</v>
      </c>
      <c r="M219" s="68">
        <v>68</v>
      </c>
      <c r="N219" s="68">
        <v>64</v>
      </c>
      <c r="O219" s="68">
        <v>159</v>
      </c>
      <c r="P219" s="68">
        <v>119</v>
      </c>
      <c r="Q219" s="68">
        <v>109</v>
      </c>
      <c r="R219" s="68">
        <v>94</v>
      </c>
      <c r="S219" s="68">
        <v>110</v>
      </c>
      <c r="T219" s="68"/>
      <c r="U219" s="68"/>
      <c r="V219" s="68"/>
      <c r="W219" s="68"/>
      <c r="X219" s="68"/>
      <c r="Y219" s="68"/>
      <c r="Z219" s="68"/>
      <c r="AA219" s="68"/>
      <c r="AB219" s="68"/>
      <c r="AC219" s="68"/>
      <c r="AD219" s="68"/>
      <c r="AE219" s="68"/>
      <c r="AF219" s="68"/>
      <c r="AG219" s="68"/>
      <c r="AH219" s="68"/>
      <c r="AI219" s="68"/>
      <c r="AJ219" s="68"/>
      <c r="AK219"/>
      <c r="AL219"/>
      <c r="AM219"/>
      <c r="AN219"/>
    </row>
    <row r="220" spans="1:40" ht="14.5" x14ac:dyDescent="0.35">
      <c r="A220" t="s">
        <v>485</v>
      </c>
      <c r="B220" t="s">
        <v>518</v>
      </c>
      <c r="C220" t="s">
        <v>485</v>
      </c>
      <c r="D220" t="s">
        <v>67</v>
      </c>
      <c r="F220" s="68"/>
      <c r="G220" s="68"/>
      <c r="H220" s="68"/>
      <c r="I220" s="68"/>
      <c r="J220" s="68"/>
      <c r="K220" s="68"/>
      <c r="L220" s="68"/>
      <c r="M220" s="68"/>
      <c r="N220" s="68"/>
      <c r="O220" s="68"/>
      <c r="P220" s="68"/>
      <c r="Q220" s="68"/>
      <c r="R220" s="68"/>
      <c r="S220" s="68"/>
      <c r="T220" s="68"/>
      <c r="U220" s="68"/>
      <c r="V220" s="68"/>
      <c r="W220" s="68"/>
      <c r="X220" s="68"/>
      <c r="Y220" s="68"/>
      <c r="Z220" s="68"/>
      <c r="AA220" s="68"/>
      <c r="AB220" s="68"/>
      <c r="AC220" s="68"/>
      <c r="AD220" s="68"/>
      <c r="AE220" s="68"/>
      <c r="AF220" s="68"/>
      <c r="AG220" s="68"/>
      <c r="AH220" s="68"/>
      <c r="AI220" s="68"/>
      <c r="AJ220" s="68"/>
      <c r="AK220"/>
      <c r="AL220"/>
      <c r="AM220"/>
      <c r="AN220"/>
    </row>
    <row r="221" spans="1:40" ht="14.5" x14ac:dyDescent="0.35">
      <c r="A221" t="s">
        <v>504</v>
      </c>
      <c r="C221" t="s">
        <v>1037</v>
      </c>
      <c r="D221" t="s">
        <v>103</v>
      </c>
      <c r="E221">
        <v>500</v>
      </c>
      <c r="F221" s="68">
        <v>53</v>
      </c>
      <c r="G221" s="68">
        <v>52</v>
      </c>
      <c r="H221" s="68">
        <v>50</v>
      </c>
      <c r="I221" s="68">
        <v>50</v>
      </c>
      <c r="J221" s="68">
        <v>50</v>
      </c>
      <c r="K221" s="68">
        <v>50</v>
      </c>
      <c r="L221" s="68">
        <v>50</v>
      </c>
      <c r="M221" s="68">
        <v>48</v>
      </c>
      <c r="N221" s="68">
        <v>48</v>
      </c>
      <c r="O221" s="68">
        <v>47</v>
      </c>
      <c r="P221" s="68">
        <v>45</v>
      </c>
      <c r="Q221" s="68">
        <v>45</v>
      </c>
      <c r="R221" s="68">
        <v>41</v>
      </c>
      <c r="S221" s="68">
        <v>40</v>
      </c>
      <c r="T221" s="68"/>
      <c r="U221" s="68"/>
      <c r="V221" s="68"/>
      <c r="W221" s="68"/>
      <c r="X221" s="68"/>
      <c r="Y221" s="68"/>
      <c r="Z221" s="68"/>
      <c r="AA221" s="68"/>
      <c r="AB221" s="68"/>
      <c r="AC221" s="68"/>
      <c r="AD221" s="68"/>
      <c r="AE221" s="68"/>
      <c r="AF221" s="68"/>
      <c r="AG221" s="68"/>
      <c r="AH221" s="68"/>
      <c r="AI221" s="68"/>
      <c r="AJ221" s="68"/>
      <c r="AK221"/>
      <c r="AL221"/>
      <c r="AM221"/>
      <c r="AN221"/>
    </row>
    <row r="222" spans="1:40" ht="14.5" x14ac:dyDescent="0.35">
      <c r="A222" t="s">
        <v>504</v>
      </c>
      <c r="C222" t="s">
        <v>1120</v>
      </c>
      <c r="D222" t="s">
        <v>101</v>
      </c>
      <c r="E222">
        <v>25</v>
      </c>
      <c r="F222" s="68">
        <v>13</v>
      </c>
      <c r="G222" s="68">
        <v>11</v>
      </c>
      <c r="H222" s="68">
        <v>27</v>
      </c>
      <c r="I222" s="68">
        <v>8</v>
      </c>
      <c r="J222" s="68">
        <v>5</v>
      </c>
      <c r="K222" s="68">
        <v>2</v>
      </c>
      <c r="L222" s="68">
        <v>2</v>
      </c>
      <c r="M222" s="68">
        <v>15</v>
      </c>
      <c r="N222" s="68">
        <v>4</v>
      </c>
      <c r="O222" s="68">
        <v>0</v>
      </c>
      <c r="P222" s="68">
        <v>28</v>
      </c>
      <c r="Q222" s="68">
        <v>18</v>
      </c>
      <c r="R222" s="68">
        <v>28</v>
      </c>
      <c r="S222" s="68">
        <v>0</v>
      </c>
      <c r="T222" s="68"/>
      <c r="U222" s="68"/>
      <c r="V222" s="68"/>
      <c r="W222" s="68"/>
      <c r="X222" s="68"/>
      <c r="Y222" s="68"/>
      <c r="Z222" s="68"/>
      <c r="AA222" s="68"/>
      <c r="AB222" s="68"/>
      <c r="AC222" s="68"/>
      <c r="AD222" s="68"/>
      <c r="AE222" s="68"/>
      <c r="AF222" s="68"/>
      <c r="AG222" s="68"/>
      <c r="AH222" s="68"/>
      <c r="AI222" s="68"/>
      <c r="AJ222" s="68"/>
      <c r="AK222"/>
      <c r="AL222"/>
      <c r="AM222"/>
      <c r="AN222"/>
    </row>
    <row r="223" spans="1:40" ht="14.5" x14ac:dyDescent="0.35">
      <c r="A223" t="s">
        <v>504</v>
      </c>
      <c r="C223" t="s">
        <v>1121</v>
      </c>
      <c r="D223" t="s">
        <v>102</v>
      </c>
      <c r="E223">
        <v>1</v>
      </c>
      <c r="F223" s="68">
        <v>68</v>
      </c>
      <c r="G223" s="68">
        <v>125</v>
      </c>
      <c r="H223" s="68">
        <v>0</v>
      </c>
      <c r="I223" s="68">
        <v>0</v>
      </c>
      <c r="J223" s="68">
        <v>28</v>
      </c>
      <c r="K223" s="68">
        <v>37</v>
      </c>
      <c r="L223" s="68">
        <v>30</v>
      </c>
      <c r="M223" s="68">
        <v>33</v>
      </c>
      <c r="N223" s="68">
        <v>72</v>
      </c>
      <c r="O223" s="68">
        <v>154</v>
      </c>
      <c r="P223" s="68">
        <v>58</v>
      </c>
      <c r="Q223" s="68">
        <v>60</v>
      </c>
      <c r="R223" s="68">
        <v>55</v>
      </c>
      <c r="S223" s="68">
        <v>68</v>
      </c>
      <c r="T223" s="68"/>
      <c r="U223" s="68"/>
      <c r="V223" s="68"/>
      <c r="W223" s="68"/>
      <c r="X223" s="68"/>
      <c r="Y223" s="68"/>
      <c r="Z223" s="68"/>
      <c r="AA223" s="68"/>
      <c r="AB223" s="68"/>
      <c r="AC223" s="68"/>
      <c r="AD223" s="68"/>
      <c r="AE223" s="68"/>
      <c r="AF223" s="68"/>
      <c r="AG223" s="68"/>
      <c r="AH223" s="68"/>
      <c r="AI223" s="68"/>
      <c r="AJ223" s="68"/>
      <c r="AK223"/>
      <c r="AL223"/>
      <c r="AM223"/>
      <c r="AN223"/>
    </row>
    <row r="224" spans="1:40" ht="14.5" x14ac:dyDescent="0.35">
      <c r="A224" t="s">
        <v>504</v>
      </c>
      <c r="B224" t="s">
        <v>532</v>
      </c>
      <c r="C224" t="s">
        <v>504</v>
      </c>
      <c r="D224" t="s">
        <v>67</v>
      </c>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c r="AF224" s="68"/>
      <c r="AG224" s="68"/>
      <c r="AH224" s="68"/>
      <c r="AI224" s="68"/>
      <c r="AJ224" s="68"/>
      <c r="AK224"/>
      <c r="AL224"/>
      <c r="AM224"/>
      <c r="AN224"/>
    </row>
    <row r="225" spans="1:40" ht="14.5" x14ac:dyDescent="0.35">
      <c r="A225" t="s">
        <v>921</v>
      </c>
      <c r="C225" t="s">
        <v>1016</v>
      </c>
      <c r="D225" t="s">
        <v>102</v>
      </c>
      <c r="E225">
        <v>1</v>
      </c>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c r="AF225" s="68"/>
      <c r="AG225" s="68"/>
      <c r="AH225" s="68"/>
      <c r="AI225" s="68"/>
      <c r="AJ225" s="68"/>
      <c r="AK225"/>
      <c r="AL225"/>
      <c r="AM225"/>
      <c r="AN225"/>
    </row>
    <row r="226" spans="1:40" ht="14.5" x14ac:dyDescent="0.35">
      <c r="A226" t="s">
        <v>921</v>
      </c>
      <c r="B226" t="s">
        <v>628</v>
      </c>
      <c r="C226" t="s">
        <v>921</v>
      </c>
      <c r="D226" t="s">
        <v>67</v>
      </c>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c r="AF226" s="68"/>
      <c r="AG226" s="68"/>
      <c r="AH226" s="68"/>
      <c r="AI226" s="68"/>
      <c r="AJ226" s="68"/>
      <c r="AK226"/>
      <c r="AL226"/>
      <c r="AM226"/>
      <c r="AN226"/>
    </row>
    <row r="227" spans="1:40" ht="14.5" x14ac:dyDescent="0.35">
      <c r="A227" t="s">
        <v>350</v>
      </c>
      <c r="C227" t="s">
        <v>360</v>
      </c>
      <c r="D227" t="s">
        <v>103</v>
      </c>
      <c r="E227">
        <v>5000</v>
      </c>
      <c r="F227" s="68">
        <v>0</v>
      </c>
      <c r="G227" s="68">
        <v>0</v>
      </c>
      <c r="H227" s="68">
        <v>1</v>
      </c>
      <c r="I227" s="68">
        <v>0</v>
      </c>
      <c r="J227" s="68">
        <v>0</v>
      </c>
      <c r="K227" s="68">
        <v>0</v>
      </c>
      <c r="L227" s="68">
        <v>0</v>
      </c>
      <c r="M227" s="68">
        <v>0</v>
      </c>
      <c r="N227" s="68">
        <v>0</v>
      </c>
      <c r="O227" s="68">
        <v>1</v>
      </c>
      <c r="P227" s="68">
        <v>1</v>
      </c>
      <c r="Q227" s="68">
        <v>0</v>
      </c>
      <c r="R227" s="68">
        <v>0</v>
      </c>
      <c r="S227" s="68">
        <v>1</v>
      </c>
      <c r="T227" s="68"/>
      <c r="U227" s="68"/>
      <c r="V227" s="68"/>
      <c r="W227" s="68"/>
      <c r="X227" s="68"/>
      <c r="Y227" s="68"/>
      <c r="Z227" s="68"/>
      <c r="AA227" s="68"/>
      <c r="AB227" s="68"/>
      <c r="AC227" s="68"/>
      <c r="AD227" s="68"/>
      <c r="AE227" s="68"/>
      <c r="AF227" s="68"/>
      <c r="AG227" s="68"/>
      <c r="AH227" s="68"/>
      <c r="AI227" s="68"/>
      <c r="AJ227" s="68"/>
      <c r="AK227"/>
      <c r="AL227"/>
      <c r="AM227"/>
      <c r="AN227"/>
    </row>
    <row r="228" spans="1:40" ht="14.5" x14ac:dyDescent="0.35">
      <c r="A228" t="s">
        <v>350</v>
      </c>
      <c r="C228" t="s">
        <v>1057</v>
      </c>
      <c r="D228" t="s">
        <v>101</v>
      </c>
      <c r="E228">
        <v>1000</v>
      </c>
      <c r="F228" s="68">
        <v>7</v>
      </c>
      <c r="G228" s="68">
        <v>5</v>
      </c>
      <c r="H228" s="68">
        <v>3</v>
      </c>
      <c r="I228" s="68">
        <v>6</v>
      </c>
      <c r="J228" s="68">
        <v>6</v>
      </c>
      <c r="K228" s="68">
        <v>4</v>
      </c>
      <c r="L228" s="68">
        <v>7</v>
      </c>
      <c r="M228" s="68">
        <v>7</v>
      </c>
      <c r="N228" s="68">
        <v>5</v>
      </c>
      <c r="O228" s="68">
        <v>3</v>
      </c>
      <c r="P228" s="68">
        <v>0</v>
      </c>
      <c r="Q228" s="68">
        <v>5</v>
      </c>
      <c r="R228" s="68">
        <v>3</v>
      </c>
      <c r="S228" s="68">
        <v>1</v>
      </c>
      <c r="T228" s="68"/>
      <c r="U228" s="68"/>
      <c r="V228" s="68"/>
      <c r="W228" s="68"/>
      <c r="X228" s="68"/>
      <c r="Y228" s="68"/>
      <c r="Z228" s="68"/>
      <c r="AA228" s="68"/>
      <c r="AB228" s="68"/>
      <c r="AC228" s="68"/>
      <c r="AD228" s="68"/>
      <c r="AE228" s="68"/>
      <c r="AF228" s="68"/>
      <c r="AG228" s="68"/>
      <c r="AH228" s="68"/>
      <c r="AI228" s="68"/>
      <c r="AJ228" s="68"/>
      <c r="AK228"/>
      <c r="AL228"/>
      <c r="AM228"/>
      <c r="AN228"/>
    </row>
    <row r="229" spans="1:40" ht="14.5" x14ac:dyDescent="0.35">
      <c r="A229" t="s">
        <v>350</v>
      </c>
      <c r="C229" t="s">
        <v>361</v>
      </c>
      <c r="D229" t="s">
        <v>29</v>
      </c>
      <c r="E229">
        <v>1</v>
      </c>
      <c r="F229" s="68">
        <v>1182</v>
      </c>
      <c r="G229" s="68">
        <v>1540</v>
      </c>
      <c r="H229" s="68">
        <v>1659</v>
      </c>
      <c r="I229" s="68">
        <v>1910</v>
      </c>
      <c r="J229" s="68">
        <v>460</v>
      </c>
      <c r="K229" s="68">
        <v>1058</v>
      </c>
      <c r="L229" s="68">
        <v>1654</v>
      </c>
      <c r="M229" s="68">
        <v>409</v>
      </c>
      <c r="N229" s="68">
        <v>1177</v>
      </c>
      <c r="O229" s="68">
        <v>1078</v>
      </c>
      <c r="P229" s="68">
        <v>2032</v>
      </c>
      <c r="Q229" s="68">
        <v>641</v>
      </c>
      <c r="R229" s="68">
        <v>1175</v>
      </c>
      <c r="S229" s="68">
        <v>2065</v>
      </c>
      <c r="T229" s="68"/>
      <c r="U229" s="68"/>
      <c r="V229" s="68"/>
      <c r="W229" s="68"/>
      <c r="X229" s="68"/>
      <c r="Y229" s="68"/>
      <c r="Z229" s="68"/>
      <c r="AA229" s="68"/>
      <c r="AB229" s="68"/>
      <c r="AC229" s="68"/>
      <c r="AD229" s="68"/>
      <c r="AE229" s="68"/>
      <c r="AF229" s="68"/>
      <c r="AG229" s="68"/>
      <c r="AH229" s="68"/>
      <c r="AI229" s="68"/>
      <c r="AJ229" s="68"/>
      <c r="AK229"/>
      <c r="AL229"/>
      <c r="AM229"/>
      <c r="AN229"/>
    </row>
    <row r="230" spans="1:40" ht="14.5" x14ac:dyDescent="0.35">
      <c r="A230" t="s">
        <v>350</v>
      </c>
      <c r="B230" t="s">
        <v>380</v>
      </c>
      <c r="C230" t="s">
        <v>350</v>
      </c>
      <c r="D230" t="s">
        <v>35</v>
      </c>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68"/>
      <c r="AG230" s="68"/>
      <c r="AH230" s="68"/>
      <c r="AI230" s="68"/>
      <c r="AJ230" s="68"/>
      <c r="AK230"/>
      <c r="AL230"/>
      <c r="AM230"/>
      <c r="AN230"/>
    </row>
    <row r="231" spans="1:40" ht="14.5" x14ac:dyDescent="0.35">
      <c r="A231" t="s">
        <v>589</v>
      </c>
      <c r="C231" t="s">
        <v>587</v>
      </c>
      <c r="D231" t="s">
        <v>580</v>
      </c>
      <c r="E231">
        <v>1</v>
      </c>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68"/>
      <c r="AG231" s="68"/>
      <c r="AH231" s="68"/>
      <c r="AI231" s="68"/>
      <c r="AJ231" s="68"/>
      <c r="AK231"/>
      <c r="AL231"/>
      <c r="AM231"/>
      <c r="AN231"/>
    </row>
    <row r="232" spans="1:40" ht="14.5" x14ac:dyDescent="0.35">
      <c r="A232" t="s">
        <v>589</v>
      </c>
      <c r="B232" t="s">
        <v>588</v>
      </c>
      <c r="C232" t="s">
        <v>589</v>
      </c>
      <c r="D232" t="s">
        <v>151</v>
      </c>
      <c r="F232" s="68"/>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c r="AD232" s="68"/>
      <c r="AE232" s="68"/>
      <c r="AF232" s="68"/>
      <c r="AG232" s="68"/>
      <c r="AH232" s="68"/>
      <c r="AI232" s="68"/>
      <c r="AJ232" s="68"/>
      <c r="AK232"/>
      <c r="AL232"/>
      <c r="AM232"/>
      <c r="AN232"/>
    </row>
    <row r="233" spans="1:40" ht="14.5" x14ac:dyDescent="0.35">
      <c r="A233" t="s">
        <v>1347</v>
      </c>
      <c r="C233" t="s">
        <v>1395</v>
      </c>
      <c r="D233" t="s">
        <v>103</v>
      </c>
      <c r="E233">
        <v>7332</v>
      </c>
      <c r="F233" s="68">
        <v>1</v>
      </c>
      <c r="G233" s="68">
        <v>0</v>
      </c>
      <c r="H233" s="68">
        <v>2</v>
      </c>
      <c r="I233" s="68">
        <v>1</v>
      </c>
      <c r="J233" s="68">
        <v>1</v>
      </c>
      <c r="K233" s="68">
        <v>1</v>
      </c>
      <c r="L233" s="68">
        <v>1</v>
      </c>
      <c r="M233" s="68">
        <v>4</v>
      </c>
      <c r="N233" s="68">
        <v>0</v>
      </c>
      <c r="O233" s="68">
        <v>2</v>
      </c>
      <c r="P233" s="68">
        <v>1</v>
      </c>
      <c r="Q233" s="68">
        <v>0</v>
      </c>
      <c r="R233" s="68">
        <v>0</v>
      </c>
      <c r="S233" s="68">
        <v>3</v>
      </c>
      <c r="T233" s="68"/>
      <c r="U233" s="68"/>
      <c r="V233" s="68"/>
      <c r="W233" s="68"/>
      <c r="X233" s="68"/>
      <c r="Y233" s="68"/>
      <c r="Z233" s="68"/>
      <c r="AA233" s="68"/>
      <c r="AB233" s="68"/>
      <c r="AC233" s="68"/>
      <c r="AD233" s="68"/>
      <c r="AE233" s="68"/>
      <c r="AF233" s="68"/>
      <c r="AG233" s="68"/>
      <c r="AH233" s="68"/>
      <c r="AI233" s="68"/>
      <c r="AJ233" s="68"/>
      <c r="AK233"/>
      <c r="AL233"/>
      <c r="AM233"/>
      <c r="AN233"/>
    </row>
    <row r="234" spans="1:40" ht="14.5" x14ac:dyDescent="0.35">
      <c r="A234" t="s">
        <v>1347</v>
      </c>
      <c r="C234" t="s">
        <v>1396</v>
      </c>
      <c r="D234" t="s">
        <v>101</v>
      </c>
      <c r="E234">
        <v>1222</v>
      </c>
      <c r="F234" s="68">
        <v>6</v>
      </c>
      <c r="G234" s="68">
        <v>8</v>
      </c>
      <c r="H234" s="68">
        <v>5</v>
      </c>
      <c r="I234" s="68">
        <v>7</v>
      </c>
      <c r="J234" s="68">
        <v>4</v>
      </c>
      <c r="K234" s="68">
        <v>1</v>
      </c>
      <c r="L234" s="68">
        <v>5</v>
      </c>
      <c r="M234" s="68">
        <v>4</v>
      </c>
      <c r="N234" s="68">
        <v>6</v>
      </c>
      <c r="O234" s="68">
        <v>2</v>
      </c>
      <c r="P234" s="68">
        <v>5</v>
      </c>
      <c r="Q234" s="68">
        <v>8</v>
      </c>
      <c r="R234" s="68">
        <v>4</v>
      </c>
      <c r="S234" s="68">
        <v>2</v>
      </c>
      <c r="T234" s="68"/>
      <c r="U234" s="68"/>
      <c r="V234" s="68"/>
      <c r="W234" s="68"/>
      <c r="X234" s="68"/>
      <c r="Y234" s="68"/>
      <c r="Z234" s="68"/>
      <c r="AA234" s="68"/>
      <c r="AB234" s="68"/>
      <c r="AC234" s="68"/>
      <c r="AD234" s="68"/>
      <c r="AE234" s="68"/>
      <c r="AF234" s="68"/>
      <c r="AG234" s="68"/>
      <c r="AH234" s="68"/>
      <c r="AI234" s="68"/>
      <c r="AJ234" s="68"/>
      <c r="AK234"/>
      <c r="AL234"/>
      <c r="AM234"/>
      <c r="AN234"/>
    </row>
    <row r="235" spans="1:40" ht="14.5" x14ac:dyDescent="0.35">
      <c r="A235" t="s">
        <v>1347</v>
      </c>
      <c r="C235" t="s">
        <v>1397</v>
      </c>
      <c r="D235" t="s">
        <v>29</v>
      </c>
      <c r="E235">
        <v>1</v>
      </c>
      <c r="F235" s="68">
        <v>252</v>
      </c>
      <c r="G235" s="68">
        <v>1288</v>
      </c>
      <c r="H235" s="68">
        <v>807</v>
      </c>
      <c r="I235" s="68">
        <v>142</v>
      </c>
      <c r="J235" s="68">
        <v>490</v>
      </c>
      <c r="K235" s="68">
        <v>708</v>
      </c>
      <c r="L235" s="68">
        <v>289</v>
      </c>
      <c r="M235" s="68">
        <v>800</v>
      </c>
      <c r="N235" s="68">
        <v>779</v>
      </c>
      <c r="O235" s="68">
        <v>1805</v>
      </c>
      <c r="P235" s="68">
        <v>496</v>
      </c>
      <c r="Q235" s="68">
        <v>188</v>
      </c>
      <c r="R235" s="68">
        <v>690</v>
      </c>
      <c r="S235" s="68">
        <v>1478</v>
      </c>
      <c r="T235" s="68"/>
      <c r="U235" s="68"/>
      <c r="V235" s="68"/>
      <c r="W235" s="68"/>
      <c r="X235" s="68"/>
      <c r="Y235" s="68"/>
      <c r="Z235" s="68"/>
      <c r="AA235" s="68"/>
      <c r="AB235" s="68"/>
      <c r="AC235" s="68"/>
      <c r="AD235" s="68"/>
      <c r="AE235" s="68"/>
      <c r="AF235" s="68"/>
      <c r="AG235" s="68"/>
      <c r="AH235" s="68"/>
      <c r="AI235" s="68"/>
      <c r="AJ235" s="68"/>
      <c r="AK235"/>
      <c r="AL235"/>
      <c r="AM235"/>
      <c r="AN235"/>
    </row>
    <row r="236" spans="1:40" ht="14.5" x14ac:dyDescent="0.35">
      <c r="A236" t="s">
        <v>1347</v>
      </c>
      <c r="B236" t="s">
        <v>1398</v>
      </c>
      <c r="C236" t="s">
        <v>1347</v>
      </c>
      <c r="D236" t="s">
        <v>35</v>
      </c>
      <c r="F236" s="68"/>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c r="AD236" s="68"/>
      <c r="AE236" s="68"/>
      <c r="AF236" s="68"/>
      <c r="AG236" s="68"/>
      <c r="AH236" s="68"/>
      <c r="AI236" s="68"/>
      <c r="AJ236" s="68"/>
      <c r="AK236"/>
      <c r="AL236"/>
      <c r="AM236"/>
      <c r="AN236"/>
    </row>
    <row r="237" spans="1:40" ht="14.5" x14ac:dyDescent="0.35">
      <c r="A237" t="s">
        <v>21</v>
      </c>
      <c r="C237" t="s">
        <v>1058</v>
      </c>
      <c r="D237" t="s">
        <v>462</v>
      </c>
      <c r="E237">
        <v>1</v>
      </c>
      <c r="F237" s="68">
        <v>76</v>
      </c>
      <c r="G237" s="68">
        <v>76</v>
      </c>
      <c r="H237" s="68">
        <v>76</v>
      </c>
      <c r="I237" s="68">
        <v>76</v>
      </c>
      <c r="J237" s="68"/>
      <c r="K237" s="68"/>
      <c r="L237" s="68"/>
      <c r="M237" s="68"/>
      <c r="N237" s="68"/>
      <c r="O237" s="68"/>
      <c r="P237" s="68"/>
      <c r="Q237" s="68"/>
      <c r="R237" s="68"/>
      <c r="S237" s="68"/>
      <c r="T237" s="68"/>
      <c r="U237" s="68"/>
      <c r="V237" s="68"/>
      <c r="W237" s="68"/>
      <c r="X237" s="68"/>
      <c r="Y237" s="68"/>
      <c r="Z237" s="68"/>
      <c r="AA237" s="68"/>
      <c r="AB237" s="68"/>
      <c r="AC237" s="68"/>
      <c r="AD237" s="68"/>
      <c r="AE237" s="68"/>
      <c r="AF237" s="68"/>
      <c r="AG237" s="68"/>
      <c r="AH237" s="68"/>
      <c r="AI237" s="68"/>
      <c r="AJ237" s="68"/>
      <c r="AK237"/>
      <c r="AL237"/>
      <c r="AM237"/>
      <c r="AN237"/>
    </row>
    <row r="238" spans="1:40" ht="14.5" x14ac:dyDescent="0.35">
      <c r="A238" t="s">
        <v>21</v>
      </c>
      <c r="B238" t="s">
        <v>571</v>
      </c>
      <c r="C238" t="s">
        <v>21</v>
      </c>
      <c r="D238" t="s">
        <v>556</v>
      </c>
      <c r="F238" s="68"/>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c r="AD238" s="68"/>
      <c r="AE238" s="68"/>
      <c r="AF238" s="68"/>
      <c r="AG238" s="68"/>
      <c r="AH238" s="68"/>
      <c r="AI238" s="68"/>
      <c r="AJ238" s="68"/>
      <c r="AK238"/>
      <c r="AL238"/>
      <c r="AM238"/>
      <c r="AN238"/>
    </row>
    <row r="239" spans="1:40" ht="14.5" x14ac:dyDescent="0.35">
      <c r="A239" t="s">
        <v>22</v>
      </c>
      <c r="C239" t="s">
        <v>1059</v>
      </c>
      <c r="D239" t="s">
        <v>462</v>
      </c>
      <c r="E239">
        <v>1</v>
      </c>
      <c r="F239" s="68"/>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c r="AD239" s="68"/>
      <c r="AE239" s="68"/>
      <c r="AF239" s="68"/>
      <c r="AG239" s="68"/>
      <c r="AH239" s="68"/>
      <c r="AI239" s="68"/>
      <c r="AJ239" s="68"/>
      <c r="AK239"/>
      <c r="AL239"/>
      <c r="AM239"/>
      <c r="AN239"/>
    </row>
    <row r="240" spans="1:40" ht="14.5" x14ac:dyDescent="0.35">
      <c r="A240" t="s">
        <v>22</v>
      </c>
      <c r="B240" t="s">
        <v>570</v>
      </c>
      <c r="C240" t="s">
        <v>22</v>
      </c>
      <c r="D240" t="s">
        <v>556</v>
      </c>
      <c r="F240" s="68"/>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c r="AD240" s="68"/>
      <c r="AE240" s="68"/>
      <c r="AF240" s="68"/>
      <c r="AG240" s="68"/>
      <c r="AH240" s="68"/>
      <c r="AI240" s="68"/>
      <c r="AJ240" s="68"/>
      <c r="AK240"/>
      <c r="AL240"/>
      <c r="AM240"/>
      <c r="AN240"/>
    </row>
    <row r="241" spans="1:40" ht="14.5" x14ac:dyDescent="0.35">
      <c r="A241" t="s">
        <v>1340</v>
      </c>
      <c r="C241" t="s">
        <v>1413</v>
      </c>
      <c r="D241" t="s">
        <v>101</v>
      </c>
      <c r="E241">
        <v>193</v>
      </c>
      <c r="F241" s="68">
        <v>779</v>
      </c>
      <c r="G241" s="68">
        <v>775</v>
      </c>
      <c r="H241" s="68">
        <v>772</v>
      </c>
      <c r="I241" s="68">
        <v>767</v>
      </c>
      <c r="J241" s="68">
        <v>765</v>
      </c>
      <c r="K241" s="68">
        <v>702</v>
      </c>
      <c r="L241" s="68">
        <v>759</v>
      </c>
      <c r="M241" s="68">
        <v>756</v>
      </c>
      <c r="N241" s="68">
        <v>753</v>
      </c>
      <c r="O241" s="68">
        <v>758</v>
      </c>
      <c r="P241" s="68">
        <v>745</v>
      </c>
      <c r="Q241" s="68">
        <v>743</v>
      </c>
      <c r="R241" s="68">
        <v>740</v>
      </c>
      <c r="S241" s="68">
        <v>735</v>
      </c>
      <c r="T241" s="68"/>
      <c r="U241" s="68"/>
      <c r="V241" s="68"/>
      <c r="W241" s="68"/>
      <c r="X241" s="68"/>
      <c r="Y241" s="68"/>
      <c r="Z241" s="68"/>
      <c r="AA241" s="68"/>
      <c r="AB241" s="68"/>
      <c r="AC241" s="68"/>
      <c r="AD241" s="68"/>
      <c r="AE241" s="68"/>
      <c r="AF241" s="68"/>
      <c r="AG241" s="68"/>
      <c r="AH241" s="68"/>
      <c r="AI241" s="68"/>
      <c r="AJ241" s="68"/>
      <c r="AK241"/>
      <c r="AL241"/>
      <c r="AM241"/>
      <c r="AN241"/>
    </row>
    <row r="242" spans="1:40" ht="14.5" x14ac:dyDescent="0.35">
      <c r="A242" t="s">
        <v>1340</v>
      </c>
      <c r="C242" t="s">
        <v>1414</v>
      </c>
      <c r="D242" t="s">
        <v>102</v>
      </c>
      <c r="E242">
        <v>1</v>
      </c>
      <c r="F242" s="68">
        <v>76</v>
      </c>
      <c r="G242" s="68">
        <v>0</v>
      </c>
      <c r="H242" s="68">
        <v>0</v>
      </c>
      <c r="I242" s="68">
        <v>0</v>
      </c>
      <c r="J242" s="68">
        <v>78</v>
      </c>
      <c r="K242" s="68">
        <v>11</v>
      </c>
      <c r="L242" s="68">
        <v>76</v>
      </c>
      <c r="M242" s="68">
        <v>55</v>
      </c>
      <c r="N242" s="68">
        <v>62</v>
      </c>
      <c r="O242" s="68">
        <v>0</v>
      </c>
      <c r="P242" s="68">
        <v>82</v>
      </c>
      <c r="Q242" s="68">
        <v>18</v>
      </c>
      <c r="R242" s="68">
        <v>23</v>
      </c>
      <c r="S242" s="68">
        <v>0</v>
      </c>
      <c r="T242" s="68"/>
      <c r="U242" s="68"/>
      <c r="V242" s="68"/>
      <c r="W242" s="68"/>
      <c r="X242" s="68"/>
      <c r="Y242" s="68"/>
      <c r="Z242" s="68"/>
      <c r="AA242" s="68"/>
      <c r="AB242" s="68"/>
      <c r="AC242" s="68"/>
      <c r="AD242" s="68"/>
      <c r="AE242" s="68"/>
      <c r="AF242" s="68"/>
      <c r="AG242" s="68"/>
      <c r="AH242" s="68"/>
      <c r="AI242" s="68"/>
      <c r="AJ242" s="68"/>
      <c r="AK242"/>
      <c r="AL242"/>
      <c r="AM242"/>
      <c r="AN242"/>
    </row>
    <row r="243" spans="1:40" ht="14.5" x14ac:dyDescent="0.35">
      <c r="A243" t="s">
        <v>1340</v>
      </c>
      <c r="B243" t="s">
        <v>1412</v>
      </c>
      <c r="C243" t="s">
        <v>1340</v>
      </c>
      <c r="D243" t="s">
        <v>67</v>
      </c>
      <c r="F243" s="68"/>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c r="AD243" s="68"/>
      <c r="AE243" s="68"/>
      <c r="AF243" s="68"/>
      <c r="AG243" s="68"/>
      <c r="AH243" s="68"/>
      <c r="AI243" s="68"/>
      <c r="AJ243" s="68"/>
      <c r="AK243"/>
      <c r="AL243"/>
      <c r="AM243"/>
      <c r="AN243"/>
    </row>
    <row r="244" spans="1:40" ht="14.5" x14ac:dyDescent="0.35">
      <c r="A244" t="s">
        <v>505</v>
      </c>
      <c r="C244" t="s">
        <v>1315</v>
      </c>
      <c r="D244" t="s">
        <v>1185</v>
      </c>
      <c r="E244">
        <v>100</v>
      </c>
      <c r="F244" s="68"/>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c r="AD244" s="68"/>
      <c r="AE244" s="68"/>
      <c r="AF244" s="68"/>
      <c r="AG244" s="68"/>
      <c r="AH244" s="68"/>
      <c r="AI244" s="68"/>
      <c r="AJ244" s="68"/>
      <c r="AK244"/>
      <c r="AL244"/>
      <c r="AM244"/>
      <c r="AN244"/>
    </row>
    <row r="245" spans="1:40" ht="14.5" x14ac:dyDescent="0.35">
      <c r="A245" t="s">
        <v>505</v>
      </c>
      <c r="C245" t="s">
        <v>526</v>
      </c>
      <c r="D245" t="s">
        <v>549</v>
      </c>
      <c r="E245">
        <v>1</v>
      </c>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68"/>
      <c r="AG245" s="68"/>
      <c r="AH245" s="68"/>
      <c r="AI245" s="68"/>
      <c r="AJ245" s="68"/>
      <c r="AK245"/>
      <c r="AL245"/>
      <c r="AM245"/>
      <c r="AN245"/>
    </row>
    <row r="246" spans="1:40" ht="14.5" x14ac:dyDescent="0.35">
      <c r="A246" t="s">
        <v>505</v>
      </c>
      <c r="B246" t="s">
        <v>522</v>
      </c>
      <c r="C246" t="s">
        <v>505</v>
      </c>
      <c r="D246" t="s">
        <v>150</v>
      </c>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68"/>
      <c r="AG246" s="68"/>
      <c r="AH246" s="68"/>
      <c r="AI246" s="68"/>
      <c r="AJ246" s="68"/>
      <c r="AK246"/>
      <c r="AL246"/>
      <c r="AM246"/>
      <c r="AN246"/>
    </row>
    <row r="247" spans="1:40" ht="14.5" x14ac:dyDescent="0.35">
      <c r="A247" t="s">
        <v>23</v>
      </c>
      <c r="C247" t="s">
        <v>1060</v>
      </c>
      <c r="D247" t="s">
        <v>101</v>
      </c>
      <c r="E247">
        <v>1</v>
      </c>
      <c r="F247" s="68">
        <v>19</v>
      </c>
      <c r="G247" s="68">
        <v>19</v>
      </c>
      <c r="H247" s="68">
        <v>18</v>
      </c>
      <c r="I247" s="68">
        <v>18</v>
      </c>
      <c r="J247" s="68">
        <v>18</v>
      </c>
      <c r="K247" s="68">
        <v>18</v>
      </c>
      <c r="L247" s="68">
        <v>17</v>
      </c>
      <c r="M247" s="68">
        <v>19</v>
      </c>
      <c r="N247" s="68">
        <v>19</v>
      </c>
      <c r="O247" s="68">
        <v>19</v>
      </c>
      <c r="P247" s="68">
        <v>19</v>
      </c>
      <c r="Q247" s="68">
        <v>19</v>
      </c>
      <c r="R247" s="68">
        <v>19</v>
      </c>
      <c r="S247" s="68">
        <v>19</v>
      </c>
      <c r="T247" s="68"/>
      <c r="U247" s="68"/>
      <c r="V247" s="68"/>
      <c r="W247" s="68"/>
      <c r="X247" s="68"/>
      <c r="Y247" s="68"/>
      <c r="Z247" s="68"/>
      <c r="AA247" s="68"/>
      <c r="AB247" s="68"/>
      <c r="AC247" s="68"/>
      <c r="AD247" s="68"/>
      <c r="AE247" s="68"/>
      <c r="AF247" s="68"/>
      <c r="AG247" s="68"/>
      <c r="AH247" s="68"/>
      <c r="AI247" s="68"/>
      <c r="AJ247" s="68"/>
      <c r="AK247"/>
      <c r="AL247"/>
      <c r="AM247"/>
      <c r="AN247"/>
    </row>
    <row r="248" spans="1:40" ht="14.5" x14ac:dyDescent="0.35">
      <c r="A248" t="s">
        <v>23</v>
      </c>
      <c r="B248" t="s">
        <v>619</v>
      </c>
      <c r="C248" t="s">
        <v>23</v>
      </c>
      <c r="D248" t="s">
        <v>556</v>
      </c>
      <c r="F248" s="68"/>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c r="AD248" s="68"/>
      <c r="AE248" s="68"/>
      <c r="AF248" s="68"/>
      <c r="AG248" s="68"/>
      <c r="AH248" s="68"/>
      <c r="AI248" s="68"/>
      <c r="AJ248" s="68"/>
      <c r="AK248"/>
      <c r="AL248"/>
      <c r="AM248"/>
      <c r="AN248"/>
    </row>
    <row r="249" spans="1:40" ht="14.5" x14ac:dyDescent="0.35">
      <c r="A249" t="s">
        <v>24</v>
      </c>
      <c r="C249" t="s">
        <v>1061</v>
      </c>
      <c r="D249" t="s">
        <v>462</v>
      </c>
      <c r="E249">
        <v>1</v>
      </c>
      <c r="F249" s="68">
        <v>44</v>
      </c>
      <c r="G249" s="68">
        <v>43</v>
      </c>
      <c r="H249" s="68">
        <v>50</v>
      </c>
      <c r="I249" s="68">
        <v>45</v>
      </c>
      <c r="J249" s="68">
        <v>32</v>
      </c>
      <c r="K249" s="68">
        <v>27</v>
      </c>
      <c r="L249" s="68">
        <v>24</v>
      </c>
      <c r="M249" s="68">
        <v>57</v>
      </c>
      <c r="N249" s="68">
        <v>57</v>
      </c>
      <c r="O249" s="68">
        <v>57</v>
      </c>
      <c r="P249" s="68">
        <v>52</v>
      </c>
      <c r="Q249" s="68">
        <v>47</v>
      </c>
      <c r="R249" s="68">
        <v>48</v>
      </c>
      <c r="S249" s="68">
        <v>45</v>
      </c>
      <c r="T249" s="68"/>
      <c r="U249" s="68"/>
      <c r="V249" s="68"/>
      <c r="W249" s="68"/>
      <c r="X249" s="68"/>
      <c r="Y249" s="68"/>
      <c r="Z249" s="68"/>
      <c r="AA249" s="68"/>
      <c r="AB249" s="68"/>
      <c r="AC249" s="68"/>
      <c r="AD249" s="68"/>
      <c r="AE249" s="68"/>
      <c r="AF249" s="68"/>
      <c r="AG249" s="68"/>
      <c r="AH249" s="68"/>
      <c r="AI249" s="68"/>
      <c r="AJ249" s="68"/>
      <c r="AK249"/>
      <c r="AL249"/>
      <c r="AM249"/>
      <c r="AN249"/>
    </row>
    <row r="250" spans="1:40" ht="14.5" x14ac:dyDescent="0.35">
      <c r="A250" t="s">
        <v>24</v>
      </c>
      <c r="B250" t="s">
        <v>629</v>
      </c>
      <c r="C250" t="s">
        <v>24</v>
      </c>
      <c r="D250" t="s">
        <v>556</v>
      </c>
      <c r="F250" s="68"/>
      <c r="G250" s="68"/>
      <c r="H250" s="68"/>
      <c r="I250" s="68"/>
      <c r="J250" s="68"/>
      <c r="K250" s="68"/>
      <c r="L250" s="68"/>
      <c r="M250" s="68"/>
      <c r="N250" s="68"/>
      <c r="O250" s="68"/>
      <c r="P250" s="68"/>
      <c r="Q250" s="68"/>
      <c r="R250" s="68"/>
      <c r="S250" s="68"/>
      <c r="T250" s="68"/>
      <c r="U250" s="68"/>
      <c r="V250" s="68"/>
      <c r="W250" s="68"/>
      <c r="X250" s="68"/>
      <c r="Y250" s="68"/>
      <c r="Z250" s="68"/>
      <c r="AA250" s="68"/>
      <c r="AB250" s="68"/>
      <c r="AC250" s="68"/>
      <c r="AD250" s="68"/>
      <c r="AE250" s="68"/>
      <c r="AF250" s="68"/>
      <c r="AG250" s="68"/>
      <c r="AH250" s="68"/>
      <c r="AI250" s="68"/>
      <c r="AJ250" s="68"/>
      <c r="AK250"/>
      <c r="AL250"/>
      <c r="AM250"/>
      <c r="AN250"/>
    </row>
    <row r="251" spans="1:40" ht="14.5" x14ac:dyDescent="0.35">
      <c r="A251" t="s">
        <v>351</v>
      </c>
      <c r="C251" t="s">
        <v>362</v>
      </c>
      <c r="D251" t="s">
        <v>103</v>
      </c>
      <c r="E251">
        <v>2208</v>
      </c>
      <c r="F251" s="68"/>
      <c r="G251" s="68">
        <v>0</v>
      </c>
      <c r="H251" s="68">
        <v>0</v>
      </c>
      <c r="I251" s="68">
        <v>0</v>
      </c>
      <c r="J251" s="68">
        <v>0</v>
      </c>
      <c r="K251" s="68">
        <v>0</v>
      </c>
      <c r="L251" s="68">
        <v>0</v>
      </c>
      <c r="M251" s="68">
        <v>0</v>
      </c>
      <c r="N251" s="68">
        <v>0</v>
      </c>
      <c r="O251" s="68">
        <v>0</v>
      </c>
      <c r="P251" s="68">
        <v>0</v>
      </c>
      <c r="Q251" s="68">
        <v>0</v>
      </c>
      <c r="R251" s="68">
        <v>0</v>
      </c>
      <c r="S251" s="68">
        <v>0</v>
      </c>
      <c r="T251" s="68"/>
      <c r="U251" s="68"/>
      <c r="V251" s="68"/>
      <c r="W251" s="68"/>
      <c r="X251" s="68"/>
      <c r="Y251" s="68"/>
      <c r="Z251" s="68"/>
      <c r="AA251" s="68"/>
      <c r="AB251" s="68"/>
      <c r="AC251" s="68"/>
      <c r="AD251" s="68"/>
      <c r="AE251" s="68"/>
      <c r="AF251" s="68"/>
      <c r="AG251" s="68"/>
      <c r="AH251" s="68"/>
      <c r="AI251" s="68"/>
      <c r="AJ251" s="68"/>
      <c r="AK251"/>
      <c r="AL251"/>
      <c r="AM251"/>
      <c r="AN251"/>
    </row>
    <row r="252" spans="1:40" ht="14.5" x14ac:dyDescent="0.35">
      <c r="A252" t="s">
        <v>351</v>
      </c>
      <c r="C252" t="s">
        <v>363</v>
      </c>
      <c r="D252" t="s">
        <v>101</v>
      </c>
      <c r="E252">
        <v>92</v>
      </c>
      <c r="F252" s="68"/>
      <c r="G252" s="68">
        <v>0</v>
      </c>
      <c r="H252" s="68">
        <v>0</v>
      </c>
      <c r="I252" s="68">
        <v>0</v>
      </c>
      <c r="J252" s="68">
        <v>0</v>
      </c>
      <c r="K252" s="68">
        <v>0</v>
      </c>
      <c r="L252" s="68">
        <v>0</v>
      </c>
      <c r="M252" s="68">
        <v>0</v>
      </c>
      <c r="N252" s="68">
        <v>0</v>
      </c>
      <c r="O252" s="68">
        <v>0</v>
      </c>
      <c r="P252" s="68">
        <v>0</v>
      </c>
      <c r="Q252" s="68">
        <v>0</v>
      </c>
      <c r="R252" s="68">
        <v>0</v>
      </c>
      <c r="S252" s="68">
        <v>0</v>
      </c>
      <c r="T252" s="68"/>
      <c r="U252" s="68"/>
      <c r="V252" s="68"/>
      <c r="W252" s="68"/>
      <c r="X252" s="68"/>
      <c r="Y252" s="68"/>
      <c r="Z252" s="68"/>
      <c r="AA252" s="68"/>
      <c r="AB252" s="68"/>
      <c r="AC252" s="68"/>
      <c r="AD252" s="68"/>
      <c r="AE252" s="68"/>
      <c r="AF252" s="68"/>
      <c r="AG252" s="68"/>
      <c r="AH252" s="68"/>
      <c r="AI252" s="68"/>
      <c r="AJ252" s="68"/>
      <c r="AK252"/>
      <c r="AL252"/>
      <c r="AM252"/>
      <c r="AN252"/>
    </row>
    <row r="253" spans="1:40" ht="14.5" x14ac:dyDescent="0.35">
      <c r="A253" t="s">
        <v>351</v>
      </c>
      <c r="C253" t="s">
        <v>364</v>
      </c>
      <c r="D253" t="s">
        <v>29</v>
      </c>
      <c r="E253">
        <v>1</v>
      </c>
      <c r="F253" s="68"/>
      <c r="G253" s="68">
        <v>0</v>
      </c>
      <c r="H253" s="68">
        <v>0</v>
      </c>
      <c r="I253" s="68">
        <v>0</v>
      </c>
      <c r="J253" s="68">
        <v>0</v>
      </c>
      <c r="K253" s="68">
        <v>0</v>
      </c>
      <c r="L253" s="68">
        <v>0</v>
      </c>
      <c r="M253" s="68">
        <v>0</v>
      </c>
      <c r="N253" s="68">
        <v>0</v>
      </c>
      <c r="O253" s="68">
        <v>0</v>
      </c>
      <c r="P253" s="68">
        <v>0</v>
      </c>
      <c r="Q253" s="68">
        <v>0</v>
      </c>
      <c r="R253" s="68">
        <v>0</v>
      </c>
      <c r="S253" s="68">
        <v>0</v>
      </c>
      <c r="T253" s="68"/>
      <c r="U253" s="68"/>
      <c r="V253" s="68"/>
      <c r="W253" s="68"/>
      <c r="X253" s="68"/>
      <c r="Y253" s="68"/>
      <c r="Z253" s="68"/>
      <c r="AA253" s="68"/>
      <c r="AB253" s="68"/>
      <c r="AC253" s="68"/>
      <c r="AD253" s="68"/>
      <c r="AE253" s="68"/>
      <c r="AF253" s="68"/>
      <c r="AG253" s="68"/>
      <c r="AH253" s="68"/>
      <c r="AI253" s="68"/>
      <c r="AJ253" s="68"/>
      <c r="AK253"/>
      <c r="AL253"/>
      <c r="AM253"/>
      <c r="AN253"/>
    </row>
    <row r="254" spans="1:40" ht="14.5" x14ac:dyDescent="0.35">
      <c r="A254" t="s">
        <v>351</v>
      </c>
      <c r="B254" t="s">
        <v>381</v>
      </c>
      <c r="C254" t="s">
        <v>351</v>
      </c>
      <c r="D254" t="s">
        <v>35</v>
      </c>
      <c r="F254" s="68"/>
      <c r="G254" s="68"/>
      <c r="H254" s="68"/>
      <c r="I254" s="68"/>
      <c r="J254" s="68"/>
      <c r="K254" s="68"/>
      <c r="L254" s="68"/>
      <c r="M254" s="68"/>
      <c r="N254" s="68"/>
      <c r="O254" s="68"/>
      <c r="P254" s="68"/>
      <c r="Q254" s="68"/>
      <c r="R254" s="68"/>
      <c r="S254" s="68"/>
      <c r="T254" s="68"/>
      <c r="U254" s="68"/>
      <c r="V254" s="68"/>
      <c r="W254" s="68"/>
      <c r="X254" s="68"/>
      <c r="Y254" s="68"/>
      <c r="Z254" s="68"/>
      <c r="AA254" s="68"/>
      <c r="AB254" s="68"/>
      <c r="AC254" s="68"/>
      <c r="AD254" s="68"/>
      <c r="AE254" s="68"/>
      <c r="AF254" s="68"/>
      <c r="AG254" s="68"/>
      <c r="AH254" s="68"/>
      <c r="AI254" s="68"/>
      <c r="AJ254" s="68"/>
      <c r="AK254"/>
      <c r="AL254"/>
      <c r="AM254"/>
      <c r="AN254"/>
    </row>
    <row r="255" spans="1:40" ht="14.5" x14ac:dyDescent="0.35">
      <c r="A255" t="s">
        <v>512</v>
      </c>
      <c r="C255" t="s">
        <v>1098</v>
      </c>
      <c r="D255" t="s">
        <v>101</v>
      </c>
      <c r="E255">
        <v>3000</v>
      </c>
      <c r="F255" s="68"/>
      <c r="G255" s="68">
        <v>0</v>
      </c>
      <c r="H255" s="68">
        <v>0</v>
      </c>
      <c r="I255" s="68">
        <v>0</v>
      </c>
      <c r="J255" s="68">
        <v>0</v>
      </c>
      <c r="K255" s="68">
        <v>0</v>
      </c>
      <c r="L255" s="68">
        <v>0</v>
      </c>
      <c r="M255" s="68">
        <v>0</v>
      </c>
      <c r="N255" s="68">
        <v>0</v>
      </c>
      <c r="O255" s="68"/>
      <c r="P255" s="68">
        <v>0</v>
      </c>
      <c r="Q255" s="68">
        <v>0</v>
      </c>
      <c r="R255" s="68">
        <v>0</v>
      </c>
      <c r="S255" s="68">
        <v>0</v>
      </c>
      <c r="T255" s="68"/>
      <c r="U255" s="68"/>
      <c r="V255" s="68"/>
      <c r="W255" s="68"/>
      <c r="X255" s="68"/>
      <c r="Y255" s="68"/>
      <c r="Z255" s="68"/>
      <c r="AA255" s="68"/>
      <c r="AB255" s="68"/>
      <c r="AC255" s="68"/>
      <c r="AD255" s="68"/>
      <c r="AE255" s="68"/>
      <c r="AF255" s="68"/>
      <c r="AG255" s="68"/>
      <c r="AH255" s="68"/>
      <c r="AI255" s="68"/>
      <c r="AJ255" s="68"/>
      <c r="AK255"/>
      <c r="AL255"/>
      <c r="AM255"/>
      <c r="AN255"/>
    </row>
    <row r="256" spans="1:40" ht="14.5" x14ac:dyDescent="0.35">
      <c r="A256" t="s">
        <v>512</v>
      </c>
      <c r="C256" t="s">
        <v>1099</v>
      </c>
      <c r="D256" t="s">
        <v>101</v>
      </c>
      <c r="E256">
        <v>500</v>
      </c>
      <c r="F256" s="68"/>
      <c r="G256" s="68"/>
      <c r="H256" s="68"/>
      <c r="I256" s="68"/>
      <c r="J256" s="68"/>
      <c r="K256" s="68"/>
      <c r="L256" s="68"/>
      <c r="M256" s="68"/>
      <c r="N256" s="68"/>
      <c r="O256" s="68"/>
      <c r="P256" s="68"/>
      <c r="Q256" s="68"/>
      <c r="R256" s="68"/>
      <c r="S256" s="68"/>
      <c r="T256" s="68"/>
      <c r="U256" s="68"/>
      <c r="V256" s="68"/>
      <c r="W256" s="68"/>
      <c r="X256" s="68"/>
      <c r="Y256" s="68"/>
      <c r="Z256" s="68"/>
      <c r="AA256" s="68"/>
      <c r="AB256" s="68"/>
      <c r="AC256" s="68"/>
      <c r="AD256" s="68"/>
      <c r="AE256" s="68"/>
      <c r="AF256" s="68"/>
      <c r="AG256" s="68"/>
      <c r="AH256" s="68"/>
      <c r="AI256" s="68"/>
      <c r="AJ256" s="68"/>
      <c r="AK256"/>
      <c r="AL256"/>
      <c r="AM256"/>
      <c r="AN256"/>
    </row>
    <row r="257" spans="1:40" ht="14.5" x14ac:dyDescent="0.35">
      <c r="A257" t="s">
        <v>512</v>
      </c>
      <c r="C257" t="s">
        <v>527</v>
      </c>
      <c r="D257" t="s">
        <v>549</v>
      </c>
      <c r="E257">
        <v>1</v>
      </c>
      <c r="F257" s="68"/>
      <c r="G257" s="68"/>
      <c r="H257" s="68"/>
      <c r="I257" s="68"/>
      <c r="J257" s="68"/>
      <c r="K257" s="68"/>
      <c r="L257" s="68"/>
      <c r="M257" s="68"/>
      <c r="N257" s="68"/>
      <c r="O257" s="68"/>
      <c r="P257" s="68"/>
      <c r="Q257" s="68"/>
      <c r="R257" s="68"/>
      <c r="S257" s="68"/>
      <c r="T257" s="68"/>
      <c r="U257" s="68"/>
      <c r="V257" s="68"/>
      <c r="W257" s="68"/>
      <c r="X257" s="68"/>
      <c r="Y257" s="68"/>
      <c r="Z257" s="68"/>
      <c r="AA257" s="68"/>
      <c r="AB257" s="68"/>
      <c r="AC257" s="68"/>
      <c r="AD257" s="68"/>
      <c r="AE257" s="68"/>
      <c r="AF257" s="68"/>
      <c r="AG257" s="68"/>
      <c r="AH257" s="68"/>
      <c r="AI257" s="68"/>
      <c r="AJ257" s="68"/>
      <c r="AK257"/>
      <c r="AL257"/>
      <c r="AM257"/>
      <c r="AN257"/>
    </row>
    <row r="258" spans="1:40" ht="14.5" x14ac:dyDescent="0.35">
      <c r="A258" t="s">
        <v>512</v>
      </c>
      <c r="B258" t="s">
        <v>523</v>
      </c>
      <c r="C258" t="s">
        <v>512</v>
      </c>
      <c r="D258" t="s">
        <v>150</v>
      </c>
      <c r="F258" s="68"/>
      <c r="G258" s="68"/>
      <c r="H258" s="68"/>
      <c r="I258" s="68"/>
      <c r="J258" s="68"/>
      <c r="K258" s="68"/>
      <c r="L258" s="68"/>
      <c r="M258" s="68"/>
      <c r="N258" s="68"/>
      <c r="O258" s="68"/>
      <c r="P258" s="68"/>
      <c r="Q258" s="68"/>
      <c r="R258" s="68"/>
      <c r="S258" s="68"/>
      <c r="T258" s="68"/>
      <c r="U258" s="68"/>
      <c r="V258" s="68"/>
      <c r="W258" s="68"/>
      <c r="X258" s="68"/>
      <c r="Y258" s="68"/>
      <c r="Z258" s="68"/>
      <c r="AA258" s="68"/>
      <c r="AB258" s="68"/>
      <c r="AC258" s="68"/>
      <c r="AD258" s="68"/>
      <c r="AE258" s="68"/>
      <c r="AF258" s="68"/>
      <c r="AG258" s="68"/>
      <c r="AH258" s="68"/>
      <c r="AI258" s="68"/>
      <c r="AJ258" s="68"/>
      <c r="AK258"/>
      <c r="AL258"/>
      <c r="AM258"/>
      <c r="AN258"/>
    </row>
    <row r="259" spans="1:40" ht="14.5" x14ac:dyDescent="0.35">
      <c r="A259" t="s">
        <v>25</v>
      </c>
      <c r="C259" t="s">
        <v>579</v>
      </c>
      <c r="D259" t="s">
        <v>580</v>
      </c>
      <c r="E259">
        <v>1</v>
      </c>
      <c r="F259" s="68"/>
      <c r="G259" s="68">
        <v>22</v>
      </c>
      <c r="H259" s="68">
        <v>21</v>
      </c>
      <c r="I259" s="68">
        <v>0</v>
      </c>
      <c r="J259" s="68">
        <v>18</v>
      </c>
      <c r="K259" s="68">
        <v>16</v>
      </c>
      <c r="L259" s="68">
        <v>15</v>
      </c>
      <c r="M259" s="68">
        <v>15</v>
      </c>
      <c r="N259" s="68">
        <v>12</v>
      </c>
      <c r="O259" s="68">
        <v>10</v>
      </c>
      <c r="P259" s="68">
        <v>7</v>
      </c>
      <c r="Q259" s="68">
        <v>6</v>
      </c>
      <c r="R259" s="68">
        <v>4</v>
      </c>
      <c r="S259" s="68">
        <v>2</v>
      </c>
      <c r="T259" s="68"/>
      <c r="U259" s="68"/>
      <c r="V259" s="68"/>
      <c r="W259" s="68"/>
      <c r="X259" s="68"/>
      <c r="Y259" s="68"/>
      <c r="Z259" s="68"/>
      <c r="AA259" s="68"/>
      <c r="AB259" s="68"/>
      <c r="AC259" s="68"/>
      <c r="AD259" s="68"/>
      <c r="AE259" s="68"/>
      <c r="AF259" s="68"/>
      <c r="AG259" s="68"/>
      <c r="AH259" s="68"/>
      <c r="AI259" s="68"/>
      <c r="AJ259" s="68"/>
      <c r="AK259"/>
      <c r="AL259"/>
      <c r="AM259"/>
      <c r="AN259"/>
    </row>
    <row r="260" spans="1:40" ht="14.5" x14ac:dyDescent="0.35">
      <c r="A260" t="s">
        <v>25</v>
      </c>
      <c r="B260" t="s">
        <v>630</v>
      </c>
      <c r="C260" t="s">
        <v>25</v>
      </c>
      <c r="D260" t="s">
        <v>151</v>
      </c>
      <c r="F260" s="68"/>
      <c r="G260" s="68"/>
      <c r="H260" s="68"/>
      <c r="I260" s="68"/>
      <c r="J260" s="68"/>
      <c r="K260" s="68"/>
      <c r="L260" s="68"/>
      <c r="M260" s="68"/>
      <c r="N260" s="68"/>
      <c r="O260" s="68"/>
      <c r="P260" s="68"/>
      <c r="Q260" s="68"/>
      <c r="R260" s="68"/>
      <c r="S260" s="68"/>
      <c r="T260" s="68"/>
      <c r="U260" s="68"/>
      <c r="V260" s="68"/>
      <c r="W260" s="68"/>
      <c r="X260" s="68"/>
      <c r="Y260" s="68"/>
      <c r="Z260" s="68"/>
      <c r="AA260" s="68"/>
      <c r="AB260" s="68"/>
      <c r="AC260" s="68"/>
      <c r="AD260" s="68"/>
      <c r="AE260" s="68"/>
      <c r="AF260" s="68"/>
      <c r="AG260" s="68"/>
      <c r="AH260" s="68"/>
      <c r="AI260" s="68"/>
      <c r="AJ260" s="68"/>
      <c r="AK260"/>
      <c r="AL260"/>
      <c r="AM260"/>
      <c r="AN260"/>
    </row>
    <row r="261" spans="1:40" ht="14.5" x14ac:dyDescent="0.35">
      <c r="A261" t="s">
        <v>583</v>
      </c>
      <c r="C261" t="s">
        <v>581</v>
      </c>
      <c r="D261" t="s">
        <v>580</v>
      </c>
      <c r="E261">
        <v>1</v>
      </c>
      <c r="F261" s="68"/>
      <c r="G261" s="68">
        <v>15</v>
      </c>
      <c r="H261" s="68">
        <v>15</v>
      </c>
      <c r="I261" s="68">
        <v>0</v>
      </c>
      <c r="J261" s="68">
        <v>15</v>
      </c>
      <c r="K261" s="68">
        <v>17</v>
      </c>
      <c r="L261" s="68">
        <v>14</v>
      </c>
      <c r="M261" s="68">
        <v>14</v>
      </c>
      <c r="N261" s="68">
        <v>14</v>
      </c>
      <c r="O261" s="68">
        <v>13</v>
      </c>
      <c r="P261" s="68">
        <v>13</v>
      </c>
      <c r="Q261" s="68">
        <v>12</v>
      </c>
      <c r="R261" s="68">
        <v>11</v>
      </c>
      <c r="S261" s="68">
        <v>12</v>
      </c>
      <c r="T261" s="68"/>
      <c r="U261" s="68"/>
      <c r="V261" s="68"/>
      <c r="W261" s="68"/>
      <c r="X261" s="68"/>
      <c r="Y261" s="68"/>
      <c r="Z261" s="68"/>
      <c r="AA261" s="68"/>
      <c r="AB261" s="68"/>
      <c r="AC261" s="68"/>
      <c r="AD261" s="68"/>
      <c r="AE261" s="68"/>
      <c r="AF261" s="68"/>
      <c r="AG261" s="68"/>
      <c r="AH261" s="68"/>
      <c r="AI261" s="68"/>
      <c r="AJ261" s="68"/>
      <c r="AK261"/>
      <c r="AL261"/>
      <c r="AM261"/>
      <c r="AN261"/>
    </row>
    <row r="262" spans="1:40" ht="14.5" x14ac:dyDescent="0.35">
      <c r="A262" t="s">
        <v>583</v>
      </c>
      <c r="B262" t="s">
        <v>582</v>
      </c>
      <c r="C262" t="s">
        <v>583</v>
      </c>
      <c r="D262" t="s">
        <v>151</v>
      </c>
      <c r="F262" s="68"/>
      <c r="G262" s="68"/>
      <c r="H262" s="68"/>
      <c r="I262" s="68"/>
      <c r="J262" s="68"/>
      <c r="K262" s="68"/>
      <c r="L262" s="68"/>
      <c r="M262" s="68"/>
      <c r="N262" s="68"/>
      <c r="O262" s="68"/>
      <c r="P262" s="68"/>
      <c r="Q262" s="68"/>
      <c r="R262" s="68"/>
      <c r="S262" s="68"/>
      <c r="T262" s="68"/>
      <c r="U262" s="68"/>
      <c r="V262" s="68"/>
      <c r="W262" s="68"/>
      <c r="X262" s="68"/>
      <c r="Y262" s="68"/>
      <c r="Z262" s="68"/>
      <c r="AA262" s="68"/>
      <c r="AB262" s="68"/>
      <c r="AC262" s="68"/>
      <c r="AD262" s="68"/>
      <c r="AE262" s="68"/>
      <c r="AF262" s="68"/>
      <c r="AG262" s="68"/>
      <c r="AH262" s="68"/>
      <c r="AI262" s="68"/>
      <c r="AJ262" s="68"/>
      <c r="AK262"/>
      <c r="AL262"/>
      <c r="AM262"/>
      <c r="AN262"/>
    </row>
    <row r="263" spans="1:40" ht="14.5" x14ac:dyDescent="0.35">
      <c r="A263" t="s">
        <v>500</v>
      </c>
      <c r="C263" t="s">
        <v>977</v>
      </c>
      <c r="D263" t="s">
        <v>557</v>
      </c>
      <c r="E263">
        <v>9000</v>
      </c>
      <c r="F263" s="68">
        <v>13</v>
      </c>
      <c r="G263" s="68">
        <v>11</v>
      </c>
      <c r="H263" s="68">
        <v>11</v>
      </c>
      <c r="I263" s="68">
        <v>8</v>
      </c>
      <c r="J263" s="68">
        <v>5</v>
      </c>
      <c r="K263" s="68">
        <v>3</v>
      </c>
      <c r="L263" s="68">
        <v>21</v>
      </c>
      <c r="M263" s="68">
        <v>18</v>
      </c>
      <c r="N263" s="68">
        <v>16</v>
      </c>
      <c r="O263" s="68">
        <v>18</v>
      </c>
      <c r="P263" s="68">
        <v>14</v>
      </c>
      <c r="Q263" s="68">
        <v>12</v>
      </c>
      <c r="R263" s="68">
        <v>10</v>
      </c>
      <c r="S263" s="68">
        <v>15</v>
      </c>
      <c r="T263" s="68"/>
      <c r="U263" s="68"/>
      <c r="V263" s="68"/>
      <c r="W263" s="68"/>
      <c r="X263" s="68"/>
      <c r="Y263" s="68"/>
      <c r="Z263" s="68"/>
      <c r="AA263" s="68"/>
      <c r="AB263" s="68"/>
      <c r="AC263" s="68"/>
      <c r="AD263" s="68"/>
      <c r="AE263" s="68"/>
      <c r="AF263" s="68"/>
      <c r="AG263" s="68"/>
      <c r="AH263" s="68"/>
      <c r="AI263" s="68"/>
      <c r="AJ263" s="68"/>
      <c r="AK263"/>
      <c r="AL263"/>
      <c r="AM263"/>
      <c r="AN263"/>
    </row>
    <row r="264" spans="1:40" ht="14.5" x14ac:dyDescent="0.35">
      <c r="A264" t="s">
        <v>500</v>
      </c>
      <c r="C264" t="s">
        <v>1126</v>
      </c>
      <c r="D264" t="s">
        <v>101</v>
      </c>
      <c r="E264">
        <v>450</v>
      </c>
      <c r="F264" s="68">
        <v>0</v>
      </c>
      <c r="G264" s="68">
        <v>0</v>
      </c>
      <c r="H264" s="68">
        <v>0</v>
      </c>
      <c r="I264" s="68">
        <v>0</v>
      </c>
      <c r="J264" s="68">
        <v>0</v>
      </c>
      <c r="K264" s="68">
        <v>15</v>
      </c>
      <c r="L264" s="68">
        <v>0</v>
      </c>
      <c r="M264" s="68">
        <v>0</v>
      </c>
      <c r="N264" s="68">
        <v>0</v>
      </c>
      <c r="O264" s="68">
        <v>0</v>
      </c>
      <c r="P264" s="68">
        <v>17</v>
      </c>
      <c r="Q264" s="68">
        <v>12</v>
      </c>
      <c r="R264" s="68">
        <v>15</v>
      </c>
      <c r="S264" s="68">
        <v>0</v>
      </c>
      <c r="T264" s="68"/>
      <c r="U264" s="68"/>
      <c r="V264" s="68"/>
      <c r="W264" s="68"/>
      <c r="X264" s="68"/>
      <c r="Y264" s="68"/>
      <c r="Z264" s="68"/>
      <c r="AA264" s="68"/>
      <c r="AB264" s="68"/>
      <c r="AC264" s="68"/>
      <c r="AD264" s="68"/>
      <c r="AE264" s="68"/>
      <c r="AF264" s="68"/>
      <c r="AG264" s="68"/>
      <c r="AH264" s="68"/>
      <c r="AI264" s="68"/>
      <c r="AJ264" s="68"/>
      <c r="AK264"/>
      <c r="AL264"/>
      <c r="AM264"/>
      <c r="AN264"/>
    </row>
    <row r="265" spans="1:40" ht="14.5" x14ac:dyDescent="0.35">
      <c r="A265" t="s">
        <v>500</v>
      </c>
      <c r="C265" t="s">
        <v>976</v>
      </c>
      <c r="D265" t="s">
        <v>29</v>
      </c>
      <c r="E265">
        <v>1</v>
      </c>
      <c r="F265" s="68">
        <v>2627</v>
      </c>
      <c r="G265" s="68">
        <v>2816</v>
      </c>
      <c r="H265" s="68">
        <v>2646</v>
      </c>
      <c r="I265" s="68">
        <v>1422</v>
      </c>
      <c r="J265" s="68">
        <v>8500</v>
      </c>
      <c r="K265" s="68">
        <v>2567</v>
      </c>
      <c r="L265" s="68">
        <v>0</v>
      </c>
      <c r="M265" s="68">
        <v>3436</v>
      </c>
      <c r="N265" s="68">
        <v>3019</v>
      </c>
      <c r="O265" s="68">
        <v>0</v>
      </c>
      <c r="P265" s="68">
        <v>4266</v>
      </c>
      <c r="Q265" s="68">
        <v>3820</v>
      </c>
      <c r="R265" s="68">
        <v>2225</v>
      </c>
      <c r="S265" s="68">
        <v>4642</v>
      </c>
      <c r="T265" s="68"/>
      <c r="U265" s="68"/>
      <c r="V265" s="68"/>
      <c r="W265" s="68"/>
      <c r="X265" s="68"/>
      <c r="Y265" s="68"/>
      <c r="Z265" s="68"/>
      <c r="AA265" s="68"/>
      <c r="AB265" s="68"/>
      <c r="AC265" s="68"/>
      <c r="AD265" s="68"/>
      <c r="AE265" s="68"/>
      <c r="AF265" s="68"/>
      <c r="AG265" s="68"/>
      <c r="AH265" s="68"/>
      <c r="AI265" s="68"/>
      <c r="AJ265" s="68"/>
      <c r="AK265"/>
      <c r="AL265"/>
      <c r="AM265"/>
      <c r="AN265"/>
    </row>
    <row r="266" spans="1:40" ht="14.5" x14ac:dyDescent="0.35">
      <c r="A266" t="s">
        <v>500</v>
      </c>
      <c r="B266" t="s">
        <v>530</v>
      </c>
      <c r="C266" t="s">
        <v>500</v>
      </c>
      <c r="D266" t="s">
        <v>35</v>
      </c>
      <c r="F266" s="68"/>
      <c r="G266" s="68"/>
      <c r="H266" s="68"/>
      <c r="I266" s="68" t="s">
        <v>1201</v>
      </c>
      <c r="J266" s="68"/>
      <c r="K266" s="68"/>
      <c r="L266" s="68"/>
      <c r="M266" s="68"/>
      <c r="N266" s="68"/>
      <c r="O266" s="68"/>
      <c r="P266" s="68"/>
      <c r="Q266" s="68"/>
      <c r="R266" s="68"/>
      <c r="S266" s="68"/>
      <c r="T266" s="68"/>
      <c r="U266" s="68"/>
      <c r="V266" s="68"/>
      <c r="W266" s="68"/>
      <c r="X266" s="68"/>
      <c r="Y266" s="68"/>
      <c r="Z266" s="68"/>
      <c r="AA266" s="68"/>
      <c r="AB266" s="68"/>
      <c r="AC266" s="68"/>
      <c r="AD266" s="68"/>
      <c r="AE266" s="68"/>
      <c r="AF266" s="68"/>
      <c r="AG266" s="68"/>
      <c r="AH266" s="68"/>
      <c r="AI266" s="68"/>
      <c r="AJ266" s="68"/>
      <c r="AK266"/>
      <c r="AL266"/>
      <c r="AM266"/>
      <c r="AN266"/>
    </row>
    <row r="267" spans="1:40" ht="14.5" x14ac:dyDescent="0.35">
      <c r="A267" t="s">
        <v>603</v>
      </c>
      <c r="C267" t="s">
        <v>1101</v>
      </c>
      <c r="D267" t="s">
        <v>580</v>
      </c>
      <c r="E267">
        <v>1</v>
      </c>
      <c r="F267" s="68"/>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c r="AD267" s="68"/>
      <c r="AE267" s="68"/>
      <c r="AF267" s="68"/>
      <c r="AG267" s="68"/>
      <c r="AH267" s="68"/>
      <c r="AI267" s="68"/>
      <c r="AJ267" s="68"/>
      <c r="AK267"/>
      <c r="AL267"/>
      <c r="AM267"/>
      <c r="AN267"/>
    </row>
    <row r="268" spans="1:40" ht="14.5" x14ac:dyDescent="0.35">
      <c r="A268" t="s">
        <v>603</v>
      </c>
      <c r="B268" t="s">
        <v>602</v>
      </c>
      <c r="C268" t="s">
        <v>603</v>
      </c>
      <c r="D268" t="s">
        <v>151</v>
      </c>
      <c r="F268" s="68"/>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c r="AD268" s="68"/>
      <c r="AE268" s="68"/>
      <c r="AF268" s="68"/>
      <c r="AG268" s="68"/>
      <c r="AH268" s="68"/>
      <c r="AI268" s="68"/>
      <c r="AJ268" s="68"/>
      <c r="AK268"/>
      <c r="AL268"/>
      <c r="AM268"/>
      <c r="AN268"/>
    </row>
    <row r="269" spans="1:40" ht="14.5" x14ac:dyDescent="0.35">
      <c r="A269" t="s">
        <v>26</v>
      </c>
      <c r="C269" t="s">
        <v>1062</v>
      </c>
      <c r="D269" t="s">
        <v>462</v>
      </c>
      <c r="E269">
        <v>420</v>
      </c>
      <c r="F269" s="68">
        <v>16</v>
      </c>
      <c r="G269" s="68">
        <v>11</v>
      </c>
      <c r="H269" s="68">
        <v>9</v>
      </c>
      <c r="I269" s="68">
        <v>6</v>
      </c>
      <c r="J269" s="68">
        <v>0</v>
      </c>
      <c r="K269" s="68">
        <v>0</v>
      </c>
      <c r="L269" s="68">
        <v>19</v>
      </c>
      <c r="M269" s="68">
        <v>14</v>
      </c>
      <c r="N269" s="68">
        <v>14</v>
      </c>
      <c r="O269" s="68">
        <v>29</v>
      </c>
      <c r="P269" s="68">
        <v>24</v>
      </c>
      <c r="Q269" s="68">
        <v>20</v>
      </c>
      <c r="R269" s="68">
        <v>20</v>
      </c>
      <c r="S269" s="68">
        <v>18</v>
      </c>
      <c r="T269" s="68"/>
      <c r="U269" s="68"/>
      <c r="V269" s="68"/>
      <c r="W269" s="68"/>
      <c r="X269" s="68"/>
      <c r="Y269" s="68"/>
      <c r="Z269" s="68"/>
      <c r="AA269" s="68"/>
      <c r="AB269" s="68"/>
      <c r="AC269" s="68"/>
      <c r="AD269" s="68"/>
      <c r="AE269" s="68"/>
      <c r="AF269" s="68"/>
      <c r="AG269" s="68"/>
      <c r="AH269" s="68"/>
      <c r="AI269" s="68"/>
      <c r="AJ269" s="68"/>
      <c r="AK269"/>
      <c r="AL269"/>
      <c r="AM269"/>
      <c r="AN269"/>
    </row>
    <row r="270" spans="1:40" ht="15.5" x14ac:dyDescent="0.35">
      <c r="A270" t="s">
        <v>26</v>
      </c>
      <c r="C270" t="s">
        <v>1083</v>
      </c>
      <c r="D270" t="s">
        <v>461</v>
      </c>
      <c r="E270">
        <v>1</v>
      </c>
      <c r="F270" s="68">
        <v>1264</v>
      </c>
      <c r="G270" s="68">
        <v>1218</v>
      </c>
      <c r="H270" s="169">
        <v>199</v>
      </c>
      <c r="I270" s="68">
        <v>0</v>
      </c>
      <c r="J270" s="68">
        <v>2191</v>
      </c>
      <c r="K270" s="68">
        <v>1061</v>
      </c>
      <c r="L270" s="68">
        <v>342</v>
      </c>
      <c r="M270" s="68">
        <v>1513</v>
      </c>
      <c r="N270" s="68">
        <v>2874</v>
      </c>
      <c r="O270" s="68">
        <v>1273</v>
      </c>
      <c r="P270" s="68">
        <v>1914</v>
      </c>
      <c r="Q270" s="68">
        <v>2822</v>
      </c>
      <c r="R270" s="68">
        <v>1592</v>
      </c>
      <c r="S270" s="68">
        <v>1122</v>
      </c>
      <c r="T270" s="68"/>
      <c r="U270" s="68"/>
      <c r="V270" s="68"/>
      <c r="W270" s="68"/>
      <c r="X270" s="68"/>
      <c r="Y270" s="68"/>
      <c r="Z270" s="68"/>
      <c r="AA270" s="68"/>
      <c r="AB270" s="68"/>
      <c r="AC270" s="68"/>
      <c r="AD270" s="68"/>
      <c r="AE270" s="68"/>
      <c r="AF270" s="68"/>
      <c r="AG270" s="68"/>
      <c r="AH270" s="68"/>
      <c r="AI270" s="68"/>
      <c r="AJ270" s="68"/>
      <c r="AK270"/>
      <c r="AL270"/>
      <c r="AM270"/>
      <c r="AN270"/>
    </row>
    <row r="271" spans="1:40" ht="14.5" x14ac:dyDescent="0.35">
      <c r="A271" t="s">
        <v>26</v>
      </c>
      <c r="B271" t="s">
        <v>70</v>
      </c>
      <c r="C271" t="s">
        <v>26</v>
      </c>
      <c r="D271" t="s">
        <v>35</v>
      </c>
      <c r="F271" s="68"/>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68"/>
      <c r="AG271" s="68"/>
      <c r="AH271" s="68"/>
      <c r="AI271" s="68"/>
      <c r="AJ271" s="68"/>
      <c r="AK271"/>
      <c r="AL271"/>
      <c r="AM271"/>
      <c r="AN271"/>
    </row>
    <row r="272" spans="1:40" ht="14.5" x14ac:dyDescent="0.35">
      <c r="A272" t="s">
        <v>1299</v>
      </c>
      <c r="C272" t="s">
        <v>1296</v>
      </c>
      <c r="D272" t="s">
        <v>1185</v>
      </c>
      <c r="E272">
        <v>100</v>
      </c>
      <c r="F272" s="68">
        <v>140</v>
      </c>
      <c r="G272" s="68">
        <v>140</v>
      </c>
      <c r="H272" s="68">
        <v>140</v>
      </c>
      <c r="I272" s="68">
        <v>140</v>
      </c>
      <c r="J272" s="68">
        <v>140</v>
      </c>
      <c r="K272" s="68">
        <v>140</v>
      </c>
      <c r="L272" s="68">
        <v>140</v>
      </c>
      <c r="M272" s="68">
        <v>140</v>
      </c>
      <c r="N272" s="68">
        <v>139</v>
      </c>
      <c r="O272" s="68">
        <v>100</v>
      </c>
      <c r="P272" s="68">
        <v>100</v>
      </c>
      <c r="Q272" s="68">
        <v>100</v>
      </c>
      <c r="R272" s="68">
        <v>100</v>
      </c>
      <c r="S272" s="68">
        <v>100</v>
      </c>
      <c r="T272" s="68"/>
      <c r="U272" s="68"/>
      <c r="V272" s="68"/>
      <c r="W272" s="68"/>
      <c r="X272" s="68"/>
      <c r="Y272" s="68"/>
      <c r="Z272" s="68"/>
      <c r="AA272" s="68"/>
      <c r="AB272" s="68"/>
      <c r="AC272" s="68"/>
      <c r="AD272" s="68"/>
      <c r="AE272" s="68"/>
      <c r="AF272" s="68"/>
      <c r="AG272" s="68"/>
      <c r="AH272" s="68"/>
      <c r="AI272" s="68"/>
      <c r="AJ272" s="68"/>
      <c r="AK272"/>
      <c r="AL272"/>
      <c r="AM272"/>
      <c r="AN272"/>
    </row>
    <row r="273" spans="1:40" ht="14.5" x14ac:dyDescent="0.35">
      <c r="A273" t="s">
        <v>1299</v>
      </c>
      <c r="C273" t="s">
        <v>1297</v>
      </c>
      <c r="D273" t="s">
        <v>102</v>
      </c>
      <c r="E273">
        <v>1</v>
      </c>
      <c r="F273" s="68">
        <v>4835</v>
      </c>
      <c r="G273" s="68">
        <v>4483</v>
      </c>
      <c r="H273" s="68">
        <f>1900+130</f>
        <v>2030</v>
      </c>
      <c r="I273" s="68">
        <v>3571</v>
      </c>
      <c r="J273" s="68">
        <v>3328</v>
      </c>
      <c r="K273" s="68">
        <v>2916</v>
      </c>
      <c r="L273" s="68">
        <v>2866</v>
      </c>
      <c r="M273" s="68">
        <v>4385</v>
      </c>
      <c r="N273" s="68">
        <v>2160</v>
      </c>
      <c r="O273" s="68">
        <v>5587</v>
      </c>
      <c r="P273" s="68">
        <v>5239</v>
      </c>
      <c r="Q273" s="68">
        <v>4876</v>
      </c>
      <c r="R273" s="68">
        <v>4616</v>
      </c>
      <c r="S273" s="68">
        <v>4270</v>
      </c>
      <c r="T273" s="68"/>
      <c r="U273" s="68"/>
      <c r="V273" s="68"/>
      <c r="W273" s="68"/>
      <c r="X273" s="68"/>
      <c r="Y273" s="68"/>
      <c r="Z273" s="68"/>
      <c r="AA273" s="68"/>
      <c r="AB273" s="68"/>
      <c r="AC273" s="68"/>
      <c r="AD273" s="68"/>
      <c r="AE273" s="68"/>
      <c r="AF273" s="68"/>
      <c r="AG273" s="68"/>
      <c r="AH273" s="68"/>
      <c r="AI273" s="68"/>
      <c r="AJ273" s="68"/>
      <c r="AK273"/>
      <c r="AL273"/>
      <c r="AM273"/>
      <c r="AN273"/>
    </row>
    <row r="274" spans="1:40" ht="14.5" x14ac:dyDescent="0.35">
      <c r="A274" t="s">
        <v>1299</v>
      </c>
      <c r="B274" t="s">
        <v>1298</v>
      </c>
      <c r="C274" t="s">
        <v>1299</v>
      </c>
      <c r="D274" t="s">
        <v>67</v>
      </c>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8"/>
      <c r="AJ274" s="68"/>
      <c r="AK274"/>
      <c r="AL274"/>
      <c r="AM274"/>
      <c r="AN274"/>
    </row>
    <row r="275" spans="1:40" ht="14.5" x14ac:dyDescent="0.35">
      <c r="A275" t="s">
        <v>1341</v>
      </c>
      <c r="C275" t="s">
        <v>1422</v>
      </c>
      <c r="D275" t="s">
        <v>103</v>
      </c>
      <c r="E275">
        <v>2000</v>
      </c>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c r="AJ275" s="68"/>
      <c r="AK275"/>
      <c r="AL275"/>
      <c r="AM275"/>
      <c r="AN275"/>
    </row>
    <row r="276" spans="1:40" ht="14.5" x14ac:dyDescent="0.35">
      <c r="A276" t="s">
        <v>1341</v>
      </c>
      <c r="C276" t="s">
        <v>1423</v>
      </c>
      <c r="D276" t="s">
        <v>101</v>
      </c>
      <c r="E276">
        <v>50</v>
      </c>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c r="AJ276" s="68"/>
      <c r="AK276"/>
      <c r="AL276"/>
      <c r="AM276"/>
      <c r="AN276"/>
    </row>
    <row r="277" spans="1:40" ht="14.5" x14ac:dyDescent="0.35">
      <c r="A277" t="s">
        <v>1341</v>
      </c>
      <c r="C277" t="s">
        <v>1424</v>
      </c>
      <c r="D277" t="s">
        <v>102</v>
      </c>
      <c r="E277">
        <v>1</v>
      </c>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c r="AG277" s="68"/>
      <c r="AH277" s="68"/>
      <c r="AI277" s="68"/>
      <c r="AJ277" s="68"/>
      <c r="AK277"/>
      <c r="AL277"/>
      <c r="AM277"/>
      <c r="AN277"/>
    </row>
    <row r="278" spans="1:40" ht="14.5" x14ac:dyDescent="0.35">
      <c r="A278" t="s">
        <v>1341</v>
      </c>
      <c r="B278" t="s">
        <v>1411</v>
      </c>
      <c r="C278" t="s">
        <v>1341</v>
      </c>
      <c r="D278" t="s">
        <v>67</v>
      </c>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68"/>
      <c r="AG278" s="68"/>
      <c r="AH278" s="68"/>
      <c r="AI278" s="68"/>
      <c r="AJ278" s="68"/>
      <c r="AK278"/>
      <c r="AL278"/>
      <c r="AM278"/>
      <c r="AN278"/>
    </row>
    <row r="279" spans="1:40" ht="14.5" x14ac:dyDescent="0.35">
      <c r="A279" t="s">
        <v>27</v>
      </c>
      <c r="C279" t="s">
        <v>1038</v>
      </c>
      <c r="D279" t="s">
        <v>103</v>
      </c>
      <c r="E279">
        <v>3000</v>
      </c>
      <c r="F279" s="68">
        <v>4</v>
      </c>
      <c r="G279" s="68">
        <v>4</v>
      </c>
      <c r="H279" s="68">
        <v>4</v>
      </c>
      <c r="I279" s="68">
        <v>3</v>
      </c>
      <c r="J279" s="68">
        <v>3</v>
      </c>
      <c r="K279" s="68">
        <v>3</v>
      </c>
      <c r="L279" s="68">
        <v>3</v>
      </c>
      <c r="M279" s="68">
        <v>3</v>
      </c>
      <c r="N279" s="68">
        <v>3</v>
      </c>
      <c r="O279" s="68">
        <v>4</v>
      </c>
      <c r="P279" s="68">
        <v>4</v>
      </c>
      <c r="Q279" s="68">
        <v>4</v>
      </c>
      <c r="R279" s="68">
        <v>3</v>
      </c>
      <c r="S279" s="68">
        <v>3</v>
      </c>
      <c r="T279" s="68"/>
      <c r="U279" s="68"/>
      <c r="V279" s="68"/>
      <c r="W279" s="68"/>
      <c r="X279" s="68"/>
      <c r="Y279" s="68"/>
      <c r="Z279" s="68"/>
      <c r="AA279" s="68"/>
      <c r="AB279" s="68"/>
      <c r="AC279" s="68"/>
      <c r="AD279" s="68"/>
      <c r="AE279" s="68"/>
      <c r="AF279" s="68"/>
      <c r="AG279" s="68"/>
      <c r="AH279" s="68"/>
      <c r="AI279" s="68"/>
      <c r="AJ279" s="68"/>
      <c r="AK279"/>
      <c r="AL279"/>
      <c r="AM279"/>
      <c r="AN279"/>
    </row>
    <row r="280" spans="1:40" ht="14.5" x14ac:dyDescent="0.35">
      <c r="A280" t="s">
        <v>27</v>
      </c>
      <c r="C280" t="s">
        <v>1063</v>
      </c>
      <c r="D280" t="s">
        <v>101</v>
      </c>
      <c r="E280">
        <v>100</v>
      </c>
      <c r="F280" s="68">
        <v>5</v>
      </c>
      <c r="G280" s="68">
        <v>0</v>
      </c>
      <c r="H280" s="68">
        <v>0</v>
      </c>
      <c r="I280" s="68">
        <v>21</v>
      </c>
      <c r="J280" s="68">
        <f>4+9</f>
        <v>13</v>
      </c>
      <c r="K280" s="68">
        <v>4</v>
      </c>
      <c r="L280" s="68">
        <v>19</v>
      </c>
      <c r="M280" s="68">
        <v>9</v>
      </c>
      <c r="N280" s="68">
        <v>0</v>
      </c>
      <c r="O280" s="68">
        <v>0</v>
      </c>
      <c r="P280" s="68">
        <v>0</v>
      </c>
      <c r="Q280" s="68">
        <v>0</v>
      </c>
      <c r="R280" s="68">
        <v>23</v>
      </c>
      <c r="S280" s="68">
        <v>10</v>
      </c>
      <c r="T280" s="68"/>
      <c r="U280" s="68"/>
      <c r="V280" s="68"/>
      <c r="W280" s="68"/>
      <c r="X280" s="68"/>
      <c r="Y280" s="68"/>
      <c r="Z280" s="68"/>
      <c r="AA280" s="68"/>
      <c r="AB280" s="68"/>
      <c r="AC280" s="68"/>
      <c r="AD280" s="68"/>
      <c r="AE280" s="68"/>
      <c r="AF280" s="68"/>
      <c r="AG280" s="68"/>
      <c r="AH280" s="68"/>
      <c r="AI280" s="68"/>
      <c r="AJ280" s="68"/>
      <c r="AK280"/>
      <c r="AL280"/>
      <c r="AM280"/>
      <c r="AN280"/>
    </row>
    <row r="281" spans="1:40" ht="14.5" x14ac:dyDescent="0.35">
      <c r="A281" t="s">
        <v>27</v>
      </c>
      <c r="C281" t="s">
        <v>638</v>
      </c>
      <c r="D281" t="s">
        <v>102</v>
      </c>
      <c r="E281">
        <v>1</v>
      </c>
      <c r="F281" s="68">
        <v>2168</v>
      </c>
      <c r="G281" s="68">
        <v>144</v>
      </c>
      <c r="H281" s="68">
        <v>0</v>
      </c>
      <c r="I281" s="68">
        <v>91</v>
      </c>
      <c r="J281" s="68">
        <v>0</v>
      </c>
      <c r="K281" s="68">
        <v>98</v>
      </c>
      <c r="L281" s="68">
        <v>3</v>
      </c>
      <c r="M281" s="68">
        <v>0</v>
      </c>
      <c r="N281" s="68">
        <v>61</v>
      </c>
      <c r="O281" s="68">
        <v>2752</v>
      </c>
      <c r="P281" s="68">
        <v>240</v>
      </c>
      <c r="Q281" s="68">
        <v>123</v>
      </c>
      <c r="R281" s="68">
        <v>116</v>
      </c>
      <c r="S281" s="68">
        <v>0</v>
      </c>
      <c r="T281" s="68"/>
      <c r="U281" s="68"/>
      <c r="V281" s="68"/>
      <c r="W281" s="68"/>
      <c r="X281" s="68"/>
      <c r="Y281" s="68"/>
      <c r="Z281" s="68"/>
      <c r="AA281" s="68"/>
      <c r="AB281" s="68"/>
      <c r="AC281" s="68"/>
      <c r="AD281" s="68"/>
      <c r="AE281" s="68"/>
      <c r="AF281" s="68"/>
      <c r="AG281" s="68"/>
      <c r="AH281" s="68"/>
      <c r="AI281" s="68"/>
      <c r="AJ281" s="68"/>
      <c r="AK281"/>
      <c r="AL281"/>
      <c r="AM281"/>
      <c r="AN281"/>
    </row>
    <row r="282" spans="1:40" ht="14.5" x14ac:dyDescent="0.35">
      <c r="A282" t="s">
        <v>27</v>
      </c>
      <c r="B282" t="s">
        <v>98</v>
      </c>
      <c r="C282" t="s">
        <v>27</v>
      </c>
      <c r="D282" t="s">
        <v>67</v>
      </c>
      <c r="F282" s="68"/>
      <c r="G282" s="68"/>
      <c r="H282" s="68"/>
      <c r="I282" s="68"/>
      <c r="J282" s="68"/>
      <c r="K282" s="68"/>
      <c r="L282" s="68"/>
      <c r="M282" s="68"/>
      <c r="N282" s="68"/>
      <c r="O282" s="68"/>
      <c r="P282" s="68"/>
      <c r="Q282" s="68"/>
      <c r="R282" s="68"/>
      <c r="S282" s="68"/>
      <c r="T282" s="68"/>
      <c r="U282" s="68"/>
      <c r="V282" s="68"/>
      <c r="W282" s="68"/>
      <c r="X282" s="68"/>
      <c r="Y282" s="68"/>
      <c r="Z282" s="68"/>
      <c r="AA282" s="68"/>
      <c r="AB282" s="68"/>
      <c r="AC282" s="68"/>
      <c r="AD282" s="68"/>
      <c r="AE282" s="68"/>
      <c r="AF282" s="68"/>
      <c r="AG282" s="68"/>
      <c r="AH282" s="68"/>
      <c r="AI282" s="68"/>
      <c r="AJ282" s="68"/>
      <c r="AK282"/>
      <c r="AL282"/>
      <c r="AM282"/>
      <c r="AN282"/>
    </row>
    <row r="283" spans="1:40" ht="14.5" x14ac:dyDescent="0.35">
      <c r="A283" t="s">
        <v>501</v>
      </c>
      <c r="C283" t="s">
        <v>1097</v>
      </c>
      <c r="D283" t="s">
        <v>557</v>
      </c>
      <c r="E283">
        <v>24000</v>
      </c>
      <c r="F283" s="68">
        <v>15</v>
      </c>
      <c r="G283" s="68">
        <v>34</v>
      </c>
      <c r="H283" s="68">
        <v>33</v>
      </c>
      <c r="I283" s="68">
        <v>32</v>
      </c>
      <c r="J283" s="68">
        <v>32</v>
      </c>
      <c r="K283" s="68">
        <v>31</v>
      </c>
      <c r="L283" s="68">
        <v>30</v>
      </c>
      <c r="M283" s="68">
        <v>29</v>
      </c>
      <c r="N283" s="68">
        <v>29</v>
      </c>
      <c r="O283" s="68">
        <v>28</v>
      </c>
      <c r="P283" s="68">
        <v>26</v>
      </c>
      <c r="Q283" s="68">
        <v>26</v>
      </c>
      <c r="R283" s="68">
        <v>31</v>
      </c>
      <c r="S283" s="68">
        <v>30</v>
      </c>
      <c r="T283" s="68"/>
      <c r="U283" s="68"/>
      <c r="V283" s="68"/>
      <c r="W283" s="68"/>
      <c r="X283" s="68"/>
      <c r="Y283" s="68"/>
      <c r="Z283" s="68"/>
      <c r="AA283" s="68"/>
      <c r="AB283" s="68"/>
      <c r="AC283" s="68"/>
      <c r="AD283" s="68"/>
      <c r="AE283" s="68"/>
      <c r="AF283" s="68"/>
      <c r="AG283" s="68"/>
      <c r="AH283" s="68"/>
      <c r="AI283" s="68"/>
      <c r="AJ283" s="68"/>
      <c r="AK283"/>
      <c r="AL283"/>
      <c r="AM283"/>
      <c r="AN283"/>
    </row>
    <row r="284" spans="1:40" ht="14.5" x14ac:dyDescent="0.35">
      <c r="A284" t="s">
        <v>501</v>
      </c>
      <c r="C284" t="s">
        <v>978</v>
      </c>
      <c r="D284" t="s">
        <v>101</v>
      </c>
      <c r="E284">
        <v>300</v>
      </c>
      <c r="F284" s="68">
        <v>78</v>
      </c>
      <c r="G284" s="68">
        <v>26</v>
      </c>
      <c r="H284" s="68">
        <v>0</v>
      </c>
      <c r="I284" s="68">
        <v>0</v>
      </c>
      <c r="J284" s="68">
        <v>10</v>
      </c>
      <c r="K284" s="68">
        <v>28</v>
      </c>
      <c r="L284" s="68">
        <v>64</v>
      </c>
      <c r="M284" s="68">
        <v>70</v>
      </c>
      <c r="N284" s="68">
        <v>3</v>
      </c>
      <c r="O284" s="68">
        <v>32</v>
      </c>
      <c r="P284" s="68">
        <v>72</v>
      </c>
      <c r="Q284" s="68">
        <v>8</v>
      </c>
      <c r="R284" s="68">
        <v>44</v>
      </c>
      <c r="S284" s="68">
        <v>50</v>
      </c>
      <c r="T284" s="68"/>
      <c r="U284" s="68"/>
      <c r="V284" s="68"/>
      <c r="W284" s="68"/>
      <c r="X284" s="68"/>
      <c r="Y284" s="68"/>
      <c r="Z284" s="68"/>
      <c r="AA284" s="68"/>
      <c r="AB284" s="68"/>
      <c r="AC284" s="68"/>
      <c r="AD284" s="68"/>
      <c r="AE284" s="68"/>
      <c r="AF284" s="68"/>
      <c r="AG284" s="68"/>
      <c r="AH284" s="68"/>
      <c r="AI284" s="68"/>
      <c r="AJ284" s="68"/>
      <c r="AK284"/>
      <c r="AL284"/>
      <c r="AM284"/>
      <c r="AN284"/>
    </row>
    <row r="285" spans="1:40" ht="14.5" x14ac:dyDescent="0.35">
      <c r="A285" t="s">
        <v>501</v>
      </c>
      <c r="C285" t="s">
        <v>1122</v>
      </c>
      <c r="D285" t="s">
        <v>125</v>
      </c>
      <c r="E285">
        <v>1000</v>
      </c>
      <c r="F285" s="68">
        <v>0</v>
      </c>
      <c r="G285" s="68">
        <v>0</v>
      </c>
      <c r="H285" s="68">
        <v>0</v>
      </c>
      <c r="I285" s="68">
        <v>0</v>
      </c>
      <c r="J285" s="68">
        <v>0</v>
      </c>
      <c r="K285" s="68">
        <v>0</v>
      </c>
      <c r="L285" s="68">
        <v>0</v>
      </c>
      <c r="M285" s="68">
        <v>0</v>
      </c>
      <c r="N285" s="68">
        <v>0</v>
      </c>
      <c r="O285" s="68">
        <v>0</v>
      </c>
      <c r="P285" s="68">
        <v>0</v>
      </c>
      <c r="Q285" s="68">
        <v>0</v>
      </c>
      <c r="R285" s="68">
        <v>0</v>
      </c>
      <c r="S285" s="68">
        <v>0</v>
      </c>
      <c r="T285" s="68"/>
      <c r="U285" s="68"/>
      <c r="V285" s="68"/>
      <c r="W285" s="68"/>
      <c r="X285" s="68"/>
      <c r="Y285" s="68"/>
      <c r="Z285" s="68"/>
      <c r="AA285" s="68"/>
      <c r="AB285" s="68"/>
      <c r="AC285" s="68"/>
      <c r="AD285" s="68"/>
      <c r="AE285" s="68"/>
      <c r="AF285" s="68"/>
      <c r="AG285" s="68"/>
      <c r="AH285" s="68"/>
      <c r="AI285" s="68"/>
      <c r="AJ285" s="68"/>
      <c r="AK285"/>
      <c r="AL285"/>
      <c r="AM285"/>
      <c r="AN285"/>
    </row>
    <row r="286" spans="1:40" ht="14.5" x14ac:dyDescent="0.35">
      <c r="A286" t="s">
        <v>501</v>
      </c>
      <c r="C286" t="s">
        <v>979</v>
      </c>
      <c r="D286" t="s">
        <v>29</v>
      </c>
      <c r="E286">
        <v>1</v>
      </c>
      <c r="F286" s="68">
        <v>0</v>
      </c>
      <c r="G286" s="68">
        <v>0</v>
      </c>
      <c r="H286" s="68">
        <v>0</v>
      </c>
      <c r="I286" s="68">
        <v>0</v>
      </c>
      <c r="J286" s="68">
        <v>0</v>
      </c>
      <c r="K286" s="68">
        <v>0</v>
      </c>
      <c r="L286" s="68">
        <v>0</v>
      </c>
      <c r="M286" s="68">
        <v>0</v>
      </c>
      <c r="N286" s="68">
        <v>0</v>
      </c>
      <c r="O286" s="68">
        <v>0</v>
      </c>
      <c r="P286" s="68">
        <v>0</v>
      </c>
      <c r="Q286" s="68">
        <v>0</v>
      </c>
      <c r="R286" s="68">
        <v>0</v>
      </c>
      <c r="S286" s="68">
        <v>0</v>
      </c>
      <c r="T286" s="68"/>
      <c r="U286" s="68"/>
      <c r="V286" s="68"/>
      <c r="W286" s="68"/>
      <c r="X286" s="68"/>
      <c r="Y286" s="68"/>
      <c r="Z286" s="68"/>
      <c r="AA286" s="68"/>
      <c r="AB286" s="68"/>
      <c r="AC286" s="68"/>
      <c r="AD286" s="68"/>
      <c r="AE286" s="68"/>
      <c r="AF286" s="68"/>
      <c r="AG286" s="68"/>
      <c r="AH286" s="68"/>
      <c r="AI286" s="68"/>
      <c r="AJ286" s="68"/>
      <c r="AK286"/>
      <c r="AL286"/>
      <c r="AM286"/>
      <c r="AN286"/>
    </row>
    <row r="287" spans="1:40" ht="14.5" x14ac:dyDescent="0.35">
      <c r="A287" t="s">
        <v>501</v>
      </c>
      <c r="C287" t="s">
        <v>980</v>
      </c>
      <c r="D287" t="s">
        <v>29</v>
      </c>
      <c r="E287">
        <v>0.5</v>
      </c>
      <c r="F287" s="68"/>
      <c r="G287" s="68"/>
      <c r="H287" s="68"/>
      <c r="I287" s="68"/>
      <c r="J287" s="68"/>
      <c r="K287" s="68"/>
      <c r="L287" s="68"/>
      <c r="M287" s="68"/>
      <c r="N287" s="68"/>
      <c r="O287" s="68"/>
      <c r="P287" s="68"/>
      <c r="Q287" s="68"/>
      <c r="R287" s="68"/>
      <c r="S287" s="68"/>
      <c r="T287" s="68"/>
      <c r="U287" s="68"/>
      <c r="V287" s="68"/>
      <c r="W287" s="68"/>
      <c r="X287" s="68"/>
      <c r="Y287" s="68"/>
      <c r="Z287" s="68"/>
      <c r="AA287" s="68"/>
      <c r="AB287" s="68"/>
      <c r="AC287" s="68"/>
      <c r="AD287" s="68"/>
      <c r="AE287" s="68"/>
      <c r="AF287" s="68"/>
      <c r="AG287" s="68"/>
      <c r="AH287" s="68"/>
      <c r="AI287" s="68"/>
      <c r="AJ287" s="68"/>
      <c r="AK287"/>
      <c r="AL287"/>
      <c r="AM287"/>
      <c r="AN287"/>
    </row>
    <row r="288" spans="1:40" ht="14.5" x14ac:dyDescent="0.35">
      <c r="A288" t="s">
        <v>501</v>
      </c>
      <c r="B288" t="s">
        <v>529</v>
      </c>
      <c r="C288" t="s">
        <v>501</v>
      </c>
      <c r="D288" t="s">
        <v>35</v>
      </c>
      <c r="F288" s="68"/>
      <c r="G288" s="68"/>
      <c r="H288" s="68"/>
      <c r="I288" s="68"/>
      <c r="J288" s="68"/>
      <c r="K288" s="68"/>
      <c r="L288" s="68"/>
      <c r="M288" s="68"/>
      <c r="N288" s="68"/>
      <c r="O288" s="68"/>
      <c r="P288" s="68"/>
      <c r="Q288" s="68"/>
      <c r="R288" s="68"/>
      <c r="S288" s="68"/>
      <c r="T288" s="68"/>
      <c r="U288" s="68"/>
      <c r="V288" s="68"/>
      <c r="W288" s="68"/>
      <c r="X288" s="68"/>
      <c r="Y288" s="68"/>
      <c r="Z288" s="68"/>
      <c r="AA288" s="68"/>
      <c r="AB288" s="68"/>
      <c r="AC288" s="68"/>
      <c r="AD288" s="68"/>
      <c r="AE288" s="68"/>
      <c r="AF288" s="68"/>
      <c r="AG288" s="68"/>
      <c r="AH288" s="68"/>
      <c r="AI288" s="68"/>
      <c r="AJ288" s="68"/>
      <c r="AK288"/>
      <c r="AL288"/>
      <c r="AM288"/>
      <c r="AN288"/>
    </row>
    <row r="289" spans="1:40" ht="14.5" x14ac:dyDescent="0.35">
      <c r="A289" t="s">
        <v>916</v>
      </c>
      <c r="C289" t="s">
        <v>992</v>
      </c>
      <c r="D289" t="s">
        <v>103</v>
      </c>
      <c r="F289" s="68">
        <v>14</v>
      </c>
      <c r="G289" s="68"/>
      <c r="H289" s="68"/>
      <c r="I289" s="68"/>
      <c r="J289" s="68"/>
      <c r="K289" s="68"/>
      <c r="L289" s="68"/>
      <c r="M289" s="68"/>
      <c r="N289" s="68"/>
      <c r="O289" s="68"/>
      <c r="P289" s="68"/>
      <c r="Q289" s="68"/>
      <c r="R289" s="68"/>
      <c r="S289" s="68"/>
      <c r="T289" s="68"/>
      <c r="U289" s="68"/>
      <c r="V289" s="68"/>
      <c r="W289" s="68"/>
      <c r="X289" s="68"/>
      <c r="Y289" s="68"/>
      <c r="Z289" s="68"/>
      <c r="AA289" s="68"/>
      <c r="AB289" s="68"/>
      <c r="AC289" s="68"/>
      <c r="AD289" s="68"/>
      <c r="AE289" s="68"/>
      <c r="AF289" s="68"/>
      <c r="AG289" s="68"/>
      <c r="AH289" s="68"/>
      <c r="AI289" s="68"/>
      <c r="AJ289" s="68"/>
      <c r="AK289"/>
      <c r="AL289"/>
      <c r="AM289"/>
      <c r="AN289"/>
    </row>
    <row r="290" spans="1:40" ht="14.5" x14ac:dyDescent="0.35">
      <c r="A290" t="s">
        <v>916</v>
      </c>
      <c r="C290" t="s">
        <v>993</v>
      </c>
      <c r="D290" t="s">
        <v>101</v>
      </c>
      <c r="F290" s="68">
        <v>0</v>
      </c>
      <c r="G290" s="68"/>
      <c r="H290" s="68"/>
      <c r="I290" s="68"/>
      <c r="J290" s="68"/>
      <c r="K290" s="68"/>
      <c r="L290" s="68"/>
      <c r="M290" s="68"/>
      <c r="N290" s="68"/>
      <c r="O290" s="68"/>
      <c r="P290" s="68"/>
      <c r="Q290" s="68"/>
      <c r="R290" s="68"/>
      <c r="S290" s="68"/>
      <c r="T290" s="68"/>
      <c r="U290" s="68"/>
      <c r="V290" s="68"/>
      <c r="W290" s="68"/>
      <c r="X290" s="68"/>
      <c r="Y290" s="68"/>
      <c r="Z290" s="68"/>
      <c r="AA290" s="68"/>
      <c r="AB290" s="68"/>
      <c r="AC290" s="68"/>
      <c r="AD290" s="68"/>
      <c r="AE290" s="68"/>
      <c r="AF290" s="68"/>
      <c r="AG290" s="68"/>
      <c r="AH290" s="68"/>
      <c r="AI290" s="68"/>
      <c r="AJ290" s="68"/>
      <c r="AK290"/>
      <c r="AL290"/>
      <c r="AM290"/>
      <c r="AN290"/>
    </row>
    <row r="291" spans="1:40" ht="14.5" x14ac:dyDescent="0.35">
      <c r="A291" t="s">
        <v>916</v>
      </c>
      <c r="C291" t="s">
        <v>994</v>
      </c>
      <c r="D291" t="s">
        <v>29</v>
      </c>
      <c r="E291">
        <v>1</v>
      </c>
      <c r="F291" s="68">
        <v>4014</v>
      </c>
      <c r="G291" s="68"/>
      <c r="H291" s="68"/>
      <c r="I291" s="68"/>
      <c r="J291" s="68"/>
      <c r="K291" s="68"/>
      <c r="L291" s="68"/>
      <c r="M291" s="68"/>
      <c r="N291" s="68"/>
      <c r="O291" s="68"/>
      <c r="P291" s="68"/>
      <c r="Q291" s="68"/>
      <c r="R291" s="68"/>
      <c r="S291" s="68"/>
      <c r="T291" s="68"/>
      <c r="U291" s="68"/>
      <c r="V291" s="68"/>
      <c r="W291" s="68"/>
      <c r="X291" s="68"/>
      <c r="Y291" s="68"/>
      <c r="Z291" s="68"/>
      <c r="AA291" s="68"/>
      <c r="AB291" s="68"/>
      <c r="AC291" s="68"/>
      <c r="AD291" s="68"/>
      <c r="AE291" s="68"/>
      <c r="AF291" s="68"/>
      <c r="AG291" s="68"/>
      <c r="AH291" s="68"/>
      <c r="AI291" s="68"/>
      <c r="AJ291" s="68"/>
      <c r="AK291"/>
      <c r="AL291"/>
      <c r="AM291"/>
      <c r="AN291"/>
    </row>
    <row r="292" spans="1:40" ht="14.5" x14ac:dyDescent="0.35">
      <c r="A292" t="s">
        <v>916</v>
      </c>
      <c r="B292" t="s">
        <v>1019</v>
      </c>
      <c r="C292" t="s">
        <v>916</v>
      </c>
      <c r="D292" t="s">
        <v>35</v>
      </c>
      <c r="F292" s="68"/>
      <c r="G292" s="68"/>
      <c r="H292" s="68"/>
      <c r="I292" s="68"/>
      <c r="J292" s="68"/>
      <c r="K292" s="68"/>
      <c r="L292" s="68"/>
      <c r="M292" s="68"/>
      <c r="N292" s="68"/>
      <c r="O292" s="68"/>
      <c r="P292" s="68"/>
      <c r="Q292" s="68"/>
      <c r="R292" s="68"/>
      <c r="S292" s="68"/>
      <c r="T292" s="68"/>
      <c r="U292" s="68"/>
      <c r="V292" s="68"/>
      <c r="W292" s="68"/>
      <c r="X292" s="68"/>
      <c r="Y292" s="68"/>
      <c r="Z292" s="68"/>
      <c r="AA292" s="68"/>
      <c r="AB292" s="68"/>
      <c r="AC292" s="68"/>
      <c r="AD292" s="68"/>
      <c r="AE292" s="68"/>
      <c r="AF292" s="68"/>
      <c r="AG292" s="68"/>
      <c r="AH292" s="68"/>
      <c r="AI292" s="68"/>
      <c r="AJ292" s="68"/>
      <c r="AK292"/>
      <c r="AL292"/>
      <c r="AM292"/>
      <c r="AN292"/>
    </row>
    <row r="293" spans="1:40" ht="14.5" x14ac:dyDescent="0.35">
      <c r="A293" t="s">
        <v>486</v>
      </c>
      <c r="C293" t="s">
        <v>1039</v>
      </c>
      <c r="D293" t="s">
        <v>103</v>
      </c>
      <c r="E293">
        <v>2000</v>
      </c>
      <c r="F293" s="68"/>
      <c r="G293" s="68">
        <v>14</v>
      </c>
      <c r="H293" s="68">
        <v>14</v>
      </c>
      <c r="I293" s="68">
        <v>15</v>
      </c>
      <c r="J293" s="68">
        <v>14</v>
      </c>
      <c r="K293" s="68">
        <v>13</v>
      </c>
      <c r="L293" s="68">
        <v>13</v>
      </c>
      <c r="M293" s="68">
        <v>13</v>
      </c>
      <c r="N293" s="68">
        <v>13</v>
      </c>
      <c r="O293" s="68">
        <v>13</v>
      </c>
      <c r="P293" s="68">
        <v>12</v>
      </c>
      <c r="Q293" s="68">
        <v>12</v>
      </c>
      <c r="R293" s="68">
        <v>12</v>
      </c>
      <c r="S293" s="68">
        <v>12</v>
      </c>
      <c r="T293" s="68"/>
      <c r="U293" s="68"/>
      <c r="V293" s="68"/>
      <c r="W293" s="68"/>
      <c r="X293" s="68"/>
      <c r="Y293" s="68"/>
      <c r="Z293" s="68"/>
      <c r="AA293" s="68"/>
      <c r="AB293" s="68"/>
      <c r="AC293" s="68"/>
      <c r="AD293" s="68"/>
      <c r="AE293" s="68"/>
      <c r="AF293" s="68"/>
      <c r="AG293" s="68"/>
      <c r="AH293" s="68"/>
      <c r="AI293" s="68"/>
      <c r="AJ293" s="68"/>
      <c r="AK293"/>
      <c r="AL293"/>
      <c r="AM293"/>
      <c r="AN293"/>
    </row>
    <row r="294" spans="1:40" ht="14.5" x14ac:dyDescent="0.35">
      <c r="A294" t="s">
        <v>486</v>
      </c>
      <c r="C294" t="s">
        <v>981</v>
      </c>
      <c r="D294" t="s">
        <v>101</v>
      </c>
      <c r="E294">
        <v>50</v>
      </c>
      <c r="F294" s="68"/>
      <c r="G294" s="68">
        <v>0</v>
      </c>
      <c r="H294" s="68">
        <v>11</v>
      </c>
      <c r="I294" s="68">
        <v>0</v>
      </c>
      <c r="J294" s="68">
        <v>0</v>
      </c>
      <c r="K294" s="68">
        <v>0</v>
      </c>
      <c r="L294" s="68">
        <v>0</v>
      </c>
      <c r="M294" s="68">
        <v>0</v>
      </c>
      <c r="N294" s="68">
        <v>0</v>
      </c>
      <c r="O294" s="68">
        <v>33</v>
      </c>
      <c r="P294" s="68">
        <v>0</v>
      </c>
      <c r="Q294" s="68">
        <v>0</v>
      </c>
      <c r="R294" s="68">
        <v>0</v>
      </c>
      <c r="S294" s="68">
        <v>0</v>
      </c>
      <c r="T294" s="68"/>
      <c r="U294" s="68"/>
      <c r="V294" s="68"/>
      <c r="W294" s="68"/>
      <c r="X294" s="68"/>
      <c r="Y294" s="68"/>
      <c r="Z294" s="68"/>
      <c r="AA294" s="68"/>
      <c r="AB294" s="68"/>
      <c r="AC294" s="68"/>
      <c r="AD294" s="68"/>
      <c r="AE294" s="68"/>
      <c r="AF294" s="68"/>
      <c r="AG294" s="68"/>
      <c r="AH294" s="68"/>
      <c r="AI294" s="68"/>
      <c r="AJ294" s="68"/>
      <c r="AK294"/>
      <c r="AL294"/>
      <c r="AM294"/>
      <c r="AN294"/>
    </row>
    <row r="295" spans="1:40" ht="14.5" x14ac:dyDescent="0.35">
      <c r="A295" t="s">
        <v>486</v>
      </c>
      <c r="C295" t="s">
        <v>982</v>
      </c>
      <c r="D295" t="s">
        <v>102</v>
      </c>
      <c r="E295">
        <v>1</v>
      </c>
      <c r="F295" s="68"/>
      <c r="G295" s="68">
        <v>3453</v>
      </c>
      <c r="H295" s="68">
        <v>41</v>
      </c>
      <c r="I295" s="68">
        <v>2156</v>
      </c>
      <c r="J295" s="68">
        <v>1447</v>
      </c>
      <c r="K295" s="68">
        <v>3340</v>
      </c>
      <c r="L295" s="68">
        <v>3048</v>
      </c>
      <c r="M295" s="68">
        <v>2516</v>
      </c>
      <c r="N295" s="68">
        <v>2292</v>
      </c>
      <c r="O295" s="68">
        <v>117</v>
      </c>
      <c r="P295" s="68">
        <v>3340</v>
      </c>
      <c r="Q295" s="68">
        <v>2915</v>
      </c>
      <c r="R295" s="68">
        <v>2579</v>
      </c>
      <c r="S295" s="68">
        <v>2238</v>
      </c>
      <c r="T295" s="68"/>
      <c r="U295" s="68"/>
      <c r="V295" s="68"/>
      <c r="W295" s="68"/>
      <c r="X295" s="68"/>
      <c r="Y295" s="68"/>
      <c r="Z295" s="68"/>
      <c r="AA295" s="68"/>
      <c r="AB295" s="68"/>
      <c r="AC295" s="68"/>
      <c r="AD295" s="68"/>
      <c r="AE295" s="68"/>
      <c r="AF295" s="68"/>
      <c r="AG295" s="68"/>
      <c r="AH295" s="68"/>
      <c r="AI295" s="68"/>
      <c r="AJ295" s="68"/>
      <c r="AK295"/>
      <c r="AL295"/>
      <c r="AM295"/>
      <c r="AN295"/>
    </row>
    <row r="296" spans="1:40" ht="14.5" x14ac:dyDescent="0.35">
      <c r="A296" t="s">
        <v>486</v>
      </c>
      <c r="B296" t="s">
        <v>533</v>
      </c>
      <c r="C296" t="s">
        <v>486</v>
      </c>
      <c r="D296" t="s">
        <v>67</v>
      </c>
      <c r="F296" s="68"/>
      <c r="G296" s="68"/>
      <c r="H296" s="68"/>
      <c r="I296" s="68"/>
      <c r="J296" s="68"/>
      <c r="K296" s="68"/>
      <c r="L296" s="68"/>
      <c r="M296" s="68"/>
      <c r="N296" s="68"/>
      <c r="O296" s="68"/>
      <c r="P296" s="68"/>
      <c r="Q296" s="68"/>
      <c r="R296" s="68"/>
      <c r="S296" s="68"/>
      <c r="T296" s="68"/>
      <c r="U296" s="68"/>
      <c r="V296" s="68"/>
      <c r="W296" s="68"/>
      <c r="X296" s="68"/>
      <c r="Y296" s="68"/>
      <c r="Z296" s="68"/>
      <c r="AA296" s="68"/>
      <c r="AB296" s="68"/>
      <c r="AC296" s="68"/>
      <c r="AD296" s="68"/>
      <c r="AE296" s="68"/>
      <c r="AF296" s="68"/>
      <c r="AG296" s="68"/>
      <c r="AH296" s="68"/>
      <c r="AI296" s="68"/>
      <c r="AJ296" s="68"/>
      <c r="AK296"/>
      <c r="AL296"/>
      <c r="AM296"/>
      <c r="AN296"/>
    </row>
    <row r="297" spans="1:40" ht="14.5" x14ac:dyDescent="0.35">
      <c r="A297" t="s">
        <v>1191</v>
      </c>
      <c r="C297" t="s">
        <v>1187</v>
      </c>
      <c r="D297" t="s">
        <v>138</v>
      </c>
      <c r="E297">
        <v>500</v>
      </c>
      <c r="F297" s="68"/>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c r="AD297" s="68"/>
      <c r="AE297" s="68"/>
      <c r="AF297" s="68"/>
      <c r="AG297" s="68"/>
      <c r="AH297" s="68"/>
      <c r="AI297" s="68"/>
      <c r="AJ297" s="68"/>
      <c r="AK297"/>
      <c r="AL297"/>
      <c r="AM297"/>
      <c r="AN297"/>
    </row>
    <row r="298" spans="1:40" ht="14.5" x14ac:dyDescent="0.35">
      <c r="A298" t="s">
        <v>1191</v>
      </c>
      <c r="C298" t="s">
        <v>1188</v>
      </c>
      <c r="D298" t="s">
        <v>969</v>
      </c>
      <c r="E298">
        <v>125</v>
      </c>
      <c r="F298" s="68"/>
      <c r="G298" s="68"/>
      <c r="H298" s="68"/>
      <c r="I298" s="68"/>
      <c r="J298" s="68"/>
      <c r="K298" s="68"/>
      <c r="L298" s="68"/>
      <c r="M298" s="68"/>
      <c r="N298" s="68"/>
      <c r="O298" s="68"/>
      <c r="P298" s="68"/>
      <c r="Q298" s="68"/>
      <c r="R298" s="68"/>
      <c r="S298" s="68"/>
      <c r="T298" s="68"/>
      <c r="U298" s="68"/>
      <c r="V298" s="68"/>
      <c r="W298" s="68"/>
      <c r="X298" s="68"/>
      <c r="Y298" s="68"/>
      <c r="Z298" s="68"/>
      <c r="AA298" s="68"/>
      <c r="AB298" s="68"/>
      <c r="AC298" s="68"/>
      <c r="AD298" s="68"/>
      <c r="AE298" s="68"/>
      <c r="AF298" s="68"/>
      <c r="AG298" s="68"/>
      <c r="AH298" s="68"/>
      <c r="AI298" s="68"/>
      <c r="AJ298" s="68"/>
      <c r="AK298"/>
      <c r="AL298"/>
      <c r="AM298"/>
      <c r="AN298"/>
    </row>
    <row r="299" spans="1:40" ht="14.5" x14ac:dyDescent="0.35">
      <c r="A299" t="s">
        <v>1191</v>
      </c>
      <c r="C299" t="s">
        <v>1189</v>
      </c>
      <c r="D299" t="s">
        <v>102</v>
      </c>
      <c r="E299">
        <v>1</v>
      </c>
      <c r="F299" s="68"/>
      <c r="G299" s="68"/>
      <c r="H299" s="68"/>
      <c r="I299" s="68"/>
      <c r="J299" s="68"/>
      <c r="K299" s="68"/>
      <c r="L299" s="68"/>
      <c r="M299" s="68"/>
      <c r="N299" s="68"/>
      <c r="O299" s="68"/>
      <c r="P299" s="68"/>
      <c r="Q299" s="68"/>
      <c r="R299" s="68"/>
      <c r="S299" s="68"/>
      <c r="T299" s="68"/>
      <c r="U299" s="68"/>
      <c r="V299" s="68"/>
      <c r="W299" s="68"/>
      <c r="X299" s="68"/>
      <c r="Y299" s="68"/>
      <c r="Z299" s="68"/>
      <c r="AA299" s="68"/>
      <c r="AB299" s="68"/>
      <c r="AC299" s="68"/>
      <c r="AD299" s="68"/>
      <c r="AE299" s="68"/>
      <c r="AF299" s="68"/>
      <c r="AG299" s="68"/>
      <c r="AH299" s="68"/>
      <c r="AI299" s="68"/>
      <c r="AJ299" s="68"/>
      <c r="AK299"/>
      <c r="AL299"/>
      <c r="AM299"/>
      <c r="AN299"/>
    </row>
    <row r="300" spans="1:40" ht="14.5" x14ac:dyDescent="0.35">
      <c r="A300" t="s">
        <v>1191</v>
      </c>
      <c r="B300" t="s">
        <v>1190</v>
      </c>
      <c r="C300" t="s">
        <v>1191</v>
      </c>
      <c r="D300" t="s">
        <v>67</v>
      </c>
      <c r="F300" s="68"/>
      <c r="G300" s="68"/>
      <c r="H300" s="68"/>
      <c r="I300" s="68"/>
      <c r="J300" s="68"/>
      <c r="K300" s="68"/>
      <c r="L300" s="68"/>
      <c r="M300" s="68"/>
      <c r="N300" s="68"/>
      <c r="O300" s="68"/>
      <c r="P300" s="68"/>
      <c r="Q300" s="68"/>
      <c r="R300" s="68"/>
      <c r="S300" s="68"/>
      <c r="T300" s="68"/>
      <c r="U300" s="68"/>
      <c r="V300" s="68"/>
      <c r="W300" s="68"/>
      <c r="X300" s="68"/>
      <c r="Y300" s="68"/>
      <c r="Z300" s="68"/>
      <c r="AA300" s="68"/>
      <c r="AB300" s="68"/>
      <c r="AC300" s="68"/>
      <c r="AD300" s="68"/>
      <c r="AE300" s="68"/>
      <c r="AF300" s="68"/>
      <c r="AG300" s="68"/>
      <c r="AH300" s="68"/>
      <c r="AI300" s="68"/>
      <c r="AJ300" s="68"/>
      <c r="AK300" s="68"/>
      <c r="AL300"/>
      <c r="AM300"/>
      <c r="AN300"/>
    </row>
    <row r="301" spans="1:40" ht="14.5" x14ac:dyDescent="0.35">
      <c r="A301" t="s">
        <v>28</v>
      </c>
      <c r="C301" t="s">
        <v>1040</v>
      </c>
      <c r="D301" t="s">
        <v>103</v>
      </c>
      <c r="E301">
        <v>13800</v>
      </c>
      <c r="F301" s="68"/>
      <c r="G301" s="68">
        <v>0</v>
      </c>
      <c r="H301" s="68">
        <v>0</v>
      </c>
      <c r="I301" s="68">
        <v>0</v>
      </c>
      <c r="J301" s="68">
        <v>0</v>
      </c>
      <c r="K301" s="68">
        <v>0</v>
      </c>
      <c r="L301" s="68">
        <v>0</v>
      </c>
      <c r="M301" s="68">
        <v>0</v>
      </c>
      <c r="N301" s="68">
        <v>0</v>
      </c>
      <c r="O301" s="68">
        <v>0</v>
      </c>
      <c r="P301" s="68">
        <v>0</v>
      </c>
      <c r="Q301" s="68">
        <v>0</v>
      </c>
      <c r="R301" s="68">
        <v>0</v>
      </c>
      <c r="S301" s="68">
        <v>0</v>
      </c>
      <c r="T301" s="68"/>
      <c r="U301" s="68"/>
      <c r="V301" s="68"/>
      <c r="W301" s="68"/>
      <c r="X301" s="68"/>
      <c r="Y301" s="68"/>
      <c r="Z301" s="68"/>
      <c r="AA301" s="68"/>
      <c r="AB301" s="68"/>
      <c r="AC301" s="68"/>
      <c r="AD301" s="68"/>
      <c r="AE301" s="68"/>
      <c r="AF301" s="68"/>
      <c r="AG301" s="68"/>
      <c r="AH301" s="68"/>
      <c r="AI301" s="68"/>
      <c r="AJ301" s="68"/>
      <c r="AK301" s="68"/>
      <c r="AL301"/>
      <c r="AM301"/>
      <c r="AN301"/>
    </row>
    <row r="302" spans="1:40" ht="14.5" x14ac:dyDescent="0.35">
      <c r="A302" t="s">
        <v>28</v>
      </c>
      <c r="C302" t="s">
        <v>1064</v>
      </c>
      <c r="D302" t="s">
        <v>101</v>
      </c>
      <c r="E302">
        <v>2300</v>
      </c>
      <c r="F302" s="68"/>
      <c r="G302" s="68">
        <v>0</v>
      </c>
      <c r="H302" s="68">
        <v>0</v>
      </c>
      <c r="I302" s="68">
        <v>0</v>
      </c>
      <c r="J302" s="68">
        <v>0</v>
      </c>
      <c r="K302" s="68">
        <v>0</v>
      </c>
      <c r="L302" s="68">
        <v>0</v>
      </c>
      <c r="M302" s="68">
        <v>0</v>
      </c>
      <c r="N302" s="68">
        <v>0</v>
      </c>
      <c r="O302" s="68">
        <v>0</v>
      </c>
      <c r="P302" s="68">
        <v>0</v>
      </c>
      <c r="Q302" s="68">
        <v>0</v>
      </c>
      <c r="R302" s="68">
        <v>0</v>
      </c>
      <c r="S302" s="68">
        <v>0</v>
      </c>
      <c r="T302" s="68"/>
      <c r="U302" s="68"/>
      <c r="V302" s="68"/>
      <c r="W302" s="68"/>
      <c r="X302" s="68"/>
      <c r="Y302" s="68"/>
      <c r="Z302" s="68"/>
      <c r="AA302" s="68"/>
      <c r="AB302" s="68"/>
      <c r="AC302" s="68"/>
      <c r="AD302" s="68"/>
      <c r="AE302" s="68"/>
      <c r="AF302" s="68"/>
      <c r="AG302" s="68"/>
      <c r="AH302" s="68"/>
      <c r="AI302" s="68"/>
      <c r="AJ302" s="68"/>
      <c r="AK302" s="68"/>
      <c r="AL302"/>
      <c r="AM302"/>
      <c r="AN302"/>
    </row>
    <row r="303" spans="1:40" ht="14.5" x14ac:dyDescent="0.35">
      <c r="A303" t="s">
        <v>28</v>
      </c>
      <c r="C303" t="s">
        <v>1084</v>
      </c>
      <c r="D303" t="s">
        <v>29</v>
      </c>
      <c r="E303">
        <v>1</v>
      </c>
      <c r="F303" s="68"/>
      <c r="G303" s="68">
        <v>0</v>
      </c>
      <c r="H303" s="68">
        <v>0</v>
      </c>
      <c r="I303" s="68">
        <v>0</v>
      </c>
      <c r="J303" s="68">
        <v>0</v>
      </c>
      <c r="K303" s="68">
        <v>0</v>
      </c>
      <c r="L303" s="68">
        <v>0</v>
      </c>
      <c r="M303" s="68">
        <v>0</v>
      </c>
      <c r="N303" s="68">
        <v>0</v>
      </c>
      <c r="O303" s="68">
        <v>0</v>
      </c>
      <c r="P303" s="68">
        <v>0</v>
      </c>
      <c r="Q303" s="68">
        <v>0</v>
      </c>
      <c r="R303" s="68">
        <v>0</v>
      </c>
      <c r="S303" s="68">
        <v>0</v>
      </c>
      <c r="T303" s="68"/>
      <c r="U303" s="68"/>
      <c r="V303" s="68"/>
      <c r="W303" s="68"/>
      <c r="X303" s="68"/>
      <c r="Y303" s="68"/>
      <c r="Z303" s="68"/>
      <c r="AA303" s="68"/>
      <c r="AB303" s="68"/>
      <c r="AC303" s="68"/>
      <c r="AD303" s="68"/>
      <c r="AE303" s="68"/>
      <c r="AF303" s="68"/>
      <c r="AG303" s="68"/>
      <c r="AH303" s="68"/>
      <c r="AI303" s="68"/>
      <c r="AJ303" s="68"/>
      <c r="AK303" s="68"/>
      <c r="AL303"/>
      <c r="AM303"/>
      <c r="AN303"/>
    </row>
    <row r="304" spans="1:40" ht="14.5" x14ac:dyDescent="0.35">
      <c r="A304" t="s">
        <v>28</v>
      </c>
      <c r="B304" t="s">
        <v>99</v>
      </c>
      <c r="C304" t="s">
        <v>28</v>
      </c>
      <c r="D304" t="s">
        <v>35</v>
      </c>
      <c r="F304" s="68"/>
      <c r="G304" s="68"/>
      <c r="H304" s="68"/>
      <c r="I304" s="68"/>
      <c r="J304" s="68"/>
      <c r="K304" s="68"/>
      <c r="L304" s="68"/>
      <c r="M304" s="68"/>
      <c r="N304" s="68"/>
      <c r="O304" s="68"/>
      <c r="P304" s="68"/>
      <c r="Q304" s="68"/>
      <c r="R304" s="68"/>
      <c r="S304" s="68"/>
      <c r="T304" s="68"/>
      <c r="U304" s="68"/>
      <c r="V304" s="68"/>
      <c r="W304" s="68"/>
      <c r="X304" s="68"/>
      <c r="Y304" s="68"/>
      <c r="Z304" s="68"/>
      <c r="AA304" s="68"/>
      <c r="AB304" s="68"/>
      <c r="AC304" s="68"/>
      <c r="AD304" s="68"/>
      <c r="AE304" s="68"/>
      <c r="AF304" s="68"/>
      <c r="AG304" s="68"/>
      <c r="AH304" s="68"/>
      <c r="AI304" s="68"/>
      <c r="AJ304" s="68"/>
      <c r="AK304" s="68"/>
      <c r="AL304"/>
      <c r="AM304"/>
      <c r="AN304"/>
    </row>
    <row r="305" spans="1:40" ht="14.5" x14ac:dyDescent="0.35">
      <c r="A305" t="s">
        <v>541</v>
      </c>
      <c r="C305" t="s">
        <v>983</v>
      </c>
      <c r="D305" t="s">
        <v>138</v>
      </c>
      <c r="E305">
        <v>3000</v>
      </c>
      <c r="F305" s="68">
        <v>3</v>
      </c>
      <c r="G305" s="68">
        <v>3</v>
      </c>
      <c r="H305" s="68">
        <v>3</v>
      </c>
      <c r="I305" s="68">
        <v>3</v>
      </c>
      <c r="J305" s="68">
        <v>3</v>
      </c>
      <c r="K305" s="68">
        <v>3</v>
      </c>
      <c r="L305" s="68">
        <v>2</v>
      </c>
      <c r="M305" s="68">
        <v>2</v>
      </c>
      <c r="N305" s="68">
        <v>2</v>
      </c>
      <c r="O305" s="68">
        <v>3</v>
      </c>
      <c r="P305" s="68">
        <v>3</v>
      </c>
      <c r="Q305" s="68">
        <v>3</v>
      </c>
      <c r="R305" s="68">
        <v>3</v>
      </c>
      <c r="S305" s="68">
        <v>3</v>
      </c>
      <c r="T305" s="68"/>
      <c r="U305" s="68"/>
      <c r="V305" s="68"/>
      <c r="W305" s="68"/>
      <c r="X305" s="68"/>
      <c r="Y305" s="68"/>
      <c r="Z305" s="68"/>
      <c r="AA305" s="68"/>
      <c r="AB305" s="68"/>
      <c r="AC305" s="68"/>
      <c r="AD305" s="68"/>
      <c r="AE305" s="68"/>
      <c r="AF305" s="68"/>
      <c r="AG305" s="68"/>
      <c r="AH305" s="68"/>
      <c r="AI305" s="68"/>
      <c r="AJ305" s="68"/>
      <c r="AK305" s="68"/>
      <c r="AL305"/>
      <c r="AM305"/>
      <c r="AN305"/>
    </row>
    <row r="306" spans="1:40" ht="14.5" x14ac:dyDescent="0.35">
      <c r="A306" t="s">
        <v>541</v>
      </c>
      <c r="C306" t="s">
        <v>984</v>
      </c>
      <c r="D306" t="s">
        <v>102</v>
      </c>
      <c r="E306">
        <v>1</v>
      </c>
      <c r="F306" s="68">
        <v>1546</v>
      </c>
      <c r="G306" s="68">
        <v>1994</v>
      </c>
      <c r="H306" s="68">
        <v>850</v>
      </c>
      <c r="I306" s="68">
        <v>17</v>
      </c>
      <c r="J306" s="68">
        <v>881</v>
      </c>
      <c r="K306" s="68">
        <v>1281</v>
      </c>
      <c r="L306" s="68">
        <v>2704</v>
      </c>
      <c r="M306" s="68">
        <v>1874</v>
      </c>
      <c r="N306" s="68">
        <v>1694</v>
      </c>
      <c r="O306" s="68">
        <v>1441</v>
      </c>
      <c r="P306" s="68">
        <v>1043</v>
      </c>
      <c r="Q306" s="68">
        <v>1920</v>
      </c>
      <c r="R306" s="68">
        <v>1633</v>
      </c>
      <c r="S306" s="68">
        <v>1313</v>
      </c>
      <c r="T306" s="68"/>
      <c r="U306" s="68"/>
      <c r="V306" s="68"/>
      <c r="W306" s="68"/>
      <c r="X306" s="68"/>
      <c r="Y306" s="68"/>
      <c r="Z306" s="68"/>
      <c r="AA306" s="68"/>
      <c r="AB306" s="68"/>
      <c r="AC306" s="68"/>
      <c r="AD306" s="68"/>
      <c r="AE306" s="68"/>
      <c r="AF306" s="68"/>
      <c r="AG306" s="68"/>
      <c r="AH306" s="68"/>
      <c r="AI306" s="68"/>
      <c r="AJ306" s="68"/>
      <c r="AK306" s="68"/>
      <c r="AL306"/>
      <c r="AM306"/>
      <c r="AN306"/>
    </row>
    <row r="307" spans="1:40" ht="14.5" x14ac:dyDescent="0.35">
      <c r="A307" t="s">
        <v>541</v>
      </c>
      <c r="B307" t="s">
        <v>545</v>
      </c>
      <c r="C307" t="s">
        <v>541</v>
      </c>
      <c r="D307" t="s">
        <v>67</v>
      </c>
      <c r="F307" s="68"/>
      <c r="G307" s="68"/>
      <c r="H307" s="68"/>
      <c r="I307" s="68"/>
      <c r="J307" s="68"/>
      <c r="K307" s="68"/>
      <c r="L307" s="68"/>
      <c r="M307" s="68"/>
      <c r="N307" s="68"/>
      <c r="O307" s="68"/>
      <c r="P307" s="68"/>
      <c r="Q307" s="68"/>
      <c r="R307" s="68"/>
      <c r="S307" s="68"/>
      <c r="T307" s="68"/>
      <c r="U307" s="68"/>
      <c r="V307" s="68"/>
      <c r="W307" s="68"/>
      <c r="X307" s="68"/>
      <c r="Y307" s="68"/>
      <c r="Z307" s="68"/>
      <c r="AA307" s="68"/>
      <c r="AB307" s="68"/>
      <c r="AC307" s="68"/>
      <c r="AD307" s="68"/>
      <c r="AE307" s="68"/>
      <c r="AF307" s="68"/>
      <c r="AG307" s="68"/>
      <c r="AH307" s="68"/>
      <c r="AI307" s="68"/>
      <c r="AJ307" s="68"/>
      <c r="AK307" s="68"/>
      <c r="AL307"/>
      <c r="AM307"/>
      <c r="AN307"/>
    </row>
    <row r="308" spans="1:40" ht="14.5" x14ac:dyDescent="0.35">
      <c r="A308" t="s">
        <v>920</v>
      </c>
      <c r="C308" t="s">
        <v>999</v>
      </c>
      <c r="D308" t="s">
        <v>557</v>
      </c>
      <c r="E308">
        <v>500</v>
      </c>
      <c r="F308" s="68">
        <v>9</v>
      </c>
      <c r="G308" s="68">
        <v>7</v>
      </c>
      <c r="H308" s="68">
        <v>11</v>
      </c>
      <c r="I308" s="68">
        <v>9</v>
      </c>
      <c r="J308" s="68">
        <v>7</v>
      </c>
      <c r="K308" s="68">
        <v>5</v>
      </c>
      <c r="L308" s="68">
        <v>9</v>
      </c>
      <c r="M308" s="68">
        <v>8</v>
      </c>
      <c r="N308" s="68">
        <v>6</v>
      </c>
      <c r="O308" s="68">
        <v>11</v>
      </c>
      <c r="P308" s="68">
        <v>9</v>
      </c>
      <c r="Q308" s="68">
        <v>8</v>
      </c>
      <c r="R308" s="68">
        <v>6</v>
      </c>
      <c r="S308" s="68">
        <v>7</v>
      </c>
      <c r="T308" s="68"/>
      <c r="U308" s="68"/>
      <c r="V308" s="68"/>
      <c r="W308" s="68"/>
      <c r="X308" s="68"/>
      <c r="Y308" s="68"/>
      <c r="Z308" s="68"/>
      <c r="AA308" s="68"/>
      <c r="AB308" s="68"/>
      <c r="AC308" s="68"/>
      <c r="AD308" s="68"/>
      <c r="AE308" s="68"/>
      <c r="AF308" s="68"/>
      <c r="AG308" s="68"/>
      <c r="AH308" s="68"/>
      <c r="AI308" s="68"/>
      <c r="AJ308" s="68"/>
      <c r="AK308" s="68"/>
      <c r="AL308"/>
      <c r="AM308"/>
      <c r="AN308"/>
    </row>
    <row r="309" spans="1:40" ht="14.5" x14ac:dyDescent="0.35">
      <c r="A309" t="s">
        <v>920</v>
      </c>
      <c r="C309" t="s">
        <v>1000</v>
      </c>
      <c r="D309" t="s">
        <v>101</v>
      </c>
      <c r="E309">
        <v>25</v>
      </c>
      <c r="F309" s="68">
        <v>16</v>
      </c>
      <c r="G309" s="68">
        <v>20</v>
      </c>
      <c r="H309" s="68">
        <v>6</v>
      </c>
      <c r="I309" s="68">
        <v>7</v>
      </c>
      <c r="J309" s="68">
        <v>16</v>
      </c>
      <c r="K309" s="68">
        <v>22</v>
      </c>
      <c r="L309" s="68">
        <v>18</v>
      </c>
      <c r="M309" s="68">
        <v>13</v>
      </c>
      <c r="N309" s="68">
        <v>23</v>
      </c>
      <c r="O309" s="68">
        <v>15</v>
      </c>
      <c r="P309" s="68">
        <v>16</v>
      </c>
      <c r="Q309" s="68">
        <v>12</v>
      </c>
      <c r="R309" s="68">
        <v>19</v>
      </c>
      <c r="S309" s="68">
        <v>16</v>
      </c>
      <c r="T309" s="68"/>
      <c r="U309" s="68"/>
      <c r="V309" s="68"/>
      <c r="W309" s="68"/>
      <c r="X309" s="68"/>
      <c r="Y309" s="68"/>
      <c r="Z309" s="68"/>
      <c r="AA309" s="68"/>
      <c r="AB309" s="68"/>
      <c r="AC309" s="68"/>
      <c r="AD309" s="68"/>
      <c r="AE309" s="68"/>
      <c r="AF309" s="68"/>
      <c r="AG309" s="68"/>
      <c r="AH309" s="68"/>
      <c r="AI309" s="68"/>
      <c r="AJ309" s="68"/>
      <c r="AK309" s="68"/>
      <c r="AL309" s="65"/>
      <c r="AM309" s="65"/>
      <c r="AN309"/>
    </row>
    <row r="310" spans="1:40" ht="14.5" x14ac:dyDescent="0.35">
      <c r="A310" t="s">
        <v>920</v>
      </c>
      <c r="C310" t="s">
        <v>1001</v>
      </c>
      <c r="D310" t="s">
        <v>102</v>
      </c>
      <c r="E310">
        <v>1</v>
      </c>
      <c r="F310" s="68">
        <v>48</v>
      </c>
      <c r="G310" s="68">
        <v>2</v>
      </c>
      <c r="H310" s="68">
        <v>0</v>
      </c>
      <c r="I310" s="68">
        <v>0</v>
      </c>
      <c r="J310" s="68">
        <v>43</v>
      </c>
      <c r="K310" s="68">
        <v>16</v>
      </c>
      <c r="L310" s="68">
        <v>8</v>
      </c>
      <c r="M310" s="68">
        <v>25</v>
      </c>
      <c r="N310" s="68">
        <v>20</v>
      </c>
      <c r="O310" s="68">
        <v>20</v>
      </c>
      <c r="P310" s="68">
        <v>47</v>
      </c>
      <c r="Q310" s="68">
        <v>2</v>
      </c>
      <c r="R310" s="68">
        <v>16</v>
      </c>
      <c r="S310" s="68">
        <v>1</v>
      </c>
      <c r="T310" s="68"/>
      <c r="U310" s="68"/>
      <c r="V310" s="68"/>
      <c r="W310" s="68"/>
      <c r="X310" s="68"/>
      <c r="Y310" s="68"/>
      <c r="Z310" s="68"/>
      <c r="AA310" s="68"/>
      <c r="AB310" s="68"/>
      <c r="AC310" s="68"/>
      <c r="AD310" s="68"/>
      <c r="AE310" s="68"/>
      <c r="AF310" s="68"/>
      <c r="AG310" s="68"/>
      <c r="AH310" s="68"/>
      <c r="AI310" s="68"/>
      <c r="AJ310" s="68"/>
      <c r="AK310" s="68"/>
      <c r="AL310" s="65"/>
      <c r="AM310" s="65"/>
      <c r="AN310"/>
    </row>
    <row r="311" spans="1:40" ht="14.5" x14ac:dyDescent="0.35">
      <c r="A311" t="s">
        <v>920</v>
      </c>
      <c r="B311" t="s">
        <v>1021</v>
      </c>
      <c r="C311" t="s">
        <v>920</v>
      </c>
      <c r="D311" t="s">
        <v>67</v>
      </c>
      <c r="F311" s="68"/>
      <c r="G311" s="68"/>
      <c r="H311" s="68"/>
      <c r="I311" s="68"/>
      <c r="J311" s="68"/>
      <c r="K311" s="68"/>
      <c r="L311" s="68"/>
      <c r="M311" s="68"/>
      <c r="N311" s="68"/>
      <c r="O311" s="68"/>
      <c r="P311" s="68"/>
      <c r="Q311" s="68"/>
      <c r="R311" s="68"/>
      <c r="S311" s="68"/>
      <c r="T311" s="68"/>
      <c r="U311" s="68"/>
      <c r="V311" s="68"/>
      <c r="W311" s="68"/>
      <c r="X311" s="68"/>
      <c r="Y311" s="68"/>
      <c r="Z311" s="68"/>
      <c r="AA311" s="68"/>
      <c r="AB311" s="68"/>
      <c r="AC311" s="68"/>
      <c r="AD311" s="68"/>
      <c r="AE311" s="68"/>
      <c r="AF311" s="68"/>
      <c r="AG311" s="68"/>
      <c r="AH311" s="68"/>
      <c r="AI311" s="68"/>
      <c r="AJ311" s="68"/>
      <c r="AK311" s="68"/>
      <c r="AL311" s="65"/>
      <c r="AM311" s="65"/>
      <c r="AN311"/>
    </row>
    <row r="312" spans="1:40" ht="14.5" x14ac:dyDescent="0.35">
      <c r="A312" t="s">
        <v>1318</v>
      </c>
      <c r="C312" t="s">
        <v>1319</v>
      </c>
      <c r="D312" t="s">
        <v>103</v>
      </c>
      <c r="E312">
        <v>250</v>
      </c>
      <c r="F312" s="68">
        <v>25</v>
      </c>
      <c r="G312" s="68">
        <v>18</v>
      </c>
      <c r="H312" s="68">
        <v>32</v>
      </c>
      <c r="I312" s="68">
        <v>24</v>
      </c>
      <c r="J312" s="68">
        <v>28</v>
      </c>
      <c r="K312" s="68">
        <v>23</v>
      </c>
      <c r="L312" s="68">
        <v>13</v>
      </c>
      <c r="M312" s="68">
        <v>6</v>
      </c>
      <c r="N312" s="68">
        <v>19</v>
      </c>
      <c r="O312" s="68">
        <v>23</v>
      </c>
      <c r="P312" s="68">
        <v>10</v>
      </c>
      <c r="Q312" s="68">
        <v>24</v>
      </c>
      <c r="R312" s="68">
        <v>10</v>
      </c>
      <c r="S312" s="68">
        <v>28</v>
      </c>
      <c r="T312" s="68"/>
      <c r="U312" s="68"/>
      <c r="V312" s="68"/>
      <c r="W312" s="68"/>
      <c r="X312" s="68"/>
      <c r="Y312" s="68"/>
      <c r="Z312" s="68"/>
      <c r="AA312" s="68"/>
      <c r="AB312" s="68"/>
      <c r="AC312" s="68"/>
      <c r="AD312" s="68"/>
      <c r="AE312" s="68"/>
      <c r="AF312" s="68"/>
      <c r="AG312" s="68"/>
      <c r="AH312" s="68"/>
      <c r="AI312" s="68"/>
      <c r="AJ312" s="68"/>
      <c r="AK312" s="68"/>
      <c r="AL312" s="65"/>
      <c r="AM312" s="65"/>
      <c r="AN312"/>
    </row>
    <row r="313" spans="1:40" ht="14.5" x14ac:dyDescent="0.35">
      <c r="A313" t="s">
        <v>1318</v>
      </c>
      <c r="C313" t="s">
        <v>1320</v>
      </c>
      <c r="D313" t="s">
        <v>101</v>
      </c>
      <c r="E313">
        <v>10</v>
      </c>
      <c r="F313" s="68">
        <v>235</v>
      </c>
      <c r="G313" s="68">
        <v>201</v>
      </c>
      <c r="H313" s="68">
        <f>175+31</f>
        <v>206</v>
      </c>
      <c r="I313" s="68">
        <v>125</v>
      </c>
      <c r="J313" s="68">
        <v>231</v>
      </c>
      <c r="K313" s="68">
        <v>178</v>
      </c>
      <c r="L313" s="68">
        <v>197</v>
      </c>
      <c r="M313" s="68">
        <v>177</v>
      </c>
      <c r="N313" s="68">
        <v>203</v>
      </c>
      <c r="O313" s="68">
        <v>292</v>
      </c>
      <c r="P313" s="68">
        <f>275+50</f>
        <v>325</v>
      </c>
      <c r="Q313" s="68">
        <v>231</v>
      </c>
      <c r="R313" s="68">
        <v>397</v>
      </c>
      <c r="S313" s="68">
        <v>37</v>
      </c>
      <c r="T313" s="68"/>
      <c r="U313" s="68"/>
      <c r="V313" s="68"/>
      <c r="W313" s="68"/>
      <c r="X313" s="68"/>
      <c r="Y313" s="68"/>
      <c r="Z313" s="68"/>
      <c r="AA313" s="68"/>
      <c r="AB313" s="68"/>
      <c r="AC313" s="68"/>
      <c r="AD313" s="68"/>
      <c r="AE313" s="68"/>
      <c r="AF313" s="68"/>
      <c r="AG313" s="68"/>
      <c r="AH313" s="68"/>
      <c r="AI313" s="68"/>
      <c r="AJ313" s="68"/>
      <c r="AK313" s="68"/>
      <c r="AL313" s="65"/>
      <c r="AM313" s="65"/>
      <c r="AN313"/>
    </row>
    <row r="314" spans="1:40" ht="14.5" x14ac:dyDescent="0.35">
      <c r="A314" t="s">
        <v>1318</v>
      </c>
      <c r="C314" t="s">
        <v>1321</v>
      </c>
      <c r="D314" t="s">
        <v>102</v>
      </c>
      <c r="E314">
        <v>1</v>
      </c>
      <c r="F314" s="68">
        <v>2</v>
      </c>
      <c r="G314" s="68">
        <v>2</v>
      </c>
      <c r="H314" s="68">
        <v>0</v>
      </c>
      <c r="I314" s="68">
        <v>2</v>
      </c>
      <c r="J314" s="68">
        <v>40</v>
      </c>
      <c r="K314" s="68">
        <v>5</v>
      </c>
      <c r="L314" s="68">
        <v>7</v>
      </c>
      <c r="M314" s="68">
        <v>0</v>
      </c>
      <c r="N314" s="68">
        <v>22</v>
      </c>
      <c r="O314" s="68">
        <v>192</v>
      </c>
      <c r="P314" s="68">
        <v>69</v>
      </c>
      <c r="Q314" s="68">
        <v>39</v>
      </c>
      <c r="R314" s="68">
        <v>9</v>
      </c>
      <c r="S314" s="68">
        <v>0</v>
      </c>
      <c r="T314" s="68"/>
      <c r="U314" s="68"/>
      <c r="V314" s="68"/>
      <c r="W314" s="68"/>
      <c r="X314" s="68"/>
      <c r="Y314" s="68"/>
      <c r="Z314" s="68"/>
      <c r="AA314" s="68"/>
      <c r="AB314" s="68"/>
      <c r="AC314" s="68"/>
      <c r="AD314" s="68"/>
      <c r="AE314" s="68"/>
      <c r="AF314" s="68"/>
      <c r="AG314" s="68"/>
      <c r="AH314" s="68"/>
      <c r="AI314" s="68"/>
      <c r="AJ314" s="68"/>
      <c r="AK314" s="68"/>
      <c r="AL314" s="65"/>
      <c r="AM314" s="65"/>
      <c r="AN314"/>
    </row>
    <row r="315" spans="1:40" ht="14.5" x14ac:dyDescent="0.35">
      <c r="A315" t="s">
        <v>1318</v>
      </c>
      <c r="B315" t="s">
        <v>1323</v>
      </c>
      <c r="C315" t="s">
        <v>1318</v>
      </c>
      <c r="D315" t="s">
        <v>67</v>
      </c>
      <c r="F315" s="68"/>
      <c r="G315" s="68"/>
      <c r="H315" s="68"/>
      <c r="I315" s="68"/>
      <c r="J315" s="68"/>
      <c r="K315" s="68"/>
      <c r="L315" s="68"/>
      <c r="M315" s="68"/>
      <c r="N315" s="68"/>
      <c r="O315" s="68"/>
      <c r="P315" s="68"/>
      <c r="Q315" s="68"/>
      <c r="R315" s="68"/>
      <c r="S315" s="68"/>
      <c r="T315" s="68"/>
      <c r="U315" s="68"/>
      <c r="V315" s="68"/>
      <c r="W315" s="68"/>
      <c r="X315" s="68"/>
      <c r="Y315" s="68"/>
      <c r="Z315" s="68"/>
      <c r="AA315" s="68"/>
      <c r="AB315" s="68"/>
      <c r="AC315" s="68"/>
      <c r="AD315" s="68"/>
      <c r="AE315" s="68"/>
      <c r="AF315" s="68"/>
      <c r="AG315" s="68"/>
      <c r="AH315" s="68"/>
      <c r="AI315" s="68"/>
      <c r="AJ315" s="68"/>
      <c r="AK315" s="65"/>
      <c r="AL315" s="65"/>
      <c r="AM315" s="65"/>
      <c r="AN315"/>
    </row>
    <row r="316" spans="1:40" ht="14.5" x14ac:dyDescent="0.35">
      <c r="A316" t="s">
        <v>30</v>
      </c>
      <c r="C316" t="s">
        <v>143</v>
      </c>
      <c r="D316" t="s">
        <v>138</v>
      </c>
      <c r="E316">
        <v>100</v>
      </c>
      <c r="F316" s="68">
        <v>3</v>
      </c>
      <c r="G316" s="68">
        <v>3</v>
      </c>
      <c r="H316" s="68">
        <v>3</v>
      </c>
      <c r="I316" s="68">
        <v>3</v>
      </c>
      <c r="J316" s="68">
        <v>2</v>
      </c>
      <c r="K316" s="68">
        <v>2</v>
      </c>
      <c r="L316" s="68">
        <v>2</v>
      </c>
      <c r="M316" s="68">
        <v>2</v>
      </c>
      <c r="N316" s="68">
        <v>1</v>
      </c>
      <c r="O316" s="68">
        <v>2</v>
      </c>
      <c r="P316" s="68">
        <v>2</v>
      </c>
      <c r="Q316" s="68">
        <v>2</v>
      </c>
      <c r="R316" s="68">
        <v>1</v>
      </c>
      <c r="S316" s="68">
        <v>2</v>
      </c>
      <c r="T316" s="68"/>
      <c r="U316" s="68"/>
      <c r="V316" s="68"/>
      <c r="W316" s="68"/>
      <c r="X316" s="68"/>
      <c r="Y316" s="68"/>
      <c r="Z316" s="68"/>
      <c r="AA316" s="68"/>
      <c r="AB316" s="68"/>
      <c r="AC316" s="68"/>
      <c r="AD316" s="68"/>
      <c r="AE316" s="68"/>
      <c r="AF316" s="68"/>
      <c r="AG316" s="68"/>
      <c r="AH316" s="68"/>
      <c r="AI316" s="68"/>
      <c r="AJ316" s="68"/>
      <c r="AK316" s="65"/>
      <c r="AL316" s="65"/>
      <c r="AM316" s="65"/>
      <c r="AN316"/>
    </row>
    <row r="317" spans="1:40" ht="14.5" x14ac:dyDescent="0.35">
      <c r="A317" t="s">
        <v>30</v>
      </c>
      <c r="C317" t="s">
        <v>144</v>
      </c>
      <c r="D317" t="s">
        <v>102</v>
      </c>
      <c r="E317">
        <v>1</v>
      </c>
      <c r="F317" s="68">
        <v>87</v>
      </c>
      <c r="G317" s="68">
        <v>68</v>
      </c>
      <c r="H317" s="68">
        <v>44</v>
      </c>
      <c r="I317" s="68">
        <v>0</v>
      </c>
      <c r="J317" s="68">
        <v>118</v>
      </c>
      <c r="K317" s="68">
        <v>86</v>
      </c>
      <c r="L317" s="68">
        <v>69</v>
      </c>
      <c r="M317" s="68">
        <v>53</v>
      </c>
      <c r="N317" s="68">
        <v>134</v>
      </c>
      <c r="O317" s="68">
        <v>112</v>
      </c>
      <c r="P317" s="68">
        <v>86</v>
      </c>
      <c r="Q317" s="68">
        <v>70</v>
      </c>
      <c r="R317" s="68">
        <v>155</v>
      </c>
      <c r="S317" s="68">
        <v>139</v>
      </c>
      <c r="T317" s="68"/>
      <c r="U317" s="68"/>
      <c r="V317" s="68"/>
      <c r="W317" s="68"/>
      <c r="X317" s="68"/>
      <c r="Y317" s="68"/>
      <c r="Z317" s="68"/>
      <c r="AA317" s="68"/>
      <c r="AB317" s="68"/>
      <c r="AC317" s="68"/>
      <c r="AD317" s="68"/>
      <c r="AE317" s="68"/>
      <c r="AF317" s="68"/>
      <c r="AG317" s="68"/>
      <c r="AH317" s="68"/>
      <c r="AI317" s="68"/>
      <c r="AJ317" s="68"/>
      <c r="AK317" s="65"/>
      <c r="AL317" s="65"/>
      <c r="AM317" s="65"/>
      <c r="AN317"/>
    </row>
    <row r="318" spans="1:40" ht="14.5" x14ac:dyDescent="0.35">
      <c r="A318" t="s">
        <v>30</v>
      </c>
      <c r="B318" t="s">
        <v>75</v>
      </c>
      <c r="C318" t="s">
        <v>30</v>
      </c>
      <c r="D318" t="s">
        <v>67</v>
      </c>
      <c r="F318" s="68"/>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c r="AD318" s="68"/>
      <c r="AE318" s="68"/>
      <c r="AF318" s="68"/>
      <c r="AG318" s="68"/>
      <c r="AH318" s="68"/>
      <c r="AI318" s="68"/>
      <c r="AJ318" s="68"/>
      <c r="AK318" s="65"/>
      <c r="AL318" s="65"/>
      <c r="AM318" s="65"/>
      <c r="AN318"/>
    </row>
    <row r="319" spans="1:40" ht="14.5" x14ac:dyDescent="0.35">
      <c r="A319" t="s">
        <v>31</v>
      </c>
      <c r="C319" t="s">
        <v>139</v>
      </c>
      <c r="D319" t="s">
        <v>138</v>
      </c>
      <c r="E319">
        <v>750</v>
      </c>
      <c r="F319" s="68">
        <v>7</v>
      </c>
      <c r="G319" s="68">
        <v>5</v>
      </c>
      <c r="H319" s="68">
        <v>5</v>
      </c>
      <c r="I319" s="68">
        <v>6</v>
      </c>
      <c r="J319" s="68">
        <v>4</v>
      </c>
      <c r="K319" s="68">
        <v>4</v>
      </c>
      <c r="L319" s="68">
        <v>4</v>
      </c>
      <c r="M319" s="68">
        <v>4</v>
      </c>
      <c r="N319" s="68">
        <v>4</v>
      </c>
      <c r="O319" s="68">
        <v>6</v>
      </c>
      <c r="P319" s="68">
        <v>3</v>
      </c>
      <c r="Q319" s="68">
        <v>3</v>
      </c>
      <c r="R319" s="68">
        <v>2</v>
      </c>
      <c r="S319" s="68">
        <v>4</v>
      </c>
      <c r="T319" s="68"/>
      <c r="U319" s="68"/>
      <c r="V319" s="68"/>
      <c r="W319" s="68"/>
      <c r="X319" s="68"/>
      <c r="Y319" s="68"/>
      <c r="Z319" s="68"/>
      <c r="AA319" s="68"/>
      <c r="AB319" s="68"/>
      <c r="AC319" s="68"/>
      <c r="AD319" s="68"/>
      <c r="AE319" s="68"/>
      <c r="AF319" s="68"/>
      <c r="AG319" s="68"/>
      <c r="AH319" s="68"/>
      <c r="AI319" s="68"/>
      <c r="AJ319" s="68"/>
      <c r="AK319" s="65"/>
      <c r="AL319" s="65"/>
      <c r="AM319" s="65"/>
      <c r="AN319"/>
    </row>
    <row r="320" spans="1:40" ht="14.5" x14ac:dyDescent="0.35">
      <c r="A320" t="s">
        <v>31</v>
      </c>
      <c r="C320" t="s">
        <v>140</v>
      </c>
      <c r="D320" t="s">
        <v>102</v>
      </c>
      <c r="E320">
        <v>15</v>
      </c>
      <c r="F320" s="68">
        <v>16</v>
      </c>
      <c r="G320" s="68">
        <v>78</v>
      </c>
      <c r="H320" s="68">
        <v>130</v>
      </c>
      <c r="I320" s="68">
        <v>34</v>
      </c>
      <c r="J320" s="68">
        <v>78</v>
      </c>
      <c r="K320" s="68">
        <v>62</v>
      </c>
      <c r="L320" s="68">
        <v>128</v>
      </c>
      <c r="M320" s="68">
        <v>60</v>
      </c>
      <c r="N320" s="68">
        <v>58</v>
      </c>
      <c r="O320" s="68">
        <v>64</v>
      </c>
      <c r="P320" s="68">
        <v>162</v>
      </c>
      <c r="Q320" s="68">
        <v>130</v>
      </c>
      <c r="R320" s="68">
        <v>150</v>
      </c>
      <c r="S320" s="68">
        <v>119</v>
      </c>
      <c r="T320" s="68"/>
      <c r="U320" s="68"/>
      <c r="V320" s="68"/>
      <c r="W320" s="68"/>
      <c r="X320" s="68"/>
      <c r="Y320" s="68"/>
      <c r="Z320" s="68"/>
      <c r="AA320" s="68"/>
      <c r="AB320" s="68"/>
      <c r="AC320" s="68"/>
      <c r="AD320" s="68"/>
      <c r="AE320" s="68"/>
      <c r="AF320" s="68"/>
      <c r="AG320" s="68"/>
      <c r="AH320" s="68"/>
      <c r="AI320" s="68"/>
      <c r="AJ320" s="68"/>
      <c r="AK320" s="65"/>
      <c r="AL320" s="65"/>
      <c r="AM320" s="65"/>
      <c r="AN320"/>
    </row>
    <row r="321" spans="1:40" ht="14.5" x14ac:dyDescent="0.35">
      <c r="A321" t="s">
        <v>31</v>
      </c>
      <c r="C321" t="s">
        <v>141</v>
      </c>
      <c r="D321" t="s">
        <v>29</v>
      </c>
      <c r="E321">
        <v>9.7719869706840382E-3</v>
      </c>
      <c r="F321" s="68">
        <v>0</v>
      </c>
      <c r="G321" s="68">
        <v>0</v>
      </c>
      <c r="H321" s="68">
        <v>0</v>
      </c>
      <c r="I321" s="68">
        <v>0</v>
      </c>
      <c r="J321" s="68">
        <v>0</v>
      </c>
      <c r="K321" s="68">
        <v>0</v>
      </c>
      <c r="L321" s="68">
        <v>0</v>
      </c>
      <c r="M321" s="68">
        <v>0</v>
      </c>
      <c r="N321" s="68">
        <v>0</v>
      </c>
      <c r="O321" s="68">
        <v>0</v>
      </c>
      <c r="P321" s="68">
        <v>0</v>
      </c>
      <c r="Q321" s="68">
        <v>0</v>
      </c>
      <c r="R321" s="68">
        <v>0</v>
      </c>
      <c r="S321" s="68">
        <v>0</v>
      </c>
      <c r="T321" s="68"/>
      <c r="U321" s="68"/>
      <c r="V321" s="68"/>
      <c r="W321" s="68"/>
      <c r="X321" s="68"/>
      <c r="Y321" s="68"/>
      <c r="Z321" s="68"/>
      <c r="AA321" s="68"/>
      <c r="AB321" s="68"/>
      <c r="AC321" s="68"/>
      <c r="AD321" s="68"/>
      <c r="AE321" s="68"/>
      <c r="AF321" s="68"/>
      <c r="AG321" s="68"/>
      <c r="AH321" s="68"/>
      <c r="AI321" s="68"/>
      <c r="AJ321" s="68"/>
      <c r="AK321" s="65"/>
      <c r="AL321" s="65"/>
      <c r="AM321" s="65"/>
      <c r="AN321"/>
    </row>
    <row r="322" spans="1:40" ht="14.5" x14ac:dyDescent="0.35">
      <c r="A322" t="s">
        <v>31</v>
      </c>
      <c r="C322" t="s">
        <v>142</v>
      </c>
      <c r="D322" t="s">
        <v>29</v>
      </c>
      <c r="E322">
        <v>5.0000000000000001E-3</v>
      </c>
      <c r="F322" s="68">
        <v>0</v>
      </c>
      <c r="G322" s="68">
        <v>0</v>
      </c>
      <c r="H322" s="68">
        <v>0</v>
      </c>
      <c r="I322" s="68">
        <v>0</v>
      </c>
      <c r="J322" s="68">
        <v>0</v>
      </c>
      <c r="K322" s="68">
        <v>0</v>
      </c>
      <c r="L322" s="68">
        <v>0</v>
      </c>
      <c r="M322" s="68">
        <v>0</v>
      </c>
      <c r="N322" s="68">
        <v>0</v>
      </c>
      <c r="O322" s="68">
        <v>0</v>
      </c>
      <c r="P322" s="68">
        <v>0</v>
      </c>
      <c r="Q322" s="68">
        <v>0</v>
      </c>
      <c r="R322" s="68">
        <v>0</v>
      </c>
      <c r="S322" s="68">
        <v>0</v>
      </c>
      <c r="T322" s="68"/>
      <c r="U322" s="68"/>
      <c r="V322" s="68"/>
      <c r="W322" s="68"/>
      <c r="X322" s="68"/>
      <c r="Y322" s="68"/>
      <c r="Z322" s="68"/>
      <c r="AA322" s="68"/>
      <c r="AB322" s="68"/>
      <c r="AC322" s="68"/>
      <c r="AD322" s="68"/>
      <c r="AE322" s="68"/>
      <c r="AF322" s="68"/>
      <c r="AG322" s="68"/>
      <c r="AH322" s="68"/>
      <c r="AI322" s="68"/>
      <c r="AJ322" s="68"/>
      <c r="AK322" s="65"/>
      <c r="AL322" s="65"/>
      <c r="AM322" s="65"/>
      <c r="AN322"/>
    </row>
    <row r="323" spans="1:40" ht="14.5" x14ac:dyDescent="0.35">
      <c r="A323" t="s">
        <v>31</v>
      </c>
      <c r="B323" t="s">
        <v>76</v>
      </c>
      <c r="C323" t="s">
        <v>31</v>
      </c>
      <c r="D323" t="s">
        <v>35</v>
      </c>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c r="AF323" s="68"/>
      <c r="AG323" s="68"/>
      <c r="AH323" s="68"/>
      <c r="AI323" s="68"/>
      <c r="AJ323" s="68"/>
      <c r="AK323" s="65"/>
      <c r="AL323" s="65"/>
      <c r="AM323" s="65"/>
      <c r="AN323"/>
    </row>
    <row r="324" spans="1:40" ht="14.5" x14ac:dyDescent="0.35">
      <c r="A324" t="s">
        <v>72</v>
      </c>
      <c r="C324" t="s">
        <v>163</v>
      </c>
      <c r="D324" t="s">
        <v>103</v>
      </c>
      <c r="E324">
        <v>7680</v>
      </c>
      <c r="F324" s="68">
        <v>9</v>
      </c>
      <c r="G324" s="68">
        <v>7</v>
      </c>
      <c r="H324" s="68">
        <v>11</v>
      </c>
      <c r="I324" s="68">
        <v>8</v>
      </c>
      <c r="J324" s="68">
        <v>7</v>
      </c>
      <c r="K324" s="68">
        <v>6</v>
      </c>
      <c r="L324" s="68">
        <v>9</v>
      </c>
      <c r="M324" s="68">
        <v>8</v>
      </c>
      <c r="N324" s="68">
        <v>6</v>
      </c>
      <c r="O324" s="68">
        <v>9</v>
      </c>
      <c r="P324" s="68">
        <v>6</v>
      </c>
      <c r="Q324" s="68">
        <v>6</v>
      </c>
      <c r="R324" s="68">
        <v>4</v>
      </c>
      <c r="S324" s="68">
        <v>9</v>
      </c>
      <c r="T324" s="68"/>
      <c r="U324" s="68"/>
      <c r="V324" s="68"/>
      <c r="W324" s="68"/>
      <c r="X324" s="68"/>
      <c r="Y324" s="68"/>
      <c r="Z324" s="68"/>
      <c r="AA324" s="68"/>
      <c r="AB324" s="68"/>
      <c r="AC324" s="68"/>
      <c r="AD324" s="68"/>
      <c r="AE324" s="68"/>
      <c r="AF324" s="68"/>
      <c r="AG324" s="68"/>
      <c r="AH324" s="68"/>
      <c r="AI324" s="68"/>
      <c r="AJ324" s="68"/>
      <c r="AK324" s="65"/>
      <c r="AL324" s="65"/>
      <c r="AM324" s="65"/>
      <c r="AN324"/>
    </row>
    <row r="325" spans="1:40" ht="14.5" x14ac:dyDescent="0.35">
      <c r="A325" t="s">
        <v>72</v>
      </c>
      <c r="C325" t="s">
        <v>164</v>
      </c>
      <c r="D325" t="s">
        <v>101</v>
      </c>
      <c r="E325">
        <v>640</v>
      </c>
      <c r="F325" s="68">
        <v>6</v>
      </c>
      <c r="G325" s="68">
        <v>13</v>
      </c>
      <c r="H325" s="68">
        <v>6</v>
      </c>
      <c r="I325" s="68">
        <v>12</v>
      </c>
      <c r="J325" s="68">
        <v>14</v>
      </c>
      <c r="K325" s="68">
        <v>10</v>
      </c>
      <c r="L325" s="68">
        <v>14</v>
      </c>
      <c r="M325" s="68">
        <v>11</v>
      </c>
      <c r="N325" s="68">
        <v>15</v>
      </c>
      <c r="O325" s="68">
        <v>5</v>
      </c>
      <c r="P325" s="68">
        <v>20</v>
      </c>
      <c r="Q325" s="68">
        <v>5</v>
      </c>
      <c r="R325" s="68">
        <v>13</v>
      </c>
      <c r="S325" s="68">
        <v>11</v>
      </c>
      <c r="T325" s="68"/>
      <c r="U325" s="68"/>
      <c r="V325" s="68"/>
      <c r="W325" s="68"/>
      <c r="X325" s="68"/>
      <c r="Y325" s="68"/>
      <c r="Z325" s="68"/>
      <c r="AA325" s="68"/>
      <c r="AB325" s="68"/>
      <c r="AC325" s="68"/>
      <c r="AD325" s="68"/>
      <c r="AE325" s="68"/>
      <c r="AF325" s="68"/>
      <c r="AG325" s="68"/>
      <c r="AH325" s="68"/>
      <c r="AI325" s="68"/>
      <c r="AJ325" s="68"/>
      <c r="AK325" s="65"/>
      <c r="AL325" s="65"/>
      <c r="AM325" s="65"/>
      <c r="AN325"/>
    </row>
    <row r="326" spans="1:40" ht="14.5" x14ac:dyDescent="0.35">
      <c r="A326" t="s">
        <v>72</v>
      </c>
      <c r="C326" t="s">
        <v>165</v>
      </c>
      <c r="D326" t="s">
        <v>29</v>
      </c>
      <c r="E326">
        <v>1</v>
      </c>
      <c r="F326" s="68">
        <v>557</v>
      </c>
      <c r="G326" s="68">
        <v>248</v>
      </c>
      <c r="H326" s="68">
        <v>76</v>
      </c>
      <c r="I326" s="68">
        <v>0</v>
      </c>
      <c r="J326" s="68">
        <v>248</v>
      </c>
      <c r="K326" s="68">
        <v>252</v>
      </c>
      <c r="L326" s="68">
        <v>439</v>
      </c>
      <c r="M326" s="68">
        <v>230</v>
      </c>
      <c r="N326" s="68">
        <v>336</v>
      </c>
      <c r="O326" s="68">
        <v>500</v>
      </c>
      <c r="P326" s="68">
        <v>175</v>
      </c>
      <c r="Q326" s="68">
        <v>222</v>
      </c>
      <c r="R326" s="68">
        <v>528</v>
      </c>
      <c r="S326" s="68">
        <v>374</v>
      </c>
      <c r="T326" s="68"/>
      <c r="U326" s="68"/>
      <c r="V326" s="68"/>
      <c r="W326" s="68"/>
      <c r="X326" s="68"/>
      <c r="Y326" s="68"/>
      <c r="Z326" s="68"/>
      <c r="AA326" s="68"/>
      <c r="AB326" s="68"/>
      <c r="AC326" s="68"/>
      <c r="AD326" s="68"/>
      <c r="AE326" s="68"/>
      <c r="AF326" s="68"/>
      <c r="AG326" s="68"/>
      <c r="AH326" s="68"/>
      <c r="AI326" s="68"/>
      <c r="AJ326" s="68"/>
      <c r="AK326" s="65"/>
      <c r="AL326" s="65"/>
      <c r="AM326" s="65"/>
      <c r="AN326"/>
    </row>
    <row r="327" spans="1:40" ht="14.5" x14ac:dyDescent="0.35">
      <c r="A327" t="s">
        <v>72</v>
      </c>
      <c r="C327" t="s">
        <v>166</v>
      </c>
      <c r="D327" t="s">
        <v>29</v>
      </c>
      <c r="E327">
        <v>0.15</v>
      </c>
      <c r="F327" s="68">
        <v>0</v>
      </c>
      <c r="G327" s="68">
        <v>0</v>
      </c>
      <c r="H327" s="68">
        <v>0</v>
      </c>
      <c r="I327" s="68">
        <v>0</v>
      </c>
      <c r="J327" s="68">
        <v>0</v>
      </c>
      <c r="K327" s="68">
        <v>0</v>
      </c>
      <c r="L327" s="68">
        <v>0</v>
      </c>
      <c r="M327" s="68">
        <v>0</v>
      </c>
      <c r="N327" s="68">
        <v>0</v>
      </c>
      <c r="O327" s="68">
        <v>0</v>
      </c>
      <c r="P327" s="68">
        <v>0</v>
      </c>
      <c r="Q327" s="68">
        <v>0</v>
      </c>
      <c r="R327" s="68">
        <v>0</v>
      </c>
      <c r="S327" s="68">
        <v>0</v>
      </c>
      <c r="T327" s="68"/>
      <c r="U327" s="68"/>
      <c r="V327" s="68"/>
      <c r="W327" s="68"/>
      <c r="X327" s="68"/>
      <c r="Y327" s="68"/>
      <c r="Z327" s="68"/>
      <c r="AA327" s="68"/>
      <c r="AB327" s="68"/>
      <c r="AC327" s="68"/>
      <c r="AD327" s="68"/>
      <c r="AE327" s="68"/>
      <c r="AF327" s="68"/>
      <c r="AG327" s="68"/>
      <c r="AH327" s="68"/>
      <c r="AI327" s="68"/>
      <c r="AJ327" s="68"/>
      <c r="AK327" s="65"/>
      <c r="AL327" s="65"/>
      <c r="AM327" s="65"/>
      <c r="AN327"/>
    </row>
    <row r="328" spans="1:40" ht="14.5" x14ac:dyDescent="0.35">
      <c r="A328" t="s">
        <v>72</v>
      </c>
      <c r="C328" t="s">
        <v>167</v>
      </c>
      <c r="D328" t="s">
        <v>29</v>
      </c>
      <c r="E328">
        <v>0.15</v>
      </c>
      <c r="F328" s="68">
        <v>0</v>
      </c>
      <c r="G328" s="68">
        <v>0</v>
      </c>
      <c r="H328" s="68">
        <v>0</v>
      </c>
      <c r="I328" s="68">
        <v>0</v>
      </c>
      <c r="J328" s="68">
        <v>0</v>
      </c>
      <c r="K328" s="68">
        <v>0</v>
      </c>
      <c r="L328" s="68">
        <v>0</v>
      </c>
      <c r="M328" s="68">
        <v>0</v>
      </c>
      <c r="N328" s="68">
        <v>0</v>
      </c>
      <c r="O328" s="68">
        <v>0</v>
      </c>
      <c r="P328" s="68">
        <v>0</v>
      </c>
      <c r="Q328" s="68">
        <v>0</v>
      </c>
      <c r="R328" s="68">
        <v>0</v>
      </c>
      <c r="S328" s="68">
        <v>0</v>
      </c>
      <c r="T328" s="68"/>
      <c r="U328" s="68"/>
      <c r="V328" s="68"/>
      <c r="W328" s="68"/>
      <c r="X328" s="68"/>
      <c r="Y328" s="68"/>
      <c r="Z328" s="68"/>
      <c r="AA328" s="68"/>
      <c r="AB328" s="68"/>
      <c r="AC328" s="68"/>
      <c r="AD328" s="68"/>
      <c r="AE328" s="68"/>
      <c r="AF328" s="68"/>
      <c r="AG328" s="68"/>
      <c r="AH328" s="68"/>
      <c r="AI328" s="68"/>
      <c r="AJ328" s="68"/>
      <c r="AK328" s="65"/>
      <c r="AL328" s="65"/>
      <c r="AM328" s="65"/>
      <c r="AN328"/>
    </row>
    <row r="329" spans="1:40" ht="14.5" x14ac:dyDescent="0.35">
      <c r="A329" t="s">
        <v>72</v>
      </c>
      <c r="B329" t="s">
        <v>71</v>
      </c>
      <c r="C329" t="s">
        <v>72</v>
      </c>
      <c r="D329" t="s">
        <v>35</v>
      </c>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68"/>
      <c r="AG329" s="68"/>
      <c r="AH329" s="68"/>
      <c r="AI329" s="68"/>
      <c r="AJ329" s="68"/>
      <c r="AK329" s="65"/>
      <c r="AL329" s="65"/>
      <c r="AM329" s="65"/>
      <c r="AN329"/>
    </row>
    <row r="330" spans="1:40" ht="14.5" x14ac:dyDescent="0.35">
      <c r="A330" t="s">
        <v>542</v>
      </c>
      <c r="C330" t="s">
        <v>547</v>
      </c>
      <c r="D330" t="s">
        <v>103</v>
      </c>
      <c r="E330">
        <v>8000</v>
      </c>
      <c r="F330">
        <v>5</v>
      </c>
      <c r="G330" s="68">
        <v>4</v>
      </c>
      <c r="H330" s="68">
        <v>6</v>
      </c>
      <c r="I330" s="68">
        <v>4</v>
      </c>
      <c r="J330" s="68">
        <v>4</v>
      </c>
      <c r="K330" s="68">
        <v>3</v>
      </c>
      <c r="L330" s="68">
        <v>4</v>
      </c>
      <c r="M330" s="68">
        <v>4</v>
      </c>
      <c r="N330" s="68">
        <v>3</v>
      </c>
      <c r="O330" s="68">
        <v>6</v>
      </c>
      <c r="P330" s="68">
        <v>5</v>
      </c>
      <c r="Q330" s="68">
        <v>4</v>
      </c>
      <c r="R330" s="68">
        <v>3</v>
      </c>
      <c r="S330" s="68">
        <v>5</v>
      </c>
      <c r="T330" s="68"/>
      <c r="U330" s="68"/>
      <c r="V330" s="68"/>
      <c r="W330" s="68"/>
      <c r="X330" s="68"/>
      <c r="Y330" s="68"/>
      <c r="Z330" s="68"/>
      <c r="AA330" s="68"/>
      <c r="AB330" s="68"/>
      <c r="AC330" s="68"/>
      <c r="AD330" s="68"/>
      <c r="AE330" s="68"/>
      <c r="AF330" s="68"/>
      <c r="AG330" s="68"/>
      <c r="AH330" s="68"/>
      <c r="AI330" s="68"/>
      <c r="AJ330" s="68"/>
      <c r="AK330" s="65"/>
      <c r="AL330" s="65"/>
      <c r="AM330" s="65"/>
      <c r="AN330"/>
    </row>
    <row r="331" spans="1:40" ht="14.5" x14ac:dyDescent="0.35">
      <c r="A331" t="s">
        <v>542</v>
      </c>
      <c r="C331" t="s">
        <v>1125</v>
      </c>
      <c r="D331" t="s">
        <v>101</v>
      </c>
      <c r="E331">
        <v>800</v>
      </c>
      <c r="F331">
        <v>0</v>
      </c>
      <c r="G331" s="68">
        <v>0</v>
      </c>
      <c r="H331" s="68">
        <v>0</v>
      </c>
      <c r="I331" s="68">
        <v>0</v>
      </c>
      <c r="J331" s="68">
        <v>0</v>
      </c>
      <c r="K331" s="68">
        <v>0</v>
      </c>
      <c r="L331" s="68">
        <v>0</v>
      </c>
      <c r="M331" s="68">
        <v>0</v>
      </c>
      <c r="N331" s="68">
        <v>0</v>
      </c>
      <c r="O331" s="68">
        <v>0</v>
      </c>
      <c r="P331" s="68">
        <v>0</v>
      </c>
      <c r="Q331" s="68">
        <v>0</v>
      </c>
      <c r="R331" s="68">
        <v>0</v>
      </c>
      <c r="S331" s="68">
        <v>0</v>
      </c>
      <c r="T331" s="68"/>
      <c r="U331" s="68"/>
      <c r="V331" s="68"/>
      <c r="W331" s="68"/>
      <c r="X331" s="68"/>
      <c r="Y331" s="68"/>
      <c r="Z331" s="68"/>
      <c r="AA331" s="68"/>
      <c r="AB331" s="68"/>
      <c r="AC331" s="68"/>
      <c r="AD331" s="68"/>
      <c r="AE331" s="68"/>
      <c r="AF331" s="68"/>
      <c r="AG331" s="68"/>
      <c r="AH331" s="68"/>
      <c r="AI331" s="68"/>
      <c r="AJ331" s="68"/>
      <c r="AK331" s="65"/>
      <c r="AL331" s="65"/>
      <c r="AM331" s="65"/>
      <c r="AN331"/>
    </row>
    <row r="332" spans="1:40" ht="14.5" x14ac:dyDescent="0.35">
      <c r="A332" t="s">
        <v>542</v>
      </c>
      <c r="C332" t="s">
        <v>559</v>
      </c>
      <c r="D332" t="s">
        <v>102</v>
      </c>
      <c r="E332">
        <v>10</v>
      </c>
      <c r="F332">
        <v>526</v>
      </c>
      <c r="G332" s="68">
        <v>573</v>
      </c>
      <c r="H332" s="68">
        <v>528</v>
      </c>
      <c r="I332" s="68">
        <v>0</v>
      </c>
      <c r="J332" s="68">
        <v>679</v>
      </c>
      <c r="K332" s="68">
        <v>732</v>
      </c>
      <c r="L332" s="68">
        <v>996</v>
      </c>
      <c r="M332" s="68">
        <v>253</v>
      </c>
      <c r="N332" s="68">
        <v>348</v>
      </c>
      <c r="O332" s="68">
        <v>382</v>
      </c>
      <c r="P332" s="68">
        <v>304</v>
      </c>
      <c r="Q332" s="68">
        <v>435</v>
      </c>
      <c r="R332" s="68">
        <v>722</v>
      </c>
      <c r="S332" s="68">
        <v>83</v>
      </c>
      <c r="T332" s="68"/>
      <c r="U332" s="68"/>
      <c r="V332" s="68"/>
      <c r="W332" s="68"/>
      <c r="X332" s="68"/>
      <c r="Y332" s="68"/>
      <c r="Z332" s="68"/>
      <c r="AA332" s="68"/>
      <c r="AB332" s="68"/>
      <c r="AC332" s="68"/>
      <c r="AD332" s="68"/>
      <c r="AE332" s="68"/>
      <c r="AF332" s="68"/>
      <c r="AG332" s="68"/>
      <c r="AH332" s="68"/>
      <c r="AI332" s="68"/>
      <c r="AJ332" s="68"/>
      <c r="AK332" s="65"/>
      <c r="AL332" s="65"/>
      <c r="AM332" s="65"/>
      <c r="AN332"/>
    </row>
    <row r="333" spans="1:40" ht="14.5" x14ac:dyDescent="0.35">
      <c r="A333" t="s">
        <v>542</v>
      </c>
      <c r="B333" t="s">
        <v>546</v>
      </c>
      <c r="C333" t="s">
        <v>542</v>
      </c>
      <c r="D333" t="s">
        <v>35</v>
      </c>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c r="AF333" s="68"/>
      <c r="AG333" s="68"/>
      <c r="AH333" s="68"/>
      <c r="AI333" s="68"/>
      <c r="AJ333" s="68"/>
      <c r="AK333" s="65"/>
      <c r="AL333" s="65"/>
      <c r="AM333" s="65"/>
      <c r="AN333"/>
    </row>
    <row r="334" spans="1:40" ht="14.5" x14ac:dyDescent="0.35">
      <c r="A334" t="s">
        <v>32</v>
      </c>
      <c r="C334" t="s">
        <v>577</v>
      </c>
      <c r="D334" t="s">
        <v>568</v>
      </c>
      <c r="E334">
        <v>1</v>
      </c>
      <c r="F334">
        <v>260</v>
      </c>
      <c r="G334" s="68">
        <v>254</v>
      </c>
      <c r="H334" s="68">
        <v>244</v>
      </c>
      <c r="I334" s="68">
        <v>234</v>
      </c>
      <c r="J334" s="68">
        <v>229</v>
      </c>
      <c r="K334" s="68">
        <v>218</v>
      </c>
      <c r="L334" s="68">
        <v>204</v>
      </c>
      <c r="M334" s="68">
        <v>214</v>
      </c>
      <c r="N334" s="68">
        <v>196</v>
      </c>
      <c r="O334" s="68">
        <v>194</v>
      </c>
      <c r="P334" s="68">
        <v>159</v>
      </c>
      <c r="Q334" s="68">
        <v>159</v>
      </c>
      <c r="R334" s="68">
        <v>129</v>
      </c>
      <c r="S334" s="68">
        <v>139</v>
      </c>
      <c r="T334" s="68"/>
      <c r="U334" s="68"/>
      <c r="V334" s="68"/>
      <c r="W334" s="68"/>
      <c r="X334" s="68"/>
      <c r="Y334" s="68"/>
      <c r="Z334" s="68"/>
      <c r="AA334" s="68"/>
      <c r="AB334" s="68"/>
      <c r="AC334" s="68"/>
      <c r="AD334" s="68"/>
      <c r="AE334" s="68"/>
      <c r="AF334" s="68"/>
      <c r="AG334" s="68"/>
      <c r="AH334" s="68"/>
      <c r="AI334" s="68"/>
      <c r="AJ334" s="68"/>
      <c r="AK334" s="65"/>
      <c r="AL334" s="65"/>
      <c r="AM334" s="65"/>
      <c r="AN334"/>
    </row>
    <row r="335" spans="1:40" ht="14.5" x14ac:dyDescent="0.35">
      <c r="A335" t="s">
        <v>32</v>
      </c>
      <c r="B335" t="s">
        <v>578</v>
      </c>
      <c r="C335" t="s">
        <v>32</v>
      </c>
      <c r="D335" t="s">
        <v>67</v>
      </c>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c r="AF335" s="68"/>
      <c r="AG335" s="68"/>
      <c r="AH335" s="68"/>
      <c r="AI335" s="68"/>
      <c r="AJ335" s="68"/>
      <c r="AK335" s="65"/>
      <c r="AL335" s="65"/>
      <c r="AM335" s="65"/>
      <c r="AN335" s="65"/>
    </row>
    <row r="336" spans="1:40" ht="14.5" x14ac:dyDescent="0.35">
      <c r="A336" t="s">
        <v>33</v>
      </c>
      <c r="C336" t="s">
        <v>575</v>
      </c>
      <c r="D336" t="s">
        <v>568</v>
      </c>
      <c r="E336">
        <v>1</v>
      </c>
      <c r="F336">
        <v>250</v>
      </c>
      <c r="G336" s="68">
        <v>234</v>
      </c>
      <c r="H336" s="68">
        <v>216</v>
      </c>
      <c r="I336" s="68">
        <v>196</v>
      </c>
      <c r="J336" s="68">
        <v>180</v>
      </c>
      <c r="K336" s="68">
        <v>164</v>
      </c>
      <c r="L336" s="68">
        <v>305</v>
      </c>
      <c r="M336" s="68">
        <v>289</v>
      </c>
      <c r="N336" s="68">
        <v>283</v>
      </c>
      <c r="O336" s="68">
        <v>267</v>
      </c>
      <c r="P336" s="68">
        <v>244</v>
      </c>
      <c r="Q336" s="68">
        <v>231</v>
      </c>
      <c r="R336" s="68">
        <v>193</v>
      </c>
      <c r="S336" s="68">
        <v>298</v>
      </c>
      <c r="T336" s="68"/>
      <c r="U336" s="68"/>
      <c r="V336" s="68"/>
      <c r="W336" s="68"/>
      <c r="X336" s="68"/>
      <c r="Y336" s="68"/>
      <c r="Z336" s="68"/>
      <c r="AA336" s="68"/>
      <c r="AB336" s="68"/>
      <c r="AC336" s="68"/>
      <c r="AD336" s="68"/>
      <c r="AE336" s="68"/>
      <c r="AF336" s="68"/>
      <c r="AG336" s="68"/>
      <c r="AH336" s="68"/>
      <c r="AI336" s="68"/>
      <c r="AJ336" s="68"/>
      <c r="AK336" s="65"/>
      <c r="AL336" s="65"/>
      <c r="AM336" s="65"/>
      <c r="AN336" s="65"/>
    </row>
    <row r="337" spans="1:40" ht="14.5" x14ac:dyDescent="0.35">
      <c r="A337" t="s">
        <v>33</v>
      </c>
      <c r="B337" t="s">
        <v>576</v>
      </c>
      <c r="C337" t="s">
        <v>33</v>
      </c>
      <c r="D337" t="s">
        <v>67</v>
      </c>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68"/>
      <c r="AG337" s="68"/>
      <c r="AH337" s="68"/>
      <c r="AI337" s="68"/>
      <c r="AJ337" s="68"/>
      <c r="AK337" s="65"/>
      <c r="AL337" s="65"/>
      <c r="AM337" s="65"/>
      <c r="AN337" s="65"/>
    </row>
    <row r="338" spans="1:40" ht="14.5" x14ac:dyDescent="0.35">
      <c r="A338" t="s">
        <v>555</v>
      </c>
      <c r="C338" t="s">
        <v>1041</v>
      </c>
      <c r="D338" t="s">
        <v>102</v>
      </c>
      <c r="E338">
        <v>324</v>
      </c>
      <c r="G338" s="68">
        <v>0</v>
      </c>
      <c r="H338" s="68">
        <v>0</v>
      </c>
      <c r="I338" s="68">
        <v>0</v>
      </c>
      <c r="J338" s="68">
        <v>0</v>
      </c>
      <c r="K338" s="68">
        <v>0</v>
      </c>
      <c r="L338" s="68">
        <v>0</v>
      </c>
      <c r="M338" s="68">
        <v>0</v>
      </c>
      <c r="N338" s="68">
        <v>0</v>
      </c>
      <c r="O338" s="68">
        <v>0</v>
      </c>
      <c r="P338" s="68">
        <v>0</v>
      </c>
      <c r="Q338" s="68">
        <v>0</v>
      </c>
      <c r="R338" s="68">
        <v>0</v>
      </c>
      <c r="S338" s="68">
        <v>0</v>
      </c>
      <c r="T338" s="68"/>
      <c r="U338" s="68"/>
      <c r="V338" s="68"/>
      <c r="W338" s="68"/>
      <c r="X338" s="68"/>
      <c r="Y338" s="68"/>
      <c r="Z338" s="68"/>
      <c r="AA338" s="68"/>
      <c r="AB338" s="68"/>
      <c r="AC338" s="68"/>
      <c r="AD338" s="68"/>
      <c r="AE338" s="68"/>
      <c r="AF338" s="68"/>
      <c r="AG338" s="68"/>
      <c r="AH338" s="68"/>
      <c r="AI338" s="68"/>
      <c r="AJ338" s="68"/>
      <c r="AK338" s="65"/>
      <c r="AL338" s="65"/>
      <c r="AM338" s="65"/>
      <c r="AN338" s="65"/>
    </row>
    <row r="339" spans="1:40" ht="14.5" x14ac:dyDescent="0.35">
      <c r="A339" t="s">
        <v>555</v>
      </c>
      <c r="C339" t="s">
        <v>561</v>
      </c>
      <c r="D339" t="s">
        <v>102</v>
      </c>
      <c r="E339">
        <v>27</v>
      </c>
      <c r="G339" s="68"/>
      <c r="H339" s="68">
        <v>0</v>
      </c>
      <c r="I339" s="68">
        <v>0</v>
      </c>
      <c r="J339" s="68">
        <v>0</v>
      </c>
      <c r="K339" s="68">
        <v>0</v>
      </c>
      <c r="L339" s="68">
        <v>0</v>
      </c>
      <c r="M339" s="68">
        <v>0</v>
      </c>
      <c r="N339" s="68">
        <v>0</v>
      </c>
      <c r="O339" s="68">
        <v>0</v>
      </c>
      <c r="P339" s="68">
        <v>0</v>
      </c>
      <c r="Q339" s="68">
        <v>13</v>
      </c>
      <c r="R339" s="68">
        <v>17</v>
      </c>
      <c r="S339" s="68">
        <v>14</v>
      </c>
      <c r="T339" s="68"/>
      <c r="U339" s="68"/>
      <c r="V339" s="68"/>
      <c r="W339" s="68"/>
      <c r="X339" s="68"/>
      <c r="Y339" s="68"/>
      <c r="Z339" s="68"/>
      <c r="AA339" s="68"/>
      <c r="AB339" s="68"/>
      <c r="AC339" s="68"/>
      <c r="AD339" s="68"/>
      <c r="AE339" s="68"/>
      <c r="AF339" s="68"/>
      <c r="AG339" s="68"/>
      <c r="AH339" s="68"/>
      <c r="AI339" s="68"/>
      <c r="AJ339" s="68"/>
      <c r="AK339" s="65"/>
      <c r="AL339" s="65"/>
      <c r="AM339" s="65"/>
      <c r="AN339" s="65"/>
    </row>
    <row r="340" spans="1:40" ht="14.5" x14ac:dyDescent="0.35">
      <c r="A340" t="s">
        <v>555</v>
      </c>
      <c r="C340" t="s">
        <v>562</v>
      </c>
      <c r="D340" t="s">
        <v>102</v>
      </c>
      <c r="E340">
        <v>1</v>
      </c>
      <c r="G340" s="68">
        <v>0</v>
      </c>
      <c r="H340" s="68">
        <v>0</v>
      </c>
      <c r="I340" s="68">
        <v>0</v>
      </c>
      <c r="J340" s="68">
        <v>0</v>
      </c>
      <c r="K340" s="68">
        <v>0</v>
      </c>
      <c r="L340" s="68">
        <v>0</v>
      </c>
      <c r="M340" s="68">
        <v>0</v>
      </c>
      <c r="N340" s="68">
        <v>0</v>
      </c>
      <c r="O340" s="68">
        <v>0</v>
      </c>
      <c r="P340" s="68">
        <v>0</v>
      </c>
      <c r="Q340" s="68">
        <v>0</v>
      </c>
      <c r="R340" s="68">
        <v>0</v>
      </c>
      <c r="S340" s="68">
        <v>0</v>
      </c>
      <c r="T340" s="68"/>
      <c r="U340" s="68"/>
      <c r="V340" s="68"/>
      <c r="W340" s="68"/>
      <c r="X340" s="68"/>
      <c r="Y340" s="68"/>
      <c r="Z340" s="68"/>
      <c r="AA340" s="68"/>
      <c r="AB340" s="68"/>
      <c r="AC340" s="68"/>
      <c r="AD340" s="68"/>
      <c r="AE340" s="68"/>
      <c r="AF340" s="68"/>
      <c r="AG340" s="68"/>
      <c r="AH340" s="68"/>
      <c r="AI340" s="68"/>
      <c r="AJ340" s="68"/>
      <c r="AK340" s="65"/>
      <c r="AL340" s="65"/>
      <c r="AM340" s="65"/>
      <c r="AN340" s="65"/>
    </row>
    <row r="341" spans="1:40" ht="14.5" x14ac:dyDescent="0.35">
      <c r="A341" t="s">
        <v>555</v>
      </c>
      <c r="B341" t="s">
        <v>563</v>
      </c>
      <c r="C341" t="s">
        <v>555</v>
      </c>
      <c r="D341" t="s">
        <v>67</v>
      </c>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c r="AF341" s="68"/>
      <c r="AG341" s="68"/>
      <c r="AH341" s="68"/>
      <c r="AI341" s="68"/>
      <c r="AJ341" s="68"/>
      <c r="AK341" s="65"/>
      <c r="AL341" s="65"/>
      <c r="AM341" s="65"/>
      <c r="AN341" s="65"/>
    </row>
    <row r="342" spans="1:40" ht="14.5" x14ac:dyDescent="0.35">
      <c r="A342" t="s">
        <v>34</v>
      </c>
      <c r="C342" t="s">
        <v>1042</v>
      </c>
      <c r="D342" t="s">
        <v>103</v>
      </c>
      <c r="E342">
        <v>10000</v>
      </c>
      <c r="F342">
        <v>66</v>
      </c>
      <c r="G342" s="68">
        <v>55</v>
      </c>
      <c r="H342" s="68">
        <v>78</v>
      </c>
      <c r="I342" s="68">
        <v>66</v>
      </c>
      <c r="J342" s="68">
        <v>57</v>
      </c>
      <c r="K342" s="68">
        <v>52</v>
      </c>
      <c r="L342" s="68">
        <v>68</v>
      </c>
      <c r="M342" s="68">
        <v>56</v>
      </c>
      <c r="N342" s="68">
        <v>50</v>
      </c>
      <c r="O342" s="68">
        <v>75</v>
      </c>
      <c r="P342" s="68">
        <v>61</v>
      </c>
      <c r="Q342" s="68">
        <v>51</v>
      </c>
      <c r="R342" s="68">
        <v>43</v>
      </c>
      <c r="S342" s="68">
        <v>60</v>
      </c>
      <c r="T342" s="68"/>
      <c r="U342" s="68"/>
      <c r="V342" s="68"/>
      <c r="W342" s="68"/>
      <c r="X342" s="68"/>
      <c r="Y342" s="68"/>
      <c r="Z342" s="68"/>
      <c r="AA342" s="68"/>
      <c r="AB342" s="68"/>
      <c r="AC342" s="68"/>
      <c r="AD342" s="68"/>
      <c r="AE342" s="68"/>
      <c r="AF342" s="68"/>
      <c r="AG342" s="68"/>
      <c r="AH342" s="68"/>
      <c r="AI342" s="68"/>
      <c r="AJ342" s="68"/>
      <c r="AK342" s="65"/>
      <c r="AL342" s="65"/>
      <c r="AM342" s="65"/>
      <c r="AN342" s="65"/>
    </row>
    <row r="343" spans="1:40" ht="14.5" x14ac:dyDescent="0.35">
      <c r="A343" t="s">
        <v>34</v>
      </c>
      <c r="C343" t="s">
        <v>1065</v>
      </c>
      <c r="D343" t="s">
        <v>101</v>
      </c>
      <c r="E343">
        <v>1000</v>
      </c>
      <c r="G343" s="68"/>
      <c r="H343" s="68">
        <v>0</v>
      </c>
      <c r="I343" s="68">
        <v>0</v>
      </c>
      <c r="J343" s="68">
        <v>0</v>
      </c>
      <c r="K343" s="68">
        <v>0</v>
      </c>
      <c r="L343" s="68">
        <v>0</v>
      </c>
      <c r="M343" s="68">
        <v>0</v>
      </c>
      <c r="N343" s="68">
        <v>0</v>
      </c>
      <c r="O343" s="68"/>
      <c r="P343" s="68">
        <v>5</v>
      </c>
      <c r="Q343" s="68">
        <v>2</v>
      </c>
      <c r="R343" s="68">
        <v>1</v>
      </c>
      <c r="S343" s="68">
        <v>4</v>
      </c>
      <c r="T343" s="68"/>
      <c r="U343" s="68"/>
      <c r="V343" s="68"/>
      <c r="W343" s="68"/>
      <c r="X343" s="68"/>
      <c r="Y343" s="68"/>
      <c r="Z343" s="68"/>
      <c r="AA343" s="68"/>
      <c r="AB343" s="68"/>
      <c r="AC343" s="68"/>
      <c r="AD343" s="68"/>
      <c r="AE343" s="68"/>
      <c r="AF343" s="68"/>
      <c r="AG343" s="68"/>
      <c r="AH343" s="68"/>
      <c r="AI343" s="68"/>
      <c r="AJ343" s="68"/>
      <c r="AK343" s="65"/>
      <c r="AL343" s="65"/>
      <c r="AM343" s="65"/>
      <c r="AN343" s="65"/>
    </row>
    <row r="344" spans="1:40" ht="14.5" x14ac:dyDescent="0.35">
      <c r="A344" t="s">
        <v>34</v>
      </c>
      <c r="C344" t="s">
        <v>639</v>
      </c>
      <c r="D344" t="s">
        <v>29</v>
      </c>
      <c r="E344">
        <v>0.93023255813953487</v>
      </c>
      <c r="F344">
        <v>4580</v>
      </c>
      <c r="G344">
        <v>4364</v>
      </c>
      <c r="H344">
        <v>3668</v>
      </c>
      <c r="I344">
        <v>0</v>
      </c>
      <c r="J344" s="65">
        <v>0</v>
      </c>
      <c r="K344" s="65">
        <v>0</v>
      </c>
      <c r="L344" s="65">
        <v>0</v>
      </c>
      <c r="M344" s="65">
        <v>3818</v>
      </c>
      <c r="N344" s="65">
        <v>5508</v>
      </c>
      <c r="O344" s="65">
        <v>0</v>
      </c>
      <c r="P344" s="65">
        <f>10460+9915</f>
        <v>20375</v>
      </c>
      <c r="Q344" s="65">
        <v>0</v>
      </c>
      <c r="R344" s="65">
        <v>4629</v>
      </c>
      <c r="S344" s="65">
        <v>1820</v>
      </c>
      <c r="T344" s="65"/>
      <c r="U344" s="65"/>
      <c r="V344" s="65"/>
      <c r="W344" s="65"/>
      <c r="X344" s="65"/>
      <c r="Y344" s="65"/>
      <c r="Z344" s="65"/>
      <c r="AA344" s="65"/>
      <c r="AB344" s="65"/>
      <c r="AC344" s="65"/>
      <c r="AD344" s="65"/>
      <c r="AE344" s="65"/>
      <c r="AF344" s="65"/>
      <c r="AG344" s="65"/>
      <c r="AH344" s="65"/>
      <c r="AI344" s="65"/>
      <c r="AJ344" s="65"/>
      <c r="AK344" s="65"/>
      <c r="AL344" s="65"/>
      <c r="AM344" s="65"/>
      <c r="AN344" s="65"/>
    </row>
    <row r="345" spans="1:40" ht="14.5" x14ac:dyDescent="0.35">
      <c r="A345" t="s">
        <v>34</v>
      </c>
      <c r="B345" t="s">
        <v>96</v>
      </c>
      <c r="C345" t="s">
        <v>34</v>
      </c>
      <c r="D345" t="s">
        <v>68</v>
      </c>
      <c r="J345" s="65"/>
      <c r="K345" s="65"/>
      <c r="L345" s="65"/>
      <c r="M345" s="65"/>
      <c r="N345" s="65"/>
      <c r="O345" s="65"/>
      <c r="P345" s="65"/>
      <c r="Q345" s="65"/>
      <c r="R345" s="65"/>
      <c r="S345" s="65"/>
      <c r="T345" s="65"/>
      <c r="U345" s="65"/>
      <c r="V345" s="65"/>
      <c r="W345" s="65"/>
      <c r="X345" s="65"/>
      <c r="Y345" s="65"/>
      <c r="Z345" s="65"/>
      <c r="AA345" s="65"/>
      <c r="AB345" s="65"/>
      <c r="AC345" s="65"/>
      <c r="AD345" s="65"/>
      <c r="AE345" s="65"/>
      <c r="AF345" s="65"/>
      <c r="AG345" s="65"/>
      <c r="AH345" s="65"/>
      <c r="AI345" s="65"/>
      <c r="AJ345" s="65"/>
      <c r="AK345" s="65"/>
      <c r="AL345" s="65"/>
      <c r="AM345" s="65"/>
      <c r="AN345" s="65"/>
    </row>
    <row r="346" spans="1:40" ht="14.5" x14ac:dyDescent="0.35">
      <c r="J346" s="65"/>
      <c r="K346" s="65"/>
      <c r="L346" s="65"/>
      <c r="M346" s="65"/>
      <c r="N346" s="65"/>
      <c r="O346" s="65"/>
      <c r="P346" s="65"/>
      <c r="Q346" s="65"/>
      <c r="R346" s="65"/>
      <c r="S346" s="65"/>
      <c r="T346" s="65"/>
      <c r="U346" s="65"/>
      <c r="V346" s="65"/>
      <c r="W346" s="65"/>
      <c r="X346" s="65"/>
      <c r="Y346" s="65"/>
      <c r="Z346" s="65"/>
      <c r="AA346" s="65"/>
      <c r="AB346" s="65"/>
      <c r="AC346" s="65"/>
      <c r="AD346" s="65"/>
      <c r="AE346" s="65"/>
      <c r="AF346" s="65"/>
      <c r="AG346" s="65"/>
      <c r="AH346" s="65"/>
      <c r="AI346" s="65"/>
      <c r="AJ346" s="65"/>
      <c r="AK346" s="65"/>
      <c r="AL346" s="65"/>
      <c r="AM346" s="65"/>
      <c r="AN346" s="65"/>
    </row>
    <row r="347" spans="1:40" ht="14.5" x14ac:dyDescent="0.35">
      <c r="J347" s="65"/>
      <c r="K347" s="65"/>
      <c r="L347" s="65"/>
      <c r="M347" s="65"/>
      <c r="N347" s="65"/>
      <c r="O347" s="65"/>
      <c r="P347" s="65"/>
      <c r="Q347" s="65"/>
      <c r="R347" s="65"/>
      <c r="S347" s="65"/>
      <c r="T347" s="65"/>
      <c r="U347" s="65"/>
      <c r="V347" s="65"/>
      <c r="W347" s="65"/>
      <c r="X347" s="65"/>
      <c r="Y347" s="65"/>
      <c r="Z347" s="65"/>
      <c r="AA347" s="65"/>
      <c r="AB347" s="65"/>
      <c r="AC347" s="65"/>
      <c r="AD347" s="65"/>
      <c r="AE347" s="65"/>
      <c r="AF347" s="65"/>
      <c r="AG347" s="65"/>
      <c r="AH347" s="65"/>
      <c r="AI347" s="65"/>
      <c r="AJ347" s="65"/>
      <c r="AK347" s="65"/>
      <c r="AL347" s="65"/>
      <c r="AM347" s="65"/>
      <c r="AN347" s="65"/>
    </row>
    <row r="348" spans="1:40" ht="14.5" x14ac:dyDescent="0.35">
      <c r="J348" s="65"/>
      <c r="K348" s="65"/>
      <c r="L348" s="65"/>
      <c r="M348" s="65"/>
      <c r="N348" s="65"/>
      <c r="O348" s="65"/>
      <c r="P348" s="65"/>
      <c r="Q348" s="65"/>
      <c r="R348" s="65"/>
      <c r="S348" s="65"/>
      <c r="T348" s="65"/>
      <c r="U348" s="65"/>
      <c r="V348" s="65"/>
      <c r="W348" s="65"/>
      <c r="X348" s="65"/>
      <c r="Y348" s="65"/>
      <c r="Z348" s="65"/>
      <c r="AA348" s="65"/>
      <c r="AB348" s="65"/>
      <c r="AC348" s="65"/>
      <c r="AD348" s="65"/>
      <c r="AE348" s="65"/>
      <c r="AF348" s="65"/>
      <c r="AG348" s="65"/>
      <c r="AH348" s="65"/>
      <c r="AI348" s="65"/>
      <c r="AJ348" s="65"/>
      <c r="AK348" s="65"/>
      <c r="AL348" s="65"/>
      <c r="AM348" s="65"/>
      <c r="AN348" s="65"/>
    </row>
    <row r="349" spans="1:40" ht="14.5" x14ac:dyDescent="0.35">
      <c r="J349" s="65"/>
      <c r="K349" s="65"/>
      <c r="L349" s="65"/>
      <c r="M349" s="65"/>
      <c r="N349" s="65"/>
      <c r="O349" s="65"/>
      <c r="P349" s="65"/>
      <c r="Q349" s="65"/>
      <c r="R349" s="65"/>
      <c r="S349" s="65"/>
      <c r="T349" s="65"/>
      <c r="U349" s="65"/>
      <c r="V349" s="65"/>
      <c r="W349" s="65"/>
      <c r="X349" s="65"/>
      <c r="Y349" s="65"/>
      <c r="Z349" s="65"/>
      <c r="AA349" s="65"/>
      <c r="AB349" s="65"/>
      <c r="AC349" s="65"/>
      <c r="AD349" s="65"/>
      <c r="AE349" s="65"/>
      <c r="AF349" s="65"/>
      <c r="AG349" s="65"/>
      <c r="AH349" s="65"/>
      <c r="AI349" s="65"/>
      <c r="AJ349" s="65"/>
      <c r="AK349" s="65"/>
      <c r="AL349" s="65"/>
      <c r="AM349" s="65"/>
      <c r="AN349" s="65"/>
    </row>
    <row r="350" spans="1:40" ht="14.5" x14ac:dyDescent="0.35">
      <c r="J350" s="65"/>
      <c r="K350" s="65"/>
      <c r="L350" s="65"/>
      <c r="M350" s="65"/>
      <c r="N350" s="65"/>
      <c r="O350" s="65"/>
      <c r="P350" s="65"/>
      <c r="Q350" s="65"/>
      <c r="R350" s="65"/>
      <c r="S350" s="65"/>
      <c r="T350" s="65"/>
      <c r="U350" s="65"/>
      <c r="V350" s="65"/>
      <c r="W350" s="65"/>
      <c r="X350" s="65"/>
      <c r="Y350" s="65"/>
      <c r="Z350" s="65"/>
      <c r="AA350" s="65"/>
      <c r="AB350" s="65"/>
      <c r="AC350" s="65"/>
      <c r="AD350" s="65"/>
      <c r="AE350" s="65"/>
      <c r="AF350" s="65"/>
      <c r="AG350" s="65"/>
      <c r="AH350" s="65"/>
      <c r="AI350" s="65"/>
      <c r="AJ350" s="65"/>
      <c r="AK350" s="65"/>
      <c r="AL350" s="65"/>
      <c r="AM350" s="65"/>
      <c r="AN350" s="65"/>
    </row>
    <row r="351" spans="1:40" ht="14.5" x14ac:dyDescent="0.35">
      <c r="J351" s="65"/>
      <c r="K351" s="65"/>
      <c r="L351" s="65"/>
      <c r="M351" s="65"/>
      <c r="N351" s="65"/>
      <c r="O351" s="65"/>
      <c r="P351" s="65"/>
      <c r="Q351" s="65"/>
      <c r="R351" s="65"/>
      <c r="S351" s="65"/>
      <c r="T351" s="65"/>
      <c r="U351" s="65"/>
      <c r="V351" s="65"/>
      <c r="W351" s="65"/>
      <c r="X351" s="65"/>
      <c r="Y351" s="65"/>
      <c r="Z351" s="65"/>
      <c r="AA351" s="65"/>
      <c r="AB351" s="65"/>
      <c r="AC351" s="65"/>
      <c r="AD351" s="65"/>
      <c r="AE351" s="65"/>
      <c r="AF351" s="65"/>
      <c r="AG351" s="65"/>
      <c r="AH351" s="65"/>
      <c r="AI351" s="65"/>
      <c r="AJ351" s="65"/>
      <c r="AK351" s="65"/>
      <c r="AL351" s="65"/>
      <c r="AM351" s="65"/>
      <c r="AN351" s="65"/>
    </row>
    <row r="352" spans="1:40" ht="14.5" x14ac:dyDescent="0.35">
      <c r="J352" s="65"/>
      <c r="K352" s="65"/>
      <c r="L352" s="65"/>
      <c r="M352" s="65"/>
      <c r="N352" s="65"/>
      <c r="O352" s="65"/>
      <c r="P352" s="65"/>
      <c r="Q352" s="65"/>
      <c r="R352" s="65"/>
      <c r="S352" s="65"/>
      <c r="T352" s="65"/>
      <c r="U352" s="65"/>
      <c r="V352" s="65"/>
      <c r="W352" s="65"/>
      <c r="X352" s="65"/>
      <c r="Y352" s="65"/>
      <c r="Z352" s="65"/>
      <c r="AA352" s="65"/>
      <c r="AB352" s="65"/>
      <c r="AC352" s="65"/>
      <c r="AD352" s="65"/>
      <c r="AE352" s="65"/>
      <c r="AF352" s="65"/>
      <c r="AG352" s="65"/>
      <c r="AH352" s="65"/>
      <c r="AI352" s="65"/>
      <c r="AJ352" s="65"/>
      <c r="AK352" s="65"/>
      <c r="AL352" s="65"/>
      <c r="AM352" s="65"/>
      <c r="AN352" s="65"/>
    </row>
    <row r="353" spans="10:40" ht="14.5" x14ac:dyDescent="0.35">
      <c r="J353" s="65"/>
      <c r="K353" s="65"/>
      <c r="L353" s="65"/>
      <c r="M353" s="65"/>
      <c r="N353" s="65"/>
      <c r="O353" s="65"/>
      <c r="P353" s="65"/>
      <c r="Q353" s="65"/>
      <c r="R353" s="65"/>
      <c r="S353" s="65"/>
      <c r="T353" s="65"/>
      <c r="U353" s="65"/>
      <c r="V353" s="65"/>
      <c r="W353" s="65"/>
      <c r="X353" s="65"/>
      <c r="Y353" s="65"/>
      <c r="Z353" s="65"/>
      <c r="AA353" s="65"/>
      <c r="AB353" s="65"/>
      <c r="AC353" s="65"/>
      <c r="AD353" s="65"/>
      <c r="AE353" s="65"/>
      <c r="AF353" s="65"/>
      <c r="AG353" s="65"/>
      <c r="AH353" s="65"/>
      <c r="AI353" s="65"/>
      <c r="AJ353" s="65"/>
      <c r="AK353" s="65"/>
      <c r="AL353" s="65"/>
      <c r="AM353" s="65"/>
      <c r="AN353" s="65"/>
    </row>
    <row r="354" spans="10:40" ht="14.5" x14ac:dyDescent="0.35">
      <c r="J354" s="65"/>
      <c r="K354" s="65"/>
      <c r="L354" s="65"/>
      <c r="M354" s="65"/>
      <c r="N354" s="65"/>
      <c r="O354" s="65"/>
      <c r="P354" s="65"/>
      <c r="Q354" s="65"/>
      <c r="R354" s="65"/>
      <c r="S354" s="65"/>
      <c r="T354" s="65"/>
      <c r="U354" s="65"/>
      <c r="V354" s="65"/>
      <c r="W354" s="65"/>
      <c r="X354" s="65"/>
      <c r="Y354" s="65"/>
      <c r="Z354" s="65"/>
      <c r="AA354" s="65"/>
      <c r="AB354" s="65"/>
      <c r="AC354" s="65"/>
      <c r="AD354" s="65"/>
      <c r="AE354" s="65"/>
      <c r="AF354" s="65"/>
      <c r="AG354" s="65"/>
      <c r="AH354" s="65"/>
      <c r="AI354" s="65"/>
      <c r="AJ354" s="65"/>
      <c r="AK354" s="65"/>
      <c r="AL354" s="65"/>
      <c r="AM354" s="65"/>
      <c r="AN354" s="65"/>
    </row>
    <row r="355" spans="10:40" ht="14.5" x14ac:dyDescent="0.35">
      <c r="J355" s="65"/>
      <c r="K355" s="65"/>
      <c r="L355" s="65"/>
      <c r="M355" s="65"/>
      <c r="N355" s="65"/>
      <c r="O355" s="65"/>
      <c r="P355" s="65"/>
      <c r="Q355" s="65"/>
      <c r="R355" s="65"/>
      <c r="S355" s="65"/>
      <c r="T355" s="65"/>
      <c r="U355" s="65"/>
      <c r="V355" s="65"/>
      <c r="W355" s="65"/>
      <c r="X355" s="65"/>
      <c r="Y355" s="65"/>
      <c r="Z355" s="65"/>
      <c r="AA355" s="65"/>
      <c r="AB355" s="65"/>
      <c r="AC355" s="65"/>
      <c r="AD355" s="65"/>
      <c r="AE355" s="65"/>
      <c r="AF355" s="65"/>
      <c r="AG355" s="65"/>
      <c r="AH355" s="65"/>
      <c r="AI355" s="65"/>
      <c r="AJ355" s="65"/>
      <c r="AK355" s="65"/>
      <c r="AL355" s="65"/>
      <c r="AM355" s="65"/>
      <c r="AN355" s="65"/>
    </row>
    <row r="356" spans="10:40" ht="14.5" x14ac:dyDescent="0.35">
      <c r="J356" s="65"/>
      <c r="K356" s="65"/>
      <c r="L356" s="65"/>
      <c r="M356" s="65"/>
      <c r="N356" s="65"/>
      <c r="O356" s="65"/>
      <c r="P356" s="65"/>
      <c r="Q356" s="65"/>
      <c r="R356" s="65"/>
      <c r="S356" s="65"/>
      <c r="T356" s="65"/>
      <c r="U356" s="65"/>
      <c r="V356" s="65"/>
      <c r="W356" s="65"/>
      <c r="X356" s="65"/>
      <c r="Y356" s="65"/>
      <c r="Z356" s="65"/>
      <c r="AA356" s="65"/>
      <c r="AB356" s="65"/>
      <c r="AC356" s="65"/>
      <c r="AD356" s="65"/>
      <c r="AE356" s="65"/>
      <c r="AF356" s="65"/>
      <c r="AG356" s="65"/>
      <c r="AH356" s="65"/>
      <c r="AI356" s="65"/>
      <c r="AJ356" s="65"/>
      <c r="AK356" s="65"/>
      <c r="AL356" s="65"/>
      <c r="AM356" s="65"/>
      <c r="AN356" s="65"/>
    </row>
    <row r="357" spans="10:40" ht="14.5" x14ac:dyDescent="0.35">
      <c r="J357" s="65"/>
      <c r="K357" s="65"/>
      <c r="L357" s="65"/>
      <c r="M357" s="65"/>
      <c r="N357" s="65"/>
      <c r="O357" s="65"/>
      <c r="P357" s="65"/>
      <c r="Q357" s="65"/>
      <c r="R357" s="65"/>
      <c r="S357" s="65"/>
      <c r="T357" s="65"/>
      <c r="U357" s="65"/>
      <c r="V357" s="65"/>
      <c r="W357" s="65"/>
      <c r="X357" s="65"/>
      <c r="Y357" s="65"/>
      <c r="Z357" s="65"/>
      <c r="AA357" s="65"/>
      <c r="AB357" s="65"/>
      <c r="AC357" s="65"/>
      <c r="AD357" s="65"/>
      <c r="AE357" s="65"/>
      <c r="AF357" s="65"/>
      <c r="AG357" s="65"/>
      <c r="AH357" s="65"/>
      <c r="AI357" s="65"/>
      <c r="AJ357" s="65"/>
      <c r="AK357" s="65"/>
      <c r="AL357" s="65"/>
      <c r="AM357" s="65"/>
      <c r="AN357" s="65"/>
    </row>
    <row r="358" spans="10:40" ht="14.5" x14ac:dyDescent="0.35">
      <c r="J358" s="65"/>
      <c r="K358" s="65"/>
      <c r="L358" s="65"/>
      <c r="M358" s="65"/>
      <c r="N358" s="65"/>
      <c r="O358" s="65"/>
      <c r="P358" s="65"/>
      <c r="Q358" s="65"/>
      <c r="R358" s="65"/>
      <c r="S358" s="65"/>
      <c r="T358" s="65"/>
      <c r="U358" s="65"/>
      <c r="V358" s="65"/>
      <c r="W358" s="65"/>
      <c r="X358" s="65"/>
      <c r="Y358" s="65"/>
      <c r="Z358" s="65"/>
      <c r="AA358" s="65"/>
      <c r="AB358" s="65"/>
      <c r="AC358" s="65"/>
      <c r="AD358" s="65"/>
      <c r="AE358" s="65"/>
      <c r="AF358" s="65"/>
      <c r="AG358" s="65"/>
      <c r="AH358" s="65"/>
      <c r="AI358" s="65"/>
      <c r="AJ358" s="65"/>
      <c r="AK358" s="65"/>
      <c r="AL358" s="65"/>
      <c r="AM358" s="65"/>
      <c r="AN358" s="65"/>
    </row>
    <row r="359" spans="10:40" ht="14.5" x14ac:dyDescent="0.35">
      <c r="J359" s="65"/>
      <c r="K359" s="65"/>
      <c r="L359" s="65"/>
      <c r="M359" s="65"/>
      <c r="N359" s="65"/>
      <c r="O359" s="65"/>
      <c r="P359" s="65"/>
      <c r="Q359" s="65"/>
      <c r="R359" s="65"/>
      <c r="S359" s="65"/>
      <c r="T359" s="65"/>
      <c r="U359" s="65"/>
      <c r="V359" s="65"/>
      <c r="W359" s="65"/>
      <c r="X359" s="65"/>
      <c r="Y359" s="65"/>
      <c r="Z359" s="65"/>
      <c r="AA359" s="65"/>
      <c r="AB359" s="65"/>
      <c r="AC359" s="65"/>
      <c r="AD359" s="65"/>
      <c r="AE359" s="65"/>
      <c r="AF359" s="65"/>
      <c r="AG359" s="65"/>
      <c r="AH359" s="65"/>
      <c r="AI359" s="65"/>
      <c r="AJ359" s="65"/>
      <c r="AK359" s="65"/>
      <c r="AL359" s="65"/>
      <c r="AM359" s="65"/>
      <c r="AN359" s="65"/>
    </row>
    <row r="360" spans="10:40" ht="14.5" x14ac:dyDescent="0.35">
      <c r="J360" s="65"/>
      <c r="K360" s="65"/>
      <c r="L360" s="65"/>
      <c r="M360" s="65"/>
      <c r="N360" s="65"/>
      <c r="O360" s="65"/>
      <c r="P360" s="65"/>
      <c r="Q360" s="65"/>
      <c r="R360" s="65"/>
      <c r="S360" s="65"/>
      <c r="T360" s="65"/>
      <c r="U360" s="65"/>
      <c r="V360" s="65"/>
      <c r="W360" s="65"/>
      <c r="X360" s="65"/>
      <c r="Y360" s="65"/>
      <c r="Z360" s="65"/>
      <c r="AA360" s="65"/>
      <c r="AB360" s="65"/>
      <c r="AC360" s="65"/>
      <c r="AD360" s="65"/>
      <c r="AE360" s="65"/>
      <c r="AF360" s="65"/>
      <c r="AG360" s="65"/>
      <c r="AH360" s="65"/>
      <c r="AI360" s="65"/>
      <c r="AJ360" s="65"/>
      <c r="AK360" s="65"/>
      <c r="AL360" s="65"/>
      <c r="AM360" s="65"/>
      <c r="AN360" s="65"/>
    </row>
    <row r="361" spans="10:40" ht="14.5" x14ac:dyDescent="0.35">
      <c r="J361" s="65"/>
      <c r="K361" s="65"/>
      <c r="L361" s="65"/>
      <c r="M361" s="65"/>
      <c r="N361" s="65"/>
      <c r="O361" s="65"/>
      <c r="P361" s="65"/>
      <c r="Q361" s="65"/>
      <c r="R361" s="65"/>
      <c r="S361" s="65"/>
      <c r="T361" s="65"/>
      <c r="U361" s="65"/>
      <c r="V361" s="65"/>
      <c r="W361" s="65"/>
      <c r="X361" s="65"/>
      <c r="Y361" s="65"/>
      <c r="Z361" s="65"/>
      <c r="AA361" s="65"/>
      <c r="AB361" s="65"/>
      <c r="AC361" s="65"/>
      <c r="AD361" s="65"/>
      <c r="AE361" s="65"/>
      <c r="AF361" s="65"/>
      <c r="AG361" s="65"/>
      <c r="AH361" s="65"/>
      <c r="AI361" s="65"/>
      <c r="AJ361" s="65"/>
      <c r="AK361" s="65"/>
      <c r="AL361" s="65"/>
      <c r="AM361" s="65"/>
      <c r="AN361" s="65"/>
    </row>
    <row r="362" spans="10:40" ht="14.5" x14ac:dyDescent="0.35">
      <c r="J362" s="65"/>
      <c r="K362" s="65"/>
      <c r="L362" s="65"/>
      <c r="M362" s="65"/>
      <c r="N362" s="65"/>
      <c r="O362" s="65"/>
      <c r="P362" s="65"/>
      <c r="Q362" s="65"/>
      <c r="R362" s="65"/>
      <c r="S362" s="65"/>
      <c r="T362" s="65"/>
      <c r="U362" s="65"/>
      <c r="V362" s="65"/>
      <c r="W362" s="65"/>
      <c r="X362" s="65"/>
      <c r="Y362" s="65"/>
      <c r="Z362" s="65"/>
      <c r="AA362" s="65"/>
      <c r="AB362" s="65"/>
      <c r="AC362" s="65"/>
      <c r="AD362" s="65"/>
      <c r="AE362" s="65"/>
      <c r="AF362" s="65"/>
      <c r="AG362" s="65"/>
      <c r="AH362" s="65"/>
      <c r="AI362" s="65"/>
      <c r="AJ362" s="65"/>
      <c r="AK362" s="65"/>
      <c r="AL362" s="65"/>
      <c r="AM362" s="65"/>
      <c r="AN362" s="65"/>
    </row>
    <row r="363" spans="10:40" ht="14.5" x14ac:dyDescent="0.35">
      <c r="J363" s="65"/>
      <c r="K363" s="65"/>
      <c r="L363" s="65"/>
      <c r="M363" s="65"/>
      <c r="N363" s="65"/>
      <c r="O363" s="65"/>
      <c r="P363" s="65"/>
      <c r="Q363" s="65"/>
      <c r="R363" s="65"/>
      <c r="S363" s="65"/>
      <c r="T363" s="65"/>
      <c r="U363" s="65"/>
      <c r="V363" s="65"/>
      <c r="W363" s="65"/>
      <c r="X363" s="65"/>
      <c r="Y363" s="65"/>
      <c r="Z363" s="65"/>
      <c r="AA363" s="65"/>
      <c r="AB363" s="65"/>
      <c r="AC363" s="65"/>
      <c r="AD363" s="65"/>
      <c r="AE363" s="65"/>
      <c r="AF363" s="65"/>
      <c r="AG363" s="65"/>
      <c r="AH363" s="65"/>
      <c r="AI363" s="65"/>
      <c r="AJ363" s="65"/>
      <c r="AK363" s="65"/>
      <c r="AL363" s="65"/>
      <c r="AM363" s="65"/>
      <c r="AN363" s="65"/>
    </row>
    <row r="364" spans="10:40" ht="14.5" x14ac:dyDescent="0.35">
      <c r="J364" s="65"/>
      <c r="K364" s="65"/>
      <c r="L364" s="65"/>
      <c r="M364" s="65"/>
      <c r="N364" s="65"/>
      <c r="O364" s="65"/>
      <c r="P364" s="65"/>
      <c r="Q364" s="65"/>
      <c r="R364" s="65"/>
      <c r="S364" s="65"/>
      <c r="T364" s="65"/>
      <c r="U364" s="65"/>
      <c r="V364" s="65"/>
      <c r="W364" s="65"/>
      <c r="X364" s="65"/>
      <c r="Y364" s="65"/>
      <c r="Z364" s="65"/>
      <c r="AA364" s="65"/>
      <c r="AB364" s="65"/>
      <c r="AC364" s="65"/>
      <c r="AD364" s="65"/>
      <c r="AE364" s="65"/>
      <c r="AF364" s="65"/>
      <c r="AG364" s="65"/>
      <c r="AH364" s="65"/>
      <c r="AI364" s="65"/>
      <c r="AJ364" s="65"/>
      <c r="AK364" s="65"/>
      <c r="AL364" s="65"/>
      <c r="AM364" s="65"/>
      <c r="AN364" s="65"/>
    </row>
    <row r="365" spans="10:40" ht="14.5" x14ac:dyDescent="0.35">
      <c r="J365" s="65"/>
      <c r="K365" s="65"/>
      <c r="L365" s="65"/>
      <c r="M365" s="65"/>
      <c r="N365" s="65"/>
      <c r="O365" s="65"/>
      <c r="P365" s="65"/>
      <c r="Q365" s="65"/>
      <c r="R365" s="65"/>
      <c r="S365" s="65"/>
      <c r="T365" s="65"/>
      <c r="U365" s="65"/>
      <c r="V365" s="65"/>
      <c r="W365" s="65"/>
      <c r="X365" s="65"/>
      <c r="Y365" s="65"/>
      <c r="Z365" s="65"/>
      <c r="AA365" s="65"/>
      <c r="AB365" s="65"/>
      <c r="AC365" s="65"/>
      <c r="AD365" s="65"/>
      <c r="AE365" s="65"/>
      <c r="AF365" s="65"/>
      <c r="AG365" s="65"/>
      <c r="AH365" s="65"/>
      <c r="AI365" s="65"/>
      <c r="AJ365" s="65"/>
      <c r="AK365" s="65"/>
      <c r="AL365" s="65"/>
      <c r="AM365" s="65"/>
      <c r="AN365" s="65"/>
    </row>
    <row r="366" spans="10:40" ht="14.5" x14ac:dyDescent="0.35">
      <c r="J366" s="65"/>
      <c r="K366" s="65"/>
      <c r="L366" s="65"/>
      <c r="M366" s="65"/>
      <c r="N366" s="65"/>
      <c r="O366" s="65"/>
      <c r="P366" s="65"/>
      <c r="Q366" s="65"/>
      <c r="R366" s="65"/>
      <c r="S366" s="65"/>
      <c r="T366" s="65"/>
      <c r="U366" s="65"/>
      <c r="V366" s="65"/>
      <c r="W366" s="65"/>
      <c r="X366" s="65"/>
      <c r="Y366" s="65"/>
      <c r="Z366" s="65"/>
      <c r="AA366" s="65"/>
      <c r="AB366" s="65"/>
      <c r="AC366" s="65"/>
      <c r="AD366" s="65"/>
      <c r="AE366" s="65"/>
      <c r="AF366" s="65"/>
      <c r="AG366" s="65"/>
      <c r="AH366" s="65"/>
      <c r="AI366" s="65"/>
      <c r="AJ366" s="65"/>
      <c r="AK366" s="65"/>
      <c r="AL366" s="65"/>
      <c r="AM366" s="65"/>
      <c r="AN366" s="65"/>
    </row>
    <row r="367" spans="10:40" ht="14.5" x14ac:dyDescent="0.35">
      <c r="J367" s="65"/>
      <c r="K367" s="65"/>
      <c r="L367" s="65"/>
      <c r="M367" s="65"/>
      <c r="N367" s="65"/>
      <c r="O367" s="65"/>
      <c r="P367" s="65"/>
      <c r="Q367" s="65"/>
      <c r="R367" s="65"/>
      <c r="S367" s="65"/>
      <c r="T367" s="65"/>
      <c r="U367" s="65"/>
      <c r="V367" s="65"/>
      <c r="W367" s="65"/>
      <c r="X367" s="65"/>
      <c r="Y367" s="65"/>
      <c r="Z367" s="65"/>
      <c r="AA367" s="65"/>
      <c r="AB367" s="65"/>
      <c r="AC367" s="65"/>
      <c r="AD367" s="65"/>
      <c r="AE367" s="65"/>
      <c r="AF367" s="65"/>
      <c r="AG367" s="65"/>
      <c r="AH367" s="65"/>
      <c r="AI367" s="65"/>
      <c r="AJ367" s="65"/>
      <c r="AK367" s="65"/>
      <c r="AL367" s="65"/>
      <c r="AM367" s="65"/>
      <c r="AN367" s="65"/>
    </row>
    <row r="368" spans="10:40" ht="14.5" x14ac:dyDescent="0.35">
      <c r="J368" s="65"/>
      <c r="K368" s="65"/>
      <c r="L368" s="65"/>
      <c r="M368" s="65"/>
      <c r="N368" s="65"/>
      <c r="O368" s="65"/>
      <c r="P368" s="65"/>
      <c r="Q368" s="65"/>
      <c r="R368" s="65"/>
      <c r="S368" s="65"/>
      <c r="T368" s="65"/>
      <c r="U368" s="65"/>
      <c r="V368" s="65"/>
      <c r="W368" s="65"/>
      <c r="X368" s="65"/>
      <c r="Y368" s="65"/>
      <c r="Z368" s="65"/>
      <c r="AA368" s="65"/>
      <c r="AB368" s="65"/>
      <c r="AC368" s="65"/>
      <c r="AD368" s="65"/>
      <c r="AE368" s="65"/>
      <c r="AF368" s="65"/>
      <c r="AG368" s="65"/>
      <c r="AH368" s="65"/>
      <c r="AI368" s="65"/>
      <c r="AJ368" s="65"/>
      <c r="AK368" s="65"/>
      <c r="AL368" s="65"/>
      <c r="AM368" s="65"/>
      <c r="AN368" s="65"/>
    </row>
    <row r="369" spans="10:40" ht="14.5" x14ac:dyDescent="0.35">
      <c r="J369" s="65"/>
      <c r="K369" s="65"/>
      <c r="L369" s="65"/>
      <c r="M369" s="65"/>
      <c r="N369" s="65"/>
      <c r="O369" s="65"/>
      <c r="P369" s="65"/>
      <c r="Q369" s="65"/>
      <c r="R369" s="65"/>
      <c r="S369" s="65"/>
      <c r="T369" s="65"/>
      <c r="U369" s="65"/>
      <c r="V369" s="65"/>
      <c r="W369" s="65"/>
      <c r="X369" s="65"/>
      <c r="Y369" s="65"/>
      <c r="Z369" s="65"/>
      <c r="AA369" s="65"/>
      <c r="AB369" s="65"/>
      <c r="AC369" s="65"/>
      <c r="AD369" s="65"/>
      <c r="AE369" s="65"/>
      <c r="AF369" s="65"/>
      <c r="AG369" s="65"/>
      <c r="AH369" s="65"/>
      <c r="AI369" s="65"/>
      <c r="AJ369" s="65"/>
      <c r="AK369" s="65"/>
      <c r="AL369" s="65"/>
      <c r="AM369" s="65"/>
      <c r="AN369" s="65"/>
    </row>
    <row r="370" spans="10:40" ht="14.5" x14ac:dyDescent="0.35">
      <c r="J370" s="65"/>
      <c r="K370" s="65"/>
      <c r="L370" s="65"/>
      <c r="M370" s="65"/>
      <c r="N370" s="65"/>
      <c r="O370" s="65"/>
      <c r="P370" s="65"/>
      <c r="Q370" s="65"/>
      <c r="R370" s="65"/>
      <c r="S370" s="65"/>
      <c r="T370" s="65"/>
      <c r="U370" s="65"/>
      <c r="V370" s="65"/>
      <c r="W370" s="65"/>
      <c r="X370" s="65"/>
      <c r="Y370" s="65"/>
      <c r="Z370" s="65"/>
      <c r="AA370" s="65"/>
      <c r="AB370" s="65"/>
      <c r="AC370" s="65"/>
      <c r="AD370" s="65"/>
      <c r="AE370" s="65"/>
      <c r="AF370" s="65"/>
      <c r="AG370" s="65"/>
      <c r="AH370" s="65"/>
      <c r="AI370" s="65"/>
      <c r="AJ370" s="65"/>
      <c r="AK370" s="65"/>
      <c r="AL370" s="65"/>
      <c r="AM370" s="65"/>
      <c r="AN370" s="65"/>
    </row>
    <row r="371" spans="10:40" ht="14.5" x14ac:dyDescent="0.35">
      <c r="J371" s="65"/>
      <c r="K371" s="65"/>
      <c r="L371" s="65"/>
      <c r="M371" s="65"/>
      <c r="N371" s="65"/>
      <c r="O371" s="65"/>
      <c r="P371" s="65"/>
      <c r="Q371" s="65"/>
      <c r="R371" s="65"/>
      <c r="S371" s="65"/>
      <c r="T371" s="65"/>
      <c r="U371" s="65"/>
      <c r="V371" s="65"/>
      <c r="W371" s="65"/>
      <c r="X371" s="65"/>
      <c r="Y371" s="65"/>
      <c r="Z371" s="65"/>
      <c r="AA371" s="65"/>
      <c r="AB371" s="65"/>
      <c r="AC371" s="65"/>
      <c r="AD371" s="65"/>
      <c r="AE371" s="65"/>
      <c r="AF371" s="65"/>
      <c r="AG371" s="65"/>
      <c r="AH371" s="65"/>
      <c r="AI371" s="65"/>
      <c r="AJ371" s="65"/>
      <c r="AK371" s="65"/>
      <c r="AL371" s="65"/>
      <c r="AM371" s="65"/>
      <c r="AN371" s="65"/>
    </row>
    <row r="372" spans="10:40" ht="14.5" x14ac:dyDescent="0.35">
      <c r="J372" s="65"/>
      <c r="K372" s="65"/>
      <c r="L372" s="65"/>
      <c r="M372" s="65"/>
      <c r="N372" s="65"/>
      <c r="O372" s="65"/>
      <c r="P372" s="65"/>
      <c r="Q372" s="65"/>
      <c r="R372" s="65"/>
      <c r="S372" s="65"/>
      <c r="T372" s="65"/>
      <c r="U372" s="65"/>
      <c r="V372" s="65"/>
      <c r="W372" s="65"/>
      <c r="X372" s="65"/>
      <c r="Y372" s="65"/>
      <c r="Z372" s="65"/>
      <c r="AA372" s="65"/>
      <c r="AB372" s="65"/>
      <c r="AC372" s="65"/>
      <c r="AD372" s="65"/>
      <c r="AE372" s="65"/>
      <c r="AF372" s="65"/>
      <c r="AG372" s="65"/>
      <c r="AH372" s="65"/>
      <c r="AI372" s="65"/>
      <c r="AJ372" s="65"/>
      <c r="AK372" s="65"/>
      <c r="AL372" s="65"/>
      <c r="AM372" s="65"/>
      <c r="AN372" s="65"/>
    </row>
    <row r="373" spans="10:40" ht="14.5" x14ac:dyDescent="0.35">
      <c r="J373" s="65"/>
      <c r="K373" s="65"/>
      <c r="L373" s="65"/>
      <c r="M373" s="65"/>
      <c r="N373" s="65"/>
      <c r="O373" s="65"/>
      <c r="P373" s="65"/>
      <c r="Q373" s="65"/>
      <c r="R373" s="65"/>
      <c r="S373" s="65"/>
      <c r="T373" s="65"/>
      <c r="U373" s="65"/>
      <c r="V373" s="65"/>
      <c r="W373" s="65"/>
      <c r="X373" s="65"/>
      <c r="Y373" s="65"/>
      <c r="Z373" s="65"/>
      <c r="AA373" s="65"/>
      <c r="AB373" s="65"/>
      <c r="AC373" s="65"/>
      <c r="AD373" s="65"/>
      <c r="AE373" s="65"/>
      <c r="AF373" s="65"/>
      <c r="AG373" s="65"/>
      <c r="AH373" s="65"/>
      <c r="AI373" s="65"/>
      <c r="AJ373" s="65"/>
      <c r="AK373" s="65"/>
      <c r="AL373" s="65"/>
      <c r="AM373" s="65"/>
      <c r="AN373" s="65"/>
    </row>
    <row r="374" spans="10:40" ht="14.5" x14ac:dyDescent="0.35">
      <c r="J374" s="65"/>
      <c r="K374" s="65"/>
      <c r="L374" s="65"/>
      <c r="M374" s="65"/>
      <c r="N374" s="65"/>
      <c r="O374" s="65"/>
      <c r="P374" s="65"/>
      <c r="Q374" s="65"/>
      <c r="R374" s="65"/>
      <c r="S374" s="65"/>
      <c r="T374" s="65"/>
      <c r="U374" s="65"/>
      <c r="V374" s="65"/>
      <c r="W374" s="65"/>
      <c r="X374" s="65"/>
      <c r="Y374" s="65"/>
      <c r="Z374" s="65"/>
      <c r="AA374" s="65"/>
      <c r="AB374" s="65"/>
      <c r="AC374" s="65"/>
      <c r="AD374" s="65"/>
      <c r="AE374" s="65"/>
      <c r="AF374" s="65"/>
      <c r="AG374" s="65"/>
      <c r="AH374" s="65"/>
      <c r="AI374" s="65"/>
      <c r="AJ374" s="65"/>
      <c r="AK374" s="65"/>
      <c r="AL374" s="65"/>
      <c r="AM374" s="65"/>
      <c r="AN374" s="65"/>
    </row>
    <row r="375" spans="10:40" ht="14.5" x14ac:dyDescent="0.35">
      <c r="J375" s="65"/>
      <c r="K375" s="65"/>
      <c r="L375" s="65"/>
      <c r="M375" s="65"/>
      <c r="N375" s="65"/>
      <c r="O375" s="65"/>
      <c r="P375" s="65"/>
      <c r="Q375" s="65"/>
      <c r="R375" s="65"/>
      <c r="S375" s="65"/>
      <c r="T375" s="65"/>
      <c r="U375" s="65"/>
      <c r="V375" s="65"/>
      <c r="W375" s="65"/>
      <c r="X375" s="65"/>
      <c r="Y375" s="65"/>
      <c r="Z375" s="65"/>
      <c r="AA375" s="65"/>
      <c r="AB375" s="65"/>
      <c r="AC375" s="65"/>
      <c r="AD375" s="65"/>
      <c r="AE375" s="65"/>
      <c r="AF375" s="65"/>
      <c r="AG375" s="65"/>
      <c r="AH375" s="65"/>
      <c r="AI375" s="65"/>
      <c r="AJ375" s="65"/>
      <c r="AK375" s="65"/>
      <c r="AL375" s="65"/>
      <c r="AM375" s="65"/>
      <c r="AN375" s="65"/>
    </row>
    <row r="376" spans="10:40" ht="14.5" x14ac:dyDescent="0.35">
      <c r="J376" s="65"/>
      <c r="K376" s="65"/>
      <c r="L376" s="65"/>
      <c r="M376" s="65"/>
      <c r="N376" s="65"/>
      <c r="O376" s="65"/>
      <c r="P376" s="65"/>
      <c r="Q376" s="65"/>
      <c r="R376" s="65"/>
      <c r="S376" s="65"/>
      <c r="T376" s="65"/>
      <c r="U376" s="65"/>
      <c r="V376" s="65"/>
      <c r="W376" s="65"/>
      <c r="X376" s="65"/>
      <c r="Y376" s="65"/>
      <c r="Z376" s="65"/>
      <c r="AA376" s="65"/>
      <c r="AB376" s="65"/>
      <c r="AC376" s="65"/>
      <c r="AD376" s="65"/>
      <c r="AE376" s="65"/>
      <c r="AF376" s="65"/>
      <c r="AG376" s="65"/>
      <c r="AH376" s="65"/>
      <c r="AI376" s="65"/>
      <c r="AJ376" s="65"/>
      <c r="AK376" s="65"/>
      <c r="AL376" s="65"/>
      <c r="AM376" s="65"/>
      <c r="AN376" s="65"/>
    </row>
    <row r="377" spans="10:40" ht="14.5" x14ac:dyDescent="0.35">
      <c r="J377" s="65"/>
      <c r="K377" s="65"/>
      <c r="L377" s="65"/>
      <c r="M377" s="65"/>
      <c r="N377" s="65"/>
      <c r="O377" s="65"/>
      <c r="P377" s="65"/>
      <c r="Q377" s="65"/>
      <c r="R377" s="65"/>
      <c r="S377" s="65"/>
      <c r="T377" s="65"/>
      <c r="U377" s="65"/>
      <c r="V377" s="65"/>
      <c r="W377" s="65"/>
      <c r="X377" s="65"/>
      <c r="Y377" s="65"/>
      <c r="Z377" s="65"/>
      <c r="AA377" s="65"/>
      <c r="AB377" s="65"/>
      <c r="AC377" s="65"/>
      <c r="AD377" s="65"/>
      <c r="AE377" s="65"/>
      <c r="AF377" s="65"/>
      <c r="AG377" s="65"/>
      <c r="AH377" s="65"/>
      <c r="AI377" s="65"/>
      <c r="AJ377" s="65"/>
      <c r="AK377" s="65"/>
      <c r="AL377" s="65"/>
      <c r="AM377" s="65"/>
      <c r="AN377" s="65"/>
    </row>
    <row r="378" spans="10:40" ht="14.5" x14ac:dyDescent="0.35">
      <c r="J378" s="65"/>
      <c r="K378" s="65"/>
      <c r="L378" s="65"/>
      <c r="M378" s="65"/>
      <c r="N378" s="65"/>
      <c r="O378" s="65"/>
      <c r="P378" s="65"/>
      <c r="Q378" s="65"/>
      <c r="R378" s="65"/>
      <c r="S378" s="65"/>
      <c r="T378" s="65"/>
      <c r="U378" s="65"/>
      <c r="V378" s="65"/>
      <c r="W378" s="65"/>
      <c r="X378" s="65"/>
      <c r="Y378" s="65"/>
      <c r="Z378" s="65"/>
      <c r="AA378" s="65"/>
      <c r="AB378" s="65"/>
      <c r="AC378" s="65"/>
      <c r="AD378" s="65"/>
      <c r="AE378" s="65"/>
      <c r="AF378" s="65"/>
      <c r="AG378" s="65"/>
      <c r="AH378" s="65"/>
      <c r="AI378" s="65"/>
      <c r="AJ378" s="65"/>
      <c r="AK378" s="65"/>
      <c r="AL378" s="65"/>
      <c r="AM378" s="65"/>
      <c r="AN378" s="65"/>
    </row>
    <row r="379" spans="10:40" ht="14.5" x14ac:dyDescent="0.35">
      <c r="J379" s="65"/>
      <c r="K379" s="65"/>
      <c r="L379" s="65"/>
      <c r="M379" s="65"/>
      <c r="N379" s="65"/>
      <c r="O379" s="65"/>
      <c r="P379" s="65"/>
      <c r="Q379" s="65"/>
      <c r="R379" s="65"/>
      <c r="S379" s="65"/>
      <c r="T379" s="65"/>
      <c r="U379" s="65"/>
      <c r="V379" s="65"/>
      <c r="W379" s="65"/>
      <c r="X379" s="65"/>
      <c r="Y379" s="65"/>
      <c r="Z379" s="65"/>
      <c r="AA379" s="65"/>
      <c r="AB379" s="65"/>
      <c r="AC379" s="65"/>
      <c r="AD379" s="65"/>
      <c r="AE379" s="65"/>
      <c r="AF379" s="65"/>
      <c r="AG379" s="65"/>
      <c r="AH379" s="65"/>
      <c r="AI379" s="65"/>
      <c r="AJ379" s="65"/>
      <c r="AK379" s="65"/>
      <c r="AL379" s="65"/>
      <c r="AM379" s="65"/>
      <c r="AN379" s="65"/>
    </row>
    <row r="380" spans="10:40" ht="14.5" x14ac:dyDescent="0.35">
      <c r="J380" s="65"/>
      <c r="K380" s="65"/>
      <c r="L380" s="65"/>
      <c r="M380" s="65"/>
      <c r="N380" s="65"/>
      <c r="O380" s="65"/>
      <c r="P380" s="65"/>
      <c r="Q380" s="65"/>
      <c r="R380" s="65"/>
      <c r="S380" s="65"/>
      <c r="T380" s="65"/>
      <c r="U380" s="65"/>
      <c r="V380" s="65"/>
      <c r="W380" s="65"/>
      <c r="X380" s="65"/>
      <c r="Y380" s="65"/>
      <c r="Z380" s="65"/>
      <c r="AA380" s="65"/>
      <c r="AB380" s="65"/>
      <c r="AC380" s="65"/>
      <c r="AD380" s="65"/>
      <c r="AE380" s="65"/>
      <c r="AF380" s="65"/>
      <c r="AG380" s="65"/>
      <c r="AH380" s="65"/>
      <c r="AI380" s="65"/>
      <c r="AJ380" s="65"/>
      <c r="AK380" s="65"/>
      <c r="AL380" s="65"/>
      <c r="AM380" s="65"/>
      <c r="AN380" s="65"/>
    </row>
    <row r="381" spans="10:40" ht="14.5" x14ac:dyDescent="0.35">
      <c r="J381" s="65"/>
      <c r="K381" s="65"/>
      <c r="L381" s="65"/>
      <c r="M381" s="65"/>
      <c r="N381" s="65"/>
      <c r="O381" s="65"/>
      <c r="P381" s="65"/>
      <c r="Q381" s="65"/>
      <c r="R381" s="65"/>
      <c r="S381" s="65"/>
      <c r="T381" s="65"/>
      <c r="U381" s="65"/>
      <c r="V381" s="65"/>
      <c r="W381" s="65"/>
      <c r="X381" s="65"/>
      <c r="Y381" s="65"/>
      <c r="Z381" s="65"/>
      <c r="AA381" s="65"/>
      <c r="AB381" s="65"/>
      <c r="AC381" s="65"/>
      <c r="AD381" s="65"/>
      <c r="AE381" s="65"/>
      <c r="AF381" s="65"/>
      <c r="AG381" s="65"/>
      <c r="AH381" s="65"/>
      <c r="AI381" s="65"/>
      <c r="AJ381" s="65"/>
      <c r="AK381" s="65"/>
      <c r="AL381" s="65"/>
      <c r="AM381" s="65"/>
      <c r="AN381" s="65"/>
    </row>
    <row r="382" spans="10:40" ht="14.5" x14ac:dyDescent="0.35">
      <c r="J382" s="65"/>
      <c r="K382" s="65"/>
      <c r="L382" s="65"/>
      <c r="M382" s="65"/>
      <c r="N382" s="65"/>
      <c r="O382" s="65"/>
      <c r="P382" s="65"/>
      <c r="Q382" s="65"/>
      <c r="R382" s="65"/>
      <c r="S382" s="65"/>
      <c r="T382" s="65"/>
      <c r="U382" s="65"/>
      <c r="V382" s="65"/>
      <c r="W382" s="65"/>
      <c r="X382" s="65"/>
      <c r="Y382" s="65"/>
      <c r="Z382" s="65"/>
      <c r="AA382" s="65"/>
      <c r="AB382" s="65"/>
      <c r="AC382" s="65"/>
      <c r="AD382" s="65"/>
      <c r="AE382" s="65"/>
      <c r="AF382" s="65"/>
      <c r="AG382" s="65"/>
      <c r="AH382" s="65"/>
      <c r="AI382" s="65"/>
      <c r="AJ382" s="65"/>
      <c r="AK382" s="65"/>
      <c r="AL382" s="65"/>
      <c r="AM382" s="65"/>
      <c r="AN382" s="65"/>
    </row>
    <row r="383" spans="10:40" ht="14.5" x14ac:dyDescent="0.35">
      <c r="J383" s="65"/>
      <c r="K383" s="65"/>
      <c r="L383" s="65"/>
      <c r="M383" s="65"/>
      <c r="N383" s="65"/>
      <c r="O383" s="65"/>
      <c r="P383" s="65"/>
      <c r="Q383" s="65"/>
      <c r="R383" s="65"/>
      <c r="S383" s="65"/>
      <c r="T383" s="65"/>
      <c r="U383" s="65"/>
      <c r="V383" s="65"/>
      <c r="W383" s="65"/>
      <c r="X383" s="65"/>
      <c r="Y383" s="65"/>
      <c r="Z383" s="65"/>
      <c r="AA383" s="65"/>
      <c r="AB383" s="65"/>
      <c r="AC383" s="65"/>
      <c r="AD383" s="65"/>
      <c r="AE383" s="65"/>
      <c r="AF383" s="65"/>
      <c r="AG383" s="65"/>
      <c r="AH383" s="65"/>
      <c r="AI383" s="65"/>
      <c r="AJ383" s="65"/>
      <c r="AK383" s="65"/>
      <c r="AL383" s="65"/>
      <c r="AM383" s="65"/>
      <c r="AN383" s="65"/>
    </row>
    <row r="384" spans="10:40" ht="14.5" x14ac:dyDescent="0.35">
      <c r="J384" s="65"/>
      <c r="K384" s="65"/>
      <c r="L384" s="65"/>
      <c r="M384" s="65"/>
      <c r="N384" s="65"/>
      <c r="O384" s="65"/>
      <c r="P384" s="65"/>
      <c r="Q384" s="65"/>
      <c r="R384" s="65"/>
      <c r="S384" s="65"/>
      <c r="T384" s="65"/>
      <c r="U384" s="65"/>
      <c r="V384" s="65"/>
      <c r="W384" s="65"/>
      <c r="X384" s="65"/>
      <c r="Y384" s="65"/>
      <c r="Z384" s="65"/>
      <c r="AA384" s="65"/>
      <c r="AB384" s="65"/>
      <c r="AC384" s="65"/>
      <c r="AD384" s="65"/>
      <c r="AE384" s="65"/>
      <c r="AF384" s="65"/>
      <c r="AG384" s="65"/>
      <c r="AH384" s="65"/>
      <c r="AI384" s="65"/>
      <c r="AJ384" s="65"/>
      <c r="AK384" s="65"/>
      <c r="AL384" s="65"/>
      <c r="AM384" s="65"/>
      <c r="AN384" s="65"/>
    </row>
    <row r="385" spans="10:40" ht="14.5" x14ac:dyDescent="0.35">
      <c r="J385" s="65"/>
      <c r="K385" s="65"/>
      <c r="L385" s="65"/>
      <c r="M385" s="65"/>
      <c r="N385" s="65"/>
      <c r="O385" s="65"/>
      <c r="P385" s="65"/>
      <c r="Q385" s="65"/>
      <c r="R385" s="65"/>
      <c r="S385" s="65"/>
      <c r="T385" s="65"/>
      <c r="U385" s="65"/>
      <c r="V385" s="65"/>
      <c r="W385" s="65"/>
      <c r="X385" s="65"/>
      <c r="Y385" s="65"/>
      <c r="Z385" s="65"/>
      <c r="AA385" s="65"/>
      <c r="AB385" s="65"/>
      <c r="AC385" s="65"/>
      <c r="AD385" s="65"/>
      <c r="AE385" s="65"/>
      <c r="AF385" s="65"/>
      <c r="AG385" s="65"/>
      <c r="AH385" s="65"/>
      <c r="AI385" s="65"/>
      <c r="AJ385" s="65"/>
      <c r="AK385" s="65"/>
      <c r="AL385" s="65"/>
      <c r="AM385" s="65"/>
      <c r="AN385" s="65"/>
    </row>
    <row r="386" spans="10:40" ht="14.5" x14ac:dyDescent="0.35">
      <c r="J386" s="65"/>
      <c r="K386" s="65"/>
      <c r="L386" s="65"/>
      <c r="M386" s="65"/>
      <c r="N386" s="65"/>
      <c r="O386" s="65"/>
      <c r="P386" s="65"/>
      <c r="Q386" s="65"/>
      <c r="R386" s="65"/>
      <c r="S386" s="65"/>
      <c r="T386" s="65"/>
      <c r="U386" s="65"/>
      <c r="V386" s="65"/>
      <c r="W386" s="65"/>
      <c r="X386" s="65"/>
      <c r="Y386" s="65"/>
      <c r="Z386" s="65"/>
      <c r="AA386" s="65"/>
      <c r="AB386" s="65"/>
      <c r="AC386" s="65"/>
      <c r="AD386" s="65"/>
      <c r="AE386" s="65"/>
      <c r="AF386" s="65"/>
      <c r="AG386" s="65"/>
      <c r="AH386" s="65"/>
      <c r="AI386" s="65"/>
      <c r="AJ386" s="65"/>
      <c r="AK386" s="65"/>
      <c r="AL386" s="65"/>
      <c r="AM386" s="65"/>
      <c r="AN386" s="65"/>
    </row>
    <row r="387" spans="10:40" ht="14.5" x14ac:dyDescent="0.35">
      <c r="J387" s="65"/>
      <c r="K387" s="65"/>
      <c r="L387" s="65"/>
      <c r="M387" s="65"/>
      <c r="N387" s="65"/>
      <c r="O387" s="65"/>
      <c r="P387" s="65"/>
      <c r="Q387" s="65"/>
      <c r="R387" s="65"/>
      <c r="S387" s="65"/>
      <c r="T387" s="65"/>
      <c r="U387" s="65"/>
      <c r="V387" s="65"/>
      <c r="W387" s="65"/>
      <c r="X387" s="65"/>
      <c r="Y387" s="65"/>
      <c r="Z387" s="65"/>
      <c r="AA387" s="65"/>
      <c r="AB387" s="65"/>
      <c r="AC387" s="65"/>
      <c r="AD387" s="65"/>
      <c r="AE387" s="65"/>
      <c r="AF387" s="65"/>
      <c r="AG387" s="65"/>
      <c r="AH387" s="65"/>
      <c r="AI387" s="65"/>
      <c r="AJ387" s="65"/>
      <c r="AK387" s="65"/>
      <c r="AL387" s="65"/>
      <c r="AM387" s="65"/>
      <c r="AN387" s="65"/>
    </row>
    <row r="388" spans="10:40" ht="14.5" x14ac:dyDescent="0.35">
      <c r="J388" s="65"/>
      <c r="K388" s="65"/>
      <c r="L388" s="65"/>
      <c r="M388" s="65"/>
      <c r="N388" s="65"/>
      <c r="O388" s="65"/>
      <c r="P388" s="65"/>
      <c r="Q388" s="65"/>
      <c r="R388" s="65"/>
      <c r="S388" s="65"/>
      <c r="T388" s="65"/>
      <c r="U388" s="65"/>
      <c r="V388" s="65"/>
      <c r="W388" s="65"/>
      <c r="X388" s="65"/>
      <c r="Y388" s="65"/>
      <c r="Z388" s="65"/>
      <c r="AA388" s="65"/>
      <c r="AB388" s="65"/>
      <c r="AC388" s="65"/>
      <c r="AD388" s="65"/>
      <c r="AE388" s="65"/>
      <c r="AF388" s="65"/>
      <c r="AG388" s="65"/>
      <c r="AH388" s="65"/>
      <c r="AI388" s="65"/>
      <c r="AJ388" s="65"/>
      <c r="AK388" s="65"/>
      <c r="AL388" s="65"/>
      <c r="AM388" s="65"/>
      <c r="AN388" s="65"/>
    </row>
    <row r="389" spans="10:40" ht="14.5" x14ac:dyDescent="0.35">
      <c r="J389" s="65"/>
      <c r="K389" s="65"/>
      <c r="L389" s="65"/>
      <c r="M389" s="65"/>
      <c r="N389" s="65"/>
      <c r="O389" s="65"/>
      <c r="P389" s="65"/>
      <c r="Q389" s="65"/>
      <c r="R389" s="65"/>
      <c r="S389" s="65"/>
      <c r="T389" s="65"/>
      <c r="U389" s="65"/>
      <c r="V389" s="65"/>
      <c r="W389" s="65"/>
      <c r="X389" s="65"/>
      <c r="Y389" s="65"/>
      <c r="Z389" s="65"/>
      <c r="AA389" s="65"/>
      <c r="AB389" s="65"/>
      <c r="AC389" s="65"/>
      <c r="AD389" s="65"/>
      <c r="AE389" s="65"/>
      <c r="AF389" s="65"/>
      <c r="AG389" s="65"/>
      <c r="AH389" s="65"/>
      <c r="AI389" s="65"/>
      <c r="AJ389" s="65"/>
      <c r="AK389" s="65"/>
      <c r="AL389" s="65"/>
      <c r="AM389" s="65"/>
      <c r="AN389" s="65"/>
    </row>
    <row r="390" spans="10:40" ht="14.5" x14ac:dyDescent="0.35">
      <c r="J390" s="65"/>
      <c r="K390" s="65"/>
      <c r="L390" s="65"/>
      <c r="M390" s="65"/>
      <c r="N390" s="65"/>
      <c r="O390" s="65"/>
      <c r="P390" s="65"/>
      <c r="Q390" s="65"/>
      <c r="R390" s="65"/>
      <c r="S390" s="65"/>
      <c r="T390" s="65"/>
      <c r="U390" s="65"/>
      <c r="V390" s="65"/>
      <c r="W390" s="65"/>
      <c r="X390" s="65"/>
      <c r="Y390" s="65"/>
      <c r="Z390" s="65"/>
      <c r="AA390" s="65"/>
      <c r="AB390" s="65"/>
      <c r="AC390" s="65"/>
      <c r="AD390" s="65"/>
      <c r="AE390" s="65"/>
      <c r="AF390" s="65"/>
      <c r="AG390" s="65"/>
      <c r="AH390" s="65"/>
      <c r="AI390" s="65"/>
      <c r="AJ390" s="65"/>
      <c r="AK390" s="65"/>
      <c r="AL390" s="65"/>
      <c r="AM390" s="65"/>
      <c r="AN390" s="65"/>
    </row>
    <row r="391" spans="10:40" ht="14.5" x14ac:dyDescent="0.35">
      <c r="J391" s="65"/>
      <c r="K391" s="65"/>
      <c r="L391" s="65"/>
      <c r="M391" s="65"/>
      <c r="N391" s="65"/>
      <c r="O391" s="65"/>
      <c r="P391" s="65"/>
      <c r="Q391" s="65"/>
      <c r="R391" s="65"/>
      <c r="S391" s="65"/>
      <c r="T391" s="65"/>
      <c r="U391" s="65"/>
      <c r="V391" s="65"/>
      <c r="W391" s="65"/>
      <c r="X391" s="65"/>
      <c r="Y391" s="65"/>
      <c r="Z391" s="65"/>
      <c r="AA391" s="65"/>
      <c r="AB391" s="65"/>
      <c r="AC391" s="65"/>
      <c r="AD391" s="65"/>
      <c r="AE391" s="65"/>
      <c r="AF391" s="65"/>
      <c r="AG391" s="65"/>
      <c r="AH391" s="65"/>
      <c r="AI391" s="65"/>
      <c r="AJ391" s="65"/>
      <c r="AK391" s="65"/>
      <c r="AL391" s="65"/>
      <c r="AM391" s="65"/>
      <c r="AN391" s="65"/>
    </row>
    <row r="392" spans="10:40" ht="14.5" x14ac:dyDescent="0.35">
      <c r="J392" s="65"/>
      <c r="K392" s="65"/>
      <c r="L392" s="65"/>
      <c r="M392" s="65"/>
      <c r="N392" s="65"/>
      <c r="O392" s="65"/>
      <c r="P392" s="65"/>
      <c r="Q392" s="65"/>
      <c r="R392" s="65"/>
      <c r="S392" s="65"/>
      <c r="T392" s="65"/>
      <c r="U392" s="65"/>
      <c r="V392" s="65"/>
      <c r="W392" s="65"/>
      <c r="X392" s="65"/>
      <c r="Y392" s="65"/>
      <c r="Z392" s="65"/>
      <c r="AA392" s="65"/>
      <c r="AB392" s="65"/>
      <c r="AC392" s="65"/>
      <c r="AD392" s="65"/>
      <c r="AE392" s="65"/>
      <c r="AF392" s="65"/>
      <c r="AG392" s="65"/>
      <c r="AH392" s="65"/>
      <c r="AI392" s="65"/>
      <c r="AJ392" s="65"/>
      <c r="AK392" s="65"/>
      <c r="AL392" s="65"/>
      <c r="AM392" s="65"/>
      <c r="AN392" s="65"/>
    </row>
    <row r="393" spans="10:40" ht="14.5" x14ac:dyDescent="0.35">
      <c r="J393" s="65"/>
      <c r="K393" s="65"/>
      <c r="L393" s="65"/>
      <c r="M393" s="65"/>
      <c r="N393" s="65"/>
      <c r="O393" s="65"/>
      <c r="P393" s="65"/>
      <c r="Q393" s="65"/>
      <c r="R393" s="65"/>
      <c r="S393" s="65"/>
      <c r="T393" s="65"/>
      <c r="U393" s="65"/>
      <c r="V393" s="65"/>
      <c r="W393" s="65"/>
      <c r="X393" s="65"/>
      <c r="Y393" s="65"/>
      <c r="Z393" s="65"/>
      <c r="AA393" s="65"/>
      <c r="AB393" s="65"/>
      <c r="AC393" s="65"/>
      <c r="AD393" s="65"/>
      <c r="AE393" s="65"/>
      <c r="AF393" s="65"/>
      <c r="AG393" s="65"/>
      <c r="AH393" s="65"/>
      <c r="AI393" s="65"/>
      <c r="AJ393" s="65"/>
      <c r="AK393" s="65"/>
      <c r="AL393" s="65"/>
      <c r="AM393" s="65"/>
      <c r="AN393" s="65"/>
    </row>
    <row r="394" spans="10:40" ht="14.5" x14ac:dyDescent="0.35">
      <c r="J394" s="65"/>
      <c r="K394" s="65"/>
      <c r="L394" s="65"/>
      <c r="M394" s="65"/>
      <c r="N394" s="65"/>
      <c r="O394" s="65"/>
      <c r="P394" s="65"/>
      <c r="Q394" s="65"/>
      <c r="R394" s="65"/>
      <c r="S394" s="65"/>
      <c r="T394" s="65"/>
      <c r="U394" s="65"/>
      <c r="V394" s="65"/>
      <c r="W394" s="65"/>
      <c r="X394" s="65"/>
      <c r="Y394" s="65"/>
      <c r="Z394" s="65"/>
      <c r="AA394" s="65"/>
      <c r="AB394" s="65"/>
      <c r="AC394" s="65"/>
      <c r="AD394" s="65"/>
      <c r="AE394" s="65"/>
      <c r="AF394" s="65"/>
      <c r="AG394" s="65"/>
      <c r="AH394" s="65"/>
      <c r="AI394" s="65"/>
      <c r="AJ394" s="65"/>
      <c r="AK394" s="65"/>
      <c r="AL394" s="65"/>
      <c r="AM394" s="65"/>
      <c r="AN394" s="65"/>
    </row>
    <row r="395" spans="10:40" ht="14.5" x14ac:dyDescent="0.35">
      <c r="J395" s="65"/>
      <c r="K395" s="65"/>
      <c r="L395" s="65"/>
      <c r="M395" s="65"/>
      <c r="N395" s="65"/>
      <c r="O395" s="65"/>
      <c r="P395" s="65"/>
      <c r="Q395" s="65"/>
      <c r="R395" s="65"/>
      <c r="S395" s="65"/>
      <c r="T395" s="65"/>
      <c r="U395" s="65"/>
      <c r="V395" s="65"/>
      <c r="W395" s="65"/>
      <c r="X395" s="65"/>
      <c r="Y395" s="65"/>
      <c r="Z395" s="65"/>
      <c r="AA395" s="65"/>
      <c r="AB395" s="65"/>
      <c r="AC395" s="65"/>
      <c r="AD395" s="65"/>
      <c r="AE395" s="65"/>
      <c r="AF395" s="65"/>
      <c r="AG395" s="65"/>
      <c r="AH395" s="65"/>
      <c r="AI395" s="65"/>
      <c r="AJ395" s="65"/>
      <c r="AK395" s="65"/>
      <c r="AL395" s="65"/>
      <c r="AM395" s="65"/>
      <c r="AN395" s="65"/>
    </row>
    <row r="396" spans="10:40" ht="14.5" x14ac:dyDescent="0.35">
      <c r="J396" s="65"/>
      <c r="K396" s="65"/>
      <c r="L396" s="65"/>
      <c r="M396" s="65"/>
      <c r="N396" s="65"/>
      <c r="O396" s="65"/>
      <c r="P396" s="65"/>
      <c r="Q396" s="65"/>
      <c r="R396" s="65"/>
      <c r="S396" s="65"/>
      <c r="T396" s="65"/>
      <c r="U396" s="65"/>
      <c r="V396" s="65"/>
      <c r="W396" s="65"/>
      <c r="X396" s="65"/>
      <c r="Y396" s="65"/>
      <c r="Z396" s="65"/>
      <c r="AA396" s="65"/>
      <c r="AB396" s="65"/>
      <c r="AC396" s="65"/>
      <c r="AD396" s="65"/>
      <c r="AE396" s="65"/>
      <c r="AF396" s="65"/>
      <c r="AG396" s="65"/>
      <c r="AH396" s="65"/>
      <c r="AI396" s="65"/>
      <c r="AJ396" s="65"/>
      <c r="AK396" s="65"/>
      <c r="AL396" s="65"/>
      <c r="AM396" s="65"/>
      <c r="AN396" s="65"/>
    </row>
    <row r="397" spans="10:40" ht="14.5" x14ac:dyDescent="0.35">
      <c r="J397" s="65"/>
      <c r="K397" s="65"/>
      <c r="L397" s="65"/>
      <c r="M397" s="65"/>
      <c r="N397" s="65"/>
      <c r="O397" s="65"/>
      <c r="P397" s="65"/>
      <c r="Q397" s="65"/>
      <c r="R397" s="65"/>
      <c r="S397" s="65"/>
      <c r="T397" s="65"/>
      <c r="U397" s="65"/>
      <c r="V397" s="65"/>
      <c r="W397" s="65"/>
      <c r="X397" s="65"/>
      <c r="Y397" s="65"/>
      <c r="Z397" s="65"/>
      <c r="AA397" s="65"/>
      <c r="AB397" s="65"/>
      <c r="AC397" s="65"/>
      <c r="AD397" s="65"/>
      <c r="AE397" s="65"/>
      <c r="AF397" s="65"/>
      <c r="AG397" s="65"/>
      <c r="AH397" s="65"/>
      <c r="AI397" s="65"/>
      <c r="AJ397" s="65"/>
      <c r="AK397" s="65"/>
      <c r="AL397" s="65"/>
      <c r="AM397" s="65"/>
      <c r="AN397" s="65"/>
    </row>
    <row r="398" spans="10:40" ht="14.5" x14ac:dyDescent="0.35">
      <c r="J398" s="65"/>
      <c r="K398" s="65"/>
      <c r="L398" s="65"/>
      <c r="M398" s="65"/>
      <c r="N398" s="65"/>
      <c r="O398" s="65"/>
      <c r="P398" s="65"/>
      <c r="Q398" s="65"/>
      <c r="R398" s="65"/>
      <c r="S398" s="65"/>
      <c r="T398" s="65"/>
      <c r="U398" s="65"/>
      <c r="V398" s="65"/>
      <c r="W398" s="65"/>
      <c r="X398" s="65"/>
      <c r="Y398" s="65"/>
      <c r="Z398" s="65"/>
      <c r="AA398" s="65"/>
      <c r="AB398" s="65"/>
      <c r="AC398" s="65"/>
      <c r="AD398" s="65"/>
      <c r="AE398" s="65"/>
      <c r="AF398" s="65"/>
      <c r="AG398" s="65"/>
      <c r="AH398" s="65"/>
      <c r="AI398" s="65"/>
      <c r="AJ398" s="65"/>
      <c r="AK398" s="65"/>
      <c r="AL398" s="65"/>
      <c r="AM398" s="65"/>
      <c r="AN398" s="65"/>
    </row>
    <row r="399" spans="10:40" ht="14.5" x14ac:dyDescent="0.35">
      <c r="J399" s="65"/>
      <c r="K399" s="65"/>
      <c r="L399" s="65"/>
      <c r="M399" s="65"/>
      <c r="N399" s="65"/>
      <c r="O399" s="65"/>
      <c r="P399" s="65"/>
      <c r="Q399" s="65"/>
      <c r="R399" s="65"/>
      <c r="S399" s="65"/>
      <c r="T399" s="65"/>
      <c r="U399" s="65"/>
      <c r="V399" s="65"/>
      <c r="W399" s="65"/>
      <c r="X399" s="65"/>
      <c r="Y399" s="65"/>
      <c r="Z399" s="65"/>
      <c r="AA399" s="65"/>
      <c r="AB399" s="65"/>
      <c r="AC399" s="65"/>
      <c r="AD399" s="65"/>
      <c r="AE399" s="65"/>
      <c r="AF399" s="65"/>
      <c r="AG399" s="65"/>
      <c r="AH399" s="65"/>
      <c r="AI399" s="65"/>
      <c r="AJ399" s="65"/>
      <c r="AK399" s="65"/>
      <c r="AL399" s="65"/>
      <c r="AM399" s="65"/>
      <c r="AN399" s="65"/>
    </row>
    <row r="400" spans="10:40" ht="14.5" x14ac:dyDescent="0.35">
      <c r="J400" s="65"/>
      <c r="K400" s="65"/>
      <c r="L400" s="65"/>
      <c r="M400" s="65"/>
      <c r="N400" s="65"/>
      <c r="O400" s="65"/>
      <c r="P400" s="65"/>
      <c r="Q400" s="65"/>
      <c r="R400" s="65"/>
      <c r="S400" s="65"/>
      <c r="T400" s="65"/>
      <c r="U400" s="65"/>
      <c r="V400" s="65"/>
      <c r="W400" s="65"/>
      <c r="X400" s="65"/>
      <c r="Y400" s="65"/>
      <c r="Z400" s="65"/>
      <c r="AA400" s="65"/>
      <c r="AB400" s="65"/>
      <c r="AC400" s="65"/>
      <c r="AD400" s="65"/>
      <c r="AE400" s="65"/>
      <c r="AF400" s="65"/>
      <c r="AG400" s="65"/>
      <c r="AH400" s="65"/>
      <c r="AI400" s="65"/>
      <c r="AJ400" s="65"/>
      <c r="AK400" s="65"/>
      <c r="AL400" s="65"/>
      <c r="AM400" s="65"/>
      <c r="AN400" s="65"/>
    </row>
    <row r="401" spans="10:40" ht="14.5" x14ac:dyDescent="0.35">
      <c r="J401" s="65"/>
      <c r="K401" s="65"/>
      <c r="L401" s="65"/>
      <c r="M401" s="65"/>
      <c r="N401" s="65"/>
      <c r="O401" s="65"/>
      <c r="P401" s="65"/>
      <c r="Q401" s="65"/>
      <c r="R401" s="65"/>
      <c r="S401" s="65"/>
      <c r="T401" s="65"/>
      <c r="U401" s="65"/>
      <c r="V401" s="65"/>
      <c r="W401" s="65"/>
      <c r="X401" s="65"/>
      <c r="Y401" s="65"/>
      <c r="Z401" s="65"/>
      <c r="AA401" s="65"/>
      <c r="AB401" s="65"/>
      <c r="AC401" s="65"/>
      <c r="AD401" s="65"/>
      <c r="AE401" s="65"/>
      <c r="AF401" s="65"/>
      <c r="AG401" s="65"/>
      <c r="AH401" s="65"/>
      <c r="AI401" s="65"/>
      <c r="AJ401" s="65"/>
      <c r="AK401" s="65"/>
      <c r="AL401" s="65"/>
      <c r="AM401" s="65"/>
      <c r="AN401" s="65"/>
    </row>
    <row r="402" spans="10:40" ht="14.5" x14ac:dyDescent="0.35">
      <c r="J402" s="65"/>
      <c r="K402" s="65"/>
      <c r="L402" s="65"/>
      <c r="M402" s="65"/>
      <c r="N402" s="65"/>
      <c r="O402" s="65"/>
      <c r="P402" s="65"/>
      <c r="Q402" s="65"/>
      <c r="R402" s="65"/>
      <c r="S402" s="65"/>
      <c r="T402" s="65"/>
      <c r="U402" s="65"/>
      <c r="V402" s="65"/>
      <c r="W402" s="65"/>
      <c r="X402" s="65"/>
      <c r="Y402" s="65"/>
      <c r="Z402" s="65"/>
      <c r="AA402" s="65"/>
      <c r="AB402" s="65"/>
      <c r="AC402" s="65"/>
      <c r="AD402" s="65"/>
      <c r="AE402" s="65"/>
      <c r="AF402" s="65"/>
      <c r="AG402" s="65"/>
      <c r="AH402" s="65"/>
      <c r="AI402" s="65"/>
      <c r="AJ402" s="65"/>
      <c r="AK402" s="65"/>
      <c r="AL402" s="65"/>
      <c r="AM402" s="65"/>
      <c r="AN402" s="65"/>
    </row>
    <row r="403" spans="10:40" ht="14.5" x14ac:dyDescent="0.35">
      <c r="J403" s="65"/>
      <c r="K403" s="65"/>
      <c r="L403" s="65"/>
      <c r="M403" s="65"/>
      <c r="N403" s="65"/>
      <c r="O403" s="65"/>
      <c r="P403" s="65"/>
      <c r="Q403" s="65"/>
      <c r="R403" s="65"/>
      <c r="S403" s="65"/>
      <c r="T403" s="65"/>
      <c r="U403" s="65"/>
      <c r="V403" s="65"/>
      <c r="W403" s="65"/>
      <c r="X403" s="65"/>
      <c r="Y403" s="65"/>
      <c r="Z403" s="65"/>
      <c r="AA403" s="65"/>
      <c r="AB403" s="65"/>
      <c r="AC403" s="65"/>
      <c r="AD403" s="65"/>
      <c r="AE403" s="65"/>
      <c r="AF403" s="65"/>
      <c r="AG403" s="65"/>
      <c r="AH403" s="65"/>
      <c r="AI403" s="65"/>
      <c r="AJ403" s="65"/>
      <c r="AK403" s="65"/>
      <c r="AL403" s="65"/>
      <c r="AM403" s="65"/>
      <c r="AN403" s="65"/>
    </row>
    <row r="404" spans="10:40" ht="14.5" x14ac:dyDescent="0.35">
      <c r="J404" s="65"/>
      <c r="K404" s="65"/>
      <c r="L404" s="65"/>
      <c r="M404" s="65"/>
      <c r="N404" s="65"/>
      <c r="O404" s="65"/>
      <c r="P404" s="65"/>
      <c r="Q404" s="65"/>
      <c r="R404" s="65"/>
      <c r="S404" s="65"/>
      <c r="T404" s="65"/>
      <c r="U404" s="65"/>
      <c r="V404" s="65"/>
      <c r="W404" s="65"/>
      <c r="X404" s="65"/>
      <c r="Y404" s="65"/>
      <c r="Z404" s="65"/>
      <c r="AA404" s="65"/>
      <c r="AB404" s="65"/>
      <c r="AC404" s="65"/>
      <c r="AD404" s="65"/>
      <c r="AE404" s="65"/>
      <c r="AF404" s="65"/>
      <c r="AG404" s="65"/>
      <c r="AH404" s="65"/>
      <c r="AI404" s="65"/>
      <c r="AJ404" s="65"/>
      <c r="AK404" s="65"/>
      <c r="AL404" s="65"/>
      <c r="AM404" s="65"/>
      <c r="AN404" s="65"/>
    </row>
    <row r="405" spans="10:40" ht="14.5" x14ac:dyDescent="0.35">
      <c r="J405" s="65"/>
      <c r="K405" s="65"/>
      <c r="L405" s="65"/>
      <c r="M405" s="65"/>
      <c r="N405" s="65"/>
      <c r="O405" s="65"/>
      <c r="P405" s="65"/>
      <c r="Q405" s="65"/>
      <c r="R405" s="65"/>
      <c r="S405" s="65"/>
      <c r="T405" s="65"/>
      <c r="U405" s="65"/>
      <c r="V405" s="65"/>
      <c r="W405" s="65"/>
      <c r="X405" s="65"/>
      <c r="Y405" s="65"/>
      <c r="Z405" s="65"/>
      <c r="AA405" s="65"/>
      <c r="AB405" s="65"/>
      <c r="AC405" s="65"/>
      <c r="AD405" s="65"/>
      <c r="AE405" s="65"/>
      <c r="AF405" s="65"/>
      <c r="AG405" s="65"/>
      <c r="AH405" s="65"/>
      <c r="AI405" s="65"/>
      <c r="AJ405" s="65"/>
      <c r="AK405" s="65"/>
      <c r="AL405" s="65"/>
      <c r="AM405" s="65"/>
      <c r="AN405" s="65"/>
    </row>
    <row r="406" spans="10:40" ht="14.5" x14ac:dyDescent="0.35">
      <c r="J406" s="65"/>
      <c r="K406" s="65"/>
      <c r="L406" s="65"/>
      <c r="M406" s="65"/>
      <c r="N406" s="65"/>
      <c r="O406" s="65"/>
      <c r="P406" s="65"/>
      <c r="Q406" s="65"/>
      <c r="R406" s="65"/>
      <c r="S406" s="65"/>
      <c r="T406" s="65"/>
      <c r="U406" s="65"/>
      <c r="V406" s="65"/>
      <c r="W406" s="65"/>
      <c r="X406" s="65"/>
      <c r="Y406" s="65"/>
      <c r="Z406" s="65"/>
      <c r="AA406" s="65"/>
      <c r="AB406" s="65"/>
      <c r="AC406" s="65"/>
      <c r="AD406" s="65"/>
      <c r="AE406" s="65"/>
      <c r="AF406" s="65"/>
      <c r="AG406" s="65"/>
      <c r="AH406" s="65"/>
      <c r="AI406" s="65"/>
      <c r="AJ406" s="65"/>
      <c r="AK406" s="65"/>
      <c r="AL406" s="65"/>
      <c r="AM406" s="65"/>
      <c r="AN406" s="65"/>
    </row>
    <row r="407" spans="10:40" ht="14.5" x14ac:dyDescent="0.35">
      <c r="J407" s="65"/>
      <c r="K407" s="65"/>
      <c r="L407" s="65"/>
      <c r="M407" s="65"/>
      <c r="N407" s="65"/>
      <c r="O407" s="65"/>
      <c r="P407" s="65"/>
      <c r="Q407" s="65"/>
      <c r="R407" s="65"/>
      <c r="S407" s="65"/>
      <c r="T407" s="65"/>
      <c r="U407" s="65"/>
      <c r="V407" s="65"/>
      <c r="W407" s="65"/>
      <c r="X407" s="65"/>
      <c r="Y407" s="65"/>
      <c r="Z407" s="65"/>
      <c r="AA407" s="65"/>
      <c r="AB407" s="65"/>
      <c r="AC407" s="65"/>
      <c r="AD407" s="65"/>
      <c r="AE407" s="65"/>
      <c r="AF407" s="65"/>
      <c r="AG407" s="65"/>
      <c r="AH407" s="65"/>
      <c r="AI407" s="65"/>
      <c r="AJ407" s="65"/>
      <c r="AK407" s="65"/>
      <c r="AL407" s="65"/>
      <c r="AM407" s="65"/>
      <c r="AN407" s="65"/>
    </row>
    <row r="408" spans="10:40" ht="14.5" x14ac:dyDescent="0.35">
      <c r="J408" s="65"/>
      <c r="K408" s="65"/>
      <c r="L408" s="65"/>
      <c r="M408" s="65"/>
      <c r="N408" s="65"/>
      <c r="O408" s="65"/>
      <c r="P408" s="65"/>
      <c r="Q408" s="65"/>
      <c r="R408" s="65"/>
      <c r="S408" s="65"/>
      <c r="T408" s="65"/>
      <c r="U408" s="65"/>
      <c r="V408" s="65"/>
      <c r="W408" s="65"/>
      <c r="X408" s="65"/>
      <c r="Y408" s="65"/>
      <c r="Z408" s="65"/>
      <c r="AA408" s="65"/>
      <c r="AB408" s="65"/>
      <c r="AC408" s="65"/>
      <c r="AD408" s="65"/>
      <c r="AE408" s="65"/>
      <c r="AF408" s="65"/>
      <c r="AG408" s="65"/>
      <c r="AH408" s="65"/>
      <c r="AI408" s="65"/>
      <c r="AJ408" s="65"/>
      <c r="AK408" s="65"/>
      <c r="AL408" s="65"/>
      <c r="AM408" s="65"/>
      <c r="AN408" s="65"/>
    </row>
    <row r="409" spans="10:40" ht="14.5" x14ac:dyDescent="0.35">
      <c r="J409" s="65"/>
      <c r="K409" s="65"/>
      <c r="L409" s="65"/>
      <c r="M409" s="65"/>
      <c r="N409" s="65"/>
      <c r="O409" s="65"/>
      <c r="P409" s="65"/>
      <c r="Q409" s="65"/>
      <c r="R409" s="65"/>
      <c r="S409" s="65"/>
      <c r="T409" s="65"/>
      <c r="U409" s="65"/>
      <c r="V409" s="65"/>
      <c r="W409" s="65"/>
      <c r="X409" s="65"/>
      <c r="Y409" s="65"/>
      <c r="Z409" s="65"/>
      <c r="AA409" s="65"/>
      <c r="AB409" s="65"/>
      <c r="AC409" s="65"/>
      <c r="AD409" s="65"/>
      <c r="AE409" s="65"/>
      <c r="AF409" s="65"/>
      <c r="AG409" s="65"/>
      <c r="AH409" s="65"/>
      <c r="AI409" s="65"/>
      <c r="AJ409" s="65"/>
      <c r="AK409" s="65"/>
      <c r="AL409" s="65"/>
      <c r="AM409" s="65"/>
      <c r="AN409" s="65"/>
    </row>
    <row r="410" spans="10:40" ht="14.5" x14ac:dyDescent="0.35">
      <c r="J410" s="65"/>
      <c r="K410" s="65"/>
      <c r="L410" s="65"/>
      <c r="M410" s="65"/>
      <c r="N410" s="65"/>
      <c r="O410" s="65"/>
      <c r="P410" s="65"/>
      <c r="Q410" s="65"/>
      <c r="R410" s="65"/>
      <c r="S410" s="65"/>
      <c r="T410" s="65"/>
      <c r="U410" s="65"/>
      <c r="V410" s="65"/>
      <c r="W410" s="65"/>
      <c r="X410" s="65"/>
      <c r="Y410" s="65"/>
      <c r="Z410" s="65"/>
      <c r="AA410" s="65"/>
      <c r="AB410" s="65"/>
      <c r="AC410" s="65"/>
      <c r="AD410" s="65"/>
      <c r="AE410" s="65"/>
      <c r="AF410" s="65"/>
      <c r="AG410" s="65"/>
      <c r="AH410" s="65"/>
      <c r="AI410" s="65"/>
      <c r="AJ410" s="65"/>
      <c r="AK410" s="65"/>
      <c r="AL410" s="65"/>
      <c r="AM410" s="65"/>
      <c r="AN410" s="65"/>
    </row>
    <row r="411" spans="10:40" ht="14.5" x14ac:dyDescent="0.35">
      <c r="J411" s="65"/>
      <c r="K411" s="65"/>
      <c r="L411" s="65"/>
      <c r="M411" s="65"/>
      <c r="N411" s="65"/>
      <c r="O411" s="65"/>
      <c r="P411" s="65"/>
      <c r="Q411" s="65"/>
      <c r="R411" s="65"/>
      <c r="S411" s="65"/>
      <c r="T411" s="65"/>
      <c r="U411" s="65"/>
      <c r="V411" s="65"/>
      <c r="W411" s="65"/>
      <c r="X411" s="65"/>
      <c r="Y411" s="65"/>
      <c r="Z411" s="65"/>
      <c r="AA411" s="65"/>
      <c r="AB411" s="65"/>
      <c r="AC411" s="65"/>
      <c r="AD411" s="65"/>
      <c r="AE411" s="65"/>
      <c r="AF411" s="65"/>
      <c r="AG411" s="65"/>
      <c r="AH411" s="65"/>
      <c r="AI411" s="65"/>
      <c r="AJ411" s="65"/>
      <c r="AK411" s="65"/>
      <c r="AL411" s="65"/>
      <c r="AM411" s="65"/>
      <c r="AN411" s="65"/>
    </row>
    <row r="412" spans="10:40" ht="14.5" x14ac:dyDescent="0.35">
      <c r="J412" s="65"/>
      <c r="K412" s="65"/>
      <c r="L412" s="65"/>
      <c r="M412" s="65"/>
      <c r="N412" s="65"/>
      <c r="O412" s="65"/>
      <c r="P412" s="65"/>
      <c r="Q412" s="65"/>
      <c r="R412" s="65"/>
      <c r="S412" s="65"/>
      <c r="T412" s="65"/>
      <c r="U412" s="65"/>
      <c r="V412" s="65"/>
      <c r="W412" s="65"/>
      <c r="X412" s="65"/>
      <c r="Y412" s="65"/>
      <c r="Z412" s="65"/>
      <c r="AA412" s="65"/>
      <c r="AB412" s="65"/>
      <c r="AC412" s="65"/>
      <c r="AD412" s="65"/>
      <c r="AE412" s="65"/>
      <c r="AF412" s="65"/>
      <c r="AG412" s="65"/>
      <c r="AH412" s="65"/>
      <c r="AI412" s="65"/>
      <c r="AJ412" s="65"/>
      <c r="AK412" s="65"/>
      <c r="AL412" s="65"/>
      <c r="AM412" s="65"/>
      <c r="AN412" s="65"/>
    </row>
    <row r="413" spans="10:40" ht="14.5" x14ac:dyDescent="0.35">
      <c r="J413" s="65"/>
      <c r="K413" s="65"/>
      <c r="L413" s="65"/>
      <c r="M413" s="65"/>
      <c r="N413" s="65"/>
      <c r="O413" s="65"/>
      <c r="P413" s="65"/>
      <c r="Q413" s="65"/>
      <c r="R413" s="65"/>
      <c r="S413" s="65"/>
      <c r="T413" s="65"/>
      <c r="U413" s="65"/>
      <c r="V413" s="65"/>
      <c r="W413" s="65"/>
      <c r="X413" s="65"/>
      <c r="Y413" s="65"/>
      <c r="Z413" s="65"/>
      <c r="AA413" s="65"/>
      <c r="AB413" s="65"/>
      <c r="AC413" s="65"/>
      <c r="AD413" s="65"/>
      <c r="AE413" s="65"/>
      <c r="AF413" s="65"/>
      <c r="AG413" s="65"/>
      <c r="AH413" s="65"/>
      <c r="AI413" s="65"/>
      <c r="AJ413" s="65"/>
      <c r="AK413" s="65"/>
      <c r="AL413" s="65"/>
      <c r="AM413" s="65"/>
      <c r="AN413" s="65"/>
    </row>
    <row r="414" spans="10:40" ht="14.5" x14ac:dyDescent="0.35">
      <c r="J414" s="65"/>
      <c r="K414" s="65"/>
      <c r="L414" s="65"/>
      <c r="M414" s="65"/>
      <c r="N414" s="65"/>
      <c r="O414" s="65"/>
      <c r="P414" s="65"/>
      <c r="Q414" s="65"/>
      <c r="R414" s="65"/>
      <c r="S414" s="65"/>
      <c r="T414" s="65"/>
      <c r="U414" s="65"/>
      <c r="V414" s="65"/>
      <c r="W414" s="65"/>
      <c r="X414" s="65"/>
      <c r="Y414" s="65"/>
      <c r="Z414" s="65"/>
      <c r="AA414" s="65"/>
      <c r="AB414" s="65"/>
      <c r="AC414" s="65"/>
      <c r="AD414" s="65"/>
      <c r="AE414" s="65"/>
      <c r="AF414" s="65"/>
      <c r="AG414" s="65"/>
      <c r="AH414" s="65"/>
      <c r="AI414" s="65"/>
      <c r="AJ414" s="65"/>
      <c r="AK414" s="65"/>
      <c r="AL414" s="65"/>
      <c r="AM414" s="65"/>
      <c r="AN414" s="65"/>
    </row>
    <row r="415" spans="10:40" ht="14.5" x14ac:dyDescent="0.35">
      <c r="J415" s="65"/>
      <c r="K415" s="65"/>
      <c r="L415" s="65"/>
      <c r="M415" s="65"/>
      <c r="N415" s="65"/>
      <c r="O415" s="65"/>
      <c r="P415" s="65"/>
      <c r="Q415" s="65"/>
      <c r="R415" s="65"/>
      <c r="S415" s="65"/>
      <c r="T415" s="65"/>
      <c r="U415" s="65"/>
      <c r="V415" s="65"/>
      <c r="W415" s="65"/>
      <c r="X415" s="65"/>
      <c r="Y415" s="65"/>
      <c r="Z415" s="65"/>
      <c r="AA415" s="65"/>
      <c r="AB415" s="65"/>
      <c r="AC415" s="65"/>
      <c r="AD415" s="65"/>
      <c r="AE415" s="65"/>
      <c r="AF415" s="65"/>
      <c r="AG415" s="65"/>
      <c r="AH415" s="65"/>
      <c r="AI415" s="65"/>
      <c r="AJ415" s="65"/>
      <c r="AK415" s="65"/>
      <c r="AL415" s="65"/>
      <c r="AM415" s="65"/>
      <c r="AN415" s="65"/>
    </row>
    <row r="416" spans="10:40" ht="14.5" x14ac:dyDescent="0.35">
      <c r="J416" s="65"/>
      <c r="K416" s="65"/>
      <c r="L416" s="65"/>
      <c r="M416" s="65"/>
      <c r="N416" s="65"/>
      <c r="O416" s="65"/>
      <c r="P416" s="65"/>
      <c r="Q416" s="65"/>
      <c r="R416" s="65"/>
      <c r="S416" s="65"/>
      <c r="T416" s="65"/>
      <c r="U416" s="65"/>
      <c r="V416" s="65"/>
      <c r="W416" s="65"/>
      <c r="X416" s="65"/>
      <c r="Y416" s="65"/>
      <c r="Z416" s="65"/>
      <c r="AA416" s="65"/>
      <c r="AB416" s="65"/>
      <c r="AC416" s="65"/>
      <c r="AD416" s="65"/>
      <c r="AE416" s="65"/>
      <c r="AF416" s="65"/>
      <c r="AG416" s="65"/>
      <c r="AH416" s="65"/>
      <c r="AI416" s="65"/>
      <c r="AJ416" s="65"/>
      <c r="AK416" s="65"/>
      <c r="AL416" s="65"/>
      <c r="AM416" s="65"/>
      <c r="AN416" s="65"/>
    </row>
    <row r="417" spans="10:40" ht="14.5" x14ac:dyDescent="0.35">
      <c r="J417" s="65"/>
      <c r="K417" s="65"/>
      <c r="L417" s="65"/>
      <c r="M417" s="65"/>
      <c r="N417" s="65"/>
      <c r="O417" s="65"/>
      <c r="P417" s="65"/>
      <c r="Q417" s="65"/>
      <c r="R417" s="65"/>
      <c r="S417" s="65"/>
      <c r="T417" s="65"/>
      <c r="U417" s="65"/>
      <c r="V417" s="65"/>
      <c r="W417" s="65"/>
      <c r="X417" s="65"/>
      <c r="Y417" s="65"/>
      <c r="Z417" s="65"/>
      <c r="AA417" s="65"/>
      <c r="AB417" s="65"/>
      <c r="AC417" s="65"/>
      <c r="AD417" s="65"/>
      <c r="AE417" s="65"/>
      <c r="AF417" s="65"/>
      <c r="AG417" s="65"/>
      <c r="AH417" s="65"/>
      <c r="AI417" s="65"/>
      <c r="AJ417" s="65"/>
      <c r="AK417" s="65"/>
      <c r="AL417" s="65"/>
      <c r="AM417" s="65"/>
      <c r="AN417" s="65"/>
    </row>
    <row r="418" spans="10:40" ht="14.5" x14ac:dyDescent="0.35">
      <c r="J418" s="65"/>
      <c r="K418" s="65"/>
      <c r="L418" s="65"/>
      <c r="M418" s="65"/>
      <c r="N418" s="65"/>
      <c r="O418" s="65"/>
      <c r="P418" s="65"/>
      <c r="Q418" s="65"/>
      <c r="R418" s="65"/>
      <c r="S418" s="65"/>
      <c r="T418" s="65"/>
      <c r="U418" s="65"/>
      <c r="V418" s="65"/>
      <c r="W418" s="65"/>
      <c r="X418" s="65"/>
      <c r="Y418" s="65"/>
      <c r="Z418" s="65"/>
      <c r="AA418" s="65"/>
      <c r="AB418" s="65"/>
      <c r="AC418" s="65"/>
      <c r="AD418" s="65"/>
      <c r="AE418" s="65"/>
      <c r="AF418" s="65"/>
      <c r="AG418" s="65"/>
      <c r="AH418" s="65"/>
      <c r="AI418" s="65"/>
      <c r="AJ418" s="65"/>
      <c r="AK418" s="65"/>
      <c r="AL418" s="65"/>
      <c r="AM418" s="65"/>
      <c r="AN418" s="65"/>
    </row>
    <row r="419" spans="10:40" ht="14.5" x14ac:dyDescent="0.35">
      <c r="J419" s="65"/>
      <c r="K419" s="65"/>
      <c r="L419" s="65"/>
      <c r="M419" s="65"/>
      <c r="N419" s="65"/>
      <c r="O419" s="65"/>
      <c r="P419" s="65"/>
      <c r="Q419" s="65"/>
      <c r="R419" s="65"/>
      <c r="S419" s="65"/>
      <c r="T419" s="65"/>
      <c r="U419" s="65"/>
      <c r="V419" s="65"/>
      <c r="W419" s="65"/>
      <c r="X419" s="65"/>
      <c r="Y419" s="65"/>
      <c r="Z419" s="65"/>
      <c r="AA419" s="65"/>
      <c r="AB419" s="65"/>
      <c r="AC419" s="65"/>
      <c r="AD419" s="65"/>
      <c r="AE419" s="65"/>
      <c r="AF419" s="65"/>
      <c r="AG419" s="65"/>
      <c r="AH419" s="65"/>
      <c r="AI419" s="65"/>
      <c r="AJ419" s="65"/>
      <c r="AK419" s="65"/>
      <c r="AL419" s="65"/>
      <c r="AM419" s="65"/>
      <c r="AN419" s="65"/>
    </row>
    <row r="420" spans="10:40" ht="14.5" x14ac:dyDescent="0.35">
      <c r="J420" s="65"/>
      <c r="K420" s="65"/>
      <c r="L420" s="65"/>
      <c r="M420" s="65"/>
      <c r="N420" s="65"/>
      <c r="O420" s="65"/>
      <c r="P420" s="65"/>
      <c r="Q420" s="65"/>
      <c r="R420" s="65"/>
      <c r="S420" s="65"/>
      <c r="T420" s="65"/>
      <c r="U420" s="65"/>
      <c r="V420" s="65"/>
      <c r="W420" s="65"/>
      <c r="X420" s="65"/>
      <c r="Y420" s="65"/>
      <c r="Z420" s="65"/>
      <c r="AA420" s="65"/>
      <c r="AB420" s="65"/>
      <c r="AC420" s="65"/>
      <c r="AD420" s="65"/>
      <c r="AE420" s="65"/>
      <c r="AF420" s="65"/>
      <c r="AG420" s="65"/>
      <c r="AH420" s="65"/>
      <c r="AI420" s="65"/>
      <c r="AJ420" s="65"/>
      <c r="AK420" s="65"/>
      <c r="AL420" s="65"/>
      <c r="AM420" s="65"/>
      <c r="AN420" s="65"/>
    </row>
    <row r="421" spans="10:40" ht="14.5" x14ac:dyDescent="0.35">
      <c r="J421" s="65"/>
      <c r="K421" s="65"/>
      <c r="L421" s="65"/>
      <c r="M421" s="65"/>
      <c r="N421" s="65"/>
      <c r="O421" s="65"/>
      <c r="P421" s="65"/>
      <c r="Q421" s="65"/>
      <c r="R421" s="65"/>
      <c r="S421" s="65"/>
      <c r="T421" s="65"/>
      <c r="U421" s="65"/>
      <c r="V421" s="65"/>
      <c r="W421" s="65"/>
      <c r="X421" s="65"/>
      <c r="Y421" s="65"/>
      <c r="Z421" s="65"/>
      <c r="AA421" s="65"/>
      <c r="AB421" s="65"/>
      <c r="AC421" s="65"/>
      <c r="AD421" s="65"/>
      <c r="AE421" s="65"/>
      <c r="AF421" s="65"/>
      <c r="AG421" s="65"/>
      <c r="AH421" s="65"/>
      <c r="AI421" s="65"/>
      <c r="AJ421" s="65"/>
      <c r="AK421" s="65"/>
      <c r="AL421" s="65"/>
      <c r="AM421" s="65"/>
      <c r="AN421" s="65"/>
    </row>
    <row r="422" spans="10:40" ht="14.5" x14ac:dyDescent="0.35">
      <c r="J422" s="65"/>
      <c r="K422" s="65"/>
      <c r="L422" s="65"/>
      <c r="M422" s="65"/>
      <c r="N422" s="65"/>
      <c r="O422" s="65"/>
      <c r="P422" s="65"/>
      <c r="Q422" s="65"/>
      <c r="R422" s="65"/>
      <c r="S422" s="65"/>
      <c r="T422" s="65"/>
      <c r="U422" s="65"/>
      <c r="V422" s="65"/>
      <c r="W422" s="65"/>
      <c r="X422" s="65"/>
      <c r="Y422" s="65"/>
      <c r="Z422" s="65"/>
      <c r="AA422" s="65"/>
      <c r="AB422" s="65"/>
      <c r="AC422" s="65"/>
      <c r="AD422" s="65"/>
      <c r="AE422" s="65"/>
      <c r="AF422" s="65"/>
      <c r="AG422" s="65"/>
      <c r="AH422" s="65"/>
      <c r="AI422" s="65"/>
      <c r="AJ422" s="65"/>
      <c r="AK422" s="65"/>
      <c r="AL422" s="65"/>
      <c r="AM422" s="65"/>
      <c r="AN422" s="65"/>
    </row>
    <row r="423" spans="10:40" ht="14.5" x14ac:dyDescent="0.35">
      <c r="J423" s="65"/>
      <c r="K423" s="65"/>
      <c r="L423" s="65"/>
      <c r="M423" s="65"/>
      <c r="N423" s="65"/>
      <c r="O423" s="65"/>
      <c r="P423" s="65"/>
      <c r="Q423" s="65"/>
      <c r="R423" s="65"/>
      <c r="S423" s="65"/>
      <c r="T423" s="65"/>
      <c r="U423" s="65"/>
      <c r="V423" s="65"/>
      <c r="W423" s="65"/>
      <c r="X423" s="65"/>
      <c r="Y423" s="65"/>
      <c r="Z423" s="65"/>
      <c r="AA423" s="65"/>
      <c r="AB423" s="65"/>
      <c r="AC423" s="65"/>
      <c r="AD423" s="65"/>
      <c r="AE423" s="65"/>
      <c r="AF423" s="65"/>
      <c r="AG423" s="65"/>
      <c r="AH423" s="65"/>
      <c r="AI423" s="65"/>
      <c r="AJ423" s="65"/>
      <c r="AK423" s="65"/>
      <c r="AL423" s="65"/>
      <c r="AM423" s="65"/>
      <c r="AN423" s="65"/>
    </row>
    <row r="424" spans="10:40" ht="14.5" x14ac:dyDescent="0.35">
      <c r="J424" s="65"/>
      <c r="K424" s="65"/>
      <c r="L424" s="65"/>
      <c r="M424" s="65"/>
      <c r="N424" s="65"/>
      <c r="O424" s="65"/>
      <c r="P424" s="65"/>
      <c r="Q424" s="65"/>
      <c r="R424" s="65"/>
      <c r="S424" s="65"/>
      <c r="T424" s="65"/>
      <c r="U424" s="65"/>
      <c r="V424" s="65"/>
      <c r="W424" s="65"/>
      <c r="X424" s="65"/>
      <c r="Y424" s="65"/>
      <c r="Z424" s="65"/>
      <c r="AA424" s="65"/>
      <c r="AB424" s="65"/>
      <c r="AC424" s="65"/>
      <c r="AD424" s="65"/>
      <c r="AE424" s="65"/>
      <c r="AF424" s="65"/>
      <c r="AG424" s="65"/>
      <c r="AH424" s="65"/>
      <c r="AI424" s="65"/>
      <c r="AJ424" s="65"/>
      <c r="AK424" s="65"/>
      <c r="AL424" s="65"/>
      <c r="AM424" s="65"/>
      <c r="AN424" s="65"/>
    </row>
    <row r="425" spans="10:40" ht="14.5" x14ac:dyDescent="0.35">
      <c r="J425" s="65"/>
      <c r="K425" s="65"/>
      <c r="L425" s="65"/>
      <c r="M425" s="65"/>
      <c r="N425" s="65"/>
      <c r="O425" s="65"/>
      <c r="P425" s="65"/>
      <c r="Q425" s="65"/>
      <c r="R425" s="65"/>
      <c r="S425" s="65"/>
      <c r="T425" s="65"/>
      <c r="U425" s="65"/>
      <c r="V425" s="65"/>
      <c r="W425" s="65"/>
      <c r="X425" s="65"/>
      <c r="Y425" s="65"/>
      <c r="Z425" s="65"/>
      <c r="AA425" s="65"/>
      <c r="AB425" s="65"/>
      <c r="AC425" s="65"/>
      <c r="AD425" s="65"/>
      <c r="AE425" s="65"/>
      <c r="AF425" s="65"/>
      <c r="AG425" s="65"/>
      <c r="AH425" s="65"/>
      <c r="AI425" s="65"/>
      <c r="AJ425" s="65"/>
      <c r="AK425" s="65"/>
      <c r="AL425" s="65"/>
      <c r="AM425" s="65"/>
      <c r="AN425" s="65"/>
    </row>
    <row r="426" spans="10:40" ht="14.5" x14ac:dyDescent="0.35">
      <c r="J426" s="65"/>
      <c r="K426" s="65"/>
      <c r="L426" s="65"/>
      <c r="M426" s="65"/>
      <c r="N426" s="65"/>
      <c r="O426" s="65"/>
      <c r="P426" s="65"/>
      <c r="Q426" s="65"/>
      <c r="R426" s="65"/>
      <c r="S426" s="65"/>
      <c r="T426" s="65"/>
      <c r="U426" s="65"/>
      <c r="V426" s="65"/>
      <c r="W426" s="65"/>
      <c r="X426" s="65"/>
      <c r="Y426" s="65"/>
      <c r="Z426" s="65"/>
      <c r="AA426" s="65"/>
      <c r="AB426" s="65"/>
      <c r="AC426" s="65"/>
      <c r="AD426" s="65"/>
      <c r="AE426" s="65"/>
      <c r="AF426" s="65"/>
      <c r="AG426" s="65"/>
      <c r="AH426" s="65"/>
      <c r="AI426" s="65"/>
      <c r="AJ426" s="65"/>
      <c r="AK426" s="65"/>
      <c r="AL426" s="65"/>
      <c r="AM426" s="65"/>
      <c r="AN426" s="65"/>
    </row>
    <row r="427" spans="10:40" ht="14.5" x14ac:dyDescent="0.35">
      <c r="J427" s="65"/>
      <c r="K427" s="65"/>
      <c r="L427" s="65"/>
      <c r="M427" s="65"/>
      <c r="N427" s="65"/>
      <c r="O427" s="65"/>
      <c r="P427" s="65"/>
      <c r="Q427" s="65"/>
      <c r="R427" s="65"/>
      <c r="S427" s="65"/>
      <c r="T427" s="65"/>
      <c r="U427" s="65"/>
      <c r="V427" s="65"/>
      <c r="W427" s="65"/>
      <c r="X427" s="65"/>
      <c r="Y427" s="65"/>
      <c r="Z427" s="65"/>
      <c r="AA427" s="65"/>
      <c r="AB427" s="65"/>
      <c r="AC427" s="65"/>
      <c r="AD427" s="65"/>
      <c r="AE427" s="65"/>
      <c r="AF427" s="65"/>
      <c r="AG427" s="65"/>
      <c r="AH427" s="65"/>
      <c r="AI427" s="65"/>
      <c r="AJ427" s="65"/>
      <c r="AK427" s="65"/>
      <c r="AL427" s="65"/>
      <c r="AM427" s="65"/>
      <c r="AN427" s="65"/>
    </row>
    <row r="428" spans="10:40" ht="14.5" x14ac:dyDescent="0.35">
      <c r="J428" s="65"/>
      <c r="K428" s="65"/>
      <c r="L428" s="65"/>
      <c r="M428" s="65"/>
      <c r="N428" s="65"/>
      <c r="O428" s="65"/>
      <c r="P428" s="65"/>
      <c r="Q428" s="65"/>
      <c r="R428" s="65"/>
      <c r="S428" s="65"/>
      <c r="T428" s="65"/>
      <c r="U428" s="65"/>
      <c r="V428" s="65"/>
      <c r="W428" s="65"/>
      <c r="X428" s="65"/>
      <c r="Y428" s="65"/>
      <c r="Z428" s="65"/>
      <c r="AA428" s="65"/>
      <c r="AB428" s="65"/>
      <c r="AC428" s="65"/>
      <c r="AD428" s="65"/>
      <c r="AE428" s="65"/>
      <c r="AF428" s="65"/>
      <c r="AG428" s="65"/>
      <c r="AH428" s="65"/>
      <c r="AI428" s="65"/>
      <c r="AJ428" s="65"/>
      <c r="AK428" s="65"/>
      <c r="AL428" s="65"/>
      <c r="AM428" s="65"/>
      <c r="AN428" s="65"/>
    </row>
    <row r="429" spans="10:40" ht="14.5" x14ac:dyDescent="0.35">
      <c r="J429" s="65"/>
      <c r="K429" s="65"/>
      <c r="L429" s="65"/>
      <c r="M429" s="65"/>
      <c r="N429" s="65"/>
      <c r="O429" s="65"/>
      <c r="P429" s="65"/>
      <c r="Q429" s="65"/>
      <c r="R429" s="65"/>
      <c r="S429" s="65"/>
      <c r="T429" s="65"/>
      <c r="U429" s="65"/>
      <c r="V429" s="65"/>
      <c r="W429" s="65"/>
      <c r="X429" s="65"/>
      <c r="Y429" s="65"/>
      <c r="Z429" s="65"/>
      <c r="AA429" s="65"/>
      <c r="AB429" s="65"/>
      <c r="AC429" s="65"/>
      <c r="AD429" s="65"/>
      <c r="AE429" s="65"/>
      <c r="AF429" s="65"/>
      <c r="AG429" s="65"/>
      <c r="AH429" s="65"/>
      <c r="AI429" s="65"/>
      <c r="AJ429" s="65"/>
      <c r="AK429" s="65"/>
      <c r="AL429" s="65"/>
      <c r="AM429" s="65"/>
      <c r="AN429" s="65"/>
    </row>
    <row r="430" spans="10:40" ht="14.5" x14ac:dyDescent="0.35">
      <c r="J430" s="65"/>
      <c r="K430" s="65"/>
      <c r="L430" s="65"/>
      <c r="M430" s="65"/>
      <c r="N430" s="65"/>
      <c r="O430" s="65"/>
      <c r="P430" s="65"/>
      <c r="Q430" s="65"/>
      <c r="R430" s="65"/>
      <c r="S430" s="65"/>
      <c r="T430" s="65"/>
      <c r="U430" s="65"/>
      <c r="V430" s="65"/>
      <c r="W430" s="65"/>
      <c r="X430" s="65"/>
      <c r="Y430" s="65"/>
      <c r="Z430" s="65"/>
      <c r="AA430" s="65"/>
      <c r="AB430" s="65"/>
      <c r="AC430" s="65"/>
      <c r="AD430" s="65"/>
      <c r="AE430" s="65"/>
      <c r="AF430" s="65"/>
      <c r="AG430" s="65"/>
      <c r="AH430" s="65"/>
      <c r="AI430" s="65"/>
      <c r="AJ430" s="65"/>
      <c r="AK430" s="65"/>
      <c r="AL430" s="65"/>
      <c r="AM430" s="65"/>
      <c r="AN430" s="65"/>
    </row>
    <row r="431" spans="10:40" ht="14.5" x14ac:dyDescent="0.35">
      <c r="J431" s="65"/>
      <c r="K431" s="65"/>
      <c r="L431" s="65"/>
      <c r="M431" s="65"/>
      <c r="N431" s="65"/>
      <c r="O431" s="65"/>
      <c r="P431" s="65"/>
      <c r="Q431" s="65"/>
      <c r="R431" s="65"/>
      <c r="S431" s="65"/>
      <c r="T431" s="65"/>
      <c r="U431" s="65"/>
      <c r="V431" s="65"/>
      <c r="W431" s="65"/>
      <c r="X431" s="65"/>
      <c r="Y431" s="65"/>
      <c r="Z431" s="65"/>
      <c r="AA431" s="65"/>
      <c r="AB431" s="65"/>
      <c r="AC431" s="65"/>
      <c r="AD431" s="65"/>
      <c r="AE431" s="65"/>
      <c r="AF431" s="65"/>
      <c r="AG431" s="65"/>
      <c r="AH431" s="65"/>
      <c r="AI431" s="65"/>
      <c r="AJ431" s="65"/>
      <c r="AK431" s="65"/>
      <c r="AL431" s="65"/>
      <c r="AM431" s="65"/>
      <c r="AN431" s="65"/>
    </row>
    <row r="432" spans="10:40" ht="14.5" x14ac:dyDescent="0.35">
      <c r="J432" s="65"/>
      <c r="K432" s="65"/>
      <c r="L432" s="65"/>
      <c r="M432" s="65"/>
      <c r="N432" s="65"/>
      <c r="O432" s="65"/>
      <c r="P432" s="65"/>
      <c r="Q432" s="65"/>
      <c r="R432" s="65"/>
      <c r="S432" s="65"/>
      <c r="T432" s="65"/>
      <c r="U432" s="65"/>
      <c r="V432" s="65"/>
      <c r="W432" s="65"/>
      <c r="X432" s="65"/>
      <c r="Y432" s="65"/>
      <c r="Z432" s="65"/>
      <c r="AA432" s="65"/>
      <c r="AB432" s="65"/>
      <c r="AC432" s="65"/>
      <c r="AD432" s="65"/>
      <c r="AE432" s="65"/>
      <c r="AF432" s="65"/>
      <c r="AG432" s="65"/>
      <c r="AH432" s="65"/>
      <c r="AI432" s="65"/>
      <c r="AJ432" s="65"/>
      <c r="AK432" s="65"/>
      <c r="AL432" s="65"/>
      <c r="AM432" s="65"/>
      <c r="AN432" s="65"/>
    </row>
    <row r="433" spans="10:40" ht="14.5" x14ac:dyDescent="0.35">
      <c r="J433" s="65"/>
      <c r="K433" s="65"/>
      <c r="L433" s="65"/>
      <c r="M433" s="65"/>
      <c r="N433" s="65"/>
      <c r="O433" s="65"/>
      <c r="P433" s="65"/>
      <c r="Q433" s="65"/>
      <c r="R433" s="65"/>
      <c r="S433" s="65"/>
      <c r="T433" s="65"/>
      <c r="U433" s="65"/>
      <c r="V433" s="65"/>
      <c r="W433" s="65"/>
      <c r="X433" s="65"/>
      <c r="Y433" s="65"/>
      <c r="Z433" s="65"/>
      <c r="AA433" s="65"/>
      <c r="AB433" s="65"/>
      <c r="AC433" s="65"/>
      <c r="AD433" s="65"/>
      <c r="AE433" s="65"/>
      <c r="AF433" s="65"/>
      <c r="AG433" s="65"/>
      <c r="AH433" s="65"/>
      <c r="AI433" s="65"/>
      <c r="AJ433" s="65"/>
      <c r="AK433" s="65"/>
      <c r="AL433" s="65"/>
      <c r="AM433" s="65"/>
      <c r="AN433" s="65"/>
    </row>
    <row r="434" spans="10:40" ht="14.5" x14ac:dyDescent="0.35">
      <c r="J434" s="65"/>
      <c r="K434" s="65"/>
      <c r="L434" s="65"/>
      <c r="M434" s="65"/>
      <c r="N434" s="65"/>
      <c r="O434" s="65"/>
      <c r="P434" s="65"/>
      <c r="Q434" s="65"/>
      <c r="R434" s="65"/>
      <c r="S434" s="65"/>
      <c r="T434" s="65"/>
      <c r="U434" s="65"/>
      <c r="V434" s="65"/>
      <c r="W434" s="65"/>
      <c r="X434" s="65"/>
      <c r="Y434" s="65"/>
      <c r="Z434" s="65"/>
      <c r="AA434" s="65"/>
      <c r="AB434" s="65"/>
      <c r="AC434" s="65"/>
      <c r="AD434" s="65"/>
      <c r="AE434" s="65"/>
      <c r="AF434" s="65"/>
      <c r="AG434" s="65"/>
      <c r="AH434" s="65"/>
      <c r="AI434" s="65"/>
      <c r="AJ434" s="65"/>
      <c r="AK434" s="65"/>
      <c r="AL434" s="65"/>
      <c r="AM434" s="65"/>
      <c r="AN434" s="65"/>
    </row>
    <row r="435" spans="10:40" ht="14.5" x14ac:dyDescent="0.35">
      <c r="J435" s="65"/>
      <c r="K435" s="65"/>
      <c r="L435" s="65"/>
      <c r="M435" s="65"/>
      <c r="N435" s="65"/>
      <c r="O435" s="65"/>
      <c r="P435" s="65"/>
      <c r="Q435" s="65"/>
      <c r="R435" s="65"/>
      <c r="S435" s="65"/>
      <c r="T435" s="65"/>
      <c r="U435" s="65"/>
      <c r="V435" s="65"/>
      <c r="W435" s="65"/>
      <c r="X435" s="65"/>
      <c r="Y435" s="65"/>
      <c r="Z435" s="65"/>
      <c r="AA435" s="65"/>
      <c r="AB435" s="65"/>
      <c r="AC435" s="65"/>
      <c r="AD435" s="65"/>
      <c r="AE435" s="65"/>
      <c r="AF435" s="65"/>
      <c r="AG435" s="65"/>
      <c r="AH435" s="65"/>
      <c r="AI435" s="65"/>
      <c r="AJ435" s="65"/>
      <c r="AK435" s="65"/>
      <c r="AL435" s="65"/>
      <c r="AM435" s="65"/>
      <c r="AN435" s="65"/>
    </row>
    <row r="436" spans="10:40" ht="14.5" x14ac:dyDescent="0.35">
      <c r="J436" s="65"/>
      <c r="K436" s="65"/>
      <c r="L436" s="65"/>
      <c r="M436" s="65"/>
      <c r="N436" s="65"/>
      <c r="O436" s="65"/>
      <c r="P436" s="65"/>
      <c r="Q436" s="65"/>
      <c r="R436" s="65"/>
      <c r="S436" s="65"/>
      <c r="T436" s="65"/>
      <c r="U436" s="65"/>
      <c r="V436" s="65"/>
      <c r="W436" s="65"/>
      <c r="X436" s="65"/>
      <c r="Y436" s="65"/>
      <c r="Z436" s="65"/>
      <c r="AA436" s="65"/>
      <c r="AB436" s="65"/>
      <c r="AC436" s="65"/>
      <c r="AD436" s="65"/>
      <c r="AE436" s="65"/>
      <c r="AF436" s="65"/>
      <c r="AG436" s="65"/>
      <c r="AH436" s="65"/>
      <c r="AI436" s="65"/>
      <c r="AJ436" s="65"/>
      <c r="AK436" s="65"/>
      <c r="AL436" s="65"/>
      <c r="AM436" s="65"/>
      <c r="AN436" s="65"/>
    </row>
    <row r="437" spans="10:40" ht="14.5" x14ac:dyDescent="0.35">
      <c r="J437" s="65"/>
      <c r="K437" s="65"/>
      <c r="L437" s="65"/>
      <c r="M437" s="65"/>
      <c r="N437" s="65"/>
      <c r="O437" s="65"/>
      <c r="P437" s="65"/>
      <c r="Q437" s="65"/>
      <c r="R437" s="65"/>
      <c r="S437" s="65"/>
      <c r="T437" s="65"/>
      <c r="U437" s="65"/>
      <c r="V437" s="65"/>
      <c r="W437" s="65"/>
      <c r="X437" s="65"/>
      <c r="Y437" s="65"/>
      <c r="Z437" s="65"/>
      <c r="AA437" s="65"/>
      <c r="AB437" s="65"/>
      <c r="AC437" s="65"/>
      <c r="AD437" s="65"/>
      <c r="AE437" s="65"/>
      <c r="AF437" s="65"/>
      <c r="AG437" s="65"/>
      <c r="AH437" s="65"/>
      <c r="AI437" s="65"/>
      <c r="AJ437" s="65"/>
      <c r="AK437" s="65"/>
      <c r="AL437" s="65"/>
      <c r="AM437" s="65"/>
      <c r="AN437" s="65"/>
    </row>
    <row r="438" spans="10:40" ht="14.5" x14ac:dyDescent="0.35">
      <c r="J438" s="65"/>
      <c r="K438" s="65"/>
      <c r="L438" s="65"/>
      <c r="M438" s="65"/>
      <c r="N438" s="65"/>
      <c r="O438" s="65"/>
      <c r="P438" s="65"/>
      <c r="Q438" s="65"/>
      <c r="R438" s="65"/>
      <c r="S438" s="65"/>
      <c r="T438" s="65"/>
      <c r="U438" s="65"/>
      <c r="V438" s="65"/>
      <c r="W438" s="65"/>
      <c r="X438" s="65"/>
      <c r="Y438" s="65"/>
      <c r="Z438" s="65"/>
      <c r="AA438" s="65"/>
      <c r="AB438" s="65"/>
      <c r="AC438" s="65"/>
      <c r="AD438" s="65"/>
      <c r="AE438" s="65"/>
      <c r="AF438" s="65"/>
      <c r="AG438" s="65"/>
      <c r="AH438" s="65"/>
      <c r="AI438" s="65"/>
      <c r="AJ438" s="65"/>
      <c r="AK438" s="65"/>
      <c r="AL438" s="65"/>
      <c r="AM438" s="65"/>
      <c r="AN438" s="65"/>
    </row>
    <row r="439" spans="10:40" ht="14.5" x14ac:dyDescent="0.35">
      <c r="J439" s="65"/>
      <c r="K439" s="65"/>
      <c r="L439" s="65"/>
      <c r="M439" s="65"/>
      <c r="N439" s="65"/>
      <c r="O439" s="65"/>
      <c r="P439" s="65"/>
      <c r="Q439" s="65"/>
      <c r="R439" s="65"/>
      <c r="S439" s="65"/>
      <c r="T439" s="65"/>
      <c r="U439" s="65"/>
      <c r="V439" s="65"/>
      <c r="W439" s="65"/>
      <c r="X439" s="65"/>
      <c r="Y439" s="65"/>
      <c r="Z439" s="65"/>
      <c r="AA439" s="65"/>
      <c r="AB439" s="65"/>
      <c r="AC439" s="65"/>
      <c r="AD439" s="65"/>
      <c r="AE439" s="65"/>
      <c r="AF439" s="65"/>
      <c r="AG439" s="65"/>
      <c r="AH439" s="65"/>
      <c r="AI439" s="65"/>
      <c r="AJ439" s="65"/>
      <c r="AK439" s="65"/>
      <c r="AL439" s="65"/>
      <c r="AM439" s="65"/>
      <c r="AN439" s="65"/>
    </row>
    <row r="440" spans="10:40" ht="14.5" x14ac:dyDescent="0.35">
      <c r="J440" s="65"/>
      <c r="K440" s="65"/>
      <c r="L440" s="65"/>
      <c r="M440" s="65"/>
      <c r="N440" s="65"/>
      <c r="O440" s="65"/>
      <c r="P440" s="65"/>
      <c r="Q440" s="65"/>
      <c r="R440" s="65"/>
      <c r="S440" s="65"/>
      <c r="T440" s="65"/>
      <c r="U440" s="65"/>
      <c r="V440" s="65"/>
      <c r="W440" s="65"/>
      <c r="X440" s="65"/>
      <c r="Y440" s="65"/>
      <c r="Z440" s="65"/>
      <c r="AA440" s="65"/>
      <c r="AB440" s="65"/>
      <c r="AC440" s="65"/>
      <c r="AD440" s="65"/>
      <c r="AE440" s="65"/>
      <c r="AF440" s="65"/>
      <c r="AG440" s="65"/>
      <c r="AH440" s="65"/>
      <c r="AI440" s="65"/>
      <c r="AJ440" s="65"/>
      <c r="AK440" s="65"/>
      <c r="AL440" s="65"/>
      <c r="AM440" s="65"/>
      <c r="AN440" s="65"/>
    </row>
    <row r="441" spans="10:40" ht="14.5" x14ac:dyDescent="0.35">
      <c r="J441" s="65"/>
      <c r="K441" s="65"/>
      <c r="L441" s="65"/>
      <c r="M441" s="65"/>
      <c r="N441" s="65"/>
      <c r="O441" s="65"/>
      <c r="P441" s="65"/>
      <c r="Q441" s="65"/>
      <c r="R441" s="65"/>
      <c r="S441" s="65"/>
      <c r="T441" s="65"/>
      <c r="U441" s="65"/>
      <c r="V441" s="65"/>
      <c r="W441" s="65"/>
      <c r="X441" s="65"/>
      <c r="Y441" s="65"/>
      <c r="Z441" s="65"/>
      <c r="AA441" s="65"/>
      <c r="AB441" s="65"/>
      <c r="AC441" s="65"/>
      <c r="AD441" s="65"/>
      <c r="AE441" s="65"/>
      <c r="AF441" s="65"/>
      <c r="AG441" s="65"/>
      <c r="AH441" s="65"/>
      <c r="AI441" s="65"/>
      <c r="AJ441" s="65"/>
      <c r="AK441" s="65"/>
      <c r="AL441" s="65"/>
      <c r="AM441" s="65"/>
      <c r="AN441" s="65"/>
    </row>
    <row r="442" spans="10:40" ht="14.5" x14ac:dyDescent="0.35">
      <c r="J442" s="65"/>
      <c r="K442" s="65"/>
      <c r="L442" s="65"/>
      <c r="M442" s="65"/>
      <c r="N442" s="65"/>
      <c r="O442" s="65"/>
      <c r="P442" s="65"/>
      <c r="Q442" s="65"/>
      <c r="R442" s="65"/>
      <c r="S442" s="65"/>
      <c r="T442" s="65"/>
      <c r="U442" s="65"/>
      <c r="V442" s="65"/>
      <c r="W442" s="65"/>
      <c r="X442" s="65"/>
      <c r="Y442" s="65"/>
      <c r="Z442" s="65"/>
      <c r="AA442" s="65"/>
      <c r="AB442" s="65"/>
      <c r="AC442" s="65"/>
      <c r="AD442" s="65"/>
      <c r="AE442" s="65"/>
      <c r="AF442" s="65"/>
      <c r="AG442" s="65"/>
      <c r="AH442" s="65"/>
      <c r="AI442" s="65"/>
      <c r="AJ442" s="65"/>
      <c r="AK442" s="65"/>
      <c r="AL442" s="65"/>
      <c r="AM442" s="65"/>
      <c r="AN442" s="65"/>
    </row>
    <row r="443" spans="10:40" ht="14.5" x14ac:dyDescent="0.35">
      <c r="J443" s="65"/>
      <c r="K443" s="65"/>
      <c r="L443" s="65"/>
      <c r="M443" s="65"/>
      <c r="N443" s="65"/>
      <c r="O443" s="65"/>
      <c r="P443" s="65"/>
      <c r="Q443" s="65"/>
      <c r="R443" s="65"/>
      <c r="S443" s="65"/>
      <c r="T443" s="65"/>
      <c r="U443" s="65"/>
      <c r="V443" s="65"/>
      <c r="W443" s="65"/>
      <c r="X443" s="65"/>
      <c r="Y443" s="65"/>
      <c r="Z443" s="65"/>
      <c r="AA443" s="65"/>
      <c r="AB443" s="65"/>
      <c r="AC443" s="65"/>
      <c r="AD443" s="65"/>
      <c r="AE443" s="65"/>
      <c r="AF443" s="65"/>
      <c r="AG443" s="65"/>
      <c r="AH443" s="65"/>
      <c r="AI443" s="65"/>
      <c r="AJ443" s="65"/>
      <c r="AK443" s="65"/>
      <c r="AL443" s="65"/>
      <c r="AM443" s="65"/>
      <c r="AN443" s="65"/>
    </row>
    <row r="444" spans="10:40" ht="14.5" x14ac:dyDescent="0.35">
      <c r="J444" s="65"/>
      <c r="K444" s="65"/>
      <c r="L444" s="65"/>
      <c r="M444" s="65"/>
      <c r="N444" s="65"/>
      <c r="O444" s="65"/>
      <c r="P444" s="65"/>
      <c r="Q444" s="65"/>
      <c r="R444" s="65"/>
      <c r="S444" s="65"/>
      <c r="T444" s="65"/>
      <c r="U444" s="65"/>
      <c r="V444" s="65"/>
      <c r="W444" s="65"/>
      <c r="X444" s="65"/>
      <c r="Y444" s="65"/>
      <c r="Z444" s="65"/>
      <c r="AA444" s="65"/>
      <c r="AB444" s="65"/>
      <c r="AC444" s="65"/>
      <c r="AD444" s="65"/>
      <c r="AE444" s="65"/>
      <c r="AF444" s="65"/>
      <c r="AG444" s="65"/>
      <c r="AH444" s="65"/>
      <c r="AI444" s="65"/>
      <c r="AJ444" s="65"/>
      <c r="AK444" s="65"/>
      <c r="AL444" s="65"/>
      <c r="AM444" s="65"/>
      <c r="AN444" s="65"/>
    </row>
    <row r="445" spans="10:40" ht="14.5" x14ac:dyDescent="0.35">
      <c r="J445" s="65"/>
      <c r="K445" s="65"/>
      <c r="L445" s="65"/>
      <c r="M445" s="65"/>
      <c r="N445" s="65"/>
      <c r="O445" s="65"/>
      <c r="P445" s="65"/>
      <c r="Q445" s="65"/>
      <c r="R445" s="65"/>
      <c r="S445" s="65"/>
      <c r="T445" s="65"/>
      <c r="U445" s="65"/>
      <c r="V445" s="65"/>
      <c r="W445" s="65"/>
      <c r="X445" s="65"/>
      <c r="Y445" s="65"/>
      <c r="Z445" s="65"/>
      <c r="AA445" s="65"/>
      <c r="AB445" s="65"/>
      <c r="AC445" s="65"/>
      <c r="AD445" s="65"/>
      <c r="AE445" s="65"/>
      <c r="AF445" s="65"/>
      <c r="AG445" s="65"/>
      <c r="AH445" s="65"/>
      <c r="AI445" s="65"/>
      <c r="AJ445" s="65"/>
      <c r="AK445" s="65"/>
      <c r="AL445" s="65"/>
      <c r="AM445" s="65"/>
      <c r="AN445" s="65"/>
    </row>
    <row r="446" spans="10:40" ht="14.5" x14ac:dyDescent="0.35">
      <c r="J446" s="65"/>
      <c r="K446" s="65"/>
      <c r="L446" s="65"/>
      <c r="M446" s="65"/>
      <c r="N446" s="65"/>
      <c r="O446" s="65"/>
      <c r="P446" s="65"/>
      <c r="Q446" s="65"/>
      <c r="R446" s="65"/>
      <c r="S446" s="65"/>
      <c r="T446" s="65"/>
      <c r="U446" s="65"/>
      <c r="V446" s="65"/>
      <c r="W446" s="65"/>
      <c r="X446" s="65"/>
      <c r="Y446" s="65"/>
      <c r="Z446" s="65"/>
      <c r="AA446" s="65"/>
      <c r="AB446" s="65"/>
      <c r="AC446" s="65"/>
      <c r="AD446" s="65"/>
      <c r="AE446" s="65"/>
      <c r="AF446" s="65"/>
      <c r="AG446" s="65"/>
      <c r="AH446" s="65"/>
      <c r="AI446" s="65"/>
      <c r="AJ446" s="65"/>
      <c r="AK446" s="65"/>
      <c r="AL446" s="65"/>
      <c r="AM446" s="65"/>
      <c r="AN446" s="65"/>
    </row>
    <row r="447" spans="10:40" ht="14.5" x14ac:dyDescent="0.35">
      <c r="J447" s="65"/>
      <c r="K447" s="65"/>
      <c r="L447" s="65"/>
      <c r="M447" s="65"/>
      <c r="N447" s="65"/>
      <c r="O447" s="65"/>
      <c r="P447" s="65"/>
      <c r="Q447" s="65"/>
      <c r="R447" s="65"/>
      <c r="S447" s="65"/>
      <c r="T447" s="65"/>
      <c r="U447" s="65"/>
      <c r="V447" s="65"/>
      <c r="W447" s="65"/>
      <c r="X447" s="65"/>
      <c r="Y447" s="65"/>
      <c r="Z447" s="65"/>
      <c r="AA447" s="65"/>
      <c r="AB447" s="65"/>
      <c r="AC447" s="65"/>
      <c r="AD447" s="65"/>
      <c r="AE447" s="65"/>
      <c r="AF447" s="65"/>
      <c r="AG447" s="65"/>
      <c r="AH447" s="65"/>
      <c r="AI447" s="65"/>
      <c r="AJ447" s="65"/>
      <c r="AK447" s="65"/>
      <c r="AL447" s="65"/>
      <c r="AM447" s="65"/>
      <c r="AN447" s="65"/>
    </row>
    <row r="448" spans="10:40" ht="14.5" x14ac:dyDescent="0.35">
      <c r="J448" s="65"/>
      <c r="K448" s="65"/>
      <c r="L448" s="65"/>
      <c r="M448" s="65"/>
      <c r="N448" s="65"/>
      <c r="O448" s="65"/>
      <c r="P448" s="65"/>
      <c r="Q448" s="65"/>
      <c r="R448" s="65"/>
      <c r="S448" s="65"/>
      <c r="T448" s="65"/>
      <c r="U448" s="65"/>
      <c r="V448" s="65"/>
      <c r="W448" s="65"/>
      <c r="X448" s="65"/>
      <c r="Y448" s="65"/>
      <c r="Z448" s="65"/>
      <c r="AA448" s="65"/>
      <c r="AB448" s="65"/>
      <c r="AC448" s="65"/>
      <c r="AD448" s="65"/>
      <c r="AE448" s="65"/>
      <c r="AF448" s="65"/>
      <c r="AG448" s="65"/>
      <c r="AH448" s="65"/>
      <c r="AI448" s="65"/>
      <c r="AJ448" s="65"/>
      <c r="AK448" s="65"/>
      <c r="AL448" s="65"/>
      <c r="AM448" s="65"/>
      <c r="AN448" s="65"/>
    </row>
    <row r="449" spans="10:40" ht="14.5" x14ac:dyDescent="0.35">
      <c r="J449" s="65"/>
      <c r="K449" s="65"/>
      <c r="L449" s="65"/>
      <c r="M449" s="65"/>
      <c r="N449" s="65"/>
      <c r="O449" s="65"/>
      <c r="P449" s="65"/>
      <c r="Q449" s="65"/>
      <c r="R449" s="65"/>
      <c r="S449" s="65"/>
      <c r="T449" s="65"/>
      <c r="U449" s="65"/>
      <c r="V449" s="65"/>
      <c r="W449" s="65"/>
      <c r="X449" s="65"/>
      <c r="Y449" s="65"/>
      <c r="Z449" s="65"/>
      <c r="AA449" s="65"/>
      <c r="AB449" s="65"/>
      <c r="AC449" s="65"/>
      <c r="AD449" s="65"/>
      <c r="AE449" s="65"/>
      <c r="AF449" s="65"/>
      <c r="AG449" s="65"/>
      <c r="AH449" s="65"/>
      <c r="AI449" s="65"/>
      <c r="AJ449" s="65"/>
      <c r="AK449" s="65"/>
      <c r="AL449" s="65"/>
      <c r="AM449" s="65"/>
      <c r="AN449" s="65"/>
    </row>
    <row r="450" spans="10:40" ht="14.5" x14ac:dyDescent="0.35">
      <c r="J450" s="65"/>
      <c r="K450" s="65"/>
      <c r="L450" s="65"/>
      <c r="M450" s="65"/>
      <c r="N450" s="65"/>
      <c r="O450" s="65"/>
      <c r="P450" s="65"/>
      <c r="Q450" s="65"/>
      <c r="R450" s="65"/>
      <c r="S450" s="65"/>
      <c r="T450" s="65"/>
      <c r="U450" s="65"/>
      <c r="V450" s="65"/>
      <c r="W450" s="65"/>
      <c r="X450" s="65"/>
      <c r="Y450" s="65"/>
      <c r="Z450" s="65"/>
      <c r="AA450" s="65"/>
      <c r="AB450" s="65"/>
      <c r="AC450" s="65"/>
      <c r="AD450" s="65"/>
      <c r="AE450" s="65"/>
      <c r="AF450" s="65"/>
      <c r="AG450" s="65"/>
      <c r="AH450" s="65"/>
      <c r="AI450" s="65"/>
      <c r="AJ450" s="65"/>
      <c r="AK450" s="65"/>
      <c r="AL450" s="65"/>
      <c r="AM450" s="65"/>
      <c r="AN450" s="65"/>
    </row>
    <row r="451" spans="10:40" ht="14.5" x14ac:dyDescent="0.35">
      <c r="J451" s="65"/>
      <c r="K451" s="65"/>
      <c r="L451" s="65"/>
      <c r="M451" s="65"/>
      <c r="N451" s="65"/>
      <c r="O451" s="65"/>
      <c r="P451" s="65"/>
      <c r="Q451" s="65"/>
      <c r="R451" s="65"/>
      <c r="S451" s="65"/>
      <c r="T451" s="65"/>
      <c r="U451" s="65"/>
      <c r="V451" s="65"/>
      <c r="W451" s="65"/>
      <c r="X451" s="65"/>
      <c r="Y451" s="65"/>
      <c r="Z451" s="65"/>
      <c r="AA451" s="65"/>
      <c r="AB451" s="65"/>
      <c r="AC451" s="65"/>
      <c r="AD451" s="65"/>
      <c r="AE451" s="65"/>
      <c r="AF451" s="65"/>
      <c r="AG451" s="65"/>
      <c r="AH451" s="65"/>
      <c r="AI451" s="65"/>
      <c r="AJ451" s="65"/>
      <c r="AK451" s="65"/>
      <c r="AL451" s="65"/>
      <c r="AM451" s="65"/>
      <c r="AN451" s="65"/>
    </row>
    <row r="452" spans="10:40" ht="14.5" x14ac:dyDescent="0.35">
      <c r="J452" s="65"/>
      <c r="K452" s="65"/>
      <c r="L452" s="65"/>
      <c r="M452" s="65"/>
      <c r="N452" s="65"/>
      <c r="O452" s="65"/>
      <c r="P452" s="65"/>
      <c r="Q452" s="65"/>
      <c r="R452" s="65"/>
      <c r="S452" s="65"/>
      <c r="T452" s="65"/>
      <c r="U452" s="65"/>
      <c r="V452" s="65"/>
      <c r="W452" s="65"/>
      <c r="X452" s="65"/>
      <c r="Y452" s="65"/>
      <c r="Z452" s="65"/>
      <c r="AA452" s="65"/>
      <c r="AB452" s="65"/>
      <c r="AC452" s="65"/>
      <c r="AD452" s="65"/>
      <c r="AE452" s="65"/>
      <c r="AF452" s="65"/>
      <c r="AG452" s="65"/>
      <c r="AH452" s="65"/>
      <c r="AI452" s="65"/>
      <c r="AJ452" s="65"/>
      <c r="AK452" s="65"/>
      <c r="AL452" s="65"/>
      <c r="AM452" s="65"/>
      <c r="AN452" s="65"/>
    </row>
    <row r="453" spans="10:40" ht="14.5" x14ac:dyDescent="0.35">
      <c r="J453" s="65"/>
      <c r="K453" s="65"/>
      <c r="L453" s="65"/>
      <c r="M453" s="65"/>
      <c r="N453" s="65"/>
      <c r="O453" s="65"/>
      <c r="P453" s="65"/>
      <c r="Q453" s="65"/>
      <c r="R453" s="65"/>
      <c r="S453" s="65"/>
      <c r="T453" s="65"/>
      <c r="U453" s="65"/>
      <c r="V453" s="65"/>
      <c r="W453" s="65"/>
      <c r="X453" s="65"/>
      <c r="Y453" s="65"/>
      <c r="Z453" s="65"/>
      <c r="AA453" s="65"/>
      <c r="AB453" s="65"/>
      <c r="AC453" s="65"/>
      <c r="AD453" s="65"/>
      <c r="AE453" s="65"/>
      <c r="AF453" s="65"/>
      <c r="AG453" s="65"/>
      <c r="AH453" s="65"/>
      <c r="AI453" s="65"/>
      <c r="AJ453" s="65"/>
      <c r="AK453" s="65"/>
      <c r="AL453" s="65"/>
      <c r="AM453" s="65"/>
      <c r="AN453" s="65"/>
    </row>
    <row r="454" spans="10:40" ht="14.5" x14ac:dyDescent="0.35">
      <c r="J454" s="65"/>
      <c r="K454" s="65"/>
      <c r="L454" s="65"/>
      <c r="M454" s="65"/>
      <c r="N454" s="65"/>
      <c r="O454" s="65"/>
      <c r="P454" s="65"/>
      <c r="Q454" s="65"/>
      <c r="R454" s="65"/>
      <c r="S454" s="65"/>
      <c r="T454" s="65"/>
      <c r="U454" s="65"/>
      <c r="V454" s="65"/>
      <c r="W454" s="65"/>
      <c r="X454" s="65"/>
      <c r="Y454" s="65"/>
      <c r="Z454" s="65"/>
      <c r="AA454" s="65"/>
      <c r="AB454" s="65"/>
      <c r="AC454" s="65"/>
      <c r="AD454" s="65"/>
      <c r="AE454" s="65"/>
      <c r="AF454" s="65"/>
      <c r="AG454" s="65"/>
      <c r="AH454" s="65"/>
      <c r="AI454" s="65"/>
      <c r="AJ454" s="65"/>
      <c r="AK454" s="65"/>
      <c r="AL454" s="65"/>
      <c r="AM454" s="65"/>
      <c r="AN454" s="65"/>
    </row>
    <row r="455" spans="10:40" ht="14.5" x14ac:dyDescent="0.35">
      <c r="J455" s="65"/>
      <c r="K455" s="65"/>
      <c r="L455" s="65"/>
      <c r="M455" s="65"/>
      <c r="N455" s="65"/>
      <c r="O455" s="65"/>
      <c r="P455" s="65"/>
      <c r="Q455" s="65"/>
      <c r="R455" s="65"/>
      <c r="S455" s="65"/>
      <c r="T455" s="65"/>
      <c r="U455" s="65"/>
      <c r="V455" s="65"/>
      <c r="W455" s="65"/>
      <c r="X455" s="65"/>
      <c r="Y455" s="65"/>
      <c r="Z455" s="65"/>
      <c r="AA455" s="65"/>
      <c r="AB455" s="65"/>
      <c r="AC455" s="65"/>
      <c r="AD455" s="65"/>
      <c r="AE455" s="65"/>
      <c r="AF455" s="65"/>
      <c r="AG455" s="65"/>
      <c r="AH455" s="65"/>
      <c r="AI455" s="65"/>
      <c r="AJ455" s="65"/>
      <c r="AK455" s="65"/>
      <c r="AL455" s="65"/>
      <c r="AM455" s="65"/>
      <c r="AN455" s="65"/>
    </row>
    <row r="456" spans="10:40" ht="14.5" x14ac:dyDescent="0.35">
      <c r="J456" s="65"/>
      <c r="K456" s="65"/>
      <c r="L456" s="65"/>
      <c r="M456" s="65"/>
      <c r="N456" s="65"/>
      <c r="O456" s="65"/>
      <c r="P456" s="65"/>
      <c r="Q456" s="65"/>
      <c r="R456" s="65"/>
      <c r="S456" s="65"/>
      <c r="T456" s="65"/>
      <c r="U456" s="65"/>
      <c r="V456" s="65"/>
      <c r="W456" s="65"/>
      <c r="X456" s="65"/>
      <c r="Y456" s="65"/>
      <c r="Z456" s="65"/>
      <c r="AA456" s="65"/>
      <c r="AB456" s="65"/>
      <c r="AC456" s="65"/>
      <c r="AD456" s="65"/>
      <c r="AE456" s="65"/>
      <c r="AF456" s="65"/>
      <c r="AG456" s="65"/>
      <c r="AH456" s="65"/>
      <c r="AI456" s="65"/>
      <c r="AJ456" s="65"/>
      <c r="AK456" s="65"/>
      <c r="AL456" s="65"/>
      <c r="AM456" s="65"/>
      <c r="AN456" s="65"/>
    </row>
    <row r="457" spans="10:40" ht="14.5" x14ac:dyDescent="0.35">
      <c r="J457" s="65"/>
      <c r="K457" s="65"/>
      <c r="L457" s="65"/>
      <c r="M457" s="65"/>
      <c r="N457" s="65"/>
      <c r="O457" s="65"/>
      <c r="P457" s="65"/>
      <c r="Q457" s="65"/>
      <c r="R457" s="65"/>
      <c r="S457" s="65"/>
      <c r="T457" s="65"/>
      <c r="U457" s="65"/>
      <c r="V457" s="65"/>
      <c r="W457" s="65"/>
      <c r="X457" s="65"/>
      <c r="Y457" s="65"/>
      <c r="Z457" s="65"/>
      <c r="AA457" s="65"/>
      <c r="AB457" s="65"/>
      <c r="AC457" s="65"/>
      <c r="AD457" s="65"/>
      <c r="AE457" s="65"/>
      <c r="AF457" s="65"/>
      <c r="AG457" s="65"/>
      <c r="AH457" s="65"/>
      <c r="AI457" s="65"/>
      <c r="AJ457" s="65"/>
      <c r="AK457" s="65"/>
      <c r="AL457" s="65"/>
      <c r="AM457" s="65"/>
      <c r="AN457" s="65"/>
    </row>
    <row r="458" spans="10:40" ht="14.5" x14ac:dyDescent="0.35">
      <c r="J458" s="65"/>
      <c r="K458" s="65"/>
      <c r="L458" s="65"/>
      <c r="M458" s="65"/>
      <c r="N458" s="65"/>
      <c r="O458" s="65"/>
      <c r="P458" s="65"/>
      <c r="Q458" s="65"/>
      <c r="R458" s="65"/>
      <c r="S458" s="65"/>
      <c r="T458" s="65"/>
      <c r="U458" s="65"/>
      <c r="V458" s="65"/>
      <c r="W458" s="65"/>
      <c r="X458" s="65"/>
      <c r="Y458" s="65"/>
      <c r="Z458" s="65"/>
      <c r="AA458" s="65"/>
      <c r="AB458" s="65"/>
      <c r="AC458" s="65"/>
      <c r="AD458" s="65"/>
      <c r="AE458" s="65"/>
      <c r="AF458" s="65"/>
      <c r="AG458" s="65"/>
      <c r="AH458" s="65"/>
      <c r="AI458" s="65"/>
      <c r="AJ458" s="65"/>
      <c r="AK458" s="65"/>
      <c r="AL458" s="65"/>
      <c r="AM458" s="65"/>
      <c r="AN458" s="65"/>
    </row>
    <row r="459" spans="10:40" ht="14.5" x14ac:dyDescent="0.35">
      <c r="J459" s="65"/>
      <c r="K459" s="65"/>
      <c r="L459" s="65"/>
      <c r="M459" s="65"/>
      <c r="N459" s="65"/>
      <c r="O459" s="65"/>
      <c r="P459" s="65"/>
      <c r="Q459" s="65"/>
      <c r="R459" s="65"/>
      <c r="S459" s="65"/>
      <c r="T459" s="65"/>
      <c r="U459" s="65"/>
      <c r="V459" s="65"/>
      <c r="W459" s="65"/>
      <c r="X459" s="65"/>
      <c r="Y459" s="65"/>
      <c r="Z459" s="65"/>
      <c r="AA459" s="65"/>
      <c r="AB459" s="65"/>
      <c r="AC459" s="65"/>
      <c r="AD459" s="65"/>
      <c r="AE459" s="65"/>
      <c r="AF459" s="65"/>
      <c r="AG459" s="65"/>
      <c r="AH459" s="65"/>
      <c r="AI459" s="65"/>
      <c r="AJ459" s="65"/>
      <c r="AK459" s="65"/>
      <c r="AL459" s="65"/>
      <c r="AM459" s="65"/>
      <c r="AN459" s="65"/>
    </row>
    <row r="460" spans="10:40" ht="14.5" x14ac:dyDescent="0.35">
      <c r="J460" s="65"/>
      <c r="K460" s="65"/>
      <c r="L460" s="65"/>
      <c r="M460" s="65"/>
      <c r="N460" s="65"/>
      <c r="O460" s="65"/>
      <c r="P460" s="65"/>
      <c r="Q460" s="65"/>
      <c r="R460" s="65"/>
      <c r="S460" s="65"/>
      <c r="T460" s="65"/>
      <c r="U460" s="65"/>
      <c r="V460" s="65"/>
      <c r="W460" s="65"/>
      <c r="X460" s="65"/>
      <c r="Y460" s="65"/>
      <c r="Z460" s="65"/>
      <c r="AA460" s="65"/>
      <c r="AB460" s="65"/>
      <c r="AC460" s="65"/>
      <c r="AD460" s="65"/>
      <c r="AE460" s="65"/>
      <c r="AF460" s="65"/>
      <c r="AG460" s="65"/>
      <c r="AH460" s="65"/>
      <c r="AI460" s="65"/>
      <c r="AJ460" s="65"/>
      <c r="AK460" s="65"/>
      <c r="AL460" s="65"/>
      <c r="AM460" s="65"/>
      <c r="AN460" s="65"/>
    </row>
    <row r="461" spans="10:40" ht="14.5" x14ac:dyDescent="0.35">
      <c r="J461" s="65"/>
      <c r="K461" s="65"/>
      <c r="L461" s="65"/>
      <c r="M461" s="65"/>
      <c r="N461" s="65"/>
      <c r="O461" s="65"/>
      <c r="P461" s="65"/>
      <c r="Q461" s="65"/>
      <c r="R461" s="65"/>
      <c r="S461" s="65"/>
      <c r="T461" s="65"/>
      <c r="U461" s="65"/>
      <c r="V461" s="65"/>
      <c r="W461" s="65"/>
      <c r="X461" s="65"/>
      <c r="Y461" s="65"/>
      <c r="Z461" s="65"/>
      <c r="AA461" s="65"/>
      <c r="AB461" s="65"/>
      <c r="AC461" s="65"/>
      <c r="AD461" s="65"/>
      <c r="AE461" s="65"/>
      <c r="AF461" s="65"/>
      <c r="AG461" s="65"/>
      <c r="AH461" s="65"/>
      <c r="AI461" s="65"/>
      <c r="AJ461" s="65"/>
      <c r="AK461" s="65"/>
      <c r="AL461" s="65"/>
      <c r="AM461" s="65"/>
      <c r="AN461" s="65"/>
    </row>
    <row r="462" spans="10:40" ht="14.5" x14ac:dyDescent="0.35">
      <c r="J462" s="65"/>
      <c r="K462" s="65"/>
      <c r="L462" s="65"/>
      <c r="M462" s="65"/>
      <c r="N462" s="65"/>
      <c r="O462" s="65"/>
      <c r="P462" s="65"/>
      <c r="Q462" s="65"/>
      <c r="R462" s="65"/>
      <c r="S462" s="65"/>
      <c r="T462" s="65"/>
      <c r="U462" s="65"/>
      <c r="V462" s="65"/>
      <c r="W462" s="65"/>
      <c r="X462" s="65"/>
      <c r="Y462" s="65"/>
      <c r="Z462" s="65"/>
      <c r="AA462" s="65"/>
      <c r="AB462" s="65"/>
      <c r="AC462" s="65"/>
      <c r="AD462" s="65"/>
      <c r="AE462" s="65"/>
      <c r="AF462" s="65"/>
      <c r="AG462" s="65"/>
      <c r="AH462" s="65"/>
      <c r="AI462" s="65"/>
      <c r="AJ462" s="65"/>
      <c r="AK462" s="65"/>
      <c r="AL462" s="65"/>
      <c r="AM462" s="65"/>
      <c r="AN462" s="65"/>
    </row>
    <row r="463" spans="10:40" ht="14.5" x14ac:dyDescent="0.35">
      <c r="J463" s="65"/>
      <c r="K463" s="65"/>
      <c r="L463" s="65"/>
      <c r="M463" s="65"/>
      <c r="N463" s="65"/>
      <c r="O463" s="65"/>
      <c r="P463" s="65"/>
      <c r="Q463" s="65"/>
      <c r="R463" s="65"/>
      <c r="S463" s="65"/>
      <c r="T463" s="65"/>
      <c r="U463" s="65"/>
      <c r="V463" s="65"/>
      <c r="W463" s="65"/>
      <c r="X463" s="65"/>
      <c r="Y463" s="65"/>
      <c r="Z463" s="65"/>
      <c r="AA463" s="65"/>
      <c r="AB463" s="65"/>
      <c r="AC463" s="65"/>
      <c r="AD463" s="65"/>
      <c r="AE463" s="65"/>
      <c r="AF463" s="65"/>
      <c r="AG463" s="65"/>
      <c r="AH463" s="65"/>
      <c r="AI463" s="65"/>
      <c r="AJ463" s="65"/>
      <c r="AK463" s="65"/>
      <c r="AL463" s="65"/>
      <c r="AM463" s="65"/>
      <c r="AN463" s="65"/>
    </row>
    <row r="464" spans="10:40" ht="14.5" x14ac:dyDescent="0.35">
      <c r="J464" s="65"/>
      <c r="K464" s="65"/>
      <c r="L464" s="65"/>
      <c r="M464" s="65"/>
      <c r="N464" s="65"/>
      <c r="O464" s="65"/>
      <c r="P464" s="65"/>
      <c r="Q464" s="65"/>
      <c r="R464" s="65"/>
      <c r="S464" s="65"/>
      <c r="T464" s="65"/>
      <c r="U464" s="65"/>
      <c r="V464" s="65"/>
      <c r="W464" s="65"/>
      <c r="X464" s="65"/>
      <c r="Y464" s="65"/>
      <c r="Z464" s="65"/>
      <c r="AA464" s="65"/>
      <c r="AB464" s="65"/>
      <c r="AC464" s="65"/>
      <c r="AD464" s="65"/>
      <c r="AE464" s="65"/>
      <c r="AF464" s="65"/>
      <c r="AG464" s="65"/>
      <c r="AH464" s="65"/>
      <c r="AI464" s="65"/>
      <c r="AJ464" s="65"/>
      <c r="AK464" s="65"/>
      <c r="AL464" s="65"/>
      <c r="AM464" s="65"/>
      <c r="AN464" s="65"/>
    </row>
    <row r="465" spans="10:40" ht="14.5" x14ac:dyDescent="0.35">
      <c r="J465" s="65"/>
      <c r="K465" s="65"/>
      <c r="L465" s="65"/>
      <c r="M465" s="65"/>
      <c r="N465" s="65"/>
      <c r="O465" s="65"/>
      <c r="P465" s="65"/>
      <c r="Q465" s="65"/>
      <c r="R465" s="65"/>
      <c r="S465" s="65"/>
      <c r="T465" s="65"/>
      <c r="U465" s="65"/>
      <c r="V465" s="65"/>
      <c r="W465" s="65"/>
      <c r="X465" s="65"/>
      <c r="Y465" s="65"/>
      <c r="Z465" s="65"/>
      <c r="AA465" s="65"/>
      <c r="AB465" s="65"/>
      <c r="AC465" s="65"/>
      <c r="AD465" s="65"/>
      <c r="AE465" s="65"/>
      <c r="AF465" s="65"/>
      <c r="AG465" s="65"/>
      <c r="AH465" s="65"/>
      <c r="AI465" s="65"/>
      <c r="AJ465" s="65"/>
      <c r="AK465" s="65"/>
      <c r="AL465" s="65"/>
      <c r="AM465" s="65"/>
      <c r="AN465" s="65"/>
    </row>
    <row r="466" spans="10:40" ht="14.5" x14ac:dyDescent="0.35">
      <c r="J466" s="65"/>
      <c r="K466" s="65"/>
      <c r="L466" s="65"/>
      <c r="M466" s="65"/>
      <c r="N466" s="65"/>
      <c r="O466" s="65"/>
      <c r="P466" s="65"/>
      <c r="Q466" s="65"/>
      <c r="R466" s="65"/>
      <c r="S466" s="65"/>
      <c r="T466" s="65"/>
      <c r="U466" s="65"/>
      <c r="V466" s="65"/>
      <c r="W466" s="65"/>
      <c r="X466" s="65"/>
      <c r="Y466" s="65"/>
      <c r="Z466" s="65"/>
      <c r="AA466" s="65"/>
      <c r="AB466" s="65"/>
      <c r="AC466" s="65"/>
      <c r="AD466" s="65"/>
      <c r="AE466" s="65"/>
      <c r="AF466" s="65"/>
      <c r="AG466" s="65"/>
      <c r="AH466" s="65"/>
      <c r="AI466" s="65"/>
      <c r="AJ466" s="65"/>
      <c r="AK466" s="65"/>
      <c r="AL466" s="65"/>
      <c r="AM466" s="65"/>
      <c r="AN466" s="65"/>
    </row>
    <row r="467" spans="10:40" ht="14.5" x14ac:dyDescent="0.35">
      <c r="J467" s="65"/>
      <c r="K467" s="65"/>
      <c r="L467" s="65"/>
      <c r="M467" s="65"/>
      <c r="N467" s="65"/>
      <c r="O467" s="65"/>
      <c r="P467" s="65"/>
      <c r="Q467" s="65"/>
      <c r="R467" s="65"/>
      <c r="S467" s="65"/>
      <c r="T467" s="65"/>
      <c r="U467" s="65"/>
      <c r="V467" s="65"/>
      <c r="W467" s="65"/>
      <c r="X467" s="65"/>
      <c r="Y467" s="65"/>
      <c r="Z467" s="65"/>
      <c r="AA467" s="65"/>
      <c r="AB467" s="65"/>
      <c r="AC467" s="65"/>
      <c r="AD467" s="65"/>
      <c r="AE467" s="65"/>
      <c r="AF467" s="65"/>
      <c r="AG467" s="65"/>
      <c r="AH467" s="65"/>
      <c r="AI467" s="65"/>
      <c r="AJ467" s="65"/>
      <c r="AK467" s="65"/>
      <c r="AL467" s="65"/>
      <c r="AM467" s="65"/>
      <c r="AN467" s="65"/>
    </row>
    <row r="468" spans="10:40" ht="14.5" x14ac:dyDescent="0.35">
      <c r="J468" s="65"/>
      <c r="K468" s="65"/>
      <c r="L468" s="65"/>
      <c r="M468" s="65"/>
      <c r="N468" s="65"/>
      <c r="O468" s="65"/>
      <c r="P468" s="65"/>
      <c r="Q468" s="65"/>
      <c r="R468" s="65"/>
      <c r="S468" s="65"/>
      <c r="T468" s="65"/>
      <c r="U468" s="65"/>
      <c r="V468" s="65"/>
      <c r="W468" s="65"/>
      <c r="X468" s="65"/>
      <c r="Y468" s="65"/>
      <c r="Z468" s="65"/>
      <c r="AA468" s="65"/>
      <c r="AB468" s="65"/>
      <c r="AC468" s="65"/>
      <c r="AD468" s="65"/>
      <c r="AE468" s="65"/>
      <c r="AF468" s="65"/>
      <c r="AG468" s="65"/>
      <c r="AH468" s="65"/>
      <c r="AI468" s="65"/>
      <c r="AJ468" s="65"/>
      <c r="AK468" s="65"/>
      <c r="AL468" s="65"/>
      <c r="AM468" s="65"/>
      <c r="AN468" s="65"/>
    </row>
    <row r="469" spans="10:40" ht="14.5" x14ac:dyDescent="0.35">
      <c r="J469" s="65"/>
      <c r="K469" s="65"/>
      <c r="L469" s="65"/>
      <c r="M469" s="65"/>
      <c r="N469" s="65"/>
      <c r="O469" s="65"/>
      <c r="P469" s="65"/>
      <c r="Q469" s="65"/>
      <c r="R469" s="65"/>
      <c r="S469" s="65"/>
      <c r="T469" s="65"/>
      <c r="U469" s="65"/>
      <c r="V469" s="65"/>
      <c r="W469" s="65"/>
      <c r="X469" s="65"/>
      <c r="Y469" s="65"/>
      <c r="Z469" s="65"/>
      <c r="AA469" s="65"/>
      <c r="AB469" s="65"/>
      <c r="AC469" s="65"/>
      <c r="AD469" s="65"/>
      <c r="AE469" s="65"/>
      <c r="AF469" s="65"/>
      <c r="AG469" s="65"/>
      <c r="AH469" s="65"/>
      <c r="AI469" s="65"/>
      <c r="AJ469" s="65"/>
      <c r="AK469" s="65"/>
      <c r="AL469" s="65"/>
      <c r="AM469" s="65"/>
      <c r="AN469" s="65"/>
    </row>
    <row r="470" spans="10:40" ht="14.5" x14ac:dyDescent="0.35">
      <c r="J470" s="65"/>
      <c r="K470" s="65"/>
      <c r="L470" s="65"/>
      <c r="M470" s="65"/>
      <c r="N470" s="65"/>
      <c r="O470" s="65"/>
      <c r="P470" s="65"/>
      <c r="Q470" s="65"/>
      <c r="R470" s="65"/>
      <c r="S470" s="65"/>
      <c r="T470" s="65"/>
      <c r="U470" s="65"/>
      <c r="V470" s="65"/>
      <c r="W470" s="65"/>
      <c r="X470" s="65"/>
      <c r="Y470" s="65"/>
      <c r="Z470" s="65"/>
      <c r="AA470" s="65"/>
      <c r="AB470" s="65"/>
      <c r="AC470" s="65"/>
      <c r="AD470" s="65"/>
      <c r="AE470" s="65"/>
      <c r="AF470" s="65"/>
      <c r="AG470" s="65"/>
      <c r="AH470" s="65"/>
      <c r="AI470" s="65"/>
      <c r="AJ470" s="65"/>
      <c r="AK470" s="65"/>
      <c r="AL470" s="65"/>
      <c r="AM470" s="65"/>
      <c r="AN470" s="65"/>
    </row>
    <row r="471" spans="10:40" ht="14.5" x14ac:dyDescent="0.35">
      <c r="J471" s="65"/>
      <c r="K471" s="65"/>
      <c r="L471" s="65"/>
      <c r="M471" s="65"/>
      <c r="N471" s="65"/>
      <c r="O471" s="65"/>
      <c r="P471" s="65"/>
      <c r="Q471" s="65"/>
      <c r="R471" s="65"/>
      <c r="S471" s="65"/>
      <c r="T471" s="65"/>
      <c r="U471" s="65"/>
      <c r="V471" s="65"/>
      <c r="W471" s="65"/>
      <c r="X471" s="65"/>
      <c r="Y471" s="65"/>
      <c r="Z471" s="65"/>
      <c r="AA471" s="65"/>
      <c r="AB471" s="65"/>
      <c r="AC471" s="65"/>
      <c r="AD471" s="65"/>
      <c r="AE471" s="65"/>
      <c r="AF471" s="65"/>
      <c r="AG471" s="65"/>
      <c r="AH471" s="65"/>
      <c r="AI471" s="65"/>
      <c r="AJ471" s="65"/>
      <c r="AK471" s="65"/>
      <c r="AL471" s="65"/>
      <c r="AM471" s="65"/>
      <c r="AN471" s="65"/>
    </row>
    <row r="472" spans="10:40" ht="14.5" x14ac:dyDescent="0.35">
      <c r="J472" s="65"/>
      <c r="K472" s="65"/>
      <c r="L472" s="65"/>
      <c r="M472" s="65"/>
      <c r="N472" s="65"/>
      <c r="O472" s="65"/>
      <c r="P472" s="65"/>
      <c r="Q472" s="65"/>
      <c r="R472" s="65"/>
      <c r="S472" s="65"/>
      <c r="T472" s="65"/>
      <c r="U472" s="65"/>
      <c r="V472" s="65"/>
      <c r="W472" s="65"/>
      <c r="X472" s="65"/>
      <c r="Y472" s="65"/>
      <c r="Z472" s="65"/>
      <c r="AA472" s="65"/>
      <c r="AB472" s="65"/>
      <c r="AC472" s="65"/>
      <c r="AD472" s="65"/>
      <c r="AE472" s="65"/>
      <c r="AF472" s="65"/>
      <c r="AG472" s="65"/>
      <c r="AH472" s="65"/>
      <c r="AI472" s="65"/>
      <c r="AJ472" s="65"/>
      <c r="AK472" s="65"/>
      <c r="AL472" s="65"/>
      <c r="AM472" s="65"/>
      <c r="AN472" s="65"/>
    </row>
    <row r="473" spans="10:40" ht="14.5" x14ac:dyDescent="0.35">
      <c r="J473" s="65"/>
      <c r="K473" s="65"/>
      <c r="L473" s="65"/>
      <c r="M473" s="65"/>
      <c r="N473" s="65"/>
      <c r="O473" s="65"/>
      <c r="P473" s="65"/>
      <c r="Q473" s="65"/>
      <c r="R473" s="65"/>
      <c r="S473" s="65"/>
      <c r="T473" s="65"/>
      <c r="U473" s="65"/>
      <c r="V473" s="65"/>
      <c r="W473" s="65"/>
      <c r="X473" s="65"/>
      <c r="Y473" s="65"/>
      <c r="Z473" s="65"/>
      <c r="AA473" s="65"/>
      <c r="AB473" s="65"/>
      <c r="AC473" s="65"/>
      <c r="AD473" s="65"/>
      <c r="AE473" s="65"/>
      <c r="AF473" s="65"/>
      <c r="AG473" s="65"/>
      <c r="AH473" s="65"/>
      <c r="AI473" s="65"/>
      <c r="AJ473" s="65"/>
      <c r="AK473" s="65"/>
      <c r="AL473" s="65"/>
      <c r="AM473" s="65"/>
      <c r="AN473" s="65"/>
    </row>
    <row r="474" spans="10:40" ht="14.5" x14ac:dyDescent="0.35">
      <c r="J474" s="65"/>
      <c r="K474" s="65"/>
      <c r="L474" s="65"/>
      <c r="M474" s="65"/>
      <c r="N474" s="65"/>
      <c r="O474" s="65"/>
      <c r="P474" s="65"/>
      <c r="Q474" s="65"/>
      <c r="R474" s="65"/>
      <c r="S474" s="65"/>
      <c r="T474" s="65"/>
      <c r="U474" s="65"/>
      <c r="V474" s="65"/>
      <c r="W474" s="65"/>
      <c r="X474" s="65"/>
      <c r="Y474" s="65"/>
      <c r="Z474" s="65"/>
      <c r="AA474" s="65"/>
      <c r="AB474" s="65"/>
      <c r="AC474" s="65"/>
      <c r="AD474" s="65"/>
      <c r="AE474" s="65"/>
      <c r="AF474" s="65"/>
      <c r="AG474" s="65"/>
      <c r="AH474" s="65"/>
      <c r="AI474" s="65"/>
      <c r="AJ474" s="65"/>
      <c r="AK474" s="65"/>
      <c r="AL474" s="65"/>
      <c r="AM474" s="65"/>
      <c r="AN474" s="65"/>
    </row>
    <row r="475" spans="10:40" ht="14.5" x14ac:dyDescent="0.35">
      <c r="J475" s="65"/>
      <c r="K475" s="65"/>
      <c r="L475" s="65"/>
      <c r="M475" s="65"/>
      <c r="N475" s="65"/>
      <c r="O475" s="65"/>
      <c r="P475" s="65"/>
      <c r="Q475" s="65"/>
      <c r="R475" s="65"/>
      <c r="S475" s="65"/>
      <c r="T475" s="65"/>
      <c r="U475" s="65"/>
      <c r="V475" s="65"/>
      <c r="W475" s="65"/>
      <c r="X475" s="65"/>
      <c r="Y475" s="65"/>
      <c r="Z475" s="65"/>
      <c r="AA475" s="65"/>
      <c r="AB475" s="65"/>
      <c r="AC475" s="65"/>
      <c r="AD475" s="65"/>
      <c r="AE475" s="65"/>
      <c r="AF475" s="65"/>
      <c r="AG475" s="65"/>
      <c r="AH475" s="65"/>
      <c r="AI475" s="65"/>
      <c r="AJ475" s="65"/>
      <c r="AK475" s="65"/>
      <c r="AL475" s="65"/>
      <c r="AM475" s="65"/>
      <c r="AN475" s="65"/>
    </row>
    <row r="476" spans="10:40" ht="14.5" x14ac:dyDescent="0.35">
      <c r="J476" s="65"/>
      <c r="K476" s="65"/>
      <c r="L476" s="65"/>
      <c r="M476" s="65"/>
      <c r="N476" s="65"/>
      <c r="O476" s="65"/>
      <c r="P476" s="65"/>
      <c r="Q476" s="65"/>
      <c r="R476" s="65"/>
      <c r="S476" s="65"/>
      <c r="T476" s="65"/>
      <c r="U476" s="65"/>
      <c r="V476" s="65"/>
      <c r="W476" s="65"/>
      <c r="X476" s="65"/>
      <c r="Y476" s="65"/>
      <c r="Z476" s="65"/>
      <c r="AA476" s="65"/>
      <c r="AB476" s="65"/>
      <c r="AC476" s="65"/>
      <c r="AD476" s="65"/>
      <c r="AE476" s="65"/>
      <c r="AF476" s="65"/>
      <c r="AG476" s="65"/>
      <c r="AH476" s="65"/>
      <c r="AI476" s="65"/>
      <c r="AJ476" s="65"/>
      <c r="AK476" s="65"/>
      <c r="AL476" s="65"/>
      <c r="AM476" s="65"/>
      <c r="AN476" s="65"/>
    </row>
    <row r="477" spans="10:40" ht="14.5" x14ac:dyDescent="0.35">
      <c r="J477" s="65"/>
      <c r="K477" s="65"/>
      <c r="L477" s="65"/>
      <c r="M477" s="65"/>
      <c r="N477" s="65"/>
      <c r="O477" s="65"/>
      <c r="P477" s="65"/>
      <c r="Q477" s="65"/>
      <c r="R477" s="65"/>
      <c r="S477" s="65"/>
      <c r="T477" s="65"/>
      <c r="U477" s="65"/>
      <c r="V477" s="65"/>
      <c r="W477" s="65"/>
      <c r="X477" s="65"/>
      <c r="Y477" s="65"/>
      <c r="Z477" s="65"/>
      <c r="AA477" s="65"/>
      <c r="AB477" s="65"/>
      <c r="AC477" s="65"/>
      <c r="AD477" s="65"/>
      <c r="AE477" s="65"/>
      <c r="AF477" s="65"/>
      <c r="AG477" s="65"/>
      <c r="AH477" s="65"/>
      <c r="AI477" s="65"/>
      <c r="AJ477" s="65"/>
      <c r="AK477" s="65"/>
      <c r="AL477" s="65"/>
      <c r="AM477" s="65"/>
      <c r="AN477" s="65"/>
    </row>
    <row r="478" spans="10:40" ht="14.5" x14ac:dyDescent="0.35">
      <c r="J478" s="65"/>
      <c r="K478" s="65"/>
      <c r="L478" s="65"/>
      <c r="M478" s="65"/>
      <c r="N478" s="65"/>
      <c r="O478" s="65"/>
      <c r="P478" s="65"/>
      <c r="Q478" s="65"/>
      <c r="R478" s="65"/>
      <c r="S478" s="65"/>
      <c r="T478" s="65"/>
      <c r="U478" s="65"/>
      <c r="V478" s="65"/>
      <c r="W478" s="65"/>
      <c r="X478" s="65"/>
      <c r="Y478" s="65"/>
      <c r="Z478" s="65"/>
      <c r="AA478" s="65"/>
      <c r="AB478" s="65"/>
      <c r="AC478" s="65"/>
      <c r="AD478" s="65"/>
      <c r="AE478" s="65"/>
      <c r="AF478" s="65"/>
      <c r="AG478" s="65"/>
      <c r="AH478" s="65"/>
      <c r="AI478" s="65"/>
      <c r="AJ478" s="65"/>
      <c r="AK478" s="65"/>
      <c r="AL478" s="65"/>
      <c r="AM478" s="65"/>
      <c r="AN478" s="65"/>
    </row>
    <row r="479" spans="10:40" ht="14.5" x14ac:dyDescent="0.35">
      <c r="J479" s="65"/>
      <c r="K479" s="65"/>
      <c r="L479" s="65"/>
      <c r="M479" s="65"/>
      <c r="N479" s="65"/>
      <c r="O479" s="65"/>
      <c r="P479" s="65"/>
      <c r="Q479" s="65"/>
      <c r="R479" s="65"/>
      <c r="S479" s="65"/>
      <c r="T479" s="65"/>
      <c r="U479" s="65"/>
      <c r="V479" s="65"/>
      <c r="W479" s="65"/>
      <c r="X479" s="65"/>
      <c r="Y479" s="65"/>
      <c r="Z479" s="65"/>
      <c r="AA479" s="65"/>
      <c r="AB479" s="65"/>
      <c r="AC479" s="65"/>
      <c r="AD479" s="65"/>
      <c r="AE479" s="65"/>
      <c r="AF479" s="65"/>
      <c r="AG479" s="65"/>
      <c r="AH479" s="65"/>
      <c r="AI479" s="65"/>
      <c r="AJ479" s="65"/>
      <c r="AK479" s="65"/>
      <c r="AL479" s="65"/>
      <c r="AM479" s="65"/>
      <c r="AN479" s="65"/>
    </row>
    <row r="480" spans="10:40" ht="14.5" x14ac:dyDescent="0.35">
      <c r="J480" s="65"/>
      <c r="K480" s="65"/>
      <c r="L480" s="65"/>
      <c r="M480" s="65"/>
      <c r="N480" s="65"/>
      <c r="O480" s="65"/>
      <c r="P480" s="65"/>
      <c r="Q480" s="65"/>
      <c r="R480" s="65"/>
      <c r="S480" s="65"/>
      <c r="T480" s="65"/>
      <c r="U480" s="65"/>
      <c r="V480" s="65"/>
      <c r="W480" s="65"/>
      <c r="X480" s="65"/>
      <c r="Y480" s="65"/>
      <c r="Z480" s="65"/>
      <c r="AA480" s="65"/>
      <c r="AB480" s="65"/>
      <c r="AC480" s="65"/>
      <c r="AD480" s="65"/>
      <c r="AE480" s="65"/>
      <c r="AF480" s="65"/>
      <c r="AG480" s="65"/>
      <c r="AH480" s="65"/>
      <c r="AI480" s="65"/>
      <c r="AJ480" s="65"/>
      <c r="AK480" s="65"/>
      <c r="AL480" s="65"/>
      <c r="AM480" s="65"/>
      <c r="AN480" s="65"/>
    </row>
    <row r="481" spans="10:40" ht="14.5" x14ac:dyDescent="0.35">
      <c r="J481" s="65"/>
      <c r="K481" s="65"/>
      <c r="L481" s="65"/>
      <c r="M481" s="65"/>
      <c r="N481" s="65"/>
      <c r="O481" s="65"/>
      <c r="P481" s="65"/>
      <c r="Q481" s="65"/>
      <c r="R481" s="65"/>
      <c r="S481" s="65"/>
      <c r="T481" s="65"/>
      <c r="U481" s="65"/>
      <c r="V481" s="65"/>
      <c r="W481" s="65"/>
      <c r="X481" s="65"/>
      <c r="Y481" s="65"/>
      <c r="Z481" s="65"/>
      <c r="AA481" s="65"/>
      <c r="AB481" s="65"/>
      <c r="AC481" s="65"/>
      <c r="AD481" s="65"/>
      <c r="AE481" s="65"/>
      <c r="AF481" s="65"/>
      <c r="AG481" s="65"/>
      <c r="AH481" s="65"/>
      <c r="AI481" s="65"/>
      <c r="AJ481" s="65"/>
      <c r="AK481" s="65"/>
      <c r="AL481" s="65"/>
      <c r="AM481" s="65"/>
      <c r="AN481" s="65"/>
    </row>
    <row r="482" spans="10:40" ht="14.5" x14ac:dyDescent="0.35">
      <c r="J482" s="65"/>
      <c r="K482" s="65"/>
      <c r="L482" s="65"/>
      <c r="M482" s="65"/>
      <c r="N482" s="65"/>
      <c r="O482" s="65"/>
      <c r="P482" s="65"/>
      <c r="Q482" s="65"/>
      <c r="R482" s="65"/>
      <c r="S482" s="65"/>
      <c r="T482" s="65"/>
      <c r="U482" s="65"/>
      <c r="V482" s="65"/>
      <c r="W482" s="65"/>
      <c r="X482" s="65"/>
      <c r="Y482" s="65"/>
      <c r="Z482" s="65"/>
      <c r="AA482" s="65"/>
      <c r="AB482" s="65"/>
      <c r="AC482" s="65"/>
      <c r="AD482" s="65"/>
      <c r="AE482" s="65"/>
      <c r="AF482" s="65"/>
      <c r="AG482" s="65"/>
      <c r="AH482" s="65"/>
      <c r="AI482" s="65"/>
      <c r="AJ482" s="65"/>
      <c r="AK482" s="65"/>
      <c r="AL482" s="65"/>
      <c r="AM482" s="65"/>
      <c r="AN482" s="65"/>
    </row>
    <row r="483" spans="10:40" ht="14.5" x14ac:dyDescent="0.35">
      <c r="J483" s="65"/>
      <c r="K483" s="65"/>
      <c r="L483" s="65"/>
      <c r="M483" s="65"/>
      <c r="N483" s="65"/>
      <c r="O483" s="65"/>
      <c r="P483" s="65"/>
      <c r="Q483" s="65"/>
      <c r="R483" s="65"/>
      <c r="S483" s="65"/>
      <c r="T483" s="65"/>
      <c r="U483" s="65"/>
      <c r="V483" s="65"/>
      <c r="W483" s="65"/>
      <c r="X483" s="65"/>
      <c r="Y483" s="65"/>
      <c r="Z483" s="65"/>
      <c r="AA483" s="65"/>
      <c r="AB483" s="65"/>
      <c r="AC483" s="65"/>
      <c r="AD483" s="65"/>
      <c r="AE483" s="65"/>
      <c r="AF483" s="65"/>
      <c r="AG483" s="65"/>
      <c r="AH483" s="65"/>
      <c r="AI483" s="65"/>
      <c r="AJ483" s="65"/>
      <c r="AK483" s="65"/>
      <c r="AL483" s="65"/>
      <c r="AM483" s="65"/>
      <c r="AN483" s="65"/>
    </row>
    <row r="484" spans="10:40" ht="14.5" x14ac:dyDescent="0.35">
      <c r="J484" s="65"/>
      <c r="K484" s="65"/>
      <c r="L484" s="65"/>
      <c r="M484" s="65"/>
      <c r="N484" s="65"/>
      <c r="O484" s="65"/>
      <c r="P484" s="65"/>
      <c r="Q484" s="65"/>
      <c r="R484" s="65"/>
      <c r="S484" s="65"/>
      <c r="T484" s="65"/>
      <c r="U484" s="65"/>
      <c r="V484" s="65"/>
      <c r="W484" s="65"/>
      <c r="X484" s="65"/>
      <c r="Y484" s="65"/>
      <c r="Z484" s="65"/>
      <c r="AA484" s="65"/>
      <c r="AB484" s="65"/>
      <c r="AC484" s="65"/>
      <c r="AD484" s="65"/>
      <c r="AE484" s="65"/>
      <c r="AF484" s="65"/>
      <c r="AG484" s="65"/>
      <c r="AH484" s="65"/>
      <c r="AI484" s="65"/>
      <c r="AJ484" s="65"/>
      <c r="AK484" s="65"/>
      <c r="AL484" s="65"/>
      <c r="AM484" s="65"/>
      <c r="AN484" s="65"/>
    </row>
    <row r="485" spans="10:40" ht="14.5" x14ac:dyDescent="0.35">
      <c r="J485" s="65"/>
      <c r="K485" s="65"/>
      <c r="L485" s="65"/>
      <c r="M485" s="65"/>
      <c r="N485" s="65"/>
      <c r="O485" s="65"/>
      <c r="P485" s="65"/>
      <c r="Q485" s="65"/>
      <c r="R485" s="65"/>
      <c r="S485" s="65"/>
      <c r="T485" s="65"/>
      <c r="U485" s="65"/>
      <c r="V485" s="65"/>
      <c r="W485" s="65"/>
      <c r="X485" s="65"/>
      <c r="Y485" s="65"/>
      <c r="Z485" s="65"/>
      <c r="AA485" s="65"/>
      <c r="AB485" s="65"/>
      <c r="AC485" s="65"/>
      <c r="AD485" s="65"/>
      <c r="AE485" s="65"/>
      <c r="AF485" s="65"/>
      <c r="AG485" s="65"/>
      <c r="AH485" s="65"/>
      <c r="AI485" s="65"/>
      <c r="AJ485" s="65"/>
      <c r="AK485" s="65"/>
      <c r="AL485" s="65"/>
      <c r="AM485" s="65"/>
      <c r="AN485" s="65"/>
    </row>
    <row r="486" spans="10:40" ht="14.5" x14ac:dyDescent="0.35">
      <c r="J486" s="65"/>
      <c r="K486" s="65"/>
      <c r="L486" s="65"/>
      <c r="M486" s="65"/>
      <c r="N486" s="65"/>
      <c r="O486" s="65"/>
      <c r="P486" s="65"/>
      <c r="Q486" s="65"/>
      <c r="R486" s="65"/>
      <c r="S486" s="65"/>
      <c r="T486" s="65"/>
      <c r="U486" s="65"/>
      <c r="V486" s="65"/>
      <c r="W486" s="65"/>
      <c r="X486" s="65"/>
      <c r="Y486" s="65"/>
      <c r="Z486" s="65"/>
      <c r="AA486" s="65"/>
      <c r="AB486" s="65"/>
      <c r="AC486" s="65"/>
      <c r="AD486" s="65"/>
      <c r="AE486" s="65"/>
      <c r="AF486" s="65"/>
      <c r="AG486" s="65"/>
      <c r="AH486" s="65"/>
      <c r="AI486" s="65"/>
      <c r="AJ486" s="65"/>
      <c r="AK486" s="65"/>
      <c r="AL486" s="65"/>
      <c r="AM486" s="65"/>
      <c r="AN486" s="65"/>
    </row>
    <row r="487" spans="10:40" ht="14.5" x14ac:dyDescent="0.35">
      <c r="J487" s="65"/>
      <c r="K487" s="65"/>
      <c r="L487" s="65"/>
      <c r="M487" s="65"/>
      <c r="N487" s="65"/>
      <c r="O487" s="65"/>
      <c r="P487" s="65"/>
      <c r="Q487" s="65"/>
      <c r="R487" s="65"/>
      <c r="S487" s="65"/>
      <c r="T487" s="65"/>
      <c r="U487" s="65"/>
      <c r="V487" s="65"/>
      <c r="W487" s="65"/>
      <c r="X487" s="65"/>
      <c r="Y487" s="65"/>
      <c r="Z487" s="65"/>
      <c r="AA487" s="65"/>
      <c r="AB487" s="65"/>
      <c r="AC487" s="65"/>
      <c r="AD487" s="65"/>
      <c r="AE487" s="65"/>
      <c r="AF487" s="65"/>
      <c r="AG487" s="65"/>
      <c r="AH487" s="65"/>
      <c r="AI487" s="65"/>
      <c r="AJ487" s="65"/>
      <c r="AK487" s="65"/>
      <c r="AL487" s="65"/>
      <c r="AM487" s="65"/>
      <c r="AN487" s="65"/>
    </row>
    <row r="488" spans="10:40" ht="14.5" x14ac:dyDescent="0.35">
      <c r="J488" s="65"/>
      <c r="K488" s="65"/>
      <c r="L488" s="65"/>
      <c r="M488" s="65"/>
      <c r="N488" s="65"/>
      <c r="O488" s="65"/>
      <c r="P488" s="65"/>
      <c r="Q488" s="65"/>
      <c r="R488" s="65"/>
      <c r="S488" s="65"/>
      <c r="T488" s="65"/>
      <c r="U488" s="65"/>
      <c r="V488" s="65"/>
      <c r="W488" s="65"/>
      <c r="X488" s="65"/>
      <c r="Y488" s="65"/>
      <c r="Z488" s="65"/>
      <c r="AA488" s="65"/>
      <c r="AB488" s="65"/>
      <c r="AC488" s="65"/>
      <c r="AD488" s="65"/>
      <c r="AE488" s="65"/>
      <c r="AF488" s="65"/>
      <c r="AG488" s="65"/>
      <c r="AH488" s="65"/>
      <c r="AI488" s="65"/>
      <c r="AJ488" s="65"/>
      <c r="AK488" s="65"/>
      <c r="AL488" s="65"/>
      <c r="AM488" s="65"/>
      <c r="AN488" s="65"/>
    </row>
    <row r="489" spans="10:40" ht="14.5" x14ac:dyDescent="0.35">
      <c r="J489" s="65"/>
      <c r="K489" s="65"/>
      <c r="L489" s="65"/>
      <c r="M489" s="65"/>
      <c r="N489" s="65"/>
      <c r="O489" s="65"/>
      <c r="P489" s="65"/>
      <c r="Q489" s="65"/>
      <c r="R489" s="65"/>
      <c r="S489" s="65"/>
      <c r="T489" s="65"/>
      <c r="U489" s="65"/>
      <c r="V489" s="65"/>
      <c r="W489" s="65"/>
      <c r="X489" s="65"/>
      <c r="Y489" s="65"/>
      <c r="Z489" s="65"/>
      <c r="AA489" s="65"/>
      <c r="AB489" s="65"/>
      <c r="AC489" s="65"/>
      <c r="AD489" s="65"/>
      <c r="AE489" s="65"/>
      <c r="AF489" s="65"/>
      <c r="AG489" s="65"/>
      <c r="AH489" s="65"/>
      <c r="AI489" s="65"/>
      <c r="AJ489" s="65"/>
      <c r="AK489" s="65"/>
      <c r="AL489" s="65"/>
      <c r="AM489" s="65"/>
      <c r="AN489" s="65"/>
    </row>
    <row r="490" spans="10:40" ht="14.5" x14ac:dyDescent="0.35">
      <c r="J490" s="65"/>
      <c r="K490" s="65"/>
      <c r="L490" s="65"/>
      <c r="M490" s="65"/>
      <c r="N490" s="65"/>
      <c r="O490" s="65"/>
      <c r="P490" s="65"/>
      <c r="Q490" s="65"/>
      <c r="R490" s="65"/>
      <c r="S490" s="65"/>
      <c r="T490" s="65"/>
      <c r="U490" s="65"/>
      <c r="V490" s="65"/>
      <c r="W490" s="65"/>
      <c r="X490" s="65"/>
      <c r="Y490" s="65"/>
      <c r="Z490" s="65"/>
      <c r="AA490" s="65"/>
      <c r="AB490" s="65"/>
      <c r="AC490" s="65"/>
      <c r="AD490" s="65"/>
      <c r="AE490" s="65"/>
      <c r="AF490" s="65"/>
      <c r="AG490" s="65"/>
      <c r="AH490" s="65"/>
      <c r="AI490" s="65"/>
      <c r="AJ490" s="65"/>
      <c r="AK490" s="65"/>
      <c r="AL490" s="65"/>
      <c r="AM490" s="65"/>
      <c r="AN490" s="65"/>
    </row>
    <row r="491" spans="10:40" ht="14.5" x14ac:dyDescent="0.35">
      <c r="J491" s="65"/>
      <c r="K491" s="65"/>
      <c r="L491" s="65"/>
      <c r="M491" s="65"/>
      <c r="N491" s="65"/>
      <c r="O491" s="65"/>
      <c r="P491" s="65"/>
      <c r="Q491" s="65"/>
      <c r="R491" s="65"/>
      <c r="S491" s="65"/>
      <c r="T491" s="65"/>
      <c r="U491" s="65"/>
      <c r="V491" s="65"/>
      <c r="W491" s="65"/>
      <c r="X491" s="65"/>
      <c r="Y491" s="65"/>
      <c r="Z491" s="65"/>
      <c r="AA491" s="65"/>
      <c r="AB491" s="65"/>
      <c r="AC491" s="65"/>
      <c r="AD491" s="65"/>
      <c r="AE491" s="65"/>
      <c r="AF491" s="65"/>
      <c r="AG491" s="65"/>
      <c r="AH491" s="65"/>
      <c r="AI491" s="65"/>
      <c r="AJ491" s="65"/>
      <c r="AK491" s="65"/>
      <c r="AL491" s="65"/>
      <c r="AM491" s="65"/>
      <c r="AN491" s="65"/>
    </row>
    <row r="492" spans="10:40" ht="14.5" x14ac:dyDescent="0.35">
      <c r="J492" s="65"/>
      <c r="K492" s="65"/>
      <c r="L492" s="65"/>
      <c r="M492" s="65"/>
      <c r="N492" s="65"/>
      <c r="O492" s="65"/>
      <c r="P492" s="65"/>
      <c r="Q492" s="65"/>
      <c r="R492" s="65"/>
      <c r="S492" s="65"/>
      <c r="T492" s="65"/>
      <c r="U492" s="65"/>
      <c r="V492" s="65"/>
      <c r="W492" s="65"/>
      <c r="X492" s="65"/>
      <c r="Y492" s="65"/>
      <c r="Z492" s="65"/>
      <c r="AA492" s="65"/>
      <c r="AB492" s="65"/>
      <c r="AC492" s="65"/>
      <c r="AD492" s="65"/>
      <c r="AE492" s="65"/>
      <c r="AF492" s="65"/>
      <c r="AG492" s="65"/>
      <c r="AH492" s="65"/>
      <c r="AI492" s="65"/>
      <c r="AJ492" s="65"/>
      <c r="AK492" s="65"/>
      <c r="AL492" s="65"/>
      <c r="AM492" s="65"/>
      <c r="AN492" s="65"/>
    </row>
    <row r="493" spans="10:40" ht="14.5" x14ac:dyDescent="0.35">
      <c r="J493" s="65"/>
      <c r="K493" s="65"/>
      <c r="L493" s="65"/>
      <c r="M493" s="65"/>
      <c r="N493" s="65"/>
      <c r="O493" s="65"/>
      <c r="P493" s="65"/>
      <c r="Q493" s="65"/>
      <c r="R493" s="65"/>
      <c r="S493" s="65"/>
      <c r="T493" s="65"/>
      <c r="U493" s="65"/>
      <c r="V493" s="65"/>
      <c r="W493" s="65"/>
      <c r="X493" s="65"/>
      <c r="Y493" s="65"/>
      <c r="Z493" s="65"/>
      <c r="AA493" s="65"/>
      <c r="AB493" s="65"/>
      <c r="AC493" s="65"/>
      <c r="AD493" s="65"/>
      <c r="AE493" s="65"/>
      <c r="AF493" s="65"/>
      <c r="AG493" s="65"/>
      <c r="AH493" s="65"/>
      <c r="AI493" s="65"/>
      <c r="AJ493" s="65"/>
      <c r="AK493" s="65"/>
      <c r="AL493" s="65"/>
      <c r="AM493" s="65"/>
      <c r="AN493" s="65"/>
    </row>
    <row r="494" spans="10:40" ht="14.5" x14ac:dyDescent="0.35">
      <c r="J494" s="65"/>
      <c r="K494" s="65"/>
      <c r="L494" s="65"/>
      <c r="M494" s="65"/>
      <c r="N494" s="65"/>
      <c r="O494" s="65"/>
      <c r="P494" s="65"/>
      <c r="Q494" s="65"/>
      <c r="R494" s="65"/>
      <c r="S494" s="65"/>
      <c r="T494" s="65"/>
      <c r="U494" s="65"/>
      <c r="V494" s="65"/>
      <c r="W494" s="65"/>
      <c r="X494" s="65"/>
      <c r="Y494" s="65"/>
      <c r="Z494" s="65"/>
      <c r="AA494" s="65"/>
      <c r="AB494" s="65"/>
      <c r="AC494" s="65"/>
      <c r="AD494" s="65"/>
      <c r="AE494" s="65"/>
      <c r="AF494" s="65"/>
      <c r="AG494" s="65"/>
      <c r="AH494" s="65"/>
      <c r="AI494" s="65"/>
      <c r="AJ494" s="65"/>
      <c r="AK494" s="65"/>
      <c r="AL494" s="65"/>
      <c r="AM494" s="65"/>
      <c r="AN494" s="65"/>
    </row>
    <row r="495" spans="10:40" ht="14.5" x14ac:dyDescent="0.35">
      <c r="J495" s="65"/>
      <c r="K495" s="65"/>
      <c r="L495" s="65"/>
      <c r="M495" s="65"/>
      <c r="N495" s="65"/>
      <c r="O495" s="65"/>
      <c r="P495" s="65"/>
      <c r="Q495" s="65"/>
      <c r="R495" s="65"/>
      <c r="S495" s="65"/>
      <c r="T495" s="65"/>
      <c r="U495" s="65"/>
      <c r="V495" s="65"/>
      <c r="W495" s="65"/>
      <c r="X495" s="65"/>
      <c r="Y495" s="65"/>
      <c r="Z495" s="65"/>
      <c r="AA495" s="65"/>
      <c r="AB495" s="65"/>
      <c r="AC495" s="65"/>
      <c r="AD495" s="65"/>
      <c r="AE495" s="65"/>
      <c r="AF495" s="65"/>
      <c r="AG495" s="65"/>
      <c r="AH495" s="65"/>
      <c r="AI495" s="65"/>
      <c r="AJ495" s="65"/>
      <c r="AK495" s="65"/>
      <c r="AL495" s="65"/>
      <c r="AM495" s="65"/>
      <c r="AN495" s="65"/>
    </row>
    <row r="496" spans="10:40" ht="14.5" x14ac:dyDescent="0.35">
      <c r="J496" s="65"/>
      <c r="K496" s="65"/>
      <c r="L496" s="65"/>
      <c r="M496" s="65"/>
      <c r="N496" s="65"/>
      <c r="O496" s="65"/>
      <c r="P496" s="65"/>
      <c r="Q496" s="65"/>
      <c r="R496" s="65"/>
      <c r="S496" s="65"/>
      <c r="T496" s="65"/>
      <c r="U496" s="65"/>
      <c r="V496" s="65"/>
      <c r="W496" s="65"/>
      <c r="X496" s="65"/>
      <c r="Y496" s="65"/>
      <c r="Z496" s="65"/>
      <c r="AA496" s="65"/>
      <c r="AB496" s="65"/>
      <c r="AC496" s="65"/>
      <c r="AD496" s="65"/>
      <c r="AE496" s="65"/>
      <c r="AF496" s="65"/>
      <c r="AG496" s="65"/>
      <c r="AH496" s="65"/>
      <c r="AI496" s="65"/>
      <c r="AJ496" s="65"/>
      <c r="AK496" s="65"/>
      <c r="AL496" s="65"/>
      <c r="AM496" s="65"/>
      <c r="AN496" s="65"/>
    </row>
    <row r="497" spans="10:40" ht="14.5" x14ac:dyDescent="0.35">
      <c r="J497" s="65"/>
      <c r="K497" s="65"/>
      <c r="L497" s="65"/>
      <c r="M497" s="65"/>
      <c r="N497" s="65"/>
      <c r="O497" s="65"/>
      <c r="P497" s="65"/>
      <c r="Q497" s="65"/>
      <c r="R497" s="65"/>
      <c r="S497" s="65"/>
      <c r="T497" s="65"/>
      <c r="U497" s="65"/>
      <c r="V497" s="65"/>
      <c r="W497" s="65"/>
      <c r="X497" s="65"/>
      <c r="Y497" s="65"/>
      <c r="Z497" s="65"/>
      <c r="AA497" s="65"/>
      <c r="AB497" s="65"/>
      <c r="AC497" s="65"/>
      <c r="AD497" s="65"/>
      <c r="AE497" s="65"/>
      <c r="AF497" s="65"/>
      <c r="AG497" s="65"/>
      <c r="AH497" s="65"/>
      <c r="AI497" s="65"/>
      <c r="AJ497" s="65"/>
      <c r="AK497" s="65"/>
      <c r="AL497" s="65"/>
      <c r="AM497" s="65"/>
      <c r="AN497" s="65"/>
    </row>
    <row r="498" spans="10:40" ht="14.5" x14ac:dyDescent="0.35">
      <c r="J498" s="65"/>
      <c r="K498" s="65"/>
      <c r="L498" s="65"/>
      <c r="M498" s="65"/>
      <c r="N498" s="65"/>
      <c r="O498" s="65"/>
      <c r="P498" s="65"/>
      <c r="Q498" s="65"/>
      <c r="R498" s="65"/>
      <c r="S498" s="65"/>
      <c r="T498" s="65"/>
      <c r="U498" s="65"/>
      <c r="V498" s="65"/>
      <c r="W498" s="65"/>
      <c r="X498" s="65"/>
      <c r="Y498" s="65"/>
      <c r="Z498" s="65"/>
      <c r="AA498" s="65"/>
      <c r="AB498" s="65"/>
      <c r="AC498" s="65"/>
      <c r="AD498" s="65"/>
      <c r="AE498" s="65"/>
      <c r="AF498" s="65"/>
      <c r="AG498" s="65"/>
      <c r="AH498" s="65"/>
      <c r="AI498" s="65"/>
      <c r="AJ498" s="65"/>
      <c r="AK498" s="65"/>
      <c r="AL498" s="65"/>
      <c r="AM498" s="65"/>
      <c r="AN498" s="65"/>
    </row>
    <row r="499" spans="10:40" ht="14.5" x14ac:dyDescent="0.35">
      <c r="J499" s="65"/>
      <c r="K499" s="65"/>
      <c r="L499" s="65"/>
      <c r="M499" s="65"/>
      <c r="N499" s="65"/>
      <c r="O499" s="65"/>
      <c r="P499" s="65"/>
      <c r="Q499" s="65"/>
      <c r="R499" s="65"/>
      <c r="S499" s="65"/>
      <c r="T499" s="65"/>
      <c r="U499" s="65"/>
      <c r="V499" s="65"/>
      <c r="W499" s="65"/>
      <c r="X499" s="65"/>
      <c r="Y499" s="65"/>
      <c r="Z499" s="65"/>
      <c r="AA499" s="65"/>
      <c r="AB499" s="65"/>
      <c r="AC499" s="65"/>
      <c r="AD499" s="65"/>
      <c r="AE499" s="65"/>
      <c r="AF499" s="65"/>
      <c r="AG499" s="65"/>
      <c r="AH499" s="65"/>
      <c r="AI499" s="65"/>
      <c r="AJ499" s="65"/>
      <c r="AK499" s="65"/>
      <c r="AL499" s="65"/>
      <c r="AM499" s="65"/>
      <c r="AN499" s="65"/>
    </row>
    <row r="500" spans="10:40" ht="14.5" x14ac:dyDescent="0.35">
      <c r="J500" s="65"/>
      <c r="K500" s="65"/>
      <c r="L500" s="65"/>
      <c r="M500" s="65"/>
      <c r="N500" s="65"/>
      <c r="O500" s="65"/>
      <c r="P500" s="65"/>
      <c r="Q500" s="65"/>
      <c r="R500" s="65"/>
      <c r="S500" s="65"/>
      <c r="T500" s="65"/>
      <c r="U500" s="65"/>
      <c r="V500" s="65"/>
      <c r="W500" s="65"/>
      <c r="X500" s="65"/>
      <c r="Y500" s="65"/>
      <c r="Z500" s="65"/>
      <c r="AA500" s="65"/>
      <c r="AB500" s="65"/>
      <c r="AC500" s="65"/>
      <c r="AD500" s="65"/>
      <c r="AE500" s="65"/>
      <c r="AF500" s="65"/>
      <c r="AG500" s="65"/>
      <c r="AH500" s="65"/>
      <c r="AI500" s="65"/>
      <c r="AJ500" s="65"/>
      <c r="AK500" s="65"/>
      <c r="AL500" s="65"/>
      <c r="AM500" s="65"/>
      <c r="AN500" s="65"/>
    </row>
    <row r="501" spans="10:40" ht="14.5" x14ac:dyDescent="0.35">
      <c r="J501" s="65"/>
      <c r="K501" s="65"/>
      <c r="L501" s="65"/>
      <c r="M501" s="65"/>
      <c r="N501" s="65"/>
      <c r="O501" s="65"/>
      <c r="P501" s="65"/>
      <c r="Q501" s="65"/>
      <c r="R501" s="65"/>
      <c r="S501" s="65"/>
      <c r="T501" s="65"/>
      <c r="U501" s="65"/>
      <c r="V501" s="65"/>
      <c r="W501" s="65"/>
      <c r="X501" s="65"/>
      <c r="Y501" s="65"/>
      <c r="Z501" s="65"/>
      <c r="AA501" s="65"/>
      <c r="AB501" s="65"/>
      <c r="AC501" s="65"/>
      <c r="AD501" s="65"/>
      <c r="AE501" s="65"/>
      <c r="AF501" s="65"/>
      <c r="AG501" s="65"/>
      <c r="AH501" s="65"/>
      <c r="AI501" s="65"/>
      <c r="AJ501" s="65"/>
      <c r="AK501" s="65"/>
      <c r="AL501" s="65"/>
      <c r="AM501" s="65"/>
      <c r="AN501" s="65"/>
    </row>
    <row r="502" spans="10:40" ht="14.5" x14ac:dyDescent="0.35">
      <c r="J502" s="65"/>
      <c r="K502" s="65"/>
      <c r="L502" s="65"/>
      <c r="M502" s="65"/>
      <c r="N502" s="65"/>
      <c r="O502" s="65"/>
      <c r="P502" s="65"/>
      <c r="Q502" s="65"/>
      <c r="R502" s="65"/>
      <c r="S502" s="65"/>
      <c r="T502" s="65"/>
      <c r="U502" s="65"/>
      <c r="V502" s="65"/>
      <c r="W502" s="65"/>
      <c r="X502" s="65"/>
      <c r="Y502" s="65"/>
      <c r="Z502" s="65"/>
      <c r="AA502" s="65"/>
      <c r="AB502" s="65"/>
      <c r="AC502" s="65"/>
      <c r="AD502" s="65"/>
      <c r="AE502" s="65"/>
      <c r="AF502" s="65"/>
      <c r="AG502" s="65"/>
      <c r="AH502" s="65"/>
      <c r="AI502" s="65"/>
      <c r="AJ502" s="65"/>
      <c r="AK502" s="65"/>
      <c r="AL502" s="65"/>
      <c r="AM502" s="65"/>
      <c r="AN502" s="65"/>
    </row>
    <row r="503" spans="10:40" ht="14.5" x14ac:dyDescent="0.35">
      <c r="J503" s="65"/>
      <c r="K503" s="65"/>
      <c r="L503" s="65"/>
      <c r="M503" s="65"/>
      <c r="N503" s="65"/>
      <c r="O503" s="65"/>
      <c r="P503" s="65"/>
      <c r="Q503" s="65"/>
      <c r="R503" s="65"/>
      <c r="S503" s="65"/>
      <c r="T503" s="65"/>
      <c r="U503" s="65"/>
      <c r="V503" s="65"/>
      <c r="W503" s="65"/>
      <c r="X503" s="65"/>
      <c r="Y503" s="65"/>
      <c r="Z503" s="65"/>
      <c r="AA503" s="65"/>
      <c r="AB503" s="65"/>
      <c r="AC503" s="65"/>
      <c r="AD503" s="65"/>
      <c r="AE503" s="65"/>
      <c r="AF503" s="65"/>
      <c r="AG503" s="65"/>
      <c r="AH503" s="65"/>
      <c r="AI503" s="65"/>
      <c r="AJ503" s="65"/>
      <c r="AK503" s="65"/>
      <c r="AL503" s="65"/>
      <c r="AM503" s="65"/>
      <c r="AN503" s="65"/>
    </row>
    <row r="504" spans="10:40" ht="14.5" x14ac:dyDescent="0.35">
      <c r="J504" s="65"/>
      <c r="K504" s="65"/>
      <c r="L504" s="65"/>
      <c r="M504" s="65"/>
      <c r="N504" s="65"/>
      <c r="O504" s="65"/>
      <c r="P504" s="65"/>
      <c r="Q504" s="65"/>
      <c r="R504" s="65"/>
      <c r="S504" s="65"/>
      <c r="T504" s="65"/>
      <c r="U504" s="65"/>
      <c r="V504" s="65"/>
      <c r="W504" s="65"/>
      <c r="X504" s="65"/>
      <c r="Y504" s="65"/>
      <c r="Z504" s="65"/>
      <c r="AA504" s="65"/>
      <c r="AB504" s="65"/>
      <c r="AC504" s="65"/>
      <c r="AD504" s="65"/>
      <c r="AE504" s="65"/>
      <c r="AF504" s="65"/>
      <c r="AG504" s="65"/>
      <c r="AH504" s="65"/>
      <c r="AI504" s="65"/>
      <c r="AJ504" s="65"/>
      <c r="AK504" s="65"/>
      <c r="AL504" s="65"/>
      <c r="AM504" s="65"/>
      <c r="AN504" s="65"/>
    </row>
    <row r="505" spans="10:40" ht="14.5" x14ac:dyDescent="0.35">
      <c r="J505" s="65"/>
      <c r="K505" s="65"/>
      <c r="L505" s="65"/>
      <c r="M505" s="65"/>
      <c r="N505" s="65"/>
      <c r="O505" s="65"/>
      <c r="P505" s="65"/>
      <c r="Q505" s="65"/>
      <c r="R505" s="65"/>
      <c r="S505" s="65"/>
      <c r="T505" s="65"/>
      <c r="U505" s="65"/>
      <c r="V505" s="65"/>
      <c r="W505" s="65"/>
      <c r="X505" s="65"/>
      <c r="Y505" s="65"/>
      <c r="Z505" s="65"/>
      <c r="AA505" s="65"/>
      <c r="AB505" s="65"/>
      <c r="AC505" s="65"/>
      <c r="AD505" s="65"/>
      <c r="AE505" s="65"/>
      <c r="AF505" s="65"/>
      <c r="AG505" s="65"/>
      <c r="AH505" s="65"/>
      <c r="AI505" s="65"/>
      <c r="AJ505" s="65"/>
      <c r="AK505" s="65"/>
      <c r="AL505" s="65"/>
      <c r="AM505" s="65"/>
      <c r="AN505" s="65"/>
    </row>
    <row r="506" spans="10:40" ht="14.5" x14ac:dyDescent="0.35">
      <c r="J506" s="65"/>
      <c r="K506" s="65"/>
      <c r="L506" s="65"/>
      <c r="M506" s="65"/>
      <c r="N506" s="65"/>
      <c r="O506" s="65"/>
      <c r="P506" s="65"/>
      <c r="Q506" s="65"/>
      <c r="R506" s="65"/>
      <c r="S506" s="65"/>
      <c r="T506" s="65"/>
      <c r="U506" s="65"/>
      <c r="V506" s="65"/>
      <c r="W506" s="65"/>
      <c r="X506" s="65"/>
      <c r="Y506" s="65"/>
      <c r="Z506" s="65"/>
      <c r="AA506" s="65"/>
      <c r="AB506" s="65"/>
      <c r="AC506" s="65"/>
      <c r="AD506" s="65"/>
      <c r="AE506" s="65"/>
      <c r="AF506" s="65"/>
      <c r="AG506" s="65"/>
      <c r="AH506" s="65"/>
      <c r="AI506" s="65"/>
      <c r="AJ506" s="65"/>
      <c r="AK506" s="65"/>
      <c r="AL506" s="65"/>
      <c r="AM506" s="65"/>
      <c r="AN506" s="65"/>
    </row>
    <row r="507" spans="10:40" ht="14.5" x14ac:dyDescent="0.35">
      <c r="J507" s="65"/>
      <c r="K507" s="65"/>
      <c r="L507" s="65"/>
      <c r="M507" s="65"/>
      <c r="N507" s="65"/>
      <c r="O507" s="65"/>
      <c r="P507" s="65"/>
      <c r="Q507" s="65"/>
      <c r="R507" s="65"/>
      <c r="S507" s="65"/>
      <c r="T507" s="65"/>
      <c r="U507" s="65"/>
      <c r="V507" s="65"/>
      <c r="W507" s="65"/>
      <c r="X507" s="65"/>
      <c r="Y507" s="65"/>
      <c r="Z507" s="65"/>
      <c r="AA507" s="65"/>
      <c r="AB507" s="65"/>
      <c r="AC507" s="65"/>
      <c r="AD507" s="65"/>
      <c r="AE507" s="65"/>
      <c r="AF507" s="65"/>
      <c r="AG507" s="65"/>
      <c r="AH507" s="65"/>
      <c r="AI507" s="65"/>
      <c r="AJ507" s="65"/>
      <c r="AK507" s="65"/>
      <c r="AL507" s="65"/>
      <c r="AM507" s="65"/>
      <c r="AN507" s="65"/>
    </row>
    <row r="508" spans="10:40" ht="14.5" x14ac:dyDescent="0.35">
      <c r="J508" s="65"/>
      <c r="K508" s="65"/>
      <c r="L508" s="65"/>
      <c r="M508" s="65"/>
      <c r="N508" s="65"/>
      <c r="O508" s="65"/>
      <c r="P508" s="65"/>
      <c r="Q508" s="65"/>
      <c r="R508" s="65"/>
      <c r="S508" s="65"/>
      <c r="T508" s="65"/>
      <c r="U508" s="65"/>
      <c r="V508" s="65"/>
      <c r="W508" s="65"/>
      <c r="X508" s="65"/>
      <c r="Y508" s="65"/>
      <c r="Z508" s="65"/>
      <c r="AA508" s="65"/>
      <c r="AB508" s="65"/>
      <c r="AC508" s="65"/>
      <c r="AD508" s="65"/>
      <c r="AE508" s="65"/>
      <c r="AF508" s="65"/>
      <c r="AG508" s="65"/>
      <c r="AH508" s="65"/>
      <c r="AI508" s="65"/>
      <c r="AJ508" s="65"/>
      <c r="AK508" s="65"/>
      <c r="AL508" s="65"/>
      <c r="AM508" s="65"/>
      <c r="AN508" s="65"/>
    </row>
    <row r="509" spans="10:40" ht="14.5" x14ac:dyDescent="0.35">
      <c r="J509" s="65"/>
      <c r="K509" s="65"/>
      <c r="L509" s="65"/>
      <c r="M509" s="65"/>
      <c r="N509" s="65"/>
      <c r="O509" s="65"/>
      <c r="P509" s="65"/>
      <c r="Q509" s="65"/>
      <c r="R509" s="65"/>
      <c r="S509" s="65"/>
      <c r="T509" s="65"/>
      <c r="U509" s="65"/>
      <c r="V509" s="65"/>
      <c r="W509" s="65"/>
      <c r="X509" s="65"/>
      <c r="Y509" s="65"/>
      <c r="Z509" s="65"/>
      <c r="AA509" s="65"/>
      <c r="AB509" s="65"/>
      <c r="AC509" s="65"/>
      <c r="AD509" s="65"/>
      <c r="AE509" s="65"/>
      <c r="AF509" s="65"/>
      <c r="AG509" s="65"/>
      <c r="AH509" s="65"/>
      <c r="AI509" s="65"/>
      <c r="AJ509" s="65"/>
      <c r="AK509" s="65"/>
      <c r="AL509" s="65"/>
      <c r="AM509" s="65"/>
      <c r="AN509" s="65"/>
    </row>
    <row r="510" spans="10:40" ht="14.5" x14ac:dyDescent="0.35">
      <c r="J510" s="65"/>
      <c r="K510" s="65"/>
      <c r="L510" s="65"/>
      <c r="M510" s="65"/>
      <c r="N510" s="65"/>
      <c r="O510" s="65"/>
      <c r="P510" s="65"/>
      <c r="Q510" s="65"/>
      <c r="R510" s="65"/>
      <c r="S510" s="65"/>
      <c r="T510" s="65"/>
      <c r="U510" s="65"/>
      <c r="V510" s="65"/>
      <c r="W510" s="65"/>
      <c r="X510" s="65"/>
      <c r="Y510" s="65"/>
      <c r="Z510" s="65"/>
      <c r="AA510" s="65"/>
      <c r="AB510" s="65"/>
      <c r="AC510" s="65"/>
      <c r="AD510" s="65"/>
      <c r="AE510" s="65"/>
      <c r="AF510" s="65"/>
      <c r="AG510" s="65"/>
      <c r="AH510" s="65"/>
      <c r="AI510" s="65"/>
      <c r="AJ510" s="65"/>
      <c r="AK510" s="65"/>
      <c r="AL510" s="65"/>
      <c r="AM510" s="65"/>
      <c r="AN510" s="65"/>
    </row>
    <row r="511" spans="10:40" ht="14.5" x14ac:dyDescent="0.35">
      <c r="J511" s="65"/>
      <c r="K511" s="65"/>
      <c r="L511" s="65"/>
      <c r="M511" s="65"/>
      <c r="N511" s="65"/>
      <c r="O511" s="65"/>
      <c r="P511" s="65"/>
      <c r="Q511" s="65"/>
      <c r="R511" s="65"/>
      <c r="S511" s="65"/>
      <c r="T511" s="65"/>
      <c r="U511" s="65"/>
      <c r="V511" s="65"/>
      <c r="W511" s="65"/>
      <c r="X511" s="65"/>
      <c r="Y511" s="65"/>
      <c r="Z511" s="65"/>
      <c r="AA511" s="65"/>
      <c r="AB511" s="65"/>
      <c r="AC511" s="65"/>
      <c r="AD511" s="65"/>
      <c r="AE511" s="65"/>
      <c r="AF511" s="65"/>
      <c r="AG511" s="65"/>
      <c r="AH511" s="65"/>
      <c r="AI511" s="65"/>
      <c r="AJ511" s="65"/>
      <c r="AK511" s="65"/>
      <c r="AL511" s="65"/>
      <c r="AM511" s="65"/>
      <c r="AN511" s="65"/>
    </row>
    <row r="512" spans="10:40" ht="14.5" x14ac:dyDescent="0.35">
      <c r="J512" s="65"/>
      <c r="K512" s="65"/>
      <c r="L512" s="65"/>
      <c r="M512" s="65"/>
      <c r="N512" s="65"/>
      <c r="O512" s="65"/>
      <c r="P512" s="65"/>
      <c r="Q512" s="65"/>
      <c r="R512" s="65"/>
      <c r="S512" s="65"/>
      <c r="T512" s="65"/>
      <c r="U512" s="65"/>
      <c r="V512" s="65"/>
      <c r="W512" s="65"/>
      <c r="X512" s="65"/>
      <c r="Y512" s="65"/>
      <c r="Z512" s="65"/>
      <c r="AA512" s="65"/>
      <c r="AB512" s="65"/>
      <c r="AC512" s="65"/>
      <c r="AD512" s="65"/>
      <c r="AE512" s="65"/>
      <c r="AF512" s="65"/>
      <c r="AG512" s="65"/>
      <c r="AH512" s="65"/>
      <c r="AI512" s="65"/>
      <c r="AJ512" s="65"/>
      <c r="AK512" s="65"/>
      <c r="AL512" s="65"/>
      <c r="AM512" s="65"/>
      <c r="AN512" s="65"/>
    </row>
    <row r="513" spans="10:40" ht="14.5" x14ac:dyDescent="0.35">
      <c r="J513" s="65"/>
      <c r="K513" s="65"/>
      <c r="L513" s="65"/>
      <c r="M513" s="65"/>
      <c r="N513" s="65"/>
      <c r="O513" s="65"/>
      <c r="P513" s="65"/>
      <c r="Q513" s="65"/>
      <c r="R513" s="65"/>
      <c r="S513" s="65"/>
      <c r="T513" s="65"/>
      <c r="U513" s="65"/>
      <c r="V513" s="65"/>
      <c r="W513" s="65"/>
      <c r="X513" s="65"/>
      <c r="Y513" s="65"/>
      <c r="Z513" s="65"/>
      <c r="AA513" s="65"/>
      <c r="AB513" s="65"/>
      <c r="AC513" s="65"/>
      <c r="AD513" s="65"/>
      <c r="AE513" s="65"/>
      <c r="AF513" s="65"/>
      <c r="AG513" s="65"/>
      <c r="AH513" s="65"/>
      <c r="AI513" s="65"/>
      <c r="AJ513" s="65"/>
      <c r="AK513" s="65"/>
      <c r="AL513" s="65"/>
      <c r="AM513" s="65"/>
      <c r="AN513" s="65"/>
    </row>
    <row r="514" spans="10:40" ht="14.5" x14ac:dyDescent="0.35">
      <c r="J514" s="65"/>
      <c r="K514" s="65"/>
      <c r="L514" s="65"/>
      <c r="M514" s="65"/>
      <c r="N514" s="65"/>
      <c r="O514" s="65"/>
      <c r="P514" s="65"/>
      <c r="Q514" s="65"/>
      <c r="R514" s="65"/>
      <c r="S514" s="65"/>
      <c r="T514" s="65"/>
      <c r="U514" s="65"/>
      <c r="V514" s="65"/>
      <c r="W514" s="65"/>
      <c r="X514" s="65"/>
      <c r="Y514" s="65"/>
      <c r="Z514" s="65"/>
      <c r="AA514" s="65"/>
      <c r="AB514" s="65"/>
      <c r="AC514" s="65"/>
      <c r="AD514" s="65"/>
      <c r="AE514" s="65"/>
      <c r="AF514" s="65"/>
      <c r="AG514" s="65"/>
      <c r="AH514" s="65"/>
      <c r="AI514" s="65"/>
      <c r="AJ514" s="65"/>
      <c r="AK514" s="65"/>
      <c r="AL514" s="65"/>
      <c r="AM514" s="65"/>
      <c r="AN514" s="65"/>
    </row>
    <row r="515" spans="10:40" ht="14.5" x14ac:dyDescent="0.35">
      <c r="J515" s="65"/>
      <c r="K515" s="65"/>
      <c r="L515" s="65"/>
      <c r="M515" s="65"/>
      <c r="N515" s="65"/>
      <c r="O515" s="65"/>
      <c r="P515" s="65"/>
      <c r="Q515" s="65"/>
      <c r="R515" s="65"/>
      <c r="S515" s="65"/>
      <c r="T515" s="65"/>
      <c r="U515" s="65"/>
      <c r="V515" s="65"/>
      <c r="W515" s="65"/>
      <c r="X515" s="65"/>
      <c r="Y515" s="65"/>
      <c r="Z515" s="65"/>
      <c r="AA515" s="65"/>
      <c r="AB515" s="65"/>
      <c r="AC515" s="65"/>
      <c r="AD515" s="65"/>
      <c r="AE515" s="65"/>
      <c r="AF515" s="65"/>
      <c r="AG515" s="65"/>
      <c r="AH515" s="65"/>
      <c r="AI515" s="65"/>
      <c r="AJ515" s="65"/>
      <c r="AK515" s="65"/>
      <c r="AL515" s="65"/>
      <c r="AM515" s="65"/>
      <c r="AN515" s="65"/>
    </row>
    <row r="516" spans="10:40" ht="14.5" x14ac:dyDescent="0.35">
      <c r="J516" s="65"/>
      <c r="K516" s="65"/>
      <c r="L516" s="65"/>
      <c r="M516" s="65"/>
      <c r="N516" s="65"/>
      <c r="O516" s="65"/>
      <c r="P516" s="65"/>
      <c r="Q516" s="65"/>
      <c r="R516" s="65"/>
      <c r="S516" s="65"/>
      <c r="T516" s="65"/>
      <c r="U516" s="65"/>
      <c r="V516" s="65"/>
      <c r="W516" s="65"/>
      <c r="X516" s="65"/>
      <c r="Y516" s="65"/>
      <c r="Z516" s="65"/>
      <c r="AA516" s="65"/>
      <c r="AB516" s="65"/>
      <c r="AC516" s="65"/>
      <c r="AD516" s="65"/>
      <c r="AE516" s="65"/>
      <c r="AF516" s="65"/>
      <c r="AG516" s="65"/>
      <c r="AH516" s="65"/>
      <c r="AI516" s="65"/>
      <c r="AJ516" s="65"/>
      <c r="AK516" s="65"/>
      <c r="AL516" s="65"/>
      <c r="AM516" s="65"/>
      <c r="AN516" s="65"/>
    </row>
    <row r="517" spans="10:40" ht="14.5" x14ac:dyDescent="0.35">
      <c r="J517" s="65"/>
      <c r="K517" s="65"/>
      <c r="L517" s="65"/>
      <c r="M517" s="65"/>
      <c r="N517" s="65"/>
      <c r="O517" s="65"/>
      <c r="P517" s="65"/>
      <c r="Q517" s="65"/>
      <c r="R517" s="65"/>
      <c r="S517" s="65"/>
      <c r="T517" s="65"/>
      <c r="U517" s="65"/>
      <c r="V517" s="65"/>
      <c r="W517" s="65"/>
      <c r="X517" s="65"/>
      <c r="Y517" s="65"/>
      <c r="Z517" s="65"/>
      <c r="AA517" s="65"/>
      <c r="AB517" s="65"/>
      <c r="AC517" s="65"/>
      <c r="AD517" s="65"/>
      <c r="AE517" s="65"/>
      <c r="AF517" s="65"/>
      <c r="AG517" s="65"/>
      <c r="AH517" s="65"/>
      <c r="AI517" s="65"/>
      <c r="AJ517" s="65"/>
      <c r="AK517" s="65"/>
      <c r="AL517" s="65"/>
      <c r="AM517" s="65"/>
      <c r="AN517" s="65"/>
    </row>
    <row r="518" spans="10:40" ht="14.5" x14ac:dyDescent="0.35">
      <c r="J518" s="65"/>
      <c r="K518" s="65"/>
      <c r="L518" s="65"/>
      <c r="M518" s="65"/>
      <c r="N518" s="65"/>
      <c r="O518" s="65"/>
      <c r="P518" s="65"/>
      <c r="Q518" s="65"/>
      <c r="R518" s="65"/>
      <c r="S518" s="65"/>
      <c r="T518" s="65"/>
      <c r="U518" s="65"/>
      <c r="V518" s="65"/>
      <c r="W518" s="65"/>
      <c r="X518" s="65"/>
      <c r="Y518" s="65"/>
      <c r="Z518" s="65"/>
      <c r="AA518" s="65"/>
      <c r="AB518" s="65"/>
      <c r="AC518" s="65"/>
      <c r="AD518" s="65"/>
      <c r="AE518" s="65"/>
      <c r="AF518" s="65"/>
      <c r="AG518" s="65"/>
      <c r="AH518" s="65"/>
      <c r="AI518" s="65"/>
      <c r="AJ518" s="65"/>
      <c r="AK518" s="65"/>
      <c r="AL518" s="65"/>
      <c r="AM518" s="65"/>
      <c r="AN518" s="65"/>
    </row>
    <row r="519" spans="10:40" ht="14.5" x14ac:dyDescent="0.35">
      <c r="J519" s="65"/>
      <c r="K519" s="65"/>
      <c r="L519" s="65"/>
      <c r="M519" s="65"/>
      <c r="N519" s="65"/>
      <c r="O519" s="65"/>
      <c r="P519" s="65"/>
      <c r="Q519" s="65"/>
      <c r="R519" s="65"/>
      <c r="S519" s="65"/>
      <c r="T519" s="65"/>
      <c r="U519" s="65"/>
      <c r="V519" s="65"/>
      <c r="W519" s="65"/>
      <c r="X519" s="65"/>
      <c r="Y519" s="65"/>
      <c r="Z519" s="65"/>
      <c r="AA519" s="65"/>
      <c r="AB519" s="65"/>
      <c r="AC519" s="65"/>
      <c r="AD519" s="65"/>
      <c r="AE519" s="65"/>
      <c r="AF519" s="65"/>
      <c r="AG519" s="65"/>
      <c r="AH519" s="65"/>
      <c r="AI519" s="65"/>
      <c r="AJ519" s="65"/>
      <c r="AK519" s="65"/>
      <c r="AL519" s="65"/>
      <c r="AM519" s="65"/>
      <c r="AN519" s="65"/>
    </row>
    <row r="520" spans="10:40" ht="14.5" x14ac:dyDescent="0.35">
      <c r="J520" s="65"/>
      <c r="K520" s="65"/>
      <c r="L520" s="65"/>
      <c r="M520" s="65"/>
      <c r="N520" s="65"/>
      <c r="O520" s="65"/>
      <c r="P520" s="65"/>
      <c r="Q520" s="65"/>
      <c r="R520" s="65"/>
      <c r="S520" s="65"/>
      <c r="T520" s="65"/>
      <c r="U520" s="65"/>
      <c r="V520" s="65"/>
      <c r="W520" s="65"/>
      <c r="X520" s="65"/>
      <c r="Y520" s="65"/>
      <c r="Z520" s="65"/>
      <c r="AA520" s="65"/>
      <c r="AB520" s="65"/>
      <c r="AC520" s="65"/>
      <c r="AD520" s="65"/>
      <c r="AE520" s="65"/>
      <c r="AF520" s="65"/>
      <c r="AG520" s="65"/>
      <c r="AH520" s="65"/>
      <c r="AI520" s="65"/>
      <c r="AJ520" s="65"/>
      <c r="AK520" s="65"/>
      <c r="AL520" s="65"/>
      <c r="AM520" s="65"/>
      <c r="AN520" s="65"/>
    </row>
    <row r="521" spans="10:40" ht="14.5" x14ac:dyDescent="0.35">
      <c r="J521" s="65"/>
      <c r="K521" s="65"/>
      <c r="L521" s="65"/>
      <c r="M521" s="65"/>
      <c r="N521" s="65"/>
      <c r="O521" s="65"/>
      <c r="P521" s="65"/>
      <c r="Q521" s="65"/>
      <c r="R521" s="65"/>
      <c r="S521" s="65"/>
      <c r="T521" s="65"/>
      <c r="U521" s="65"/>
      <c r="V521" s="65"/>
      <c r="W521" s="65"/>
      <c r="X521" s="65"/>
      <c r="Y521" s="65"/>
      <c r="Z521" s="65"/>
      <c r="AA521" s="65"/>
      <c r="AB521" s="65"/>
      <c r="AC521" s="65"/>
      <c r="AD521" s="65"/>
      <c r="AE521" s="65"/>
      <c r="AF521" s="65"/>
      <c r="AG521" s="65"/>
      <c r="AH521" s="65"/>
      <c r="AI521" s="65"/>
      <c r="AJ521" s="65"/>
      <c r="AK521" s="65"/>
      <c r="AL521" s="65"/>
      <c r="AM521" s="65"/>
      <c r="AN521" s="65"/>
    </row>
    <row r="522" spans="10:40" ht="14.5" x14ac:dyDescent="0.35">
      <c r="J522" s="65"/>
      <c r="K522" s="65"/>
      <c r="L522" s="65"/>
      <c r="M522" s="65"/>
      <c r="N522" s="65"/>
      <c r="O522" s="65"/>
      <c r="P522" s="65"/>
      <c r="Q522" s="65"/>
      <c r="R522" s="65"/>
      <c r="S522" s="65"/>
      <c r="T522" s="65"/>
      <c r="U522" s="65"/>
      <c r="V522" s="65"/>
      <c r="W522" s="65"/>
      <c r="X522" s="65"/>
      <c r="Y522" s="65"/>
      <c r="Z522" s="65"/>
      <c r="AA522" s="65"/>
      <c r="AB522" s="65"/>
      <c r="AC522" s="65"/>
      <c r="AD522" s="65"/>
      <c r="AE522" s="65"/>
      <c r="AF522" s="65"/>
      <c r="AG522" s="65"/>
      <c r="AH522" s="65"/>
      <c r="AI522" s="65"/>
      <c r="AJ522" s="65"/>
      <c r="AK522" s="65"/>
      <c r="AL522" s="65"/>
      <c r="AM522" s="65"/>
      <c r="AN522" s="65"/>
    </row>
    <row r="523" spans="10:40" ht="14.5" x14ac:dyDescent="0.35">
      <c r="J523" s="65"/>
      <c r="K523" s="65"/>
      <c r="L523" s="65"/>
      <c r="M523" s="65"/>
      <c r="N523" s="65"/>
      <c r="O523" s="65"/>
      <c r="P523" s="65"/>
      <c r="Q523" s="65"/>
      <c r="R523" s="65"/>
      <c r="S523" s="65"/>
      <c r="T523" s="65"/>
      <c r="U523" s="65"/>
      <c r="V523" s="65"/>
      <c r="W523" s="65"/>
      <c r="X523" s="65"/>
      <c r="Y523" s="65"/>
      <c r="Z523" s="65"/>
      <c r="AA523" s="65"/>
      <c r="AB523" s="65"/>
      <c r="AC523" s="65"/>
      <c r="AD523" s="65"/>
      <c r="AE523" s="65"/>
      <c r="AF523" s="65"/>
      <c r="AG523" s="65"/>
      <c r="AH523" s="65"/>
      <c r="AI523" s="65"/>
      <c r="AJ523" s="65"/>
      <c r="AK523" s="65"/>
      <c r="AL523" s="65"/>
      <c r="AM523" s="65"/>
      <c r="AN523" s="65"/>
    </row>
    <row r="524" spans="10:40" ht="14.5" x14ac:dyDescent="0.35">
      <c r="J524" s="65"/>
      <c r="K524" s="65"/>
      <c r="L524" s="65"/>
      <c r="M524" s="65"/>
      <c r="N524" s="65"/>
      <c r="O524" s="65"/>
      <c r="P524" s="65"/>
      <c r="Q524" s="65"/>
      <c r="R524" s="65"/>
      <c r="S524" s="65"/>
      <c r="T524" s="65"/>
      <c r="U524" s="65"/>
      <c r="V524" s="65"/>
      <c r="W524" s="65"/>
      <c r="X524" s="65"/>
      <c r="Y524" s="65"/>
      <c r="Z524" s="65"/>
      <c r="AA524" s="65"/>
      <c r="AB524" s="65"/>
      <c r="AC524" s="65"/>
      <c r="AD524" s="65"/>
      <c r="AE524" s="65"/>
      <c r="AF524" s="65"/>
      <c r="AG524" s="65"/>
      <c r="AH524" s="65"/>
      <c r="AI524" s="65"/>
      <c r="AJ524" s="65"/>
      <c r="AK524" s="65"/>
      <c r="AL524" s="65"/>
      <c r="AM524" s="65"/>
      <c r="AN524" s="65"/>
    </row>
    <row r="525" spans="10:40" ht="14.5" x14ac:dyDescent="0.35">
      <c r="J525" s="65"/>
      <c r="K525" s="65"/>
      <c r="L525" s="65"/>
      <c r="M525" s="65"/>
      <c r="N525" s="65"/>
      <c r="O525" s="65"/>
      <c r="P525" s="65"/>
      <c r="Q525" s="65"/>
      <c r="R525" s="65"/>
      <c r="S525" s="65"/>
      <c r="T525" s="65"/>
      <c r="U525" s="65"/>
      <c r="V525" s="65"/>
      <c r="W525" s="65"/>
      <c r="X525" s="65"/>
      <c r="Y525" s="65"/>
      <c r="Z525" s="65"/>
      <c r="AA525" s="65"/>
      <c r="AB525" s="65"/>
      <c r="AC525" s="65"/>
      <c r="AD525" s="65"/>
      <c r="AE525" s="65"/>
      <c r="AF525" s="65"/>
      <c r="AG525" s="65"/>
      <c r="AH525" s="65"/>
      <c r="AI525" s="65"/>
      <c r="AJ525" s="65"/>
      <c r="AK525" s="65"/>
      <c r="AL525" s="65"/>
      <c r="AM525" s="65"/>
      <c r="AN525" s="65"/>
    </row>
    <row r="526" spans="10:40" ht="14.5" x14ac:dyDescent="0.35">
      <c r="J526" s="65"/>
      <c r="K526" s="65"/>
      <c r="L526" s="65"/>
      <c r="M526" s="65"/>
      <c r="N526" s="65"/>
      <c r="O526" s="65"/>
      <c r="P526" s="65"/>
      <c r="Q526" s="65"/>
      <c r="R526" s="65"/>
      <c r="S526" s="65"/>
      <c r="T526" s="65"/>
      <c r="U526" s="65"/>
      <c r="V526" s="65"/>
      <c r="W526" s="65"/>
      <c r="X526" s="65"/>
      <c r="Y526" s="65"/>
      <c r="Z526" s="65"/>
      <c r="AA526" s="65"/>
      <c r="AB526" s="65"/>
      <c r="AC526" s="65"/>
      <c r="AD526" s="65"/>
      <c r="AE526" s="65"/>
      <c r="AF526" s="65"/>
      <c r="AG526" s="65"/>
      <c r="AH526" s="65"/>
      <c r="AI526" s="65"/>
      <c r="AJ526" s="65"/>
      <c r="AK526" s="65"/>
      <c r="AL526" s="65"/>
      <c r="AM526" s="65"/>
      <c r="AN526" s="65"/>
    </row>
    <row r="527" spans="10:40" ht="14.5" x14ac:dyDescent="0.35">
      <c r="J527" s="65"/>
      <c r="K527" s="65"/>
      <c r="L527" s="65"/>
      <c r="M527" s="65"/>
      <c r="N527" s="65"/>
      <c r="O527" s="65"/>
      <c r="P527" s="65"/>
      <c r="Q527" s="65"/>
      <c r="R527" s="65"/>
      <c r="S527" s="65"/>
      <c r="T527" s="65"/>
      <c r="U527" s="65"/>
      <c r="V527" s="65"/>
      <c r="W527" s="65"/>
      <c r="X527" s="65"/>
      <c r="Y527" s="65"/>
      <c r="Z527" s="65"/>
      <c r="AA527" s="65"/>
      <c r="AB527" s="65"/>
      <c r="AC527" s="65"/>
      <c r="AD527" s="65"/>
      <c r="AE527" s="65"/>
      <c r="AF527" s="65"/>
      <c r="AG527" s="65"/>
      <c r="AH527" s="65"/>
      <c r="AI527" s="65"/>
      <c r="AJ527" s="65"/>
      <c r="AK527" s="65"/>
      <c r="AL527" s="65"/>
      <c r="AM527" s="65"/>
      <c r="AN527" s="65"/>
    </row>
    <row r="528" spans="10:40" ht="14.5" x14ac:dyDescent="0.35">
      <c r="J528" s="65"/>
      <c r="K528" s="65"/>
      <c r="L528" s="65"/>
      <c r="M528" s="65"/>
      <c r="N528" s="65"/>
      <c r="O528" s="65"/>
      <c r="P528" s="65"/>
      <c r="Q528" s="65"/>
      <c r="R528" s="65"/>
      <c r="S528" s="65"/>
      <c r="T528" s="65"/>
      <c r="U528" s="65"/>
      <c r="V528" s="65"/>
      <c r="W528" s="65"/>
      <c r="X528" s="65"/>
      <c r="Y528" s="65"/>
      <c r="Z528" s="65"/>
      <c r="AA528" s="65"/>
      <c r="AB528" s="65"/>
      <c r="AC528" s="65"/>
      <c r="AD528" s="65"/>
      <c r="AE528" s="65"/>
      <c r="AF528" s="65"/>
      <c r="AG528" s="65"/>
      <c r="AH528" s="65"/>
      <c r="AI528" s="65"/>
      <c r="AJ528" s="65"/>
      <c r="AK528" s="65"/>
      <c r="AL528" s="65"/>
      <c r="AM528" s="65"/>
      <c r="AN528" s="65"/>
    </row>
    <row r="529" spans="10:40" ht="14.5" x14ac:dyDescent="0.35">
      <c r="J529" s="65"/>
      <c r="K529" s="65"/>
      <c r="L529" s="65"/>
      <c r="M529" s="65"/>
      <c r="N529" s="65"/>
      <c r="O529" s="65"/>
      <c r="P529" s="65"/>
      <c r="Q529" s="65"/>
      <c r="R529" s="65"/>
      <c r="S529" s="65"/>
      <c r="T529" s="65"/>
      <c r="U529" s="65"/>
      <c r="V529" s="65"/>
      <c r="W529" s="65"/>
      <c r="X529" s="65"/>
      <c r="Y529" s="65"/>
      <c r="Z529" s="65"/>
      <c r="AA529" s="65"/>
      <c r="AB529" s="65"/>
      <c r="AC529" s="65"/>
      <c r="AD529" s="65"/>
      <c r="AE529" s="65"/>
      <c r="AF529" s="65"/>
      <c r="AG529" s="65"/>
      <c r="AH529" s="65"/>
      <c r="AI529" s="65"/>
      <c r="AJ529" s="65"/>
      <c r="AK529" s="65"/>
      <c r="AL529" s="65"/>
      <c r="AM529" s="65"/>
      <c r="AN529" s="65"/>
    </row>
    <row r="530" spans="10:40" ht="14.5" x14ac:dyDescent="0.35">
      <c r="J530" s="65"/>
      <c r="K530" s="65"/>
      <c r="L530" s="65"/>
      <c r="M530" s="65"/>
      <c r="N530" s="65"/>
      <c r="O530" s="65"/>
      <c r="P530" s="65"/>
      <c r="Q530" s="65"/>
      <c r="R530" s="65"/>
      <c r="S530" s="65"/>
      <c r="T530" s="65"/>
      <c r="U530" s="65"/>
      <c r="V530" s="65"/>
      <c r="W530" s="65"/>
      <c r="X530" s="65"/>
      <c r="Y530" s="65"/>
      <c r="Z530" s="65"/>
      <c r="AA530" s="65"/>
      <c r="AB530" s="65"/>
      <c r="AC530" s="65"/>
      <c r="AD530" s="65"/>
      <c r="AE530" s="65"/>
      <c r="AF530" s="65"/>
      <c r="AG530" s="65"/>
      <c r="AH530" s="65"/>
      <c r="AI530" s="65"/>
      <c r="AJ530" s="65"/>
      <c r="AK530" s="65"/>
      <c r="AL530" s="65"/>
      <c r="AM530" s="65"/>
      <c r="AN530" s="65"/>
    </row>
    <row r="531" spans="10:40" ht="14.5" x14ac:dyDescent="0.35">
      <c r="J531" s="65"/>
      <c r="K531" s="65"/>
      <c r="L531" s="65"/>
      <c r="M531" s="65"/>
      <c r="N531" s="65"/>
      <c r="O531" s="65"/>
      <c r="P531" s="65"/>
      <c r="Q531" s="65"/>
      <c r="R531" s="65"/>
      <c r="S531" s="65"/>
      <c r="T531" s="65"/>
      <c r="U531" s="65"/>
      <c r="V531" s="65"/>
      <c r="W531" s="65"/>
      <c r="X531" s="65"/>
      <c r="Y531" s="65"/>
      <c r="Z531" s="65"/>
      <c r="AA531" s="65"/>
      <c r="AB531" s="65"/>
      <c r="AC531" s="65"/>
      <c r="AD531" s="65"/>
      <c r="AE531" s="65"/>
      <c r="AF531" s="65"/>
      <c r="AG531" s="65"/>
      <c r="AH531" s="65"/>
      <c r="AI531" s="65"/>
      <c r="AJ531" s="65"/>
      <c r="AK531" s="65"/>
      <c r="AL531" s="65"/>
      <c r="AM531" s="65"/>
      <c r="AN531" s="65"/>
    </row>
    <row r="532" spans="10:40" ht="14.5" x14ac:dyDescent="0.35">
      <c r="J532" s="65"/>
      <c r="K532" s="65"/>
      <c r="L532" s="65"/>
      <c r="M532" s="65"/>
      <c r="N532" s="65"/>
      <c r="O532" s="65"/>
      <c r="P532" s="65"/>
      <c r="Q532" s="65"/>
      <c r="R532" s="65"/>
      <c r="S532" s="65"/>
      <c r="T532" s="65"/>
      <c r="U532" s="65"/>
      <c r="V532" s="65"/>
      <c r="W532" s="65"/>
      <c r="X532" s="65"/>
      <c r="Y532" s="65"/>
      <c r="Z532" s="65"/>
      <c r="AA532" s="65"/>
      <c r="AB532" s="65"/>
      <c r="AC532" s="65"/>
      <c r="AD532" s="65"/>
      <c r="AE532" s="65"/>
      <c r="AF532" s="65"/>
      <c r="AG532" s="65"/>
      <c r="AH532" s="65"/>
      <c r="AI532" s="65"/>
      <c r="AJ532" s="65"/>
      <c r="AK532" s="65"/>
      <c r="AL532" s="65"/>
      <c r="AM532" s="65"/>
      <c r="AN532" s="65"/>
    </row>
    <row r="533" spans="10:40" ht="14.5" x14ac:dyDescent="0.35">
      <c r="J533" s="65"/>
      <c r="K533" s="65"/>
      <c r="L533" s="65"/>
      <c r="M533" s="65"/>
      <c r="N533" s="65"/>
      <c r="O533" s="65"/>
      <c r="P533" s="65"/>
      <c r="Q533" s="65"/>
      <c r="R533" s="65"/>
      <c r="S533" s="65"/>
      <c r="T533" s="65"/>
      <c r="U533" s="65"/>
      <c r="V533" s="65"/>
      <c r="W533" s="65"/>
      <c r="X533" s="65"/>
      <c r="Y533" s="65"/>
      <c r="Z533" s="65"/>
      <c r="AA533" s="65"/>
      <c r="AB533" s="65"/>
      <c r="AC533" s="65"/>
      <c r="AD533" s="65"/>
      <c r="AE533" s="65"/>
      <c r="AF533" s="65"/>
      <c r="AG533" s="65"/>
      <c r="AH533" s="65"/>
      <c r="AI533" s="65"/>
      <c r="AJ533" s="65"/>
      <c r="AK533" s="65"/>
      <c r="AL533" s="65"/>
      <c r="AM533" s="65"/>
      <c r="AN533" s="65"/>
    </row>
    <row r="534" spans="10:40" ht="14.5" x14ac:dyDescent="0.35">
      <c r="J534" s="65"/>
      <c r="K534" s="65"/>
      <c r="L534" s="65"/>
      <c r="M534" s="65"/>
      <c r="N534" s="65"/>
      <c r="O534" s="65"/>
      <c r="P534" s="65"/>
      <c r="Q534" s="65"/>
      <c r="R534" s="65"/>
      <c r="S534" s="65"/>
      <c r="T534" s="65"/>
      <c r="U534" s="65"/>
      <c r="V534" s="65"/>
      <c r="W534" s="65"/>
      <c r="X534" s="65"/>
      <c r="Y534" s="65"/>
      <c r="Z534" s="65"/>
      <c r="AA534" s="65"/>
      <c r="AB534" s="65"/>
      <c r="AC534" s="65"/>
      <c r="AD534" s="65"/>
      <c r="AE534" s="65"/>
      <c r="AF534" s="65"/>
      <c r="AG534" s="65"/>
      <c r="AH534" s="65"/>
      <c r="AI534" s="65"/>
      <c r="AJ534" s="65"/>
      <c r="AK534" s="65"/>
      <c r="AL534" s="65"/>
      <c r="AM534" s="65"/>
      <c r="AN534" s="65"/>
    </row>
    <row r="535" spans="10:40" ht="14.5" x14ac:dyDescent="0.35">
      <c r="J535" s="65"/>
      <c r="K535" s="65"/>
      <c r="L535" s="65"/>
      <c r="M535" s="65"/>
      <c r="N535" s="65"/>
      <c r="O535" s="65"/>
      <c r="P535" s="65"/>
      <c r="Q535" s="65"/>
      <c r="R535" s="65"/>
      <c r="S535" s="65"/>
      <c r="T535" s="65"/>
      <c r="U535" s="65"/>
      <c r="V535" s="65"/>
      <c r="W535" s="65"/>
      <c r="X535" s="65"/>
      <c r="Y535" s="65"/>
      <c r="Z535" s="65"/>
      <c r="AA535" s="65"/>
      <c r="AB535" s="65"/>
      <c r="AC535" s="65"/>
      <c r="AD535" s="65"/>
      <c r="AE535" s="65"/>
      <c r="AF535" s="65"/>
      <c r="AG535" s="65"/>
      <c r="AH535" s="65"/>
      <c r="AI535" s="65"/>
      <c r="AJ535" s="65"/>
      <c r="AK535" s="65"/>
      <c r="AL535" s="65"/>
      <c r="AM535" s="65"/>
      <c r="AN535" s="65"/>
    </row>
    <row r="536" spans="10:40" ht="14.5" x14ac:dyDescent="0.35">
      <c r="J536" s="65"/>
      <c r="K536" s="65"/>
      <c r="L536" s="65"/>
      <c r="M536" s="65"/>
      <c r="N536" s="65"/>
      <c r="O536" s="65"/>
      <c r="P536" s="65"/>
      <c r="Q536" s="65"/>
      <c r="R536" s="65"/>
      <c r="S536" s="65"/>
      <c r="T536" s="65"/>
      <c r="U536" s="65"/>
      <c r="V536" s="65"/>
      <c r="W536" s="65"/>
      <c r="X536" s="65"/>
      <c r="Y536" s="65"/>
      <c r="Z536" s="65"/>
      <c r="AA536" s="65"/>
      <c r="AB536" s="65"/>
      <c r="AC536" s="65"/>
      <c r="AD536" s="65"/>
      <c r="AE536" s="65"/>
      <c r="AF536" s="65"/>
      <c r="AG536" s="65"/>
      <c r="AH536" s="65"/>
      <c r="AI536" s="65"/>
      <c r="AJ536" s="65"/>
      <c r="AK536" s="65"/>
      <c r="AL536" s="65"/>
      <c r="AM536" s="65"/>
      <c r="AN536" s="65"/>
    </row>
    <row r="537" spans="10:40" ht="14.5" x14ac:dyDescent="0.35">
      <c r="J537" s="65"/>
      <c r="K537" s="65"/>
      <c r="L537" s="65"/>
      <c r="M537" s="65"/>
      <c r="N537" s="65"/>
      <c r="O537" s="65"/>
      <c r="P537" s="65"/>
      <c r="Q537" s="65"/>
      <c r="R537" s="65"/>
      <c r="S537" s="65"/>
      <c r="T537" s="65"/>
      <c r="U537" s="65"/>
      <c r="V537" s="65"/>
      <c r="W537" s="65"/>
      <c r="X537" s="65"/>
      <c r="Y537" s="65"/>
      <c r="Z537" s="65"/>
      <c r="AA537" s="65"/>
      <c r="AB537" s="65"/>
      <c r="AC537" s="65"/>
      <c r="AD537" s="65"/>
      <c r="AE537" s="65"/>
      <c r="AF537" s="65"/>
      <c r="AG537" s="65"/>
      <c r="AH537" s="65"/>
      <c r="AI537" s="65"/>
      <c r="AJ537" s="65"/>
      <c r="AK537" s="65"/>
      <c r="AL537" s="65"/>
      <c r="AM537" s="65"/>
      <c r="AN537" s="65"/>
    </row>
    <row r="538" spans="10:40" ht="14.5" x14ac:dyDescent="0.35">
      <c r="J538" s="65"/>
      <c r="K538" s="65"/>
      <c r="L538" s="65"/>
      <c r="M538" s="65"/>
      <c r="N538" s="65"/>
      <c r="O538" s="65"/>
      <c r="P538" s="65"/>
      <c r="Q538" s="65"/>
      <c r="R538" s="65"/>
      <c r="S538" s="65"/>
      <c r="T538" s="65"/>
      <c r="U538" s="65"/>
      <c r="V538" s="65"/>
      <c r="W538" s="65"/>
      <c r="X538" s="65"/>
      <c r="Y538" s="65"/>
      <c r="Z538" s="65"/>
      <c r="AA538" s="65"/>
      <c r="AB538" s="65"/>
      <c r="AC538" s="65"/>
      <c r="AD538" s="65"/>
      <c r="AE538" s="65"/>
      <c r="AF538" s="65"/>
      <c r="AG538" s="65"/>
      <c r="AH538" s="65"/>
      <c r="AI538" s="65"/>
      <c r="AJ538" s="65"/>
      <c r="AK538" s="65"/>
      <c r="AL538" s="65"/>
      <c r="AM538" s="65"/>
      <c r="AN538" s="65"/>
    </row>
    <row r="539" spans="10:40" ht="14.5" x14ac:dyDescent="0.35">
      <c r="J539" s="65"/>
      <c r="K539" s="65"/>
      <c r="L539" s="65"/>
      <c r="M539" s="65"/>
      <c r="N539" s="65"/>
      <c r="O539" s="65"/>
      <c r="P539" s="65"/>
      <c r="Q539" s="65"/>
      <c r="R539" s="65"/>
      <c r="S539" s="65"/>
      <c r="T539" s="65"/>
      <c r="U539" s="65"/>
      <c r="V539" s="65"/>
      <c r="W539" s="65"/>
      <c r="X539" s="65"/>
      <c r="Y539" s="65"/>
      <c r="Z539" s="65"/>
      <c r="AA539" s="65"/>
      <c r="AB539" s="65"/>
      <c r="AC539" s="65"/>
      <c r="AD539" s="65"/>
      <c r="AE539" s="65"/>
      <c r="AF539" s="65"/>
      <c r="AG539" s="65"/>
      <c r="AH539" s="65"/>
      <c r="AI539" s="65"/>
      <c r="AJ539" s="65"/>
      <c r="AK539" s="65"/>
      <c r="AL539" s="65"/>
      <c r="AM539" s="65"/>
      <c r="AN539" s="65"/>
    </row>
    <row r="540" spans="10:40" ht="14.5" x14ac:dyDescent="0.35">
      <c r="J540" s="65"/>
      <c r="K540" s="65"/>
      <c r="L540" s="65"/>
      <c r="M540" s="65"/>
      <c r="N540" s="65"/>
      <c r="O540" s="65"/>
      <c r="P540" s="65"/>
      <c r="Q540" s="65"/>
      <c r="R540" s="65"/>
      <c r="S540" s="65"/>
      <c r="T540" s="65"/>
      <c r="U540" s="65"/>
      <c r="V540" s="65"/>
      <c r="W540" s="65"/>
      <c r="X540" s="65"/>
      <c r="Y540" s="65"/>
      <c r="Z540" s="65"/>
      <c r="AA540" s="65"/>
      <c r="AB540" s="65"/>
      <c r="AC540" s="65"/>
      <c r="AD540" s="65"/>
      <c r="AE540" s="65"/>
      <c r="AF540" s="65"/>
      <c r="AG540" s="65"/>
      <c r="AH540" s="65"/>
      <c r="AI540" s="65"/>
      <c r="AJ540" s="65"/>
      <c r="AK540" s="65"/>
      <c r="AL540" s="65"/>
      <c r="AM540" s="65"/>
      <c r="AN540" s="65"/>
    </row>
    <row r="541" spans="10:40" ht="14.5" x14ac:dyDescent="0.35">
      <c r="J541" s="65"/>
      <c r="K541" s="65"/>
      <c r="L541" s="65"/>
      <c r="M541" s="65"/>
      <c r="N541" s="65"/>
      <c r="O541" s="65"/>
      <c r="P541" s="65"/>
      <c r="Q541" s="65"/>
      <c r="R541" s="65"/>
      <c r="S541" s="65"/>
      <c r="T541" s="65"/>
      <c r="U541" s="65"/>
      <c r="V541" s="65"/>
      <c r="W541" s="65"/>
      <c r="X541" s="65"/>
      <c r="Y541" s="65"/>
      <c r="Z541" s="65"/>
      <c r="AA541" s="65"/>
      <c r="AB541" s="65"/>
      <c r="AC541" s="65"/>
      <c r="AD541" s="65"/>
      <c r="AE541" s="65"/>
      <c r="AF541" s="65"/>
      <c r="AG541" s="65"/>
      <c r="AH541" s="65"/>
      <c r="AI541" s="65"/>
      <c r="AJ541" s="65"/>
      <c r="AK541" s="65"/>
      <c r="AL541" s="65"/>
      <c r="AM541" s="65"/>
      <c r="AN541" s="65"/>
    </row>
    <row r="542" spans="10:40" ht="14.5" x14ac:dyDescent="0.35">
      <c r="J542" s="65"/>
      <c r="K542" s="65"/>
      <c r="L542" s="65"/>
      <c r="M542" s="65"/>
      <c r="N542" s="65"/>
      <c r="O542" s="65"/>
      <c r="P542" s="65"/>
      <c r="Q542" s="65"/>
      <c r="R542" s="65"/>
      <c r="S542" s="65"/>
      <c r="T542" s="65"/>
      <c r="U542" s="65"/>
      <c r="V542" s="65"/>
      <c r="W542" s="65"/>
      <c r="X542" s="65"/>
      <c r="Y542" s="65"/>
      <c r="Z542" s="65"/>
      <c r="AA542" s="65"/>
      <c r="AB542" s="65"/>
      <c r="AC542" s="65"/>
      <c r="AD542" s="65"/>
      <c r="AE542" s="65"/>
      <c r="AF542" s="65"/>
      <c r="AG542" s="65"/>
      <c r="AH542" s="65"/>
      <c r="AI542" s="65"/>
      <c r="AJ542" s="65"/>
      <c r="AK542" s="65"/>
      <c r="AL542" s="65"/>
      <c r="AM542" s="65"/>
      <c r="AN542" s="65"/>
    </row>
    <row r="543" spans="10:40" ht="14.5" x14ac:dyDescent="0.35">
      <c r="J543" s="65"/>
      <c r="K543" s="65"/>
      <c r="L543" s="65"/>
      <c r="M543" s="65"/>
      <c r="N543" s="65"/>
      <c r="O543" s="65"/>
      <c r="P543" s="65"/>
      <c r="Q543" s="65"/>
      <c r="R543" s="65"/>
      <c r="S543" s="65"/>
      <c r="T543" s="65"/>
      <c r="U543" s="65"/>
      <c r="V543" s="65"/>
      <c r="W543" s="65"/>
      <c r="X543" s="65"/>
      <c r="Y543" s="65"/>
      <c r="Z543" s="65"/>
      <c r="AA543" s="65"/>
      <c r="AB543" s="65"/>
      <c r="AC543" s="65"/>
      <c r="AD543" s="65"/>
      <c r="AE543" s="65"/>
      <c r="AF543" s="65"/>
      <c r="AG543" s="65"/>
      <c r="AH543" s="65"/>
      <c r="AI543" s="65"/>
      <c r="AJ543" s="65"/>
      <c r="AK543" s="65"/>
      <c r="AL543" s="65"/>
      <c r="AM543" s="65"/>
      <c r="AN543" s="65"/>
    </row>
    <row r="544" spans="10:40" ht="14.5" x14ac:dyDescent="0.35">
      <c r="J544" s="65"/>
      <c r="K544" s="65"/>
      <c r="L544" s="65"/>
      <c r="M544" s="65"/>
      <c r="N544" s="65"/>
      <c r="O544" s="65"/>
      <c r="P544" s="65"/>
      <c r="Q544" s="65"/>
      <c r="R544" s="65"/>
      <c r="S544" s="65"/>
      <c r="T544" s="65"/>
      <c r="U544" s="65"/>
      <c r="V544" s="65"/>
      <c r="W544" s="65"/>
      <c r="X544" s="65"/>
      <c r="Y544" s="65"/>
      <c r="Z544" s="65"/>
      <c r="AA544" s="65"/>
      <c r="AB544" s="65"/>
      <c r="AC544" s="65"/>
      <c r="AD544" s="65"/>
      <c r="AE544" s="65"/>
      <c r="AF544" s="65"/>
      <c r="AG544" s="65"/>
      <c r="AH544" s="65"/>
      <c r="AI544" s="65"/>
      <c r="AJ544" s="65"/>
      <c r="AK544" s="65"/>
      <c r="AL544" s="65"/>
      <c r="AM544" s="65"/>
      <c r="AN544" s="65"/>
    </row>
    <row r="545" spans="10:40" ht="14.5" x14ac:dyDescent="0.35">
      <c r="J545" s="65"/>
      <c r="K545" s="65"/>
      <c r="L545" s="65"/>
      <c r="M545" s="65"/>
      <c r="N545" s="65"/>
      <c r="O545" s="65"/>
      <c r="P545" s="65"/>
      <c r="Q545" s="65"/>
      <c r="R545" s="65"/>
      <c r="S545" s="65"/>
      <c r="T545" s="65"/>
      <c r="U545" s="65"/>
      <c r="V545" s="65"/>
      <c r="W545" s="65"/>
      <c r="X545" s="65"/>
      <c r="Y545" s="65"/>
      <c r="Z545" s="65"/>
      <c r="AA545" s="65"/>
      <c r="AB545" s="65"/>
      <c r="AC545" s="65"/>
      <c r="AD545" s="65"/>
      <c r="AE545" s="65"/>
      <c r="AF545" s="65"/>
      <c r="AG545" s="65"/>
      <c r="AH545" s="65"/>
      <c r="AI545" s="65"/>
      <c r="AJ545" s="65"/>
      <c r="AK545" s="65"/>
      <c r="AL545" s="65"/>
      <c r="AM545" s="65"/>
      <c r="AN545" s="65"/>
    </row>
    <row r="546" spans="10:40" ht="14.5" x14ac:dyDescent="0.35">
      <c r="J546" s="65"/>
      <c r="K546" s="65"/>
      <c r="L546" s="65"/>
      <c r="M546" s="65"/>
      <c r="N546" s="65"/>
      <c r="O546" s="65"/>
      <c r="P546" s="65"/>
      <c r="Q546" s="65"/>
      <c r="R546" s="65"/>
      <c r="S546" s="65"/>
      <c r="T546" s="65"/>
      <c r="U546" s="65"/>
      <c r="V546" s="65"/>
      <c r="W546" s="65"/>
      <c r="X546" s="65"/>
      <c r="Y546" s="65"/>
      <c r="Z546" s="65"/>
      <c r="AA546" s="65"/>
      <c r="AB546" s="65"/>
      <c r="AC546" s="65"/>
      <c r="AD546" s="65"/>
      <c r="AE546" s="65"/>
      <c r="AF546" s="65"/>
      <c r="AG546" s="65"/>
      <c r="AH546" s="65"/>
      <c r="AI546" s="65"/>
      <c r="AJ546" s="65"/>
      <c r="AK546" s="65"/>
      <c r="AL546" s="65"/>
      <c r="AM546" s="65"/>
      <c r="AN546" s="65"/>
    </row>
    <row r="547" spans="10:40" ht="14.5" x14ac:dyDescent="0.35">
      <c r="J547" s="65"/>
      <c r="K547" s="65"/>
      <c r="L547" s="65"/>
      <c r="M547" s="65"/>
      <c r="N547" s="65"/>
      <c r="O547" s="65"/>
      <c r="P547" s="65"/>
      <c r="Q547" s="65"/>
      <c r="R547" s="65"/>
      <c r="S547" s="65"/>
      <c r="T547" s="65"/>
      <c r="U547" s="65"/>
      <c r="V547" s="65"/>
      <c r="W547" s="65"/>
      <c r="X547" s="65"/>
      <c r="Y547" s="65"/>
      <c r="Z547" s="65"/>
      <c r="AA547" s="65"/>
      <c r="AB547" s="65"/>
      <c r="AC547" s="65"/>
      <c r="AD547" s="65"/>
      <c r="AE547" s="65"/>
      <c r="AF547" s="65"/>
      <c r="AG547" s="65"/>
      <c r="AH547" s="65"/>
      <c r="AI547" s="65"/>
      <c r="AJ547" s="65"/>
      <c r="AK547" s="65"/>
      <c r="AL547" s="65"/>
      <c r="AM547" s="65"/>
      <c r="AN547" s="65"/>
    </row>
    <row r="548" spans="10:40" ht="14.5" x14ac:dyDescent="0.35">
      <c r="J548" s="65"/>
      <c r="K548" s="65"/>
      <c r="L548" s="65"/>
      <c r="M548" s="65"/>
      <c r="N548" s="65"/>
      <c r="O548" s="65"/>
      <c r="P548" s="65"/>
      <c r="Q548" s="65"/>
      <c r="R548" s="65"/>
      <c r="S548" s="65"/>
      <c r="T548" s="65"/>
      <c r="U548" s="65"/>
      <c r="V548" s="65"/>
      <c r="W548" s="65"/>
      <c r="X548" s="65"/>
      <c r="Y548" s="65"/>
      <c r="Z548" s="65"/>
      <c r="AA548" s="65"/>
      <c r="AB548" s="65"/>
      <c r="AC548" s="65"/>
      <c r="AD548" s="65"/>
      <c r="AE548" s="65"/>
      <c r="AF548" s="65"/>
      <c r="AG548" s="65"/>
      <c r="AH548" s="65"/>
      <c r="AI548" s="65"/>
      <c r="AJ548" s="65"/>
      <c r="AK548" s="65"/>
      <c r="AL548" s="65"/>
      <c r="AM548" s="65"/>
      <c r="AN548" s="65"/>
    </row>
    <row r="549" spans="10:40" ht="14.5" x14ac:dyDescent="0.35">
      <c r="J549" s="65"/>
      <c r="K549" s="65"/>
      <c r="L549" s="65"/>
      <c r="M549" s="65"/>
      <c r="N549" s="65"/>
      <c r="O549" s="65"/>
      <c r="P549" s="65"/>
      <c r="Q549" s="65"/>
      <c r="R549" s="65"/>
      <c r="S549" s="65"/>
      <c r="T549" s="65"/>
      <c r="U549" s="65"/>
      <c r="V549" s="65"/>
      <c r="W549" s="65"/>
      <c r="X549" s="65"/>
      <c r="Y549" s="65"/>
      <c r="Z549" s="65"/>
      <c r="AA549" s="65"/>
      <c r="AB549" s="65"/>
      <c r="AC549" s="65"/>
      <c r="AD549" s="65"/>
      <c r="AE549" s="65"/>
      <c r="AF549" s="65"/>
      <c r="AG549" s="65"/>
      <c r="AH549" s="65"/>
      <c r="AI549" s="65"/>
      <c r="AJ549" s="65"/>
      <c r="AK549" s="65"/>
      <c r="AL549" s="65"/>
      <c r="AM549" s="65"/>
      <c r="AN549" s="65"/>
    </row>
    <row r="550" spans="10:40" ht="14.5" x14ac:dyDescent="0.35">
      <c r="J550" s="65"/>
      <c r="K550" s="65"/>
      <c r="L550" s="65"/>
      <c r="M550" s="65"/>
      <c r="N550" s="65"/>
      <c r="O550" s="65"/>
      <c r="P550" s="65"/>
      <c r="Q550" s="65"/>
      <c r="R550" s="65"/>
      <c r="S550" s="65"/>
      <c r="T550" s="65"/>
      <c r="U550" s="65"/>
      <c r="V550" s="65"/>
      <c r="W550" s="65"/>
      <c r="X550" s="65"/>
      <c r="Y550" s="65"/>
      <c r="Z550" s="65"/>
      <c r="AA550" s="65"/>
      <c r="AB550" s="65"/>
      <c r="AC550" s="65"/>
      <c r="AD550" s="65"/>
      <c r="AE550" s="65"/>
      <c r="AF550" s="65"/>
      <c r="AG550" s="65"/>
      <c r="AH550" s="65"/>
      <c r="AI550" s="65"/>
      <c r="AJ550" s="65"/>
      <c r="AK550" s="65"/>
      <c r="AL550" s="65"/>
      <c r="AM550" s="65"/>
      <c r="AN550" s="65"/>
    </row>
    <row r="551" spans="10:40" ht="14.5" x14ac:dyDescent="0.35">
      <c r="J551" s="65"/>
      <c r="K551" s="65"/>
      <c r="L551" s="65"/>
      <c r="M551" s="65"/>
      <c r="N551" s="65"/>
      <c r="O551" s="65"/>
      <c r="P551" s="65"/>
      <c r="Q551" s="65"/>
      <c r="R551" s="65"/>
      <c r="S551" s="65"/>
      <c r="T551" s="65"/>
      <c r="U551" s="65"/>
      <c r="V551" s="65"/>
      <c r="W551" s="65"/>
      <c r="X551" s="65"/>
      <c r="Y551" s="65"/>
      <c r="Z551" s="65"/>
      <c r="AA551" s="65"/>
      <c r="AB551" s="65"/>
      <c r="AC551" s="65"/>
      <c r="AD551" s="65"/>
      <c r="AE551" s="65"/>
      <c r="AF551" s="65"/>
      <c r="AG551" s="65"/>
      <c r="AH551" s="65"/>
      <c r="AI551" s="65"/>
      <c r="AJ551" s="65"/>
      <c r="AK551" s="65"/>
      <c r="AL551" s="65"/>
      <c r="AM551" s="65"/>
      <c r="AN551" s="65"/>
    </row>
    <row r="552" spans="10:40" ht="14.5" x14ac:dyDescent="0.35">
      <c r="J552" s="65"/>
      <c r="K552" s="65"/>
      <c r="L552" s="65"/>
      <c r="M552" s="65"/>
      <c r="N552" s="65"/>
      <c r="O552" s="65"/>
      <c r="P552" s="65"/>
      <c r="Q552" s="65"/>
      <c r="R552" s="65"/>
      <c r="S552" s="65"/>
      <c r="T552" s="65"/>
      <c r="U552" s="65"/>
      <c r="V552" s="65"/>
      <c r="W552" s="65"/>
      <c r="X552" s="65"/>
      <c r="Y552" s="65"/>
      <c r="Z552" s="65"/>
      <c r="AA552" s="65"/>
      <c r="AB552" s="65"/>
      <c r="AC552" s="65"/>
      <c r="AD552" s="65"/>
      <c r="AE552" s="65"/>
      <c r="AF552" s="65"/>
      <c r="AG552" s="65"/>
      <c r="AH552" s="65"/>
      <c r="AI552" s="65"/>
      <c r="AJ552" s="65"/>
      <c r="AK552" s="65"/>
      <c r="AL552" s="65"/>
      <c r="AM552" s="65"/>
      <c r="AN552" s="65"/>
    </row>
    <row r="553" spans="10:40" ht="14.5" x14ac:dyDescent="0.35">
      <c r="J553" s="65"/>
      <c r="K553" s="65"/>
      <c r="L553" s="65"/>
      <c r="M553" s="65"/>
      <c r="N553" s="65"/>
      <c r="O553" s="65"/>
      <c r="P553" s="65"/>
      <c r="Q553" s="65"/>
      <c r="R553" s="65"/>
      <c r="S553" s="65"/>
      <c r="T553" s="65"/>
      <c r="U553" s="65"/>
      <c r="V553" s="65"/>
      <c r="W553" s="65"/>
      <c r="X553" s="65"/>
      <c r="Y553" s="65"/>
      <c r="Z553" s="65"/>
      <c r="AA553" s="65"/>
      <c r="AB553" s="65"/>
      <c r="AC553" s="65"/>
      <c r="AD553" s="65"/>
      <c r="AE553" s="65"/>
      <c r="AF553" s="65"/>
      <c r="AG553" s="65"/>
      <c r="AH553" s="65"/>
      <c r="AI553" s="65"/>
      <c r="AJ553" s="65"/>
      <c r="AK553" s="65"/>
      <c r="AL553" s="65"/>
      <c r="AM553" s="65"/>
      <c r="AN553" s="65"/>
    </row>
    <row r="554" spans="10:40" ht="14.5" x14ac:dyDescent="0.35">
      <c r="J554" s="65"/>
      <c r="K554" s="65"/>
      <c r="L554" s="65"/>
      <c r="M554" s="65"/>
      <c r="N554" s="65"/>
      <c r="O554" s="65"/>
      <c r="P554" s="65"/>
      <c r="Q554" s="65"/>
      <c r="R554" s="65"/>
      <c r="S554" s="65"/>
      <c r="T554" s="65"/>
      <c r="U554" s="65"/>
      <c r="V554" s="65"/>
      <c r="W554" s="65"/>
      <c r="X554" s="65"/>
      <c r="Y554" s="65"/>
      <c r="Z554" s="65"/>
      <c r="AA554" s="65"/>
      <c r="AB554" s="65"/>
      <c r="AC554" s="65"/>
      <c r="AD554" s="65"/>
      <c r="AE554" s="65"/>
      <c r="AF554" s="65"/>
      <c r="AG554" s="65"/>
      <c r="AH554" s="65"/>
      <c r="AI554" s="65"/>
      <c r="AJ554" s="65"/>
      <c r="AK554" s="65"/>
      <c r="AL554" s="65"/>
      <c r="AM554" s="65"/>
      <c r="AN554" s="65"/>
    </row>
    <row r="555" spans="10:40" ht="14.5" x14ac:dyDescent="0.35">
      <c r="J555" s="65"/>
      <c r="K555" s="65"/>
      <c r="L555" s="65"/>
      <c r="M555" s="65"/>
      <c r="N555" s="65"/>
      <c r="O555" s="65"/>
      <c r="P555" s="65"/>
      <c r="Q555" s="65"/>
      <c r="R555" s="65"/>
      <c r="S555" s="65"/>
      <c r="T555" s="65"/>
      <c r="U555" s="65"/>
      <c r="V555" s="65"/>
      <c r="W555" s="65"/>
      <c r="X555" s="65"/>
      <c r="Y555" s="65"/>
      <c r="Z555" s="65"/>
      <c r="AA555" s="65"/>
      <c r="AB555" s="65"/>
      <c r="AC555" s="65"/>
      <c r="AD555" s="65"/>
      <c r="AE555" s="65"/>
      <c r="AF555" s="65"/>
      <c r="AG555" s="65"/>
      <c r="AH555" s="65"/>
      <c r="AI555" s="65"/>
      <c r="AJ555" s="65"/>
      <c r="AK555" s="65"/>
      <c r="AL555" s="65"/>
      <c r="AM555" s="65"/>
      <c r="AN555" s="65"/>
    </row>
    <row r="556" spans="10:40" ht="14.5" x14ac:dyDescent="0.35">
      <c r="J556" s="65"/>
      <c r="K556" s="65"/>
      <c r="L556" s="65"/>
      <c r="M556" s="65"/>
      <c r="N556" s="65"/>
      <c r="O556" s="65"/>
      <c r="P556" s="65"/>
      <c r="Q556" s="65"/>
      <c r="R556" s="65"/>
      <c r="S556" s="65"/>
      <c r="T556" s="65"/>
      <c r="U556" s="65"/>
      <c r="V556" s="65"/>
      <c r="W556" s="65"/>
      <c r="X556" s="65"/>
      <c r="Y556" s="65"/>
      <c r="Z556" s="65"/>
      <c r="AA556" s="65"/>
      <c r="AB556" s="65"/>
      <c r="AC556" s="65"/>
      <c r="AD556" s="65"/>
      <c r="AE556" s="65"/>
      <c r="AF556" s="65"/>
      <c r="AG556" s="65"/>
      <c r="AH556" s="65"/>
      <c r="AI556" s="65"/>
      <c r="AJ556" s="65"/>
      <c r="AK556" s="65"/>
      <c r="AL556" s="65"/>
      <c r="AM556" s="65"/>
      <c r="AN556" s="65"/>
    </row>
    <row r="557" spans="10:40" ht="14.5" x14ac:dyDescent="0.35">
      <c r="J557" s="65"/>
      <c r="K557" s="65"/>
      <c r="L557" s="65"/>
      <c r="M557" s="65"/>
      <c r="N557" s="65"/>
      <c r="O557" s="65"/>
      <c r="P557" s="65"/>
      <c r="Q557" s="65"/>
      <c r="R557" s="65"/>
      <c r="S557" s="65"/>
      <c r="T557" s="65"/>
      <c r="U557" s="65"/>
      <c r="V557" s="65"/>
      <c r="W557" s="65"/>
      <c r="X557" s="65"/>
      <c r="Y557" s="65"/>
      <c r="Z557" s="65"/>
      <c r="AA557" s="65"/>
      <c r="AB557" s="65"/>
      <c r="AC557" s="65"/>
      <c r="AD557" s="65"/>
      <c r="AE557" s="65"/>
      <c r="AF557" s="65"/>
      <c r="AG557" s="65"/>
      <c r="AH557" s="65"/>
      <c r="AI557" s="65"/>
      <c r="AJ557" s="65"/>
      <c r="AK557" s="65"/>
      <c r="AL557" s="65"/>
      <c r="AM557" s="65"/>
      <c r="AN557" s="65"/>
    </row>
    <row r="558" spans="10:40" ht="14.5" x14ac:dyDescent="0.35">
      <c r="J558" s="65"/>
      <c r="K558" s="65"/>
      <c r="L558" s="65"/>
      <c r="M558" s="65"/>
      <c r="N558" s="65"/>
      <c r="O558" s="65"/>
      <c r="P558" s="65"/>
      <c r="Q558" s="65"/>
      <c r="R558" s="65"/>
      <c r="S558" s="65"/>
      <c r="T558" s="65"/>
      <c r="U558" s="65"/>
      <c r="V558" s="65"/>
      <c r="W558" s="65"/>
      <c r="X558" s="65"/>
      <c r="Y558" s="65"/>
      <c r="Z558" s="65"/>
      <c r="AA558" s="65"/>
      <c r="AB558" s="65"/>
      <c r="AC558" s="65"/>
      <c r="AD558" s="65"/>
      <c r="AE558" s="65"/>
      <c r="AF558" s="65"/>
      <c r="AG558" s="65"/>
      <c r="AH558" s="65"/>
      <c r="AI558" s="65"/>
      <c r="AJ558" s="65"/>
      <c r="AK558" s="65"/>
      <c r="AL558" s="65"/>
      <c r="AM558" s="65"/>
      <c r="AN558" s="65"/>
    </row>
    <row r="559" spans="10:40" ht="14.5" x14ac:dyDescent="0.35">
      <c r="J559" s="65"/>
      <c r="K559" s="65"/>
      <c r="L559" s="65"/>
      <c r="M559" s="65"/>
      <c r="N559" s="65"/>
      <c r="O559" s="65"/>
      <c r="P559" s="65"/>
      <c r="Q559" s="65"/>
      <c r="R559" s="65"/>
      <c r="S559" s="65"/>
      <c r="T559" s="65"/>
      <c r="U559" s="65"/>
      <c r="V559" s="65"/>
      <c r="W559" s="65"/>
      <c r="X559" s="65"/>
      <c r="Y559" s="65"/>
      <c r="Z559" s="65"/>
      <c r="AA559" s="65"/>
      <c r="AB559" s="65"/>
      <c r="AC559" s="65"/>
      <c r="AD559" s="65"/>
      <c r="AE559" s="65"/>
      <c r="AF559" s="65"/>
      <c r="AG559" s="65"/>
      <c r="AH559" s="65"/>
      <c r="AI559" s="65"/>
      <c r="AJ559" s="65"/>
      <c r="AK559" s="65"/>
      <c r="AL559" s="65"/>
      <c r="AM559" s="65"/>
      <c r="AN559" s="65"/>
    </row>
    <row r="560" spans="10:40" ht="14.5" x14ac:dyDescent="0.35">
      <c r="J560" s="65"/>
      <c r="K560" s="65"/>
      <c r="L560" s="65"/>
      <c r="M560" s="65"/>
      <c r="N560" s="65"/>
      <c r="O560" s="65"/>
      <c r="P560" s="65"/>
      <c r="Q560" s="65"/>
      <c r="R560" s="65"/>
      <c r="S560" s="65"/>
      <c r="T560" s="65"/>
      <c r="U560" s="65"/>
      <c r="V560" s="65"/>
      <c r="W560" s="65"/>
      <c r="X560" s="65"/>
      <c r="Y560" s="65"/>
      <c r="Z560" s="65"/>
      <c r="AA560" s="65"/>
      <c r="AB560" s="65"/>
      <c r="AC560" s="65"/>
      <c r="AD560" s="65"/>
      <c r="AE560" s="65"/>
      <c r="AF560" s="65"/>
      <c r="AG560" s="65"/>
      <c r="AH560" s="65"/>
      <c r="AI560" s="65"/>
      <c r="AJ560" s="65"/>
      <c r="AK560" s="65"/>
      <c r="AL560" s="65"/>
      <c r="AM560" s="65"/>
      <c r="AN560" s="65"/>
    </row>
    <row r="561" spans="10:40" ht="14.5" x14ac:dyDescent="0.35">
      <c r="J561" s="65"/>
      <c r="K561" s="65"/>
      <c r="L561" s="65"/>
      <c r="M561" s="65"/>
      <c r="N561" s="65"/>
      <c r="O561" s="65"/>
      <c r="P561" s="65"/>
      <c r="Q561" s="65"/>
      <c r="R561" s="65"/>
      <c r="S561" s="65"/>
      <c r="T561" s="65"/>
      <c r="U561" s="65"/>
      <c r="V561" s="65"/>
      <c r="W561" s="65"/>
      <c r="X561" s="65"/>
      <c r="Y561" s="65"/>
      <c r="Z561" s="65"/>
      <c r="AA561" s="65"/>
      <c r="AB561" s="65"/>
      <c r="AC561" s="65"/>
      <c r="AD561" s="65"/>
      <c r="AE561" s="65"/>
      <c r="AF561" s="65"/>
      <c r="AG561" s="65"/>
      <c r="AH561" s="65"/>
      <c r="AI561" s="65"/>
      <c r="AJ561" s="65"/>
      <c r="AK561" s="65"/>
      <c r="AL561" s="65"/>
      <c r="AM561" s="65"/>
      <c r="AN561" s="65"/>
    </row>
    <row r="562" spans="10:40" ht="14.5" x14ac:dyDescent="0.35">
      <c r="J562" s="65"/>
      <c r="K562" s="65"/>
      <c r="L562" s="65"/>
      <c r="M562" s="65"/>
      <c r="N562" s="65"/>
      <c r="O562" s="65"/>
      <c r="P562" s="65"/>
      <c r="Q562" s="65"/>
      <c r="R562" s="65"/>
      <c r="S562" s="65"/>
      <c r="T562" s="65"/>
      <c r="U562" s="65"/>
      <c r="V562" s="65"/>
      <c r="W562" s="65"/>
      <c r="X562" s="65"/>
      <c r="Y562" s="65"/>
      <c r="Z562" s="65"/>
      <c r="AA562" s="65"/>
      <c r="AB562" s="65"/>
      <c r="AC562" s="65"/>
      <c r="AD562" s="65"/>
      <c r="AE562" s="65"/>
      <c r="AF562" s="65"/>
      <c r="AG562" s="65"/>
      <c r="AH562" s="65"/>
      <c r="AI562" s="65"/>
      <c r="AJ562" s="65"/>
      <c r="AK562" s="65"/>
      <c r="AL562" s="65"/>
      <c r="AM562" s="65"/>
      <c r="AN562" s="65"/>
    </row>
    <row r="563" spans="10:40" ht="14.5" x14ac:dyDescent="0.35">
      <c r="J563" s="65"/>
      <c r="K563" s="65"/>
      <c r="L563" s="65"/>
      <c r="M563" s="65"/>
      <c r="N563" s="65"/>
      <c r="O563" s="65"/>
      <c r="P563" s="65"/>
      <c r="Q563" s="65"/>
      <c r="R563" s="65"/>
      <c r="S563" s="65"/>
      <c r="T563" s="65"/>
      <c r="U563" s="65"/>
      <c r="V563" s="65"/>
      <c r="W563" s="65"/>
      <c r="X563" s="65"/>
      <c r="Y563" s="65"/>
      <c r="Z563" s="65"/>
      <c r="AA563" s="65"/>
      <c r="AB563" s="65"/>
      <c r="AC563" s="65"/>
      <c r="AD563" s="65"/>
      <c r="AE563" s="65"/>
      <c r="AF563" s="65"/>
      <c r="AG563" s="65"/>
      <c r="AH563" s="65"/>
      <c r="AI563" s="65"/>
      <c r="AJ563" s="65"/>
      <c r="AK563" s="65"/>
      <c r="AL563" s="65"/>
      <c r="AM563" s="65"/>
      <c r="AN563" s="65"/>
    </row>
    <row r="564" spans="10:40" ht="14.5" x14ac:dyDescent="0.35">
      <c r="J564" s="65"/>
      <c r="K564" s="65"/>
      <c r="L564" s="65"/>
      <c r="M564" s="65"/>
      <c r="N564" s="65"/>
      <c r="O564" s="65"/>
      <c r="P564" s="65"/>
      <c r="Q564" s="65"/>
      <c r="R564" s="65"/>
      <c r="S564" s="65"/>
      <c r="T564" s="65"/>
      <c r="U564" s="65"/>
      <c r="V564" s="65"/>
      <c r="W564" s="65"/>
      <c r="X564" s="65"/>
      <c r="Y564" s="65"/>
      <c r="Z564" s="65"/>
      <c r="AA564" s="65"/>
      <c r="AB564" s="65"/>
      <c r="AC564" s="65"/>
      <c r="AD564" s="65"/>
      <c r="AE564" s="65"/>
      <c r="AF564" s="65"/>
      <c r="AG564" s="65"/>
      <c r="AH564" s="65"/>
      <c r="AI564" s="65"/>
      <c r="AJ564" s="65"/>
      <c r="AK564" s="65"/>
      <c r="AL564" s="65"/>
      <c r="AM564" s="65"/>
      <c r="AN564" s="65"/>
    </row>
    <row r="565" spans="10:40" ht="14.5" x14ac:dyDescent="0.35">
      <c r="J565" s="65"/>
      <c r="K565" s="65"/>
      <c r="L565" s="65"/>
      <c r="M565" s="65"/>
      <c r="N565" s="65"/>
      <c r="O565" s="65"/>
      <c r="P565" s="65"/>
      <c r="Q565" s="65"/>
      <c r="R565" s="65"/>
      <c r="S565" s="65"/>
      <c r="T565" s="65"/>
      <c r="U565" s="65"/>
      <c r="V565" s="65"/>
      <c r="W565" s="65"/>
      <c r="X565" s="65"/>
      <c r="Y565" s="65"/>
      <c r="Z565" s="65"/>
      <c r="AA565" s="65"/>
      <c r="AB565" s="65"/>
      <c r="AC565" s="65"/>
      <c r="AD565" s="65"/>
      <c r="AE565" s="65"/>
      <c r="AF565" s="65"/>
      <c r="AG565" s="65"/>
      <c r="AH565" s="65"/>
      <c r="AI565" s="65"/>
      <c r="AJ565" s="65"/>
      <c r="AK565" s="65"/>
      <c r="AL565" s="65"/>
      <c r="AM565" s="65"/>
      <c r="AN565" s="65"/>
    </row>
    <row r="566" spans="10:40" ht="14.5" x14ac:dyDescent="0.35">
      <c r="J566" s="65"/>
      <c r="K566" s="65"/>
      <c r="L566" s="65"/>
      <c r="M566" s="65"/>
      <c r="N566" s="65"/>
      <c r="O566" s="65"/>
      <c r="P566" s="65"/>
      <c r="Q566" s="65"/>
      <c r="R566" s="65"/>
      <c r="S566" s="65"/>
      <c r="T566" s="65"/>
      <c r="U566" s="65"/>
      <c r="V566" s="65"/>
      <c r="W566" s="65"/>
      <c r="X566" s="65"/>
      <c r="Y566" s="65"/>
      <c r="Z566" s="65"/>
      <c r="AA566" s="65"/>
      <c r="AB566" s="65"/>
      <c r="AC566" s="65"/>
      <c r="AD566" s="65"/>
      <c r="AE566" s="65"/>
      <c r="AF566" s="65"/>
      <c r="AG566" s="65"/>
      <c r="AH566" s="65"/>
      <c r="AI566" s="65"/>
      <c r="AJ566" s="65"/>
      <c r="AK566" s="65"/>
      <c r="AL566" s="65"/>
      <c r="AM566" s="65"/>
      <c r="AN566" s="65"/>
    </row>
    <row r="567" spans="10:40" ht="14.5" x14ac:dyDescent="0.35">
      <c r="J567" s="65"/>
      <c r="K567" s="65"/>
      <c r="L567" s="65"/>
      <c r="M567" s="65"/>
      <c r="N567" s="65"/>
      <c r="O567" s="65"/>
      <c r="P567" s="65"/>
      <c r="Q567" s="65"/>
      <c r="R567" s="65"/>
      <c r="S567" s="65"/>
      <c r="T567" s="65"/>
      <c r="U567" s="65"/>
      <c r="V567" s="65"/>
      <c r="W567" s="65"/>
      <c r="X567" s="65"/>
      <c r="Y567" s="65"/>
      <c r="Z567" s="65"/>
      <c r="AA567" s="65"/>
      <c r="AB567" s="65"/>
      <c r="AC567" s="65"/>
      <c r="AD567" s="65"/>
      <c r="AE567" s="65"/>
      <c r="AF567" s="65"/>
      <c r="AG567" s="65"/>
      <c r="AH567" s="65"/>
      <c r="AI567" s="65"/>
      <c r="AJ567" s="65"/>
      <c r="AK567" s="65"/>
      <c r="AL567" s="65"/>
      <c r="AM567" s="65"/>
      <c r="AN567" s="65"/>
    </row>
    <row r="568" spans="10:40" ht="14.5" x14ac:dyDescent="0.35">
      <c r="J568" s="65"/>
      <c r="K568" s="65"/>
      <c r="L568" s="65"/>
      <c r="M568" s="65"/>
      <c r="N568" s="65"/>
      <c r="O568" s="65"/>
      <c r="P568" s="65"/>
      <c r="Q568" s="65"/>
      <c r="R568" s="65"/>
      <c r="S568" s="65"/>
      <c r="T568" s="65"/>
      <c r="U568" s="65"/>
      <c r="V568" s="65"/>
      <c r="W568" s="65"/>
      <c r="X568" s="65"/>
      <c r="Y568" s="65"/>
      <c r="Z568" s="65"/>
      <c r="AA568" s="65"/>
      <c r="AB568" s="65"/>
      <c r="AC568" s="65"/>
      <c r="AD568" s="65"/>
      <c r="AE568" s="65"/>
      <c r="AF568" s="65"/>
      <c r="AG568" s="65"/>
      <c r="AH568" s="65"/>
      <c r="AI568" s="65"/>
      <c r="AJ568" s="65"/>
      <c r="AK568" s="65"/>
      <c r="AL568" s="65"/>
      <c r="AM568" s="65"/>
      <c r="AN568" s="65"/>
    </row>
    <row r="569" spans="10:40" ht="14.5" x14ac:dyDescent="0.35">
      <c r="J569" s="65"/>
      <c r="K569" s="65"/>
      <c r="L569" s="65"/>
      <c r="M569" s="65"/>
      <c r="N569" s="65"/>
      <c r="O569" s="65"/>
      <c r="P569" s="65"/>
      <c r="Q569" s="65"/>
      <c r="R569" s="65"/>
      <c r="S569" s="65"/>
      <c r="T569" s="65"/>
      <c r="U569" s="65"/>
      <c r="V569" s="65"/>
      <c r="W569" s="65"/>
      <c r="X569" s="65"/>
      <c r="Y569" s="65"/>
      <c r="Z569" s="65"/>
      <c r="AA569" s="65"/>
      <c r="AB569" s="65"/>
      <c r="AC569" s="65"/>
      <c r="AD569" s="65"/>
      <c r="AE569" s="65"/>
      <c r="AF569" s="65"/>
      <c r="AG569" s="65"/>
      <c r="AH569" s="65"/>
      <c r="AI569" s="65"/>
      <c r="AJ569" s="65"/>
      <c r="AK569" s="65"/>
      <c r="AL569" s="65"/>
      <c r="AM569" s="65"/>
      <c r="AN569" s="65"/>
    </row>
    <row r="570" spans="10:40" ht="14.5" x14ac:dyDescent="0.35">
      <c r="J570" s="65"/>
      <c r="K570" s="65"/>
      <c r="L570" s="65"/>
      <c r="M570" s="65"/>
      <c r="N570" s="65"/>
      <c r="O570" s="65"/>
      <c r="P570" s="65"/>
      <c r="Q570" s="65"/>
      <c r="R570" s="65"/>
      <c r="S570" s="65"/>
      <c r="T570" s="65"/>
      <c r="U570" s="65"/>
      <c r="V570" s="65"/>
      <c r="W570" s="65"/>
      <c r="X570" s="65"/>
      <c r="Y570" s="65"/>
      <c r="Z570" s="65"/>
      <c r="AA570" s="65"/>
      <c r="AB570" s="65"/>
      <c r="AC570" s="65"/>
      <c r="AD570" s="65"/>
      <c r="AE570" s="65"/>
      <c r="AF570" s="65"/>
      <c r="AG570" s="65"/>
      <c r="AH570" s="65"/>
      <c r="AI570" s="65"/>
      <c r="AJ570" s="65"/>
      <c r="AK570" s="65"/>
      <c r="AL570" s="65"/>
      <c r="AM570" s="65"/>
      <c r="AN570" s="65"/>
    </row>
    <row r="571" spans="10:40" ht="14.5" x14ac:dyDescent="0.35">
      <c r="J571" s="65"/>
      <c r="K571" s="65"/>
      <c r="L571" s="65"/>
      <c r="M571" s="65"/>
      <c r="N571" s="65"/>
      <c r="O571" s="65"/>
      <c r="P571" s="65"/>
      <c r="Q571" s="65"/>
      <c r="R571" s="65"/>
      <c r="S571" s="65"/>
      <c r="T571" s="65"/>
      <c r="U571" s="65"/>
      <c r="V571" s="65"/>
      <c r="W571" s="65"/>
      <c r="X571" s="65"/>
      <c r="Y571" s="65"/>
      <c r="Z571" s="65"/>
      <c r="AA571" s="65"/>
      <c r="AB571" s="65"/>
      <c r="AC571" s="65"/>
      <c r="AD571" s="65"/>
      <c r="AE571" s="65"/>
      <c r="AF571" s="65"/>
      <c r="AG571" s="65"/>
      <c r="AH571" s="65"/>
      <c r="AI571" s="65"/>
      <c r="AJ571" s="65"/>
      <c r="AK571" s="65"/>
      <c r="AL571" s="65"/>
      <c r="AM571" s="65"/>
      <c r="AN571" s="65"/>
    </row>
    <row r="572" spans="10:40" ht="14.5" x14ac:dyDescent="0.35">
      <c r="J572" s="65"/>
      <c r="K572" s="65"/>
      <c r="L572" s="65"/>
      <c r="M572" s="65"/>
      <c r="N572" s="65"/>
      <c r="O572" s="65"/>
      <c r="P572" s="65"/>
      <c r="Q572" s="65"/>
      <c r="R572" s="65"/>
      <c r="S572" s="65"/>
      <c r="T572" s="65"/>
      <c r="U572" s="65"/>
      <c r="V572" s="65"/>
      <c r="W572" s="65"/>
      <c r="X572" s="65"/>
      <c r="Y572" s="65"/>
      <c r="Z572" s="65"/>
      <c r="AA572" s="65"/>
      <c r="AB572" s="65"/>
      <c r="AC572" s="65"/>
      <c r="AD572" s="65"/>
      <c r="AE572" s="65"/>
      <c r="AF572" s="65"/>
      <c r="AG572" s="65"/>
      <c r="AH572" s="65"/>
      <c r="AI572" s="65"/>
      <c r="AJ572" s="65"/>
      <c r="AK572" s="65"/>
      <c r="AL572" s="65"/>
      <c r="AM572" s="65"/>
      <c r="AN572" s="65"/>
    </row>
    <row r="573" spans="10:40" ht="14.5" x14ac:dyDescent="0.35">
      <c r="J573" s="65"/>
      <c r="K573" s="65"/>
      <c r="L573" s="65"/>
      <c r="M573" s="65"/>
      <c r="N573" s="65"/>
      <c r="O573" s="65"/>
      <c r="P573" s="65"/>
      <c r="Q573" s="65"/>
      <c r="R573" s="65"/>
      <c r="S573" s="65"/>
      <c r="T573" s="65"/>
      <c r="U573" s="65"/>
      <c r="V573" s="65"/>
      <c r="W573" s="65"/>
      <c r="X573" s="65"/>
      <c r="Y573" s="65"/>
      <c r="Z573" s="65"/>
      <c r="AA573" s="65"/>
      <c r="AB573" s="65"/>
      <c r="AC573" s="65"/>
      <c r="AD573" s="65"/>
      <c r="AE573" s="65"/>
      <c r="AF573" s="65"/>
      <c r="AG573" s="65"/>
      <c r="AH573" s="65"/>
      <c r="AI573" s="65"/>
      <c r="AJ573" s="65"/>
      <c r="AK573" s="65"/>
      <c r="AL573" s="65"/>
      <c r="AM573" s="65"/>
      <c r="AN573" s="65"/>
    </row>
    <row r="574" spans="10:40" ht="14.5" x14ac:dyDescent="0.35">
      <c r="J574" s="65"/>
      <c r="K574" s="65"/>
      <c r="L574" s="65"/>
      <c r="M574" s="65"/>
      <c r="N574" s="65"/>
      <c r="O574" s="65"/>
      <c r="P574" s="65"/>
      <c r="Q574" s="65"/>
      <c r="R574" s="65"/>
      <c r="S574" s="65"/>
      <c r="T574" s="65"/>
      <c r="U574" s="65"/>
      <c r="V574" s="65"/>
      <c r="W574" s="65"/>
      <c r="X574" s="65"/>
      <c r="Y574" s="65"/>
      <c r="Z574" s="65"/>
      <c r="AA574" s="65"/>
      <c r="AB574" s="65"/>
      <c r="AC574" s="65"/>
      <c r="AD574" s="65"/>
      <c r="AE574" s="65"/>
      <c r="AF574" s="65"/>
      <c r="AG574" s="65"/>
      <c r="AH574" s="65"/>
      <c r="AI574" s="65"/>
      <c r="AJ574" s="65"/>
      <c r="AK574" s="65"/>
      <c r="AL574" s="65"/>
      <c r="AM574" s="65"/>
      <c r="AN574" s="65"/>
    </row>
    <row r="575" spans="10:40" ht="14.5" x14ac:dyDescent="0.35">
      <c r="J575" s="65"/>
      <c r="K575" s="65"/>
      <c r="L575" s="65"/>
      <c r="M575" s="65"/>
      <c r="N575" s="65"/>
      <c r="O575" s="65"/>
      <c r="P575" s="65"/>
      <c r="Q575" s="65"/>
      <c r="R575" s="65"/>
      <c r="S575" s="65"/>
      <c r="T575" s="65"/>
      <c r="U575" s="65"/>
      <c r="V575" s="65"/>
      <c r="W575" s="65"/>
      <c r="X575" s="65"/>
      <c r="Y575" s="65"/>
      <c r="Z575" s="65"/>
      <c r="AA575" s="65"/>
      <c r="AB575" s="65"/>
      <c r="AC575" s="65"/>
      <c r="AD575" s="65"/>
      <c r="AE575" s="65"/>
      <c r="AF575" s="65"/>
      <c r="AG575" s="65"/>
      <c r="AH575" s="65"/>
      <c r="AI575" s="65"/>
      <c r="AJ575" s="65"/>
      <c r="AK575" s="65"/>
      <c r="AL575" s="65"/>
      <c r="AM575" s="65"/>
      <c r="AN575" s="65"/>
    </row>
    <row r="576" spans="10:40" ht="14.5" x14ac:dyDescent="0.35">
      <c r="J576" s="65"/>
      <c r="K576" s="65"/>
      <c r="L576" s="65"/>
      <c r="M576" s="65"/>
      <c r="N576" s="65"/>
      <c r="O576" s="65"/>
      <c r="P576" s="65"/>
      <c r="Q576" s="65"/>
      <c r="R576" s="65"/>
      <c r="S576" s="65"/>
      <c r="T576" s="65"/>
      <c r="U576" s="65"/>
      <c r="V576" s="65"/>
      <c r="W576" s="65"/>
      <c r="X576" s="65"/>
      <c r="Y576" s="65"/>
      <c r="Z576" s="65"/>
      <c r="AA576" s="65"/>
      <c r="AB576" s="65"/>
      <c r="AC576" s="65"/>
      <c r="AD576" s="65"/>
      <c r="AE576" s="65"/>
      <c r="AF576" s="65"/>
      <c r="AG576" s="65"/>
      <c r="AH576" s="65"/>
      <c r="AI576" s="65"/>
      <c r="AJ576" s="65"/>
      <c r="AK576" s="65"/>
      <c r="AL576" s="65"/>
      <c r="AM576" s="65"/>
      <c r="AN576" s="65"/>
    </row>
    <row r="577" spans="10:40" ht="14.5" x14ac:dyDescent="0.35">
      <c r="J577" s="65"/>
      <c r="K577" s="65"/>
      <c r="L577" s="65"/>
      <c r="M577" s="65"/>
      <c r="N577" s="65"/>
      <c r="O577" s="65"/>
      <c r="P577" s="65"/>
      <c r="Q577" s="65"/>
      <c r="R577" s="65"/>
      <c r="S577" s="65"/>
      <c r="T577" s="65"/>
      <c r="U577" s="65"/>
      <c r="V577" s="65"/>
      <c r="W577" s="65"/>
      <c r="X577" s="65"/>
      <c r="Y577" s="65"/>
      <c r="Z577" s="65"/>
      <c r="AA577" s="65"/>
      <c r="AB577" s="65"/>
      <c r="AC577" s="65"/>
      <c r="AD577" s="65"/>
      <c r="AE577" s="65"/>
      <c r="AF577" s="65"/>
      <c r="AG577" s="65"/>
      <c r="AH577" s="65"/>
      <c r="AI577" s="65"/>
      <c r="AJ577" s="65"/>
      <c r="AK577" s="65"/>
      <c r="AL577" s="65"/>
      <c r="AM577" s="65"/>
      <c r="AN577" s="65"/>
    </row>
    <row r="578" spans="10:40" ht="14.5" x14ac:dyDescent="0.35">
      <c r="J578" s="65"/>
      <c r="K578" s="65"/>
      <c r="L578" s="65"/>
      <c r="M578" s="65"/>
      <c r="N578" s="65"/>
      <c r="O578" s="65"/>
      <c r="P578" s="65"/>
      <c r="Q578" s="65"/>
      <c r="R578" s="65"/>
      <c r="S578" s="65"/>
      <c r="T578" s="65"/>
      <c r="U578" s="65"/>
      <c r="V578" s="65"/>
      <c r="W578" s="65"/>
      <c r="X578" s="65"/>
      <c r="Y578" s="65"/>
      <c r="Z578" s="65"/>
      <c r="AA578" s="65"/>
      <c r="AB578" s="65"/>
      <c r="AC578" s="65"/>
      <c r="AD578" s="65"/>
      <c r="AE578" s="65"/>
      <c r="AF578" s="65"/>
      <c r="AG578" s="65"/>
      <c r="AH578" s="65"/>
      <c r="AI578" s="65"/>
      <c r="AJ578" s="65"/>
      <c r="AK578" s="65"/>
      <c r="AL578" s="65"/>
      <c r="AM578" s="65"/>
      <c r="AN578" s="65"/>
    </row>
    <row r="579" spans="10:40" ht="14.5" x14ac:dyDescent="0.35">
      <c r="J579" s="65"/>
      <c r="K579" s="65"/>
      <c r="L579" s="65"/>
      <c r="M579" s="65"/>
      <c r="N579" s="65"/>
      <c r="O579" s="65"/>
      <c r="P579" s="65"/>
      <c r="Q579" s="65"/>
      <c r="R579" s="65"/>
      <c r="S579" s="65"/>
      <c r="T579" s="65"/>
      <c r="U579" s="65"/>
      <c r="V579" s="65"/>
      <c r="W579" s="65"/>
      <c r="X579" s="65"/>
      <c r="Y579" s="65"/>
      <c r="Z579" s="65"/>
      <c r="AA579" s="65"/>
      <c r="AB579" s="65"/>
      <c r="AC579" s="65"/>
      <c r="AD579" s="65"/>
      <c r="AE579" s="65"/>
      <c r="AF579" s="65"/>
      <c r="AG579" s="65"/>
      <c r="AH579" s="65"/>
      <c r="AI579" s="65"/>
      <c r="AJ579" s="65"/>
      <c r="AK579" s="65"/>
      <c r="AL579" s="65"/>
      <c r="AM579" s="65"/>
      <c r="AN579" s="65"/>
    </row>
    <row r="580" spans="10:40" ht="14.5" x14ac:dyDescent="0.35">
      <c r="J580" s="65"/>
      <c r="K580" s="65"/>
      <c r="L580" s="65"/>
      <c r="M580" s="65"/>
      <c r="N580" s="65"/>
      <c r="O580" s="65"/>
      <c r="P580" s="65"/>
      <c r="Q580" s="65"/>
      <c r="R580" s="65"/>
      <c r="S580" s="65"/>
      <c r="T580" s="65"/>
      <c r="U580" s="65"/>
      <c r="V580" s="65"/>
      <c r="W580" s="65"/>
      <c r="X580" s="65"/>
      <c r="Y580" s="65"/>
      <c r="Z580" s="65"/>
      <c r="AA580" s="65"/>
      <c r="AB580" s="65"/>
      <c r="AC580" s="65"/>
      <c r="AD580" s="65"/>
      <c r="AE580" s="65"/>
      <c r="AF580" s="65"/>
      <c r="AG580" s="65"/>
      <c r="AH580" s="65"/>
      <c r="AI580" s="65"/>
      <c r="AJ580" s="65"/>
      <c r="AK580" s="65"/>
      <c r="AL580" s="65"/>
      <c r="AM580" s="65"/>
      <c r="AN580" s="65"/>
    </row>
    <row r="581" spans="10:40" ht="14.5" x14ac:dyDescent="0.35">
      <c r="J581" s="65"/>
      <c r="K581" s="65"/>
      <c r="L581" s="65"/>
      <c r="M581" s="65"/>
      <c r="N581" s="65"/>
      <c r="O581" s="65"/>
      <c r="P581" s="65"/>
      <c r="Q581" s="65"/>
      <c r="R581" s="65"/>
      <c r="S581" s="65"/>
      <c r="T581" s="65"/>
      <c r="U581" s="65"/>
      <c r="V581" s="65"/>
      <c r="W581" s="65"/>
      <c r="X581" s="65"/>
      <c r="Y581" s="65"/>
      <c r="Z581" s="65"/>
      <c r="AA581" s="65"/>
      <c r="AB581" s="65"/>
      <c r="AC581" s="65"/>
      <c r="AD581" s="65"/>
      <c r="AE581" s="65"/>
      <c r="AF581" s="65"/>
      <c r="AG581" s="65"/>
      <c r="AH581" s="65"/>
      <c r="AI581" s="65"/>
      <c r="AJ581" s="65"/>
      <c r="AK581" s="65"/>
      <c r="AL581" s="65"/>
      <c r="AM581" s="65"/>
      <c r="AN581" s="65"/>
    </row>
    <row r="582" spans="10:40" ht="14.5" x14ac:dyDescent="0.35">
      <c r="J582" s="65"/>
      <c r="K582" s="65"/>
      <c r="L582" s="65"/>
      <c r="M582" s="65"/>
      <c r="N582" s="65"/>
      <c r="O582" s="65"/>
      <c r="P582" s="65"/>
      <c r="Q582" s="65"/>
      <c r="R582" s="65"/>
      <c r="S582" s="65"/>
      <c r="T582" s="65"/>
      <c r="U582" s="65"/>
      <c r="V582" s="65"/>
      <c r="W582" s="65"/>
      <c r="X582" s="65"/>
      <c r="Y582" s="65"/>
      <c r="Z582" s="65"/>
      <c r="AA582" s="65"/>
      <c r="AB582" s="65"/>
      <c r="AC582" s="65"/>
      <c r="AD582" s="65"/>
      <c r="AE582" s="65"/>
      <c r="AF582" s="65"/>
      <c r="AG582" s="65"/>
      <c r="AH582" s="65"/>
      <c r="AI582" s="65"/>
      <c r="AJ582" s="65"/>
      <c r="AK582" s="65"/>
      <c r="AL582" s="65"/>
      <c r="AM582" s="65"/>
      <c r="AN582" s="65"/>
    </row>
    <row r="583" spans="10:40" ht="14.5" x14ac:dyDescent="0.35">
      <c r="J583" s="65"/>
      <c r="K583" s="65"/>
      <c r="L583" s="65"/>
      <c r="M583" s="65"/>
      <c r="N583" s="65"/>
      <c r="O583" s="65"/>
      <c r="P583" s="65"/>
      <c r="Q583" s="65"/>
      <c r="R583" s="65"/>
      <c r="S583" s="65"/>
      <c r="T583" s="65"/>
      <c r="U583" s="65"/>
      <c r="V583" s="65"/>
      <c r="W583" s="65"/>
      <c r="X583" s="65"/>
      <c r="Y583" s="65"/>
      <c r="Z583" s="65"/>
      <c r="AA583" s="65"/>
      <c r="AB583" s="65"/>
      <c r="AC583" s="65"/>
      <c r="AD583" s="65"/>
      <c r="AE583" s="65"/>
      <c r="AF583" s="65"/>
      <c r="AG583" s="65"/>
      <c r="AH583" s="65"/>
      <c r="AI583" s="65"/>
      <c r="AJ583" s="65"/>
      <c r="AK583" s="65"/>
      <c r="AL583" s="65"/>
      <c r="AM583" s="65"/>
      <c r="AN583" s="65"/>
    </row>
    <row r="584" spans="10:40" ht="14.5" x14ac:dyDescent="0.35">
      <c r="J584" s="65"/>
      <c r="K584" s="65"/>
      <c r="L584" s="65"/>
      <c r="M584" s="65"/>
      <c r="N584" s="65"/>
      <c r="O584" s="65"/>
      <c r="P584" s="65"/>
      <c r="Q584" s="65"/>
      <c r="R584" s="65"/>
      <c r="S584" s="65"/>
      <c r="T584" s="65"/>
      <c r="U584" s="65"/>
      <c r="V584" s="65"/>
      <c r="W584" s="65"/>
      <c r="X584" s="65"/>
      <c r="Y584" s="65"/>
      <c r="Z584" s="65"/>
      <c r="AA584" s="65"/>
      <c r="AB584" s="65"/>
      <c r="AC584" s="65"/>
      <c r="AD584" s="65"/>
      <c r="AE584" s="65"/>
      <c r="AF584" s="65"/>
      <c r="AG584" s="65"/>
      <c r="AH584" s="65"/>
      <c r="AI584" s="65"/>
      <c r="AJ584" s="65"/>
      <c r="AK584" s="65"/>
      <c r="AL584" s="65"/>
      <c r="AM584" s="65"/>
      <c r="AN584" s="65"/>
    </row>
    <row r="585" spans="10:40" ht="14.5" x14ac:dyDescent="0.35">
      <c r="J585" s="65"/>
      <c r="K585" s="65"/>
      <c r="L585" s="65"/>
      <c r="M585" s="65"/>
      <c r="N585" s="65"/>
      <c r="O585" s="65"/>
      <c r="P585" s="65"/>
      <c r="Q585" s="65"/>
      <c r="R585" s="65"/>
      <c r="S585" s="65"/>
      <c r="T585" s="65"/>
      <c r="U585" s="65"/>
      <c r="V585" s="65"/>
      <c r="W585" s="65"/>
      <c r="X585" s="65"/>
      <c r="Y585" s="65"/>
      <c r="Z585" s="65"/>
      <c r="AA585" s="65"/>
      <c r="AB585" s="65"/>
      <c r="AC585" s="65"/>
      <c r="AD585" s="65"/>
      <c r="AE585" s="65"/>
      <c r="AF585" s="65"/>
      <c r="AG585" s="65"/>
      <c r="AH585" s="65"/>
      <c r="AI585" s="65"/>
      <c r="AJ585" s="65"/>
      <c r="AK585" s="65"/>
      <c r="AL585" s="65"/>
      <c r="AM585" s="65"/>
      <c r="AN585" s="65"/>
    </row>
    <row r="586" spans="10:40" ht="14.5" x14ac:dyDescent="0.35">
      <c r="J586" s="65"/>
      <c r="K586" s="65"/>
      <c r="L586" s="65"/>
      <c r="M586" s="65"/>
      <c r="N586" s="65"/>
      <c r="O586" s="65"/>
      <c r="P586" s="65"/>
      <c r="Q586" s="65"/>
      <c r="R586" s="65"/>
      <c r="S586" s="65"/>
      <c r="T586" s="65"/>
      <c r="U586" s="65"/>
      <c r="V586" s="65"/>
      <c r="W586" s="65"/>
      <c r="X586" s="65"/>
      <c r="Y586" s="65"/>
      <c r="Z586" s="65"/>
      <c r="AA586" s="65"/>
      <c r="AB586" s="65"/>
      <c r="AC586" s="65"/>
      <c r="AD586" s="65"/>
      <c r="AE586" s="65"/>
      <c r="AF586" s="65"/>
      <c r="AG586" s="65"/>
      <c r="AH586" s="65"/>
      <c r="AI586" s="65"/>
      <c r="AJ586" s="65"/>
      <c r="AK586" s="65"/>
      <c r="AL586" s="65"/>
      <c r="AM586" s="65"/>
      <c r="AN586" s="65"/>
    </row>
    <row r="587" spans="10:40" ht="14.5" x14ac:dyDescent="0.35">
      <c r="J587" s="65"/>
      <c r="K587" s="65"/>
      <c r="L587" s="65"/>
      <c r="M587" s="65"/>
      <c r="N587" s="65"/>
      <c r="O587" s="65"/>
      <c r="P587" s="65"/>
      <c r="Q587" s="65"/>
      <c r="R587" s="65"/>
      <c r="S587" s="65"/>
      <c r="T587" s="65"/>
      <c r="U587" s="65"/>
      <c r="V587" s="65"/>
      <c r="W587" s="65"/>
      <c r="X587" s="65"/>
      <c r="Y587" s="65"/>
      <c r="Z587" s="65"/>
      <c r="AA587" s="65"/>
      <c r="AB587" s="65"/>
      <c r="AC587" s="65"/>
      <c r="AD587" s="65"/>
      <c r="AE587" s="65"/>
      <c r="AF587" s="65"/>
      <c r="AG587" s="65"/>
      <c r="AH587" s="65"/>
      <c r="AI587" s="65"/>
      <c r="AJ587" s="65"/>
      <c r="AK587" s="65"/>
      <c r="AL587" s="65"/>
      <c r="AM587" s="65"/>
      <c r="AN587" s="65"/>
    </row>
    <row r="588" spans="10:40" ht="14.5" x14ac:dyDescent="0.35">
      <c r="J588" s="65"/>
      <c r="K588" s="65"/>
      <c r="L588" s="65"/>
      <c r="M588" s="65"/>
      <c r="N588" s="65"/>
      <c r="O588" s="65"/>
      <c r="P588" s="65"/>
      <c r="Q588" s="65"/>
      <c r="R588" s="65"/>
      <c r="S588" s="65"/>
      <c r="T588" s="65"/>
      <c r="U588" s="65"/>
      <c r="V588" s="65"/>
      <c r="W588" s="65"/>
      <c r="X588" s="65"/>
      <c r="Y588" s="65"/>
      <c r="Z588" s="65"/>
      <c r="AA588" s="65"/>
      <c r="AB588" s="65"/>
      <c r="AC588" s="65"/>
      <c r="AD588" s="65"/>
      <c r="AE588" s="65"/>
      <c r="AF588" s="65"/>
      <c r="AG588" s="65"/>
      <c r="AH588" s="65"/>
      <c r="AI588" s="65"/>
      <c r="AJ588" s="65"/>
      <c r="AK588" s="65"/>
      <c r="AL588" s="65"/>
      <c r="AM588" s="65"/>
      <c r="AN588" s="65"/>
    </row>
    <row r="589" spans="10:40" ht="14.5" x14ac:dyDescent="0.35">
      <c r="J589" s="65"/>
      <c r="K589" s="65"/>
      <c r="L589" s="65"/>
      <c r="M589" s="65"/>
      <c r="N589" s="65"/>
      <c r="O589" s="65"/>
      <c r="P589" s="65"/>
      <c r="Q589" s="65"/>
      <c r="R589" s="65"/>
      <c r="S589" s="65"/>
      <c r="T589" s="65"/>
      <c r="U589" s="65"/>
      <c r="V589" s="65"/>
      <c r="W589" s="65"/>
      <c r="X589" s="65"/>
      <c r="Y589" s="65"/>
      <c r="Z589" s="65"/>
      <c r="AA589" s="65"/>
      <c r="AB589" s="65"/>
      <c r="AC589" s="65"/>
      <c r="AD589" s="65"/>
      <c r="AE589" s="65"/>
      <c r="AF589" s="65"/>
      <c r="AG589" s="65"/>
      <c r="AH589" s="65"/>
      <c r="AI589" s="65"/>
      <c r="AJ589" s="65"/>
      <c r="AK589" s="65"/>
      <c r="AL589" s="65"/>
      <c r="AM589" s="65"/>
      <c r="AN589" s="65"/>
    </row>
    <row r="590" spans="10:40" ht="14.5" x14ac:dyDescent="0.35">
      <c r="J590" s="65"/>
      <c r="K590" s="65"/>
      <c r="L590" s="65"/>
      <c r="M590" s="65"/>
      <c r="N590" s="65"/>
      <c r="O590" s="65"/>
      <c r="P590" s="65"/>
      <c r="Q590" s="65"/>
      <c r="R590" s="65"/>
      <c r="S590" s="65"/>
      <c r="T590" s="65"/>
      <c r="U590" s="65"/>
      <c r="V590" s="65"/>
      <c r="W590" s="65"/>
      <c r="X590" s="65"/>
      <c r="Y590" s="65"/>
      <c r="Z590" s="65"/>
      <c r="AA590" s="65"/>
      <c r="AB590" s="65"/>
      <c r="AC590" s="65"/>
      <c r="AD590" s="65"/>
      <c r="AE590" s="65"/>
      <c r="AF590" s="65"/>
      <c r="AG590" s="65"/>
      <c r="AH590" s="65"/>
      <c r="AI590" s="65"/>
      <c r="AJ590" s="65"/>
      <c r="AK590" s="65"/>
      <c r="AL590" s="65"/>
      <c r="AM590" s="65"/>
      <c r="AN590" s="65"/>
    </row>
    <row r="591" spans="10:40" ht="14.5" x14ac:dyDescent="0.35">
      <c r="J591" s="65"/>
      <c r="K591" s="65"/>
      <c r="L591" s="65"/>
      <c r="M591" s="65"/>
      <c r="N591" s="65"/>
      <c r="O591" s="65"/>
      <c r="P591" s="65"/>
      <c r="Q591" s="65"/>
      <c r="R591" s="65"/>
      <c r="S591" s="65"/>
      <c r="T591" s="65"/>
      <c r="U591" s="65"/>
      <c r="V591" s="65"/>
      <c r="W591" s="65"/>
      <c r="X591" s="65"/>
      <c r="Y591" s="65"/>
      <c r="Z591" s="65"/>
      <c r="AA591" s="65"/>
      <c r="AB591" s="65"/>
      <c r="AC591" s="65"/>
      <c r="AD591" s="65"/>
      <c r="AE591" s="65"/>
      <c r="AF591" s="65"/>
      <c r="AG591" s="65"/>
      <c r="AH591" s="65"/>
      <c r="AI591" s="65"/>
      <c r="AJ591" s="65"/>
      <c r="AK591" s="65"/>
      <c r="AL591" s="65"/>
      <c r="AM591" s="65"/>
      <c r="AN591" s="65"/>
    </row>
    <row r="592" spans="10:40" ht="14.5" x14ac:dyDescent="0.35">
      <c r="J592" s="65"/>
      <c r="K592" s="65"/>
      <c r="L592" s="65"/>
      <c r="M592" s="65"/>
      <c r="N592" s="65"/>
      <c r="O592" s="65"/>
      <c r="P592" s="65"/>
      <c r="Q592" s="65"/>
      <c r="R592" s="65"/>
      <c r="S592" s="65"/>
      <c r="T592" s="65"/>
      <c r="U592" s="65"/>
      <c r="V592" s="65"/>
      <c r="W592" s="65"/>
      <c r="X592" s="65"/>
      <c r="Y592" s="65"/>
      <c r="Z592" s="65"/>
      <c r="AA592" s="65"/>
      <c r="AB592" s="65"/>
      <c r="AC592" s="65"/>
      <c r="AD592" s="65"/>
      <c r="AE592" s="65"/>
      <c r="AF592" s="65"/>
      <c r="AG592" s="65"/>
      <c r="AH592" s="65"/>
      <c r="AI592" s="65"/>
      <c r="AJ592" s="65"/>
      <c r="AK592" s="65"/>
      <c r="AL592" s="65"/>
      <c r="AM592" s="65"/>
      <c r="AN592" s="65"/>
    </row>
    <row r="593" spans="10:40" ht="14.5" x14ac:dyDescent="0.35">
      <c r="J593" s="65"/>
      <c r="K593" s="65"/>
      <c r="L593" s="65"/>
      <c r="M593" s="65"/>
      <c r="N593" s="65"/>
      <c r="O593" s="65"/>
      <c r="P593" s="65"/>
      <c r="Q593" s="65"/>
      <c r="R593" s="65"/>
      <c r="S593" s="65"/>
      <c r="T593" s="65"/>
      <c r="U593" s="65"/>
      <c r="V593" s="65"/>
      <c r="W593" s="65"/>
      <c r="X593" s="65"/>
      <c r="Y593" s="65"/>
      <c r="Z593" s="65"/>
      <c r="AA593" s="65"/>
      <c r="AB593" s="65"/>
      <c r="AC593" s="65"/>
      <c r="AD593" s="65"/>
      <c r="AE593" s="65"/>
      <c r="AF593" s="65"/>
      <c r="AG593" s="65"/>
      <c r="AH593" s="65"/>
      <c r="AI593" s="65"/>
      <c r="AJ593" s="65"/>
      <c r="AK593" s="65"/>
      <c r="AL593" s="65"/>
      <c r="AM593" s="65"/>
      <c r="AN593" s="65"/>
    </row>
    <row r="594" spans="10:40" ht="14.5" x14ac:dyDescent="0.35">
      <c r="J594" s="65"/>
      <c r="K594" s="65"/>
      <c r="L594" s="65"/>
      <c r="M594" s="65"/>
      <c r="N594" s="65"/>
      <c r="O594" s="65"/>
      <c r="P594" s="65"/>
      <c r="Q594" s="65"/>
      <c r="R594" s="65"/>
      <c r="S594" s="65"/>
      <c r="T594" s="65"/>
      <c r="U594" s="65"/>
      <c r="V594" s="65"/>
      <c r="W594" s="65"/>
      <c r="X594" s="65"/>
      <c r="Y594" s="65"/>
      <c r="Z594" s="65"/>
      <c r="AA594" s="65"/>
      <c r="AB594" s="65"/>
      <c r="AC594" s="65"/>
      <c r="AD594" s="65"/>
      <c r="AE594" s="65"/>
      <c r="AF594" s="65"/>
      <c r="AG594" s="65"/>
      <c r="AH594" s="65"/>
      <c r="AI594" s="65"/>
      <c r="AJ594" s="65"/>
      <c r="AK594" s="65"/>
      <c r="AL594" s="65"/>
      <c r="AM594" s="65"/>
      <c r="AN594" s="65"/>
    </row>
    <row r="595" spans="10:40" ht="14.5" x14ac:dyDescent="0.35">
      <c r="J595" s="65"/>
      <c r="K595" s="65"/>
      <c r="L595" s="65"/>
      <c r="M595" s="65"/>
      <c r="N595" s="65"/>
      <c r="O595" s="65"/>
      <c r="P595" s="65"/>
      <c r="Q595" s="65"/>
      <c r="R595" s="65"/>
      <c r="S595" s="65"/>
      <c r="T595" s="65"/>
      <c r="U595" s="65"/>
      <c r="V595" s="65"/>
      <c r="W595" s="65"/>
      <c r="X595" s="65"/>
      <c r="Y595" s="65"/>
      <c r="Z595" s="65"/>
      <c r="AA595" s="65"/>
      <c r="AB595" s="65"/>
      <c r="AC595" s="65"/>
      <c r="AD595" s="65"/>
      <c r="AE595" s="65"/>
      <c r="AF595" s="65"/>
      <c r="AG595" s="65"/>
      <c r="AH595" s="65"/>
      <c r="AI595" s="65"/>
      <c r="AJ595" s="65"/>
      <c r="AK595" s="65"/>
      <c r="AL595" s="65"/>
      <c r="AM595" s="65"/>
      <c r="AN595" s="65"/>
    </row>
    <row r="596" spans="10:40" ht="14.5" x14ac:dyDescent="0.35">
      <c r="J596" s="65"/>
      <c r="K596" s="65"/>
      <c r="L596" s="65"/>
      <c r="M596" s="65"/>
      <c r="N596" s="65"/>
      <c r="O596" s="65"/>
      <c r="P596" s="65"/>
      <c r="Q596" s="65"/>
      <c r="R596" s="65"/>
      <c r="S596" s="65"/>
      <c r="T596" s="65"/>
      <c r="U596" s="65"/>
      <c r="V596" s="65"/>
      <c r="W596" s="65"/>
      <c r="X596" s="65"/>
      <c r="Y596" s="65"/>
      <c r="Z596" s="65"/>
      <c r="AA596" s="65"/>
      <c r="AB596" s="65"/>
      <c r="AC596" s="65"/>
      <c r="AD596" s="65"/>
      <c r="AE596" s="65"/>
      <c r="AF596" s="65"/>
      <c r="AG596" s="65"/>
      <c r="AH596" s="65"/>
      <c r="AI596" s="65"/>
      <c r="AJ596" s="65"/>
      <c r="AK596" s="65"/>
      <c r="AL596" s="65"/>
      <c r="AM596" s="65"/>
      <c r="AN596" s="65"/>
    </row>
    <row r="597" spans="10:40" ht="14.5" x14ac:dyDescent="0.35">
      <c r="J597" s="65"/>
      <c r="K597" s="65"/>
      <c r="L597" s="65"/>
      <c r="M597" s="65"/>
      <c r="N597" s="65"/>
      <c r="O597" s="65"/>
      <c r="P597" s="65"/>
      <c r="Q597" s="65"/>
      <c r="R597" s="65"/>
      <c r="S597" s="65"/>
      <c r="T597" s="65"/>
      <c r="U597" s="65"/>
      <c r="V597" s="65"/>
      <c r="W597" s="65"/>
      <c r="X597" s="65"/>
      <c r="Y597" s="65"/>
      <c r="Z597" s="65"/>
      <c r="AA597" s="65"/>
      <c r="AB597" s="65"/>
      <c r="AC597" s="65"/>
      <c r="AD597" s="65"/>
      <c r="AE597" s="65"/>
      <c r="AF597" s="65"/>
      <c r="AG597" s="65"/>
      <c r="AH597" s="65"/>
      <c r="AI597" s="65"/>
      <c r="AJ597" s="65"/>
      <c r="AK597" s="65"/>
      <c r="AL597" s="65"/>
      <c r="AM597" s="65"/>
      <c r="AN597" s="65"/>
    </row>
    <row r="598" spans="10:40" ht="14.5" x14ac:dyDescent="0.35">
      <c r="J598" s="65"/>
      <c r="K598" s="65"/>
      <c r="L598" s="65"/>
      <c r="M598" s="65"/>
      <c r="N598" s="65"/>
      <c r="O598" s="65"/>
      <c r="P598" s="65"/>
      <c r="Q598" s="65"/>
      <c r="R598" s="65"/>
      <c r="S598" s="65"/>
      <c r="T598" s="65"/>
      <c r="U598" s="65"/>
      <c r="V598" s="65"/>
      <c r="W598" s="65"/>
      <c r="X598" s="65"/>
      <c r="Y598" s="65"/>
      <c r="Z598" s="65"/>
      <c r="AA598" s="65"/>
      <c r="AB598" s="65"/>
      <c r="AC598" s="65"/>
      <c r="AD598" s="65"/>
      <c r="AE598" s="65"/>
      <c r="AF598" s="65"/>
      <c r="AG598" s="65"/>
      <c r="AH598" s="65"/>
      <c r="AI598" s="65"/>
      <c r="AJ598" s="65"/>
      <c r="AK598" s="65"/>
      <c r="AL598" s="65"/>
      <c r="AM598" s="65"/>
      <c r="AN598" s="65"/>
    </row>
    <row r="599" spans="10:40" ht="14.5" x14ac:dyDescent="0.35">
      <c r="J599" s="65"/>
      <c r="K599" s="65"/>
      <c r="L599" s="65"/>
      <c r="M599" s="65"/>
      <c r="N599" s="65"/>
      <c r="O599" s="65"/>
      <c r="P599" s="65"/>
      <c r="Q599" s="65"/>
      <c r="R599" s="65"/>
      <c r="S599" s="65"/>
      <c r="T599" s="65"/>
      <c r="U599" s="65"/>
      <c r="V599" s="65"/>
      <c r="W599" s="65"/>
      <c r="X599" s="65"/>
      <c r="Y599" s="65"/>
      <c r="Z599" s="65"/>
      <c r="AA599" s="65"/>
      <c r="AB599" s="65"/>
      <c r="AC599" s="65"/>
      <c r="AD599" s="65"/>
      <c r="AE599" s="65"/>
      <c r="AF599" s="65"/>
      <c r="AG599" s="65"/>
      <c r="AH599" s="65"/>
      <c r="AI599" s="65"/>
      <c r="AJ599" s="65"/>
      <c r="AK599" s="65"/>
      <c r="AL599" s="65"/>
      <c r="AM599" s="65"/>
      <c r="AN599" s="65"/>
    </row>
    <row r="600" spans="10:40" ht="14.5" x14ac:dyDescent="0.35">
      <c r="J600" s="65"/>
      <c r="K600" s="65"/>
      <c r="L600" s="65"/>
      <c r="M600" s="65"/>
      <c r="N600" s="65"/>
      <c r="O600" s="65"/>
      <c r="P600" s="65"/>
      <c r="Q600" s="65"/>
      <c r="R600" s="65"/>
      <c r="S600" s="65"/>
      <c r="T600" s="65"/>
      <c r="U600" s="65"/>
      <c r="V600" s="65"/>
      <c r="W600" s="65"/>
      <c r="X600" s="65"/>
      <c r="Y600" s="65"/>
      <c r="Z600" s="65"/>
      <c r="AA600" s="65"/>
      <c r="AB600" s="65"/>
      <c r="AC600" s="65"/>
      <c r="AD600" s="65"/>
      <c r="AE600" s="65"/>
      <c r="AF600" s="65"/>
      <c r="AG600" s="65"/>
      <c r="AH600" s="65"/>
      <c r="AI600" s="65"/>
      <c r="AJ600" s="65"/>
      <c r="AK600" s="65"/>
      <c r="AL600" s="65"/>
      <c r="AM600" s="65"/>
      <c r="AN600" s="65"/>
    </row>
    <row r="601" spans="10:40" ht="14.5" x14ac:dyDescent="0.35">
      <c r="J601" s="65"/>
      <c r="K601" s="65"/>
      <c r="L601" s="65"/>
      <c r="M601" s="65"/>
      <c r="N601" s="65"/>
      <c r="O601" s="65"/>
      <c r="P601" s="65"/>
      <c r="Q601" s="65"/>
      <c r="R601" s="65"/>
      <c r="S601" s="65"/>
      <c r="T601" s="65"/>
      <c r="U601" s="65"/>
      <c r="V601" s="65"/>
      <c r="W601" s="65"/>
      <c r="X601" s="65"/>
      <c r="Y601" s="65"/>
      <c r="Z601" s="65"/>
      <c r="AA601" s="65"/>
      <c r="AB601" s="65"/>
      <c r="AC601" s="65"/>
      <c r="AD601" s="65"/>
      <c r="AE601" s="65"/>
      <c r="AF601" s="65"/>
      <c r="AG601" s="65"/>
      <c r="AH601" s="65"/>
      <c r="AI601" s="65"/>
      <c r="AJ601" s="65"/>
      <c r="AK601" s="65"/>
      <c r="AL601" s="65"/>
      <c r="AM601" s="65"/>
      <c r="AN601" s="65"/>
    </row>
    <row r="602" spans="10:40" ht="14.5" x14ac:dyDescent="0.35">
      <c r="J602" s="65"/>
      <c r="K602" s="65"/>
      <c r="L602" s="65"/>
      <c r="M602" s="65"/>
      <c r="N602" s="65"/>
      <c r="O602" s="65"/>
      <c r="P602" s="65"/>
      <c r="Q602" s="65"/>
      <c r="R602" s="65"/>
      <c r="S602" s="65"/>
      <c r="T602" s="65"/>
      <c r="U602" s="65"/>
      <c r="V602" s="65"/>
      <c r="W602" s="65"/>
      <c r="X602" s="65"/>
      <c r="Y602" s="65"/>
      <c r="Z602" s="65"/>
      <c r="AA602" s="65"/>
      <c r="AB602" s="65"/>
      <c r="AC602" s="65"/>
      <c r="AD602" s="65"/>
      <c r="AE602" s="65"/>
      <c r="AF602" s="65"/>
      <c r="AG602" s="65"/>
      <c r="AH602" s="65"/>
      <c r="AI602" s="65"/>
      <c r="AJ602" s="65"/>
      <c r="AK602" s="65"/>
      <c r="AL602" s="65"/>
      <c r="AM602" s="65"/>
      <c r="AN602" s="65"/>
    </row>
    <row r="603" spans="10:40" ht="14.5" x14ac:dyDescent="0.35">
      <c r="J603" s="65"/>
      <c r="K603" s="65"/>
      <c r="L603" s="65"/>
      <c r="M603" s="65"/>
      <c r="N603" s="65"/>
      <c r="O603" s="65"/>
      <c r="P603" s="65"/>
      <c r="Q603" s="65"/>
      <c r="R603" s="65"/>
      <c r="S603" s="65"/>
      <c r="T603" s="65"/>
      <c r="U603" s="65"/>
      <c r="V603" s="65"/>
      <c r="W603" s="65"/>
      <c r="X603" s="65"/>
      <c r="Y603" s="65"/>
      <c r="Z603" s="65"/>
      <c r="AA603" s="65"/>
      <c r="AB603" s="65"/>
      <c r="AC603" s="65"/>
      <c r="AD603" s="65"/>
      <c r="AE603" s="65"/>
      <c r="AF603" s="65"/>
      <c r="AG603" s="65"/>
      <c r="AH603" s="65"/>
      <c r="AI603" s="65"/>
      <c r="AJ603" s="65"/>
      <c r="AK603" s="65"/>
      <c r="AL603" s="65"/>
      <c r="AM603" s="65"/>
      <c r="AN603" s="65"/>
    </row>
    <row r="604" spans="10:40" ht="14.5" x14ac:dyDescent="0.35">
      <c r="J604" s="65"/>
      <c r="K604" s="65"/>
      <c r="L604" s="65"/>
      <c r="M604" s="65"/>
      <c r="N604" s="65"/>
      <c r="O604" s="65"/>
      <c r="P604" s="65"/>
      <c r="Q604" s="65"/>
      <c r="R604" s="65"/>
      <c r="S604" s="65"/>
      <c r="T604" s="65"/>
      <c r="U604" s="65"/>
      <c r="V604" s="65"/>
      <c r="W604" s="65"/>
      <c r="X604" s="65"/>
      <c r="Y604" s="65"/>
      <c r="Z604" s="65"/>
      <c r="AA604" s="65"/>
      <c r="AB604" s="65"/>
      <c r="AC604" s="65"/>
      <c r="AD604" s="65"/>
      <c r="AE604" s="65"/>
      <c r="AF604" s="65"/>
      <c r="AG604" s="65"/>
      <c r="AH604" s="65"/>
      <c r="AI604" s="65"/>
      <c r="AJ604" s="65"/>
      <c r="AK604" s="65"/>
      <c r="AL604" s="65"/>
      <c r="AM604" s="65"/>
      <c r="AN604" s="65"/>
    </row>
    <row r="605" spans="10:40" ht="14.5" x14ac:dyDescent="0.35">
      <c r="J605" s="65"/>
      <c r="K605" s="65"/>
      <c r="L605" s="65"/>
      <c r="M605" s="65"/>
      <c r="N605" s="65"/>
      <c r="O605" s="65"/>
      <c r="P605" s="65"/>
      <c r="Q605" s="65"/>
      <c r="R605" s="65"/>
      <c r="S605" s="65"/>
      <c r="T605" s="65"/>
      <c r="U605" s="65"/>
      <c r="V605" s="65"/>
      <c r="W605" s="65"/>
      <c r="X605" s="65"/>
      <c r="Y605" s="65"/>
      <c r="Z605" s="65"/>
      <c r="AA605" s="65"/>
      <c r="AB605" s="65"/>
      <c r="AC605" s="65"/>
      <c r="AD605" s="65"/>
      <c r="AE605" s="65"/>
      <c r="AF605" s="65"/>
      <c r="AG605" s="65"/>
      <c r="AH605" s="65"/>
      <c r="AI605" s="65"/>
      <c r="AJ605" s="65"/>
      <c r="AK605" s="65"/>
      <c r="AL605" s="65"/>
      <c r="AM605" s="65"/>
      <c r="AN605" s="65"/>
    </row>
    <row r="606" spans="10:40" ht="14.5" x14ac:dyDescent="0.35">
      <c r="J606" s="65"/>
      <c r="K606" s="65"/>
      <c r="L606" s="65"/>
      <c r="M606" s="65"/>
      <c r="N606" s="65"/>
      <c r="O606" s="65"/>
      <c r="P606" s="65"/>
      <c r="Q606" s="65"/>
      <c r="R606" s="65"/>
      <c r="S606" s="65"/>
      <c r="T606" s="65"/>
      <c r="U606" s="65"/>
      <c r="V606" s="65"/>
      <c r="W606" s="65"/>
      <c r="X606" s="65"/>
      <c r="Y606" s="65"/>
      <c r="Z606" s="65"/>
      <c r="AA606" s="65"/>
      <c r="AB606" s="65"/>
      <c r="AC606" s="65"/>
      <c r="AD606" s="65"/>
      <c r="AE606" s="65"/>
      <c r="AF606" s="65"/>
      <c r="AG606" s="65"/>
      <c r="AH606" s="65"/>
      <c r="AI606" s="65"/>
      <c r="AJ606" s="65"/>
      <c r="AK606" s="65"/>
      <c r="AL606" s="65"/>
      <c r="AM606" s="65"/>
      <c r="AN606" s="65"/>
    </row>
    <row r="607" spans="10:40" ht="14.5" x14ac:dyDescent="0.35">
      <c r="J607" s="65"/>
      <c r="K607" s="65"/>
      <c r="L607" s="65"/>
      <c r="M607" s="65"/>
      <c r="N607" s="65"/>
      <c r="O607" s="65"/>
      <c r="P607" s="65"/>
      <c r="Q607" s="65"/>
      <c r="R607" s="65"/>
      <c r="S607" s="65"/>
      <c r="T607" s="65"/>
      <c r="U607" s="65"/>
      <c r="V607" s="65"/>
      <c r="W607" s="65"/>
      <c r="X607" s="65"/>
      <c r="Y607" s="65"/>
      <c r="Z607" s="65"/>
      <c r="AA607" s="65"/>
      <c r="AB607" s="65"/>
      <c r="AC607" s="65"/>
      <c r="AD607" s="65"/>
      <c r="AE607" s="65"/>
      <c r="AF607" s="65"/>
      <c r="AG607" s="65"/>
      <c r="AH607" s="65"/>
      <c r="AI607" s="65"/>
      <c r="AJ607" s="65"/>
      <c r="AK607" s="65"/>
      <c r="AL607" s="65"/>
      <c r="AM607" s="65"/>
      <c r="AN607" s="65"/>
    </row>
    <row r="608" spans="10:40" ht="14.5" x14ac:dyDescent="0.35">
      <c r="J608" s="65"/>
      <c r="K608" s="65"/>
      <c r="L608" s="65"/>
      <c r="M608" s="65"/>
      <c r="N608" s="65"/>
      <c r="O608" s="65"/>
      <c r="P608" s="65"/>
      <c r="Q608" s="65"/>
      <c r="R608" s="65"/>
      <c r="S608" s="65"/>
      <c r="T608" s="65"/>
      <c r="U608" s="65"/>
      <c r="V608" s="65"/>
      <c r="W608" s="65"/>
      <c r="X608" s="65"/>
      <c r="Y608" s="65"/>
      <c r="Z608" s="65"/>
      <c r="AA608" s="65"/>
      <c r="AB608" s="65"/>
      <c r="AC608" s="65"/>
      <c r="AD608" s="65"/>
      <c r="AE608" s="65"/>
      <c r="AF608" s="65"/>
      <c r="AG608" s="65"/>
      <c r="AH608" s="65"/>
      <c r="AI608" s="65"/>
      <c r="AJ608" s="65"/>
      <c r="AK608" s="65"/>
      <c r="AL608" s="65"/>
      <c r="AM608" s="65"/>
      <c r="AN608" s="65"/>
    </row>
    <row r="609" spans="10:40" ht="14.5" x14ac:dyDescent="0.35">
      <c r="J609" s="65"/>
      <c r="K609" s="65"/>
      <c r="L609" s="65"/>
      <c r="M609" s="65"/>
      <c r="N609" s="65"/>
      <c r="O609" s="65"/>
      <c r="P609" s="65"/>
      <c r="Q609" s="65"/>
      <c r="R609" s="65"/>
      <c r="S609" s="65"/>
      <c r="T609" s="65"/>
      <c r="U609" s="65"/>
      <c r="V609" s="65"/>
      <c r="W609" s="65"/>
      <c r="X609" s="65"/>
      <c r="Y609" s="65"/>
      <c r="Z609" s="65"/>
      <c r="AA609" s="65"/>
      <c r="AB609" s="65"/>
      <c r="AC609" s="65"/>
      <c r="AD609" s="65"/>
      <c r="AE609" s="65"/>
      <c r="AF609" s="65"/>
      <c r="AG609" s="65"/>
      <c r="AH609" s="65"/>
      <c r="AI609" s="65"/>
      <c r="AJ609" s="65"/>
      <c r="AK609" s="65"/>
      <c r="AL609" s="65"/>
      <c r="AM609" s="65"/>
      <c r="AN609" s="65"/>
    </row>
    <row r="610" spans="10:40" ht="14.5" x14ac:dyDescent="0.35">
      <c r="J610" s="65"/>
      <c r="K610" s="65"/>
      <c r="L610" s="65"/>
      <c r="M610" s="65"/>
      <c r="N610" s="65"/>
      <c r="O610" s="65"/>
      <c r="P610" s="65"/>
      <c r="Q610" s="65"/>
      <c r="R610" s="65"/>
      <c r="S610" s="65"/>
      <c r="T610" s="65"/>
      <c r="U610" s="65"/>
      <c r="V610" s="65"/>
      <c r="W610" s="65"/>
      <c r="X610" s="65"/>
      <c r="Y610" s="65"/>
      <c r="Z610" s="65"/>
      <c r="AA610" s="65"/>
      <c r="AB610" s="65"/>
      <c r="AC610" s="65"/>
      <c r="AD610" s="65"/>
      <c r="AE610" s="65"/>
      <c r="AF610" s="65"/>
      <c r="AG610" s="65"/>
      <c r="AH610" s="65"/>
      <c r="AI610" s="65"/>
      <c r="AJ610" s="65"/>
      <c r="AK610" s="65"/>
      <c r="AL610" s="65"/>
      <c r="AM610" s="65"/>
      <c r="AN610" s="65"/>
    </row>
    <row r="611" spans="10:40" ht="14.5" x14ac:dyDescent="0.35">
      <c r="J611" s="65"/>
      <c r="K611" s="65"/>
      <c r="L611" s="65"/>
      <c r="M611" s="65"/>
      <c r="N611" s="65"/>
      <c r="O611" s="65"/>
      <c r="P611" s="65"/>
      <c r="Q611" s="65"/>
      <c r="R611" s="65"/>
      <c r="S611" s="65"/>
      <c r="T611" s="65"/>
      <c r="U611" s="65"/>
      <c r="V611" s="65"/>
      <c r="W611" s="65"/>
      <c r="X611" s="65"/>
      <c r="Y611" s="65"/>
      <c r="Z611" s="65"/>
      <c r="AA611" s="65"/>
      <c r="AB611" s="65"/>
      <c r="AC611" s="65"/>
      <c r="AD611" s="65"/>
      <c r="AE611" s="65"/>
      <c r="AF611" s="65"/>
      <c r="AG611" s="65"/>
      <c r="AH611" s="65"/>
      <c r="AI611" s="65"/>
      <c r="AJ611" s="65"/>
      <c r="AK611" s="65"/>
      <c r="AL611" s="65"/>
      <c r="AM611" s="65"/>
      <c r="AN611" s="65"/>
    </row>
    <row r="612" spans="10:40" ht="14.5" x14ac:dyDescent="0.35">
      <c r="J612" s="65"/>
      <c r="K612" s="65"/>
      <c r="L612" s="65"/>
      <c r="M612" s="65"/>
      <c r="N612" s="65"/>
      <c r="O612" s="65"/>
      <c r="P612" s="65"/>
      <c r="Q612" s="65"/>
      <c r="R612" s="65"/>
      <c r="S612" s="65"/>
      <c r="T612" s="65"/>
      <c r="U612" s="65"/>
      <c r="V612" s="65"/>
      <c r="W612" s="65"/>
      <c r="X612" s="65"/>
      <c r="Y612" s="65"/>
      <c r="Z612" s="65"/>
      <c r="AA612" s="65"/>
      <c r="AB612" s="65"/>
      <c r="AC612" s="65"/>
      <c r="AD612" s="65"/>
      <c r="AE612" s="65"/>
      <c r="AF612" s="65"/>
      <c r="AG612" s="65"/>
      <c r="AH612" s="65"/>
      <c r="AI612" s="65"/>
      <c r="AJ612" s="65"/>
      <c r="AK612" s="65"/>
      <c r="AL612" s="65"/>
      <c r="AM612" s="65"/>
      <c r="AN612" s="65"/>
    </row>
    <row r="613" spans="10:40" ht="14.5" x14ac:dyDescent="0.35">
      <c r="J613" s="65"/>
      <c r="K613" s="65"/>
      <c r="L613" s="65"/>
      <c r="M613" s="65"/>
      <c r="N613" s="65"/>
      <c r="O613" s="65"/>
      <c r="P613" s="65"/>
      <c r="Q613" s="65"/>
      <c r="R613" s="65"/>
      <c r="S613" s="65"/>
      <c r="T613" s="65"/>
      <c r="U613" s="65"/>
      <c r="V613" s="65"/>
      <c r="W613" s="65"/>
      <c r="X613" s="65"/>
      <c r="Y613" s="65"/>
      <c r="Z613" s="65"/>
      <c r="AA613" s="65"/>
      <c r="AB613" s="65"/>
      <c r="AC613" s="65"/>
      <c r="AD613" s="65"/>
      <c r="AE613" s="65"/>
      <c r="AF613" s="65"/>
      <c r="AG613" s="65"/>
      <c r="AH613" s="65"/>
      <c r="AI613" s="65"/>
      <c r="AJ613" s="65"/>
      <c r="AK613" s="65"/>
      <c r="AL613" s="65"/>
      <c r="AM613" s="65"/>
      <c r="AN613" s="65"/>
    </row>
    <row r="614" spans="10:40" ht="14.5" x14ac:dyDescent="0.35">
      <c r="J614" s="65"/>
      <c r="K614" s="65"/>
      <c r="L614" s="65"/>
      <c r="M614" s="65"/>
      <c r="N614" s="65"/>
      <c r="O614" s="65"/>
      <c r="P614" s="65"/>
      <c r="Q614" s="65"/>
      <c r="R614" s="65"/>
      <c r="S614" s="65"/>
      <c r="T614" s="65"/>
      <c r="U614" s="65"/>
      <c r="V614" s="65"/>
      <c r="W614" s="65"/>
      <c r="X614" s="65"/>
      <c r="Y614" s="65"/>
      <c r="Z614" s="65"/>
      <c r="AA614" s="65"/>
      <c r="AB614" s="65"/>
      <c r="AC614" s="65"/>
      <c r="AD614" s="65"/>
      <c r="AE614" s="65"/>
      <c r="AF614" s="65"/>
      <c r="AG614" s="65"/>
      <c r="AH614" s="65"/>
      <c r="AI614" s="65"/>
      <c r="AJ614" s="65"/>
      <c r="AK614" s="65"/>
      <c r="AL614" s="65"/>
      <c r="AM614" s="65"/>
      <c r="AN614" s="65"/>
    </row>
    <row r="615" spans="10:40" ht="14.5" x14ac:dyDescent="0.35">
      <c r="J615" s="65"/>
      <c r="K615" s="65"/>
      <c r="L615" s="65"/>
      <c r="M615" s="65"/>
      <c r="N615" s="65"/>
      <c r="O615" s="65"/>
      <c r="P615" s="65"/>
      <c r="Q615" s="65"/>
      <c r="R615" s="65"/>
      <c r="S615" s="65"/>
      <c r="T615" s="65"/>
      <c r="U615" s="65"/>
      <c r="V615" s="65"/>
      <c r="W615" s="65"/>
      <c r="X615" s="65"/>
      <c r="Y615" s="65"/>
      <c r="Z615" s="65"/>
      <c r="AA615" s="65"/>
      <c r="AB615" s="65"/>
      <c r="AC615" s="65"/>
      <c r="AD615" s="65"/>
      <c r="AE615" s="65"/>
      <c r="AF615" s="65"/>
      <c r="AG615" s="65"/>
      <c r="AH615" s="65"/>
      <c r="AI615" s="65"/>
      <c r="AJ615" s="65"/>
      <c r="AK615" s="65"/>
      <c r="AL615" s="65"/>
      <c r="AM615" s="65"/>
      <c r="AN615" s="65"/>
    </row>
    <row r="616" spans="10:40" ht="14.5" x14ac:dyDescent="0.35">
      <c r="J616" s="65"/>
      <c r="K616" s="65"/>
      <c r="L616" s="65"/>
      <c r="M616" s="65"/>
      <c r="N616" s="65"/>
      <c r="O616" s="65"/>
      <c r="P616" s="65"/>
      <c r="Q616" s="65"/>
      <c r="R616" s="65"/>
      <c r="S616" s="65"/>
      <c r="T616" s="65"/>
      <c r="U616" s="65"/>
      <c r="V616" s="65"/>
      <c r="W616" s="65"/>
      <c r="X616" s="65"/>
      <c r="Y616" s="65"/>
      <c r="Z616" s="65"/>
      <c r="AA616" s="65"/>
      <c r="AB616" s="65"/>
      <c r="AC616" s="65"/>
      <c r="AD616" s="65"/>
      <c r="AE616" s="65"/>
      <c r="AF616" s="65"/>
      <c r="AG616" s="65"/>
      <c r="AH616" s="65"/>
      <c r="AI616" s="65"/>
      <c r="AJ616" s="65"/>
      <c r="AK616" s="65"/>
      <c r="AL616" s="65"/>
      <c r="AM616" s="65"/>
      <c r="AN616" s="65"/>
    </row>
    <row r="617" spans="10:40" ht="14.5" x14ac:dyDescent="0.35">
      <c r="J617" s="65"/>
      <c r="K617" s="65"/>
      <c r="L617" s="65"/>
      <c r="M617" s="65"/>
      <c r="N617" s="65"/>
      <c r="O617" s="65"/>
      <c r="P617" s="65"/>
      <c r="Q617" s="65"/>
      <c r="R617" s="65"/>
      <c r="S617" s="65"/>
      <c r="T617" s="65"/>
      <c r="U617" s="65"/>
      <c r="V617" s="65"/>
      <c r="W617" s="65"/>
      <c r="X617" s="65"/>
      <c r="Y617" s="65"/>
      <c r="Z617" s="65"/>
      <c r="AA617" s="65"/>
      <c r="AB617" s="65"/>
      <c r="AC617" s="65"/>
      <c r="AD617" s="65"/>
      <c r="AE617" s="65"/>
      <c r="AF617" s="65"/>
      <c r="AG617" s="65"/>
      <c r="AH617" s="65"/>
      <c r="AI617" s="65"/>
      <c r="AJ617" s="65"/>
      <c r="AK617" s="65"/>
      <c r="AL617" s="65"/>
      <c r="AM617" s="65"/>
      <c r="AN617" s="65"/>
    </row>
    <row r="618" spans="10:40" ht="14.5" x14ac:dyDescent="0.35">
      <c r="J618" s="65"/>
      <c r="K618" s="65"/>
      <c r="L618" s="65"/>
      <c r="M618" s="65"/>
      <c r="N618" s="65"/>
      <c r="O618" s="65"/>
      <c r="P618" s="65"/>
      <c r="Q618" s="65"/>
      <c r="R618" s="65"/>
      <c r="S618" s="65"/>
      <c r="T618" s="65"/>
      <c r="U618" s="65"/>
      <c r="V618" s="65"/>
      <c r="W618" s="65"/>
      <c r="X618" s="65"/>
      <c r="Y618" s="65"/>
      <c r="Z618" s="65"/>
      <c r="AA618" s="65"/>
      <c r="AB618" s="65"/>
      <c r="AC618" s="65"/>
      <c r="AD618" s="65"/>
      <c r="AE618" s="65"/>
      <c r="AF618" s="65"/>
      <c r="AG618" s="65"/>
      <c r="AH618" s="65"/>
      <c r="AI618" s="65"/>
      <c r="AJ618" s="65"/>
      <c r="AK618" s="65"/>
      <c r="AL618" s="65"/>
      <c r="AM618" s="65"/>
      <c r="AN618" s="65"/>
    </row>
    <row r="619" spans="10:40" ht="14.5" x14ac:dyDescent="0.35">
      <c r="J619" s="65"/>
      <c r="K619" s="65"/>
      <c r="L619" s="65"/>
      <c r="M619" s="65"/>
      <c r="N619" s="65"/>
      <c r="O619" s="65"/>
      <c r="P619" s="65"/>
      <c r="Q619" s="65"/>
      <c r="R619" s="65"/>
      <c r="S619" s="65"/>
      <c r="T619" s="65"/>
      <c r="U619" s="65"/>
      <c r="V619" s="65"/>
      <c r="W619" s="65"/>
      <c r="X619" s="65"/>
      <c r="Y619" s="65"/>
      <c r="Z619" s="65"/>
      <c r="AA619" s="65"/>
      <c r="AB619" s="65"/>
      <c r="AC619" s="65"/>
      <c r="AD619" s="65"/>
      <c r="AE619" s="65"/>
      <c r="AF619" s="65"/>
      <c r="AG619" s="65"/>
      <c r="AH619" s="65"/>
      <c r="AI619" s="65"/>
      <c r="AJ619" s="65"/>
      <c r="AK619" s="65"/>
      <c r="AL619" s="65"/>
      <c r="AM619" s="65"/>
      <c r="AN619" s="65"/>
    </row>
    <row r="620" spans="10:40" ht="14.5" x14ac:dyDescent="0.35">
      <c r="J620" s="65"/>
      <c r="K620" s="65"/>
      <c r="L620" s="65"/>
      <c r="M620" s="65"/>
      <c r="N620" s="65"/>
      <c r="O620" s="65"/>
      <c r="P620" s="65"/>
      <c r="Q620" s="65"/>
      <c r="R620" s="65"/>
      <c r="S620" s="65"/>
      <c r="T620" s="65"/>
      <c r="U620" s="65"/>
      <c r="V620" s="65"/>
      <c r="W620" s="65"/>
      <c r="X620" s="65"/>
      <c r="Y620" s="65"/>
      <c r="Z620" s="65"/>
      <c r="AA620" s="65"/>
      <c r="AB620" s="65"/>
      <c r="AC620" s="65"/>
      <c r="AD620" s="65"/>
      <c r="AE620" s="65"/>
      <c r="AF620" s="65"/>
      <c r="AG620" s="65"/>
      <c r="AH620" s="65"/>
      <c r="AI620" s="65"/>
      <c r="AJ620" s="65"/>
      <c r="AK620" s="65"/>
      <c r="AL620" s="65"/>
      <c r="AM620" s="65"/>
      <c r="AN620" s="65"/>
    </row>
    <row r="621" spans="10:40" ht="14.5" x14ac:dyDescent="0.35">
      <c r="J621" s="65"/>
      <c r="K621" s="65"/>
      <c r="L621" s="65"/>
      <c r="M621" s="65"/>
      <c r="N621" s="65"/>
      <c r="O621" s="65"/>
      <c r="P621" s="65"/>
      <c r="Q621" s="65"/>
      <c r="R621" s="65"/>
      <c r="S621" s="65"/>
      <c r="T621" s="65"/>
      <c r="U621" s="65"/>
      <c r="V621" s="65"/>
      <c r="W621" s="65"/>
      <c r="X621" s="65"/>
      <c r="Y621" s="65"/>
      <c r="Z621" s="65"/>
      <c r="AA621" s="65"/>
      <c r="AB621" s="65"/>
      <c r="AC621" s="65"/>
      <c r="AD621" s="65"/>
      <c r="AE621" s="65"/>
      <c r="AF621" s="65"/>
      <c r="AG621" s="65"/>
      <c r="AH621" s="65"/>
      <c r="AI621" s="65"/>
      <c r="AJ621" s="65"/>
      <c r="AK621" s="65"/>
      <c r="AL621" s="65"/>
      <c r="AM621" s="65"/>
      <c r="AN621" s="65"/>
    </row>
    <row r="622" spans="10:40" ht="14.5" x14ac:dyDescent="0.35">
      <c r="J622" s="65"/>
      <c r="K622" s="65"/>
      <c r="L622" s="65"/>
      <c r="M622" s="65"/>
      <c r="N622" s="65"/>
      <c r="O622" s="65"/>
      <c r="P622" s="65"/>
      <c r="Q622" s="65"/>
      <c r="R622" s="65"/>
      <c r="S622" s="65"/>
      <c r="T622" s="65"/>
      <c r="U622" s="65"/>
      <c r="V622" s="65"/>
      <c r="W622" s="65"/>
      <c r="X622" s="65"/>
      <c r="Y622" s="65"/>
      <c r="Z622" s="65"/>
      <c r="AA622" s="65"/>
      <c r="AB622" s="65"/>
      <c r="AC622" s="65"/>
      <c r="AD622" s="65"/>
      <c r="AE622" s="65"/>
      <c r="AF622" s="65"/>
      <c r="AG622" s="65"/>
      <c r="AH622" s="65"/>
      <c r="AI622" s="65"/>
      <c r="AJ622" s="65"/>
      <c r="AK622" s="65"/>
      <c r="AL622" s="65"/>
      <c r="AM622" s="65"/>
      <c r="AN622" s="65"/>
    </row>
    <row r="623" spans="10:40" ht="14.5" x14ac:dyDescent="0.35">
      <c r="J623" s="65"/>
      <c r="K623" s="65"/>
      <c r="L623" s="65"/>
      <c r="M623" s="65"/>
      <c r="N623" s="65"/>
      <c r="O623" s="65"/>
      <c r="P623" s="65"/>
      <c r="Q623" s="65"/>
      <c r="R623" s="65"/>
      <c r="S623" s="65"/>
      <c r="T623" s="65"/>
      <c r="U623" s="65"/>
      <c r="V623" s="65"/>
      <c r="W623" s="65"/>
      <c r="X623" s="65"/>
      <c r="Y623" s="65"/>
      <c r="Z623" s="65"/>
      <c r="AA623" s="65"/>
      <c r="AB623" s="65"/>
      <c r="AC623" s="65"/>
      <c r="AD623" s="65"/>
      <c r="AE623" s="65"/>
      <c r="AF623" s="65"/>
      <c r="AG623" s="65"/>
      <c r="AH623" s="65"/>
      <c r="AI623" s="65"/>
      <c r="AJ623" s="65"/>
      <c r="AK623" s="65"/>
      <c r="AL623" s="65"/>
      <c r="AM623" s="65"/>
      <c r="AN623" s="65"/>
    </row>
    <row r="624" spans="10:40" ht="14.5" x14ac:dyDescent="0.35">
      <c r="J624" s="65"/>
      <c r="K624" s="65"/>
      <c r="L624" s="65"/>
      <c r="M624" s="65"/>
      <c r="N624" s="65"/>
      <c r="O624" s="65"/>
      <c r="P624" s="65"/>
      <c r="Q624" s="65"/>
      <c r="R624" s="65"/>
      <c r="S624" s="65"/>
      <c r="T624" s="65"/>
      <c r="U624" s="65"/>
      <c r="V624" s="65"/>
      <c r="W624" s="65"/>
      <c r="X624" s="65"/>
      <c r="Y624" s="65"/>
      <c r="Z624" s="65"/>
      <c r="AA624" s="65"/>
      <c r="AB624" s="65"/>
      <c r="AC624" s="65"/>
      <c r="AD624" s="65"/>
      <c r="AE624" s="65"/>
      <c r="AF624" s="65"/>
      <c r="AG624" s="65"/>
      <c r="AH624" s="65"/>
      <c r="AI624" s="65"/>
      <c r="AJ624" s="65"/>
      <c r="AK624" s="65"/>
      <c r="AL624" s="65"/>
      <c r="AM624" s="65"/>
      <c r="AN624" s="65"/>
    </row>
    <row r="625" spans="10:40" ht="14.5" x14ac:dyDescent="0.35">
      <c r="J625" s="65"/>
      <c r="K625" s="65"/>
      <c r="L625" s="65"/>
      <c r="M625" s="65"/>
      <c r="N625" s="65"/>
      <c r="O625" s="65"/>
      <c r="P625" s="65"/>
      <c r="Q625" s="65"/>
      <c r="R625" s="65"/>
      <c r="S625" s="65"/>
      <c r="T625" s="65"/>
      <c r="U625" s="65"/>
      <c r="V625" s="65"/>
      <c r="W625" s="65"/>
      <c r="X625" s="65"/>
      <c r="Y625" s="65"/>
      <c r="Z625" s="65"/>
      <c r="AA625" s="65"/>
      <c r="AB625" s="65"/>
      <c r="AC625" s="65"/>
      <c r="AD625" s="65"/>
      <c r="AE625" s="65"/>
      <c r="AF625" s="65"/>
      <c r="AG625" s="65"/>
      <c r="AH625" s="65"/>
      <c r="AI625" s="65"/>
      <c r="AJ625" s="65"/>
      <c r="AK625" s="65"/>
      <c r="AL625" s="65"/>
      <c r="AM625" s="65"/>
      <c r="AN625" s="65"/>
    </row>
    <row r="626" spans="10:40" ht="14.5" x14ac:dyDescent="0.35">
      <c r="J626" s="65"/>
      <c r="K626" s="65"/>
      <c r="L626" s="65"/>
      <c r="M626" s="65"/>
      <c r="N626" s="65"/>
      <c r="O626" s="65"/>
      <c r="P626" s="65"/>
      <c r="Q626" s="65"/>
      <c r="R626" s="65"/>
      <c r="S626" s="65"/>
      <c r="T626" s="65"/>
      <c r="U626" s="65"/>
      <c r="V626" s="65"/>
      <c r="W626" s="65"/>
      <c r="X626" s="65"/>
      <c r="Y626" s="65"/>
      <c r="Z626" s="65"/>
      <c r="AA626" s="65"/>
      <c r="AB626" s="65"/>
      <c r="AC626" s="65"/>
      <c r="AD626" s="65"/>
      <c r="AE626" s="65"/>
      <c r="AF626" s="65"/>
      <c r="AG626" s="65"/>
      <c r="AH626" s="65"/>
      <c r="AI626" s="65"/>
      <c r="AJ626" s="65"/>
      <c r="AK626" s="65"/>
      <c r="AL626" s="65"/>
      <c r="AM626" s="65"/>
      <c r="AN626" s="65"/>
    </row>
    <row r="627" spans="10:40" ht="14.5" x14ac:dyDescent="0.35">
      <c r="J627" s="65"/>
      <c r="K627" s="65"/>
      <c r="L627" s="65"/>
      <c r="M627" s="65"/>
      <c r="N627" s="65"/>
      <c r="O627" s="65"/>
      <c r="P627" s="65"/>
      <c r="Q627" s="65"/>
      <c r="R627" s="65"/>
      <c r="S627" s="65"/>
      <c r="T627" s="65"/>
      <c r="U627" s="65"/>
      <c r="V627" s="65"/>
      <c r="W627" s="65"/>
      <c r="X627" s="65"/>
      <c r="Y627" s="65"/>
      <c r="Z627" s="65"/>
      <c r="AA627" s="65"/>
      <c r="AB627" s="65"/>
      <c r="AC627" s="65"/>
      <c r="AD627" s="65"/>
      <c r="AE627" s="65"/>
      <c r="AF627" s="65"/>
      <c r="AG627" s="65"/>
      <c r="AH627" s="65"/>
      <c r="AI627" s="65"/>
      <c r="AJ627" s="65"/>
      <c r="AK627" s="65"/>
      <c r="AL627" s="65"/>
      <c r="AM627" s="65"/>
      <c r="AN627" s="65"/>
    </row>
    <row r="628" spans="10:40" ht="14.5" x14ac:dyDescent="0.35">
      <c r="J628" s="65"/>
      <c r="K628" s="65"/>
      <c r="L628" s="65"/>
      <c r="M628" s="65"/>
      <c r="N628" s="65"/>
      <c r="O628" s="65"/>
      <c r="P628" s="65"/>
      <c r="Q628" s="65"/>
      <c r="R628" s="65"/>
      <c r="S628" s="65"/>
      <c r="T628" s="65"/>
      <c r="U628" s="65"/>
      <c r="V628" s="65"/>
      <c r="W628" s="65"/>
      <c r="X628" s="65"/>
      <c r="Y628" s="65"/>
      <c r="Z628" s="65"/>
      <c r="AA628" s="65"/>
      <c r="AB628" s="65"/>
      <c r="AC628" s="65"/>
      <c r="AD628" s="65"/>
      <c r="AE628" s="65"/>
      <c r="AF628" s="65"/>
      <c r="AG628" s="65"/>
      <c r="AH628" s="65"/>
      <c r="AI628" s="65"/>
      <c r="AJ628" s="65"/>
      <c r="AK628" s="65"/>
      <c r="AL628" s="65"/>
      <c r="AM628" s="65"/>
      <c r="AN628" s="65"/>
    </row>
    <row r="629" spans="10:40" ht="14.5" x14ac:dyDescent="0.35">
      <c r="J629" s="65"/>
      <c r="K629" s="65"/>
      <c r="L629" s="65"/>
      <c r="M629" s="65"/>
      <c r="N629" s="65"/>
      <c r="O629" s="65"/>
      <c r="P629" s="65"/>
      <c r="Q629" s="65"/>
      <c r="R629" s="65"/>
      <c r="S629" s="65"/>
      <c r="T629" s="65"/>
      <c r="U629" s="65"/>
      <c r="V629" s="65"/>
      <c r="W629" s="65"/>
      <c r="X629" s="65"/>
      <c r="Y629" s="65"/>
      <c r="Z629" s="65"/>
      <c r="AA629" s="65"/>
      <c r="AB629" s="65"/>
      <c r="AC629" s="65"/>
      <c r="AD629" s="65"/>
      <c r="AE629" s="65"/>
      <c r="AF629" s="65"/>
      <c r="AG629" s="65"/>
      <c r="AH629" s="65"/>
      <c r="AI629" s="65"/>
      <c r="AJ629" s="65"/>
      <c r="AK629" s="65"/>
      <c r="AL629" s="65"/>
      <c r="AM629" s="65"/>
      <c r="AN629" s="65"/>
    </row>
    <row r="630" spans="10:40" ht="14.5" x14ac:dyDescent="0.35">
      <c r="J630" s="65"/>
      <c r="K630" s="65"/>
      <c r="L630" s="65"/>
      <c r="M630" s="65"/>
      <c r="N630" s="65"/>
      <c r="O630" s="65"/>
      <c r="P630" s="65"/>
      <c r="Q630" s="65"/>
      <c r="R630" s="65"/>
      <c r="S630" s="65"/>
      <c r="T630" s="65"/>
      <c r="U630" s="65"/>
      <c r="V630" s="65"/>
      <c r="W630" s="65"/>
      <c r="X630" s="65"/>
      <c r="Y630" s="65"/>
      <c r="Z630" s="65"/>
      <c r="AA630" s="65"/>
      <c r="AB630" s="65"/>
      <c r="AC630" s="65"/>
      <c r="AD630" s="65"/>
      <c r="AE630" s="65"/>
      <c r="AF630" s="65"/>
      <c r="AG630" s="65"/>
      <c r="AH630" s="65"/>
      <c r="AI630" s="65"/>
      <c r="AJ630" s="65"/>
      <c r="AK630" s="65"/>
      <c r="AL630" s="65"/>
      <c r="AM630" s="65"/>
      <c r="AN630" s="65"/>
    </row>
    <row r="631" spans="10:40" ht="14.5" x14ac:dyDescent="0.35">
      <c r="J631" s="65"/>
      <c r="K631" s="65"/>
      <c r="L631" s="65"/>
      <c r="M631" s="65"/>
      <c r="N631" s="65"/>
      <c r="O631" s="65"/>
      <c r="P631" s="65"/>
      <c r="Q631" s="65"/>
      <c r="R631" s="65"/>
      <c r="S631" s="65"/>
      <c r="T631" s="65"/>
      <c r="U631" s="65"/>
      <c r="V631" s="65"/>
      <c r="W631" s="65"/>
      <c r="X631" s="65"/>
      <c r="Y631" s="65"/>
      <c r="Z631" s="65"/>
      <c r="AA631" s="65"/>
      <c r="AB631" s="65"/>
      <c r="AC631" s="65"/>
      <c r="AD631" s="65"/>
      <c r="AE631" s="65"/>
      <c r="AF631" s="65"/>
      <c r="AG631" s="65"/>
      <c r="AH631" s="65"/>
      <c r="AI631" s="65"/>
      <c r="AJ631" s="65"/>
      <c r="AK631" s="65"/>
      <c r="AL631" s="65"/>
      <c r="AM631" s="65"/>
      <c r="AN631" s="65"/>
    </row>
    <row r="632" spans="10:40" ht="14.5" x14ac:dyDescent="0.35">
      <c r="J632" s="65"/>
      <c r="K632" s="65"/>
      <c r="L632" s="65"/>
      <c r="M632" s="65"/>
      <c r="N632" s="65"/>
      <c r="O632" s="65"/>
      <c r="P632" s="65"/>
      <c r="Q632" s="65"/>
      <c r="R632" s="65"/>
      <c r="S632" s="65"/>
      <c r="T632" s="65"/>
      <c r="U632" s="65"/>
      <c r="V632" s="65"/>
      <c r="W632" s="65"/>
      <c r="X632" s="65"/>
      <c r="Y632" s="65"/>
      <c r="Z632" s="65"/>
      <c r="AA632" s="65"/>
      <c r="AB632" s="65"/>
      <c r="AC632" s="65"/>
      <c r="AD632" s="65"/>
      <c r="AE632" s="65"/>
      <c r="AF632" s="65"/>
      <c r="AG632" s="65"/>
      <c r="AH632" s="65"/>
      <c r="AI632" s="65"/>
      <c r="AJ632" s="65"/>
      <c r="AK632" s="65"/>
      <c r="AL632" s="65"/>
      <c r="AM632" s="65"/>
      <c r="AN632" s="65"/>
    </row>
    <row r="633" spans="10:40" ht="14.5" x14ac:dyDescent="0.35">
      <c r="J633" s="65"/>
      <c r="K633" s="65"/>
      <c r="L633" s="65"/>
      <c r="M633" s="65"/>
      <c r="N633" s="65"/>
      <c r="O633" s="65"/>
      <c r="P633" s="65"/>
      <c r="Q633" s="65"/>
      <c r="R633" s="65"/>
      <c r="S633" s="65"/>
      <c r="T633" s="65"/>
      <c r="U633" s="65"/>
      <c r="V633" s="65"/>
      <c r="W633" s="65"/>
      <c r="X633" s="65"/>
      <c r="Y633" s="65"/>
      <c r="Z633" s="65"/>
      <c r="AA633" s="65"/>
      <c r="AB633" s="65"/>
      <c r="AC633" s="65"/>
      <c r="AD633" s="65"/>
      <c r="AE633" s="65"/>
      <c r="AF633" s="65"/>
      <c r="AG633" s="65"/>
      <c r="AH633" s="65"/>
      <c r="AI633" s="65"/>
      <c r="AJ633" s="65"/>
      <c r="AK633" s="65"/>
      <c r="AL633" s="65"/>
      <c r="AM633" s="65"/>
      <c r="AN633" s="65"/>
    </row>
    <row r="634" spans="10:40" ht="14.5" x14ac:dyDescent="0.35">
      <c r="J634" s="65"/>
      <c r="K634" s="65"/>
      <c r="L634" s="65"/>
      <c r="M634" s="65"/>
      <c r="N634" s="65"/>
      <c r="O634" s="65"/>
      <c r="P634" s="65"/>
      <c r="Q634" s="65"/>
      <c r="R634" s="65"/>
      <c r="S634" s="65"/>
      <c r="T634" s="65"/>
      <c r="U634" s="65"/>
      <c r="V634" s="65"/>
      <c r="W634" s="65"/>
      <c r="X634" s="65"/>
      <c r="Y634" s="65"/>
      <c r="Z634" s="65"/>
      <c r="AA634" s="65"/>
      <c r="AB634" s="65"/>
      <c r="AC634" s="65"/>
      <c r="AD634" s="65"/>
      <c r="AE634" s="65"/>
      <c r="AF634" s="65"/>
      <c r="AG634" s="65"/>
      <c r="AH634" s="65"/>
      <c r="AI634" s="65"/>
      <c r="AJ634" s="65"/>
      <c r="AK634" s="65"/>
      <c r="AL634" s="65"/>
      <c r="AM634" s="65"/>
      <c r="AN634" s="65"/>
    </row>
    <row r="635" spans="10:40" ht="14.5" x14ac:dyDescent="0.35">
      <c r="J635" s="65"/>
      <c r="K635" s="65"/>
      <c r="L635" s="65"/>
      <c r="M635" s="65"/>
      <c r="N635" s="65"/>
      <c r="O635" s="65"/>
      <c r="P635" s="65"/>
      <c r="Q635" s="65"/>
      <c r="R635" s="65"/>
      <c r="S635" s="65"/>
      <c r="T635" s="65"/>
      <c r="U635" s="65"/>
      <c r="V635" s="65"/>
      <c r="W635" s="65"/>
      <c r="X635" s="65"/>
      <c r="Y635" s="65"/>
      <c r="Z635" s="65"/>
      <c r="AA635" s="65"/>
      <c r="AB635" s="65"/>
      <c r="AC635" s="65"/>
      <c r="AD635" s="65"/>
      <c r="AE635" s="65"/>
      <c r="AF635" s="65"/>
      <c r="AG635" s="65"/>
      <c r="AH635" s="65"/>
      <c r="AI635" s="65"/>
      <c r="AJ635" s="65"/>
      <c r="AK635" s="65"/>
      <c r="AL635" s="65"/>
      <c r="AM635" s="65"/>
      <c r="AN635" s="65"/>
    </row>
    <row r="636" spans="10:40" ht="14.5" x14ac:dyDescent="0.35">
      <c r="J636" s="65"/>
      <c r="K636" s="65"/>
      <c r="L636" s="65"/>
      <c r="M636" s="65"/>
      <c r="N636" s="65"/>
      <c r="O636" s="65"/>
      <c r="P636" s="65"/>
      <c r="Q636" s="65"/>
      <c r="R636" s="65"/>
      <c r="S636" s="65"/>
      <c r="T636" s="65"/>
      <c r="U636" s="65"/>
      <c r="V636" s="65"/>
      <c r="W636" s="65"/>
      <c r="X636" s="65"/>
      <c r="Y636" s="65"/>
      <c r="Z636" s="65"/>
      <c r="AA636" s="65"/>
      <c r="AB636" s="65"/>
      <c r="AC636" s="65"/>
      <c r="AD636" s="65"/>
      <c r="AE636" s="65"/>
      <c r="AF636" s="65"/>
      <c r="AG636" s="65"/>
      <c r="AH636" s="65"/>
      <c r="AI636" s="65"/>
      <c r="AJ636" s="65"/>
      <c r="AK636" s="65"/>
      <c r="AL636" s="65"/>
      <c r="AM636" s="65"/>
      <c r="AN636" s="65"/>
    </row>
    <row r="637" spans="10:40" ht="14.5" x14ac:dyDescent="0.35">
      <c r="J637" s="65"/>
      <c r="K637" s="65"/>
      <c r="L637" s="65"/>
      <c r="M637" s="65"/>
      <c r="N637" s="65"/>
      <c r="O637" s="65"/>
      <c r="P637" s="65"/>
      <c r="Q637" s="65"/>
      <c r="R637" s="65"/>
      <c r="S637" s="65"/>
      <c r="T637" s="65"/>
      <c r="U637" s="65"/>
      <c r="V637" s="65"/>
      <c r="W637" s="65"/>
      <c r="X637" s="65"/>
      <c r="Y637" s="65"/>
      <c r="Z637" s="65"/>
      <c r="AA637" s="65"/>
      <c r="AB637" s="65"/>
      <c r="AC637" s="65"/>
      <c r="AD637" s="65"/>
      <c r="AE637" s="65"/>
      <c r="AF637" s="65"/>
      <c r="AG637" s="65"/>
      <c r="AH637" s="65"/>
      <c r="AI637" s="65"/>
      <c r="AJ637" s="65"/>
      <c r="AK637" s="65"/>
      <c r="AL637" s="65"/>
      <c r="AM637" s="65"/>
      <c r="AN637" s="65"/>
    </row>
    <row r="638" spans="10:40" ht="14.5" x14ac:dyDescent="0.35">
      <c r="J638" s="65"/>
      <c r="K638" s="65"/>
      <c r="L638" s="65"/>
      <c r="M638" s="65"/>
      <c r="N638" s="65"/>
      <c r="O638" s="65"/>
      <c r="P638" s="65"/>
      <c r="Q638" s="65"/>
      <c r="R638" s="65"/>
      <c r="S638" s="65"/>
      <c r="T638" s="65"/>
      <c r="U638" s="65"/>
      <c r="V638" s="65"/>
      <c r="W638" s="65"/>
      <c r="X638" s="65"/>
      <c r="Y638" s="65"/>
      <c r="Z638" s="65"/>
      <c r="AA638" s="65"/>
      <c r="AB638" s="65"/>
      <c r="AC638" s="65"/>
      <c r="AD638" s="65"/>
      <c r="AE638" s="65"/>
      <c r="AF638" s="65"/>
      <c r="AG638" s="65"/>
      <c r="AH638" s="65"/>
      <c r="AI638" s="65"/>
      <c r="AJ638" s="65"/>
      <c r="AK638" s="65"/>
      <c r="AL638" s="65"/>
      <c r="AM638" s="65"/>
      <c r="AN638" s="65"/>
    </row>
    <row r="639" spans="10:40" ht="14.5" x14ac:dyDescent="0.35">
      <c r="J639" s="65"/>
      <c r="K639" s="65"/>
      <c r="L639" s="65"/>
      <c r="M639" s="65"/>
      <c r="N639" s="65"/>
      <c r="O639" s="65"/>
      <c r="P639" s="65"/>
      <c r="Q639" s="65"/>
      <c r="R639" s="65"/>
      <c r="S639" s="65"/>
      <c r="T639" s="65"/>
      <c r="U639" s="65"/>
      <c r="V639" s="65"/>
      <c r="W639" s="65"/>
      <c r="X639" s="65"/>
      <c r="Y639" s="65"/>
      <c r="Z639" s="65"/>
      <c r="AA639" s="65"/>
      <c r="AB639" s="65"/>
      <c r="AC639" s="65"/>
      <c r="AD639" s="65"/>
      <c r="AE639" s="65"/>
      <c r="AF639" s="65"/>
      <c r="AG639" s="65"/>
      <c r="AH639" s="65"/>
      <c r="AI639" s="65"/>
      <c r="AJ639" s="65"/>
      <c r="AK639" s="65"/>
      <c r="AL639" s="65"/>
      <c r="AM639" s="65"/>
      <c r="AN639" s="65"/>
    </row>
    <row r="640" spans="10:40" ht="14.5" x14ac:dyDescent="0.35">
      <c r="J640" s="65"/>
      <c r="K640" s="65"/>
      <c r="L640" s="65"/>
      <c r="M640" s="65"/>
      <c r="N640" s="65"/>
      <c r="O640" s="65"/>
      <c r="P640" s="65"/>
      <c r="Q640" s="65"/>
      <c r="R640" s="65"/>
      <c r="S640" s="65"/>
      <c r="T640" s="65"/>
      <c r="U640" s="65"/>
      <c r="V640" s="65"/>
      <c r="W640" s="65"/>
      <c r="X640" s="65"/>
      <c r="Y640" s="65"/>
      <c r="Z640" s="65"/>
      <c r="AA640" s="65"/>
      <c r="AB640" s="65"/>
      <c r="AC640" s="65"/>
      <c r="AD640" s="65"/>
      <c r="AE640" s="65"/>
      <c r="AF640" s="65"/>
      <c r="AG640" s="65"/>
      <c r="AH640" s="65"/>
      <c r="AI640" s="65"/>
      <c r="AJ640" s="65"/>
      <c r="AK640" s="65"/>
      <c r="AL640" s="65"/>
      <c r="AM640" s="65"/>
      <c r="AN640" s="65"/>
    </row>
    <row r="641" spans="10:40" ht="14.5" x14ac:dyDescent="0.35">
      <c r="J641" s="65"/>
      <c r="K641" s="65"/>
      <c r="L641" s="65"/>
      <c r="M641" s="65"/>
      <c r="N641" s="65"/>
      <c r="O641" s="65"/>
      <c r="P641" s="65"/>
      <c r="Q641" s="65"/>
      <c r="R641" s="65"/>
      <c r="S641" s="65"/>
      <c r="T641" s="65"/>
      <c r="U641" s="65"/>
      <c r="V641" s="65"/>
      <c r="W641" s="65"/>
      <c r="X641" s="65"/>
      <c r="Y641" s="65"/>
      <c r="Z641" s="65"/>
      <c r="AA641" s="65"/>
      <c r="AB641" s="65"/>
      <c r="AC641" s="65"/>
      <c r="AD641" s="65"/>
      <c r="AE641" s="65"/>
      <c r="AF641" s="65"/>
      <c r="AG641" s="65"/>
      <c r="AH641" s="65"/>
      <c r="AI641" s="65"/>
      <c r="AJ641" s="65"/>
      <c r="AK641" s="65"/>
      <c r="AL641" s="65"/>
      <c r="AM641" s="65"/>
      <c r="AN641" s="65"/>
    </row>
    <row r="642" spans="10:40" ht="14.5" x14ac:dyDescent="0.35">
      <c r="J642" s="65"/>
      <c r="K642" s="65"/>
      <c r="L642" s="65"/>
      <c r="M642" s="65"/>
      <c r="N642" s="65"/>
      <c r="O642" s="65"/>
      <c r="P642" s="65"/>
      <c r="Q642" s="65"/>
      <c r="R642" s="65"/>
      <c r="S642" s="65"/>
      <c r="T642" s="65"/>
      <c r="U642" s="65"/>
      <c r="V642" s="65"/>
      <c r="W642" s="65"/>
      <c r="X642" s="65"/>
      <c r="Y642" s="65"/>
      <c r="Z642" s="65"/>
      <c r="AA642" s="65"/>
      <c r="AB642" s="65"/>
      <c r="AC642" s="65"/>
      <c r="AD642" s="65"/>
      <c r="AE642" s="65"/>
      <c r="AF642" s="65"/>
      <c r="AG642" s="65"/>
      <c r="AH642" s="65"/>
      <c r="AI642" s="65"/>
      <c r="AJ642" s="65"/>
      <c r="AK642" s="65"/>
      <c r="AL642" s="65"/>
      <c r="AM642" s="65"/>
      <c r="AN642" s="65"/>
    </row>
    <row r="643" spans="10:40" ht="14.5" x14ac:dyDescent="0.35">
      <c r="J643" s="65"/>
      <c r="K643" s="65"/>
      <c r="L643" s="65"/>
      <c r="M643" s="65"/>
      <c r="N643" s="65"/>
      <c r="O643" s="65"/>
      <c r="P643" s="65"/>
      <c r="Q643" s="65"/>
      <c r="R643" s="65"/>
      <c r="S643" s="65"/>
      <c r="T643" s="65"/>
      <c r="U643" s="65"/>
      <c r="V643" s="65"/>
      <c r="W643" s="65"/>
      <c r="X643" s="65"/>
      <c r="Y643" s="65"/>
      <c r="Z643" s="65"/>
      <c r="AA643" s="65"/>
      <c r="AB643" s="65"/>
      <c r="AC643" s="65"/>
      <c r="AD643" s="65"/>
      <c r="AE643" s="65"/>
      <c r="AF643" s="65"/>
      <c r="AG643" s="65"/>
      <c r="AH643" s="65"/>
      <c r="AI643" s="65"/>
      <c r="AJ643" s="65"/>
      <c r="AK643" s="65"/>
      <c r="AL643" s="65"/>
      <c r="AM643" s="65"/>
      <c r="AN643" s="65"/>
    </row>
    <row r="644" spans="10:40" ht="14.5" x14ac:dyDescent="0.35">
      <c r="J644" s="65"/>
      <c r="K644" s="65"/>
      <c r="L644" s="65"/>
      <c r="M644" s="65"/>
      <c r="N644" s="65"/>
      <c r="O644" s="65"/>
      <c r="P644" s="65"/>
      <c r="Q644" s="65"/>
      <c r="R644" s="65"/>
      <c r="S644" s="65"/>
      <c r="T644" s="65"/>
      <c r="U644" s="65"/>
      <c r="V644" s="65"/>
      <c r="W644" s="65"/>
      <c r="X644" s="65"/>
      <c r="Y644" s="65"/>
      <c r="Z644" s="65"/>
      <c r="AA644" s="65"/>
      <c r="AB644" s="65"/>
      <c r="AC644" s="65"/>
      <c r="AD644" s="65"/>
      <c r="AE644" s="65"/>
      <c r="AF644" s="65"/>
      <c r="AG644" s="65"/>
      <c r="AH644" s="65"/>
      <c r="AI644" s="65"/>
      <c r="AJ644" s="65"/>
      <c r="AK644" s="65"/>
      <c r="AL644" s="65"/>
      <c r="AM644" s="65"/>
      <c r="AN644" s="65"/>
    </row>
    <row r="645" spans="10:40" ht="14.5" x14ac:dyDescent="0.35">
      <c r="J645" s="65"/>
      <c r="K645" s="65"/>
      <c r="L645" s="65"/>
      <c r="M645" s="65"/>
      <c r="N645" s="65"/>
      <c r="O645" s="65"/>
      <c r="P645" s="65"/>
      <c r="Q645" s="65"/>
      <c r="R645" s="65"/>
      <c r="S645" s="65"/>
      <c r="T645" s="65"/>
      <c r="U645" s="65"/>
      <c r="V645" s="65"/>
      <c r="W645" s="65"/>
      <c r="X645" s="65"/>
      <c r="Y645" s="65"/>
      <c r="Z645" s="65"/>
      <c r="AA645" s="65"/>
      <c r="AB645" s="65"/>
      <c r="AC645" s="65"/>
      <c r="AD645" s="65"/>
      <c r="AE645" s="65"/>
      <c r="AF645" s="65"/>
      <c r="AG645" s="65"/>
      <c r="AH645" s="65"/>
      <c r="AI645" s="65"/>
      <c r="AJ645" s="65"/>
      <c r="AK645" s="65"/>
      <c r="AL645" s="65"/>
      <c r="AM645" s="65"/>
      <c r="AN645" s="65"/>
    </row>
    <row r="646" spans="10:40" ht="14.5" x14ac:dyDescent="0.35">
      <c r="J646" s="65"/>
      <c r="K646" s="65"/>
      <c r="L646" s="65"/>
      <c r="M646" s="65"/>
      <c r="N646" s="65"/>
      <c r="O646" s="65"/>
      <c r="P646" s="65"/>
      <c r="Q646" s="65"/>
      <c r="R646" s="65"/>
      <c r="S646" s="65"/>
      <c r="T646" s="65"/>
      <c r="U646" s="65"/>
      <c r="V646" s="65"/>
      <c r="W646" s="65"/>
      <c r="X646" s="65"/>
      <c r="Y646" s="65"/>
      <c r="Z646" s="65"/>
      <c r="AA646" s="65"/>
      <c r="AB646" s="65"/>
      <c r="AC646" s="65"/>
      <c r="AD646" s="65"/>
      <c r="AE646" s="65"/>
      <c r="AF646" s="65"/>
      <c r="AG646" s="65"/>
      <c r="AH646" s="65"/>
      <c r="AI646" s="65"/>
      <c r="AJ646" s="65"/>
      <c r="AK646" s="65"/>
      <c r="AL646" s="65"/>
      <c r="AM646" s="65"/>
      <c r="AN646" s="65"/>
    </row>
    <row r="647" spans="10:40" ht="14.5" x14ac:dyDescent="0.35">
      <c r="J647" s="65"/>
      <c r="K647" s="65"/>
      <c r="L647" s="65"/>
      <c r="M647" s="65"/>
      <c r="N647" s="65"/>
      <c r="O647" s="65"/>
      <c r="P647" s="65"/>
      <c r="Q647" s="65"/>
      <c r="R647" s="65"/>
      <c r="S647" s="65"/>
      <c r="T647" s="65"/>
      <c r="U647" s="65"/>
      <c r="V647" s="65"/>
      <c r="W647" s="65"/>
      <c r="X647" s="65"/>
      <c r="Y647" s="65"/>
      <c r="Z647" s="65"/>
      <c r="AA647" s="65"/>
      <c r="AB647" s="65"/>
      <c r="AC647" s="65"/>
      <c r="AD647" s="65"/>
      <c r="AE647" s="65"/>
      <c r="AF647" s="65"/>
      <c r="AG647" s="65"/>
      <c r="AH647" s="65"/>
      <c r="AI647" s="65"/>
      <c r="AJ647" s="65"/>
      <c r="AK647" s="65"/>
      <c r="AL647" s="65"/>
      <c r="AM647" s="65"/>
      <c r="AN647" s="65"/>
    </row>
    <row r="648" spans="10:40" ht="14.5" x14ac:dyDescent="0.35">
      <c r="J648" s="65"/>
      <c r="K648" s="65"/>
      <c r="L648" s="65"/>
      <c r="M648" s="65"/>
      <c r="N648" s="65"/>
      <c r="O648" s="65"/>
      <c r="P648" s="65"/>
      <c r="Q648" s="65"/>
      <c r="R648" s="65"/>
      <c r="S648" s="65"/>
      <c r="T648" s="65"/>
      <c r="U648" s="65"/>
      <c r="V648" s="65"/>
      <c r="W648" s="65"/>
      <c r="X648" s="65"/>
      <c r="Y648" s="65"/>
      <c r="Z648" s="65"/>
      <c r="AA648" s="65"/>
      <c r="AB648" s="65"/>
      <c r="AC648" s="65"/>
      <c r="AD648" s="65"/>
      <c r="AE648" s="65"/>
      <c r="AF648" s="65"/>
      <c r="AG648" s="65"/>
      <c r="AH648" s="65"/>
      <c r="AI648" s="65"/>
      <c r="AJ648" s="65"/>
      <c r="AK648" s="65"/>
      <c r="AL648" s="65"/>
      <c r="AM648" s="65"/>
      <c r="AN648" s="65"/>
    </row>
    <row r="649" spans="10:40" ht="14.5" x14ac:dyDescent="0.35">
      <c r="J649" s="65"/>
      <c r="K649" s="65"/>
      <c r="L649" s="65"/>
      <c r="M649" s="65"/>
      <c r="N649" s="65"/>
      <c r="O649" s="65"/>
      <c r="P649" s="65"/>
      <c r="Q649" s="65"/>
      <c r="R649" s="65"/>
      <c r="S649" s="65"/>
      <c r="T649" s="65"/>
      <c r="U649" s="65"/>
      <c r="V649" s="65"/>
      <c r="W649" s="65"/>
      <c r="X649" s="65"/>
      <c r="Y649" s="65"/>
      <c r="Z649" s="65"/>
      <c r="AA649" s="65"/>
      <c r="AB649" s="65"/>
      <c r="AC649" s="65"/>
      <c r="AD649" s="65"/>
      <c r="AE649" s="65"/>
      <c r="AF649" s="65"/>
      <c r="AG649" s="65"/>
      <c r="AH649" s="65"/>
      <c r="AI649" s="65"/>
      <c r="AJ649" s="65"/>
      <c r="AK649" s="65"/>
      <c r="AL649" s="65"/>
      <c r="AM649" s="65"/>
      <c r="AN649" s="65"/>
    </row>
    <row r="650" spans="10:40" ht="14.5" x14ac:dyDescent="0.35">
      <c r="J650" s="65"/>
      <c r="K650" s="65"/>
      <c r="L650" s="65"/>
      <c r="M650" s="65"/>
      <c r="N650" s="65"/>
      <c r="O650" s="65"/>
      <c r="P650" s="65"/>
      <c r="Q650" s="65"/>
      <c r="R650" s="65"/>
      <c r="S650" s="65"/>
      <c r="T650" s="65"/>
      <c r="U650" s="65"/>
      <c r="V650" s="65"/>
      <c r="W650" s="65"/>
      <c r="X650" s="65"/>
      <c r="Y650" s="65"/>
      <c r="Z650" s="65"/>
      <c r="AA650" s="65"/>
      <c r="AB650" s="65"/>
      <c r="AC650" s="65"/>
      <c r="AD650" s="65"/>
      <c r="AE650" s="65"/>
      <c r="AF650" s="65"/>
      <c r="AG650" s="65"/>
      <c r="AH650" s="65"/>
      <c r="AI650" s="65"/>
      <c r="AJ650" s="65"/>
      <c r="AK650" s="65"/>
      <c r="AL650" s="65"/>
      <c r="AM650" s="65"/>
      <c r="AN650" s="65"/>
    </row>
    <row r="651" spans="10:40" ht="14.5" x14ac:dyDescent="0.35">
      <c r="J651" s="65"/>
      <c r="K651" s="65"/>
      <c r="L651" s="65"/>
      <c r="M651" s="65"/>
      <c r="N651" s="65"/>
      <c r="O651" s="65"/>
      <c r="P651" s="65"/>
      <c r="Q651" s="65"/>
      <c r="R651" s="65"/>
      <c r="S651" s="65"/>
      <c r="T651" s="65"/>
      <c r="U651" s="65"/>
      <c r="V651" s="65"/>
      <c r="W651" s="65"/>
      <c r="X651" s="65"/>
      <c r="Y651" s="65"/>
      <c r="Z651" s="65"/>
      <c r="AA651" s="65"/>
      <c r="AB651" s="65"/>
      <c r="AC651" s="65"/>
      <c r="AD651" s="65"/>
      <c r="AE651" s="65"/>
      <c r="AF651" s="65"/>
      <c r="AG651" s="65"/>
      <c r="AH651" s="65"/>
      <c r="AI651" s="65"/>
      <c r="AJ651" s="65"/>
      <c r="AK651" s="65"/>
      <c r="AL651" s="65"/>
      <c r="AM651" s="65"/>
      <c r="AN651" s="65"/>
    </row>
    <row r="652" spans="10:40" ht="14.5" x14ac:dyDescent="0.35">
      <c r="J652" s="65"/>
      <c r="K652" s="65"/>
      <c r="L652" s="65"/>
      <c r="M652" s="65"/>
      <c r="N652" s="65"/>
      <c r="O652" s="65"/>
      <c r="P652" s="65"/>
      <c r="Q652" s="65"/>
      <c r="R652" s="65"/>
      <c r="S652" s="65"/>
      <c r="T652" s="65"/>
      <c r="U652" s="65"/>
      <c r="V652" s="65"/>
      <c r="W652" s="65"/>
      <c r="X652" s="65"/>
      <c r="Y652" s="65"/>
      <c r="Z652" s="65"/>
      <c r="AA652" s="65"/>
      <c r="AB652" s="65"/>
      <c r="AC652" s="65"/>
      <c r="AD652" s="65"/>
      <c r="AE652" s="65"/>
      <c r="AF652" s="65"/>
      <c r="AG652" s="65"/>
      <c r="AH652" s="65"/>
      <c r="AI652" s="65"/>
      <c r="AJ652" s="65"/>
      <c r="AK652" s="65"/>
      <c r="AL652" s="65"/>
      <c r="AM652" s="65"/>
      <c r="AN652" s="65"/>
    </row>
    <row r="653" spans="10:40" ht="14.5" x14ac:dyDescent="0.35">
      <c r="J653" s="65"/>
      <c r="K653" s="65"/>
      <c r="L653" s="65"/>
      <c r="M653" s="65"/>
      <c r="N653" s="65"/>
      <c r="O653" s="65"/>
      <c r="P653" s="65"/>
      <c r="Q653" s="65"/>
      <c r="R653" s="65"/>
      <c r="S653" s="65"/>
      <c r="T653" s="65"/>
      <c r="U653" s="65"/>
      <c r="V653" s="65"/>
      <c r="W653" s="65"/>
      <c r="X653" s="65"/>
      <c r="Y653" s="65"/>
      <c r="Z653" s="65"/>
      <c r="AA653" s="65"/>
      <c r="AB653" s="65"/>
      <c r="AC653" s="65"/>
      <c r="AD653" s="65"/>
      <c r="AE653" s="65"/>
      <c r="AF653" s="65"/>
      <c r="AG653" s="65"/>
      <c r="AH653" s="65"/>
      <c r="AI653" s="65"/>
      <c r="AJ653" s="65"/>
      <c r="AK653" s="65"/>
      <c r="AL653" s="65"/>
      <c r="AM653" s="65"/>
      <c r="AN653" s="65"/>
    </row>
    <row r="654" spans="10:40" ht="14.5" x14ac:dyDescent="0.35">
      <c r="J654" s="65"/>
      <c r="K654" s="65"/>
      <c r="L654" s="65"/>
      <c r="M654" s="65"/>
      <c r="N654" s="65"/>
      <c r="O654" s="65"/>
      <c r="P654" s="65"/>
      <c r="Q654" s="65"/>
      <c r="R654" s="65"/>
      <c r="S654" s="65"/>
      <c r="T654" s="65"/>
      <c r="U654" s="65"/>
      <c r="V654" s="65"/>
      <c r="W654" s="65"/>
      <c r="X654" s="65"/>
      <c r="Y654" s="65"/>
      <c r="Z654" s="65"/>
      <c r="AA654" s="65"/>
      <c r="AB654" s="65"/>
      <c r="AC654" s="65"/>
      <c r="AD654" s="65"/>
      <c r="AE654" s="65"/>
      <c r="AF654" s="65"/>
      <c r="AG654" s="65"/>
      <c r="AH654" s="65"/>
      <c r="AI654" s="65"/>
      <c r="AJ654" s="65"/>
      <c r="AK654" s="65"/>
      <c r="AL654" s="65"/>
      <c r="AM654" s="65"/>
      <c r="AN654" s="65"/>
    </row>
    <row r="655" spans="10:40" ht="14.5" x14ac:dyDescent="0.35">
      <c r="J655" s="65"/>
      <c r="K655" s="65"/>
      <c r="L655" s="65"/>
      <c r="M655" s="65"/>
      <c r="N655" s="65"/>
      <c r="O655" s="65"/>
      <c r="P655" s="65"/>
      <c r="Q655" s="65"/>
      <c r="R655" s="65"/>
      <c r="S655" s="65"/>
      <c r="T655" s="65"/>
      <c r="U655" s="65"/>
      <c r="V655" s="65"/>
      <c r="W655" s="65"/>
      <c r="X655" s="65"/>
      <c r="Y655" s="65"/>
      <c r="Z655" s="65"/>
      <c r="AA655" s="65"/>
      <c r="AB655" s="65"/>
      <c r="AC655" s="65"/>
      <c r="AD655" s="65"/>
      <c r="AE655" s="65"/>
      <c r="AF655" s="65"/>
      <c r="AG655" s="65"/>
      <c r="AH655" s="65"/>
      <c r="AI655" s="65"/>
      <c r="AJ655" s="65"/>
      <c r="AK655" s="65"/>
      <c r="AL655" s="65"/>
      <c r="AM655" s="65"/>
      <c r="AN655" s="65"/>
    </row>
    <row r="656" spans="10:40" ht="14.5" x14ac:dyDescent="0.35">
      <c r="J656" s="65"/>
      <c r="K656" s="65"/>
      <c r="L656" s="65"/>
      <c r="M656" s="65"/>
      <c r="N656" s="65"/>
      <c r="O656" s="65"/>
      <c r="P656" s="65"/>
      <c r="Q656" s="65"/>
      <c r="R656" s="65"/>
      <c r="S656" s="65"/>
      <c r="T656" s="65"/>
      <c r="U656" s="65"/>
      <c r="V656" s="65"/>
      <c r="W656" s="65"/>
      <c r="X656" s="65"/>
      <c r="Y656" s="65"/>
      <c r="Z656" s="65"/>
      <c r="AA656" s="65"/>
      <c r="AB656" s="65"/>
      <c r="AC656" s="65"/>
      <c r="AD656" s="65"/>
      <c r="AE656" s="65"/>
      <c r="AF656" s="65"/>
      <c r="AG656" s="65"/>
      <c r="AH656" s="65"/>
      <c r="AI656" s="65"/>
      <c r="AJ656" s="65"/>
      <c r="AK656" s="65"/>
      <c r="AL656" s="65"/>
      <c r="AM656" s="65"/>
      <c r="AN656" s="65"/>
    </row>
    <row r="657" spans="10:40" ht="14.5" x14ac:dyDescent="0.35">
      <c r="J657" s="65"/>
      <c r="K657" s="65"/>
      <c r="L657" s="65"/>
      <c r="M657" s="65"/>
      <c r="N657" s="65"/>
      <c r="O657" s="65"/>
      <c r="P657" s="65"/>
      <c r="Q657" s="65"/>
      <c r="R657" s="65"/>
      <c r="S657" s="65"/>
      <c r="T657" s="65"/>
      <c r="U657" s="65"/>
      <c r="V657" s="65"/>
      <c r="W657" s="65"/>
      <c r="X657" s="65"/>
      <c r="Y657" s="65"/>
      <c r="Z657" s="65"/>
      <c r="AA657" s="65"/>
      <c r="AB657" s="65"/>
      <c r="AC657" s="65"/>
      <c r="AD657" s="65"/>
      <c r="AE657" s="65"/>
      <c r="AF657" s="65"/>
      <c r="AG657" s="65"/>
      <c r="AH657" s="65"/>
      <c r="AI657" s="65"/>
      <c r="AJ657" s="65"/>
      <c r="AK657" s="65"/>
      <c r="AL657" s="65"/>
      <c r="AM657" s="65"/>
      <c r="AN657" s="65"/>
    </row>
    <row r="658" spans="10:40" ht="14.5" x14ac:dyDescent="0.35">
      <c r="J658" s="65"/>
      <c r="K658" s="65"/>
      <c r="L658" s="65"/>
      <c r="M658" s="65"/>
      <c r="N658" s="65"/>
      <c r="O658" s="65"/>
      <c r="P658" s="65"/>
      <c r="Q658" s="65"/>
      <c r="R658" s="65"/>
      <c r="S658" s="65"/>
      <c r="T658" s="65"/>
      <c r="U658" s="65"/>
      <c r="V658" s="65"/>
      <c r="W658" s="65"/>
      <c r="X658" s="65"/>
      <c r="Y658" s="65"/>
      <c r="Z658" s="65"/>
      <c r="AA658" s="65"/>
      <c r="AB658" s="65"/>
      <c r="AC658" s="65"/>
      <c r="AD658" s="65"/>
      <c r="AE658" s="65"/>
      <c r="AF658" s="65"/>
      <c r="AG658" s="65"/>
      <c r="AH658" s="65"/>
      <c r="AI658" s="65"/>
      <c r="AJ658" s="65"/>
      <c r="AK658" s="65"/>
      <c r="AL658" s="65"/>
      <c r="AM658" s="65"/>
      <c r="AN658" s="65"/>
    </row>
    <row r="659" spans="10:40" ht="14.5" x14ac:dyDescent="0.35">
      <c r="J659" s="65"/>
      <c r="K659" s="65"/>
      <c r="L659" s="65"/>
      <c r="M659" s="65"/>
      <c r="N659" s="65"/>
      <c r="O659" s="65"/>
      <c r="P659" s="65"/>
      <c r="Q659" s="65"/>
      <c r="R659" s="65"/>
      <c r="S659" s="65"/>
      <c r="T659" s="65"/>
      <c r="U659" s="65"/>
      <c r="V659" s="65"/>
      <c r="W659" s="65"/>
      <c r="X659" s="65"/>
      <c r="Y659" s="65"/>
      <c r="Z659" s="65"/>
      <c r="AA659" s="65"/>
      <c r="AB659" s="65"/>
      <c r="AC659" s="65"/>
      <c r="AD659" s="65"/>
      <c r="AE659" s="65"/>
      <c r="AF659" s="65"/>
      <c r="AG659" s="65"/>
      <c r="AH659" s="65"/>
      <c r="AI659" s="65"/>
      <c r="AJ659" s="65"/>
      <c r="AK659" s="65"/>
      <c r="AL659" s="65"/>
      <c r="AM659" s="65"/>
      <c r="AN659" s="65"/>
    </row>
    <row r="660" spans="10:40" ht="14.5" x14ac:dyDescent="0.35">
      <c r="J660" s="65"/>
      <c r="K660" s="65"/>
      <c r="L660" s="65"/>
      <c r="M660" s="65"/>
      <c r="N660" s="65"/>
      <c r="O660" s="65"/>
      <c r="P660" s="65"/>
      <c r="Q660" s="65"/>
      <c r="R660" s="65"/>
      <c r="S660" s="65"/>
      <c r="T660" s="65"/>
      <c r="U660" s="65"/>
      <c r="V660" s="65"/>
      <c r="W660" s="65"/>
      <c r="X660" s="65"/>
      <c r="Y660" s="65"/>
      <c r="Z660" s="65"/>
      <c r="AA660" s="65"/>
      <c r="AB660" s="65"/>
      <c r="AC660" s="65"/>
      <c r="AD660" s="65"/>
      <c r="AE660" s="65"/>
      <c r="AF660" s="65"/>
      <c r="AG660" s="65"/>
      <c r="AH660" s="65"/>
      <c r="AI660" s="65"/>
      <c r="AJ660" s="65"/>
      <c r="AK660" s="65"/>
      <c r="AL660" s="65"/>
      <c r="AM660" s="65"/>
      <c r="AN660" s="65"/>
    </row>
    <row r="661" spans="10:40" ht="14.5" x14ac:dyDescent="0.35">
      <c r="J661" s="65"/>
      <c r="K661" s="65"/>
      <c r="L661" s="65"/>
      <c r="M661" s="65"/>
      <c r="N661" s="65"/>
      <c r="O661" s="65"/>
      <c r="P661" s="65"/>
      <c r="Q661" s="65"/>
      <c r="R661" s="65"/>
      <c r="S661" s="65"/>
      <c r="T661" s="65"/>
      <c r="U661" s="65"/>
      <c r="V661" s="65"/>
      <c r="W661" s="65"/>
      <c r="X661" s="65"/>
      <c r="Y661" s="65"/>
      <c r="Z661" s="65"/>
      <c r="AA661" s="65"/>
      <c r="AB661" s="65"/>
      <c r="AC661" s="65"/>
      <c r="AD661" s="65"/>
      <c r="AE661" s="65"/>
      <c r="AF661" s="65"/>
      <c r="AG661" s="65"/>
      <c r="AH661" s="65"/>
      <c r="AI661" s="65"/>
      <c r="AJ661" s="65"/>
      <c r="AK661" s="65"/>
      <c r="AL661" s="65"/>
      <c r="AM661" s="65"/>
      <c r="AN661" s="65"/>
    </row>
    <row r="662" spans="10:40" ht="14.5" x14ac:dyDescent="0.35">
      <c r="J662" s="65"/>
      <c r="K662" s="65"/>
      <c r="L662" s="65"/>
      <c r="M662" s="65"/>
      <c r="N662" s="65"/>
      <c r="O662" s="65"/>
      <c r="P662" s="65"/>
      <c r="Q662" s="65"/>
      <c r="R662" s="65"/>
      <c r="S662" s="65"/>
      <c r="T662" s="65"/>
      <c r="U662" s="65"/>
      <c r="V662" s="65"/>
      <c r="W662" s="65"/>
      <c r="X662" s="65"/>
      <c r="Y662" s="65"/>
      <c r="Z662" s="65"/>
      <c r="AA662" s="65"/>
      <c r="AB662" s="65"/>
      <c r="AC662" s="65"/>
      <c r="AD662" s="65"/>
      <c r="AE662" s="65"/>
      <c r="AF662" s="65"/>
      <c r="AG662" s="65"/>
      <c r="AH662" s="65"/>
      <c r="AI662" s="65"/>
      <c r="AJ662" s="65"/>
      <c r="AK662" s="65"/>
      <c r="AL662" s="65"/>
      <c r="AM662" s="65"/>
      <c r="AN662" s="65"/>
    </row>
    <row r="663" spans="10:40" ht="14.5" x14ac:dyDescent="0.35">
      <c r="J663" s="65"/>
      <c r="K663" s="65"/>
      <c r="L663" s="65"/>
      <c r="M663" s="65"/>
      <c r="N663" s="65"/>
      <c r="O663" s="65"/>
      <c r="P663" s="65"/>
      <c r="Q663" s="65"/>
      <c r="R663" s="65"/>
      <c r="S663" s="65"/>
      <c r="T663" s="65"/>
      <c r="U663" s="65"/>
      <c r="V663" s="65"/>
      <c r="W663" s="65"/>
      <c r="X663" s="65"/>
      <c r="Y663" s="65"/>
      <c r="Z663" s="65"/>
      <c r="AA663" s="65"/>
      <c r="AB663" s="65"/>
      <c r="AC663" s="65"/>
      <c r="AD663" s="65"/>
      <c r="AE663" s="65"/>
      <c r="AF663" s="65"/>
      <c r="AG663" s="65"/>
      <c r="AH663" s="65"/>
      <c r="AI663" s="65"/>
      <c r="AJ663" s="65"/>
      <c r="AK663" s="65"/>
      <c r="AL663" s="65"/>
      <c r="AM663" s="65"/>
      <c r="AN663" s="65"/>
    </row>
    <row r="664" spans="10:40" ht="14.5" x14ac:dyDescent="0.35">
      <c r="J664" s="65"/>
      <c r="K664" s="65"/>
      <c r="L664" s="65"/>
      <c r="M664" s="65"/>
      <c r="N664" s="65"/>
      <c r="O664" s="65"/>
      <c r="P664" s="65"/>
      <c r="Q664" s="65"/>
      <c r="R664" s="65"/>
      <c r="S664" s="65"/>
      <c r="T664" s="65"/>
      <c r="U664" s="65"/>
      <c r="V664" s="65"/>
      <c r="W664" s="65"/>
      <c r="X664" s="65"/>
      <c r="Y664" s="65"/>
      <c r="Z664" s="65"/>
      <c r="AA664" s="65"/>
      <c r="AB664" s="65"/>
      <c r="AC664" s="65"/>
      <c r="AD664" s="65"/>
      <c r="AE664" s="65"/>
      <c r="AF664" s="65"/>
      <c r="AG664" s="65"/>
      <c r="AH664" s="65"/>
      <c r="AI664" s="65"/>
      <c r="AJ664" s="65"/>
      <c r="AK664" s="65"/>
      <c r="AL664" s="65"/>
      <c r="AM664" s="65"/>
      <c r="AN664" s="65"/>
    </row>
    <row r="665" spans="10:40" ht="14.5" x14ac:dyDescent="0.35">
      <c r="J665" s="65"/>
      <c r="K665" s="65"/>
      <c r="L665" s="65"/>
      <c r="M665" s="65"/>
      <c r="N665" s="65"/>
      <c r="O665" s="65"/>
      <c r="P665" s="65"/>
      <c r="Q665" s="65"/>
      <c r="R665" s="65"/>
      <c r="S665" s="65"/>
      <c r="T665" s="65"/>
      <c r="U665" s="65"/>
      <c r="V665" s="65"/>
      <c r="W665" s="65"/>
      <c r="X665" s="65"/>
      <c r="Y665" s="65"/>
      <c r="Z665" s="65"/>
      <c r="AA665" s="65"/>
      <c r="AB665" s="65"/>
      <c r="AC665" s="65"/>
      <c r="AD665" s="65"/>
      <c r="AE665" s="65"/>
      <c r="AF665" s="65"/>
      <c r="AG665" s="65"/>
      <c r="AH665" s="65"/>
      <c r="AI665" s="65"/>
      <c r="AJ665" s="65"/>
      <c r="AK665" s="65"/>
      <c r="AL665" s="65"/>
      <c r="AM665" s="65"/>
      <c r="AN665" s="65"/>
    </row>
    <row r="666" spans="10:40" ht="14.5" x14ac:dyDescent="0.35">
      <c r="J666" s="65"/>
      <c r="K666" s="65"/>
      <c r="L666" s="65"/>
      <c r="M666" s="65"/>
      <c r="N666" s="65"/>
      <c r="O666" s="65"/>
      <c r="P666" s="65"/>
      <c r="Q666" s="65"/>
      <c r="R666" s="65"/>
      <c r="S666" s="65"/>
      <c r="T666" s="65"/>
      <c r="U666" s="65"/>
      <c r="V666" s="65"/>
      <c r="W666" s="65"/>
      <c r="X666" s="65"/>
      <c r="Y666" s="65"/>
      <c r="Z666" s="65"/>
      <c r="AA666" s="65"/>
      <c r="AB666" s="65"/>
      <c r="AC666" s="65"/>
      <c r="AD666" s="65"/>
      <c r="AE666" s="65"/>
      <c r="AF666" s="65"/>
      <c r="AG666" s="65"/>
      <c r="AH666" s="65"/>
      <c r="AI666" s="65"/>
      <c r="AJ666" s="65"/>
      <c r="AK666" s="65"/>
      <c r="AL666" s="65"/>
      <c r="AM666" s="65"/>
      <c r="AN666" s="65"/>
    </row>
    <row r="667" spans="10:40" ht="14.5" x14ac:dyDescent="0.35">
      <c r="J667" s="65"/>
      <c r="K667" s="65"/>
      <c r="L667" s="65"/>
      <c r="M667" s="65"/>
      <c r="N667" s="65"/>
      <c r="O667" s="65"/>
      <c r="P667" s="65"/>
      <c r="Q667" s="65"/>
      <c r="R667" s="65"/>
      <c r="S667" s="65"/>
      <c r="T667" s="65"/>
      <c r="U667" s="65"/>
      <c r="V667" s="65"/>
      <c r="W667" s="65"/>
      <c r="X667" s="65"/>
      <c r="Y667" s="65"/>
      <c r="Z667" s="65"/>
      <c r="AA667" s="65"/>
      <c r="AB667" s="65"/>
      <c r="AC667" s="65"/>
      <c r="AD667" s="65"/>
      <c r="AE667" s="65"/>
      <c r="AF667" s="65"/>
      <c r="AG667" s="65"/>
      <c r="AH667" s="65"/>
      <c r="AI667" s="65"/>
      <c r="AJ667" s="65"/>
      <c r="AK667" s="65"/>
      <c r="AL667" s="65"/>
      <c r="AM667" s="65"/>
      <c r="AN667" s="65"/>
    </row>
    <row r="668" spans="10:40" ht="14.5" x14ac:dyDescent="0.35">
      <c r="J668" s="65"/>
      <c r="K668" s="65"/>
      <c r="L668" s="65"/>
      <c r="M668" s="65"/>
      <c r="N668" s="65"/>
      <c r="O668" s="65"/>
      <c r="P668" s="65"/>
      <c r="Q668" s="65"/>
      <c r="R668" s="65"/>
      <c r="S668" s="65"/>
      <c r="T668" s="65"/>
      <c r="U668" s="65"/>
      <c r="V668" s="65"/>
      <c r="W668" s="65"/>
      <c r="X668" s="65"/>
      <c r="Y668" s="65"/>
      <c r="Z668" s="65"/>
      <c r="AA668" s="65"/>
      <c r="AB668" s="65"/>
      <c r="AC668" s="65"/>
      <c r="AD668" s="65"/>
      <c r="AE668" s="65"/>
      <c r="AF668" s="65"/>
      <c r="AG668" s="65"/>
      <c r="AH668" s="65"/>
      <c r="AI668" s="65"/>
      <c r="AJ668" s="65"/>
      <c r="AK668" s="65"/>
      <c r="AL668" s="65"/>
      <c r="AM668" s="65"/>
      <c r="AN668" s="65"/>
    </row>
    <row r="669" spans="10:40" ht="14.5" x14ac:dyDescent="0.35">
      <c r="J669" s="65"/>
      <c r="K669" s="65"/>
      <c r="L669" s="65"/>
      <c r="M669" s="65"/>
      <c r="N669" s="65"/>
      <c r="O669" s="65"/>
      <c r="P669" s="65"/>
      <c r="Q669" s="65"/>
      <c r="R669" s="65"/>
      <c r="S669" s="65"/>
      <c r="T669" s="65"/>
      <c r="U669" s="65"/>
      <c r="V669" s="65"/>
      <c r="W669" s="65"/>
      <c r="X669" s="65"/>
      <c r="Y669" s="65"/>
      <c r="Z669" s="65"/>
      <c r="AA669" s="65"/>
      <c r="AB669" s="65"/>
      <c r="AC669" s="65"/>
      <c r="AD669" s="65"/>
      <c r="AE669" s="65"/>
      <c r="AF669" s="65"/>
      <c r="AG669" s="65"/>
      <c r="AH669" s="65"/>
      <c r="AI669" s="65"/>
      <c r="AJ669" s="65"/>
      <c r="AK669" s="65"/>
      <c r="AL669" s="65"/>
      <c r="AM669" s="65"/>
      <c r="AN669" s="65"/>
    </row>
    <row r="670" spans="10:40" ht="14.5" x14ac:dyDescent="0.35">
      <c r="J670" s="65"/>
      <c r="K670" s="65"/>
      <c r="L670" s="65"/>
      <c r="M670" s="65"/>
      <c r="N670" s="65"/>
      <c r="O670" s="65"/>
      <c r="P670" s="65"/>
      <c r="Q670" s="65"/>
      <c r="R670" s="65"/>
      <c r="S670" s="65"/>
      <c r="T670" s="65"/>
      <c r="U670" s="65"/>
      <c r="V670" s="65"/>
      <c r="W670" s="65"/>
      <c r="X670" s="65"/>
      <c r="Y670" s="65"/>
      <c r="Z670" s="65"/>
      <c r="AA670" s="65"/>
      <c r="AB670" s="65"/>
      <c r="AC670" s="65"/>
      <c r="AD670" s="65"/>
      <c r="AE670" s="65"/>
      <c r="AF670" s="65"/>
      <c r="AG670" s="65"/>
      <c r="AH670" s="65"/>
      <c r="AI670" s="65"/>
      <c r="AJ670" s="65"/>
      <c r="AK670" s="65"/>
      <c r="AL670" s="65"/>
      <c r="AM670" s="65"/>
      <c r="AN670" s="65"/>
    </row>
    <row r="671" spans="10:40" ht="14.5" x14ac:dyDescent="0.35">
      <c r="J671" s="65"/>
      <c r="K671" s="65"/>
      <c r="L671" s="65"/>
      <c r="M671" s="65"/>
      <c r="N671" s="65"/>
      <c r="O671" s="65"/>
      <c r="P671" s="65"/>
      <c r="Q671" s="65"/>
      <c r="R671" s="65"/>
      <c r="S671" s="65"/>
      <c r="T671" s="65"/>
      <c r="U671" s="65"/>
      <c r="V671" s="65"/>
      <c r="W671" s="65"/>
      <c r="X671" s="65"/>
      <c r="Y671" s="65"/>
      <c r="Z671" s="65"/>
      <c r="AA671" s="65"/>
      <c r="AB671" s="65"/>
      <c r="AC671" s="65"/>
      <c r="AD671" s="65"/>
      <c r="AE671" s="65"/>
      <c r="AF671" s="65"/>
      <c r="AG671" s="65"/>
      <c r="AH671" s="65"/>
      <c r="AI671" s="65"/>
      <c r="AJ671" s="65"/>
      <c r="AK671" s="65"/>
      <c r="AL671" s="65"/>
      <c r="AM671" s="65"/>
      <c r="AN671" s="65"/>
    </row>
    <row r="672" spans="10:40" ht="14.5" x14ac:dyDescent="0.35">
      <c r="J672" s="65"/>
      <c r="K672" s="65"/>
      <c r="L672" s="65"/>
      <c r="M672" s="65"/>
      <c r="N672" s="65"/>
      <c r="O672" s="65"/>
      <c r="P672" s="65"/>
      <c r="Q672" s="65"/>
      <c r="R672" s="65"/>
      <c r="S672" s="65"/>
      <c r="T672" s="65"/>
      <c r="U672" s="65"/>
      <c r="V672" s="65"/>
      <c r="W672" s="65"/>
      <c r="X672" s="65"/>
      <c r="Y672" s="65"/>
      <c r="Z672" s="65"/>
      <c r="AA672" s="65"/>
      <c r="AB672" s="65"/>
      <c r="AC672" s="65"/>
      <c r="AD672" s="65"/>
      <c r="AE672" s="65"/>
      <c r="AF672" s="65"/>
      <c r="AG672" s="65"/>
      <c r="AH672" s="65"/>
      <c r="AI672" s="65"/>
      <c r="AJ672" s="65"/>
      <c r="AK672" s="65"/>
      <c r="AL672" s="65"/>
      <c r="AM672" s="65"/>
      <c r="AN672" s="65"/>
    </row>
    <row r="673" spans="10:40" ht="14.5" x14ac:dyDescent="0.35">
      <c r="J673" s="65"/>
      <c r="K673" s="65"/>
      <c r="L673" s="65"/>
      <c r="M673" s="65"/>
      <c r="N673" s="65"/>
      <c r="O673" s="65"/>
      <c r="P673" s="65"/>
      <c r="Q673" s="65"/>
      <c r="R673" s="65"/>
      <c r="S673" s="65"/>
      <c r="T673" s="65"/>
      <c r="U673" s="65"/>
      <c r="V673" s="65"/>
      <c r="W673" s="65"/>
      <c r="X673" s="65"/>
      <c r="Y673" s="65"/>
      <c r="Z673" s="65"/>
      <c r="AA673" s="65"/>
      <c r="AB673" s="65"/>
      <c r="AC673" s="65"/>
      <c r="AD673" s="65"/>
      <c r="AE673" s="65"/>
      <c r="AF673" s="65"/>
      <c r="AG673" s="65"/>
      <c r="AH673" s="65"/>
      <c r="AI673" s="65"/>
      <c r="AJ673" s="65"/>
      <c r="AK673" s="65"/>
      <c r="AL673" s="65"/>
      <c r="AM673" s="65"/>
      <c r="AN673" s="65"/>
    </row>
    <row r="674" spans="10:40" ht="14.5" x14ac:dyDescent="0.35">
      <c r="J674" s="65"/>
      <c r="K674" s="65"/>
      <c r="L674" s="65"/>
      <c r="M674" s="65"/>
      <c r="N674" s="65"/>
      <c r="O674" s="65"/>
      <c r="P674" s="65"/>
      <c r="Q674" s="65"/>
      <c r="R674" s="65"/>
      <c r="S674" s="65"/>
      <c r="T674" s="65"/>
      <c r="U674" s="65"/>
      <c r="V674" s="65"/>
      <c r="W674" s="65"/>
      <c r="X674" s="65"/>
      <c r="Y674" s="65"/>
      <c r="Z674" s="65"/>
      <c r="AA674" s="65"/>
      <c r="AB674" s="65"/>
      <c r="AC674" s="65"/>
      <c r="AD674" s="65"/>
      <c r="AE674" s="65"/>
      <c r="AF674" s="65"/>
      <c r="AG674" s="65"/>
      <c r="AH674" s="65"/>
      <c r="AI674" s="65"/>
      <c r="AJ674" s="65"/>
      <c r="AK674" s="65"/>
      <c r="AL674" s="65"/>
      <c r="AM674" s="65"/>
      <c r="AN674" s="65"/>
    </row>
    <row r="675" spans="10:40" ht="14.5" x14ac:dyDescent="0.35">
      <c r="J675" s="65"/>
      <c r="K675" s="65"/>
      <c r="L675" s="65"/>
      <c r="M675" s="65"/>
      <c r="N675" s="65"/>
      <c r="O675" s="65"/>
      <c r="P675" s="65"/>
      <c r="Q675" s="65"/>
      <c r="R675" s="65"/>
      <c r="S675" s="65"/>
      <c r="T675" s="65"/>
      <c r="U675" s="65"/>
      <c r="V675" s="65"/>
      <c r="W675" s="65"/>
      <c r="X675" s="65"/>
      <c r="Y675" s="65"/>
      <c r="Z675" s="65"/>
      <c r="AA675" s="65"/>
      <c r="AB675" s="65"/>
      <c r="AC675" s="65"/>
      <c r="AD675" s="65"/>
      <c r="AE675" s="65"/>
      <c r="AF675" s="65"/>
      <c r="AG675" s="65"/>
      <c r="AH675" s="65"/>
      <c r="AI675" s="65"/>
      <c r="AJ675" s="65"/>
      <c r="AK675" s="65"/>
      <c r="AL675" s="65"/>
      <c r="AM675" s="65"/>
      <c r="AN675" s="65"/>
    </row>
    <row r="676" spans="10:40" ht="14.5" x14ac:dyDescent="0.35">
      <c r="J676" s="65"/>
      <c r="K676" s="65"/>
      <c r="L676" s="65"/>
      <c r="M676" s="65"/>
      <c r="N676" s="65"/>
      <c r="O676" s="65"/>
      <c r="P676" s="65"/>
      <c r="Q676" s="65"/>
      <c r="R676" s="65"/>
      <c r="S676" s="65"/>
      <c r="T676" s="65"/>
      <c r="U676" s="65"/>
      <c r="V676" s="65"/>
      <c r="W676" s="65"/>
      <c r="X676" s="65"/>
      <c r="Y676" s="65"/>
      <c r="Z676" s="65"/>
      <c r="AA676" s="65"/>
      <c r="AB676" s="65"/>
      <c r="AC676" s="65"/>
      <c r="AD676" s="65"/>
      <c r="AE676" s="65"/>
      <c r="AF676" s="65"/>
      <c r="AG676" s="65"/>
      <c r="AH676" s="65"/>
      <c r="AI676" s="65"/>
      <c r="AJ676" s="65"/>
      <c r="AK676" s="65"/>
      <c r="AL676" s="65"/>
      <c r="AM676" s="65"/>
      <c r="AN676" s="65"/>
    </row>
    <row r="677" spans="10:40" ht="14.5" x14ac:dyDescent="0.35">
      <c r="J677" s="65"/>
      <c r="K677" s="65"/>
      <c r="L677" s="65"/>
      <c r="M677" s="65"/>
      <c r="N677" s="65"/>
      <c r="O677" s="65"/>
      <c r="P677" s="65"/>
      <c r="Q677" s="65"/>
      <c r="R677" s="65"/>
      <c r="S677" s="65"/>
      <c r="T677" s="65"/>
      <c r="U677" s="65"/>
      <c r="V677" s="65"/>
      <c r="W677" s="65"/>
      <c r="X677" s="65"/>
      <c r="Y677" s="65"/>
      <c r="Z677" s="65"/>
      <c r="AA677" s="65"/>
      <c r="AB677" s="65"/>
      <c r="AC677" s="65"/>
      <c r="AD677" s="65"/>
      <c r="AE677" s="65"/>
      <c r="AF677" s="65"/>
      <c r="AG677" s="65"/>
      <c r="AH677" s="65"/>
      <c r="AI677" s="65"/>
      <c r="AJ677" s="65"/>
      <c r="AK677" s="65"/>
      <c r="AL677" s="65"/>
      <c r="AM677" s="65"/>
      <c r="AN677" s="65"/>
    </row>
    <row r="678" spans="10:40" ht="14.5" x14ac:dyDescent="0.35">
      <c r="J678" s="65"/>
      <c r="K678" s="65"/>
      <c r="L678" s="65"/>
      <c r="M678" s="65"/>
      <c r="N678" s="65"/>
      <c r="O678" s="65"/>
      <c r="P678" s="65"/>
      <c r="Q678" s="65"/>
      <c r="R678" s="65"/>
      <c r="S678" s="65"/>
      <c r="T678" s="65"/>
      <c r="U678" s="65"/>
      <c r="V678" s="65"/>
      <c r="W678" s="65"/>
      <c r="X678" s="65"/>
      <c r="Y678" s="65"/>
      <c r="Z678" s="65"/>
      <c r="AA678" s="65"/>
      <c r="AB678" s="65"/>
      <c r="AC678" s="65"/>
      <c r="AD678" s="65"/>
      <c r="AE678" s="65"/>
      <c r="AF678" s="65"/>
      <c r="AG678" s="65"/>
      <c r="AH678" s="65"/>
      <c r="AI678" s="65"/>
      <c r="AJ678" s="65"/>
      <c r="AK678" s="65"/>
      <c r="AL678" s="65"/>
      <c r="AM678" s="65"/>
      <c r="AN678" s="65"/>
    </row>
    <row r="679" spans="10:40" ht="14.5" x14ac:dyDescent="0.35">
      <c r="J679" s="65"/>
      <c r="K679" s="65"/>
      <c r="L679" s="65"/>
      <c r="M679" s="65"/>
      <c r="N679" s="65"/>
      <c r="O679" s="65"/>
      <c r="P679" s="65"/>
      <c r="Q679" s="65"/>
      <c r="R679" s="65"/>
      <c r="S679" s="65"/>
      <c r="T679" s="65"/>
      <c r="U679" s="65"/>
      <c r="V679" s="65"/>
      <c r="W679" s="65"/>
      <c r="X679" s="65"/>
      <c r="Y679" s="65"/>
      <c r="Z679" s="65"/>
      <c r="AA679" s="65"/>
      <c r="AB679" s="65"/>
      <c r="AC679" s="65"/>
      <c r="AD679" s="65"/>
      <c r="AE679" s="65"/>
      <c r="AF679" s="65"/>
      <c r="AG679" s="65"/>
      <c r="AH679" s="65"/>
      <c r="AI679" s="65"/>
      <c r="AJ679" s="65"/>
      <c r="AK679" s="65"/>
      <c r="AL679" s="65"/>
      <c r="AM679" s="65"/>
      <c r="AN679" s="65"/>
    </row>
    <row r="680" spans="10:40" ht="14.5" x14ac:dyDescent="0.35">
      <c r="J680" s="65"/>
      <c r="K680" s="65"/>
      <c r="L680" s="65"/>
      <c r="M680" s="65"/>
      <c r="N680" s="65"/>
      <c r="O680" s="65"/>
      <c r="P680" s="65"/>
      <c r="Q680" s="65"/>
      <c r="R680" s="65"/>
      <c r="S680" s="65"/>
      <c r="T680" s="65"/>
      <c r="U680" s="65"/>
      <c r="V680" s="65"/>
      <c r="W680" s="65"/>
      <c r="X680" s="65"/>
      <c r="Y680" s="65"/>
      <c r="Z680" s="65"/>
      <c r="AA680" s="65"/>
      <c r="AB680" s="65"/>
      <c r="AC680" s="65"/>
      <c r="AD680" s="65"/>
      <c r="AE680" s="65"/>
      <c r="AF680" s="65"/>
      <c r="AG680" s="65"/>
      <c r="AH680" s="65"/>
      <c r="AI680" s="65"/>
      <c r="AJ680" s="65"/>
      <c r="AK680" s="65"/>
      <c r="AL680" s="65"/>
      <c r="AM680" s="65"/>
      <c r="AN680" s="65"/>
    </row>
    <row r="681" spans="10:40" ht="14.5" x14ac:dyDescent="0.35">
      <c r="J681" s="65"/>
      <c r="K681" s="65"/>
      <c r="L681" s="65"/>
      <c r="M681" s="65"/>
      <c r="N681" s="65"/>
      <c r="O681" s="65"/>
      <c r="P681" s="65"/>
      <c r="Q681" s="65"/>
      <c r="R681" s="65"/>
      <c r="S681" s="65"/>
      <c r="T681" s="65"/>
      <c r="U681" s="65"/>
      <c r="V681" s="65"/>
      <c r="W681" s="65"/>
      <c r="X681" s="65"/>
      <c r="Y681" s="65"/>
      <c r="Z681" s="65"/>
      <c r="AA681" s="65"/>
      <c r="AB681" s="65"/>
      <c r="AC681" s="65"/>
      <c r="AD681" s="65"/>
      <c r="AE681" s="65"/>
      <c r="AF681" s="65"/>
      <c r="AG681" s="65"/>
      <c r="AH681" s="65"/>
      <c r="AI681" s="65"/>
      <c r="AJ681" s="65"/>
      <c r="AK681" s="65"/>
      <c r="AL681" s="65"/>
      <c r="AM681" s="65"/>
      <c r="AN681" s="65"/>
    </row>
    <row r="682" spans="10:40" ht="14.5" x14ac:dyDescent="0.35">
      <c r="J682" s="65"/>
      <c r="K682" s="65"/>
      <c r="L682" s="65"/>
      <c r="M682" s="65"/>
      <c r="N682" s="65"/>
      <c r="O682" s="65"/>
      <c r="P682" s="65"/>
      <c r="Q682" s="65"/>
      <c r="R682" s="65"/>
      <c r="S682" s="65"/>
      <c r="T682" s="65"/>
      <c r="U682" s="65"/>
      <c r="V682" s="65"/>
      <c r="W682" s="65"/>
      <c r="X682" s="65"/>
      <c r="Y682" s="65"/>
      <c r="Z682" s="65"/>
      <c r="AA682" s="65"/>
      <c r="AB682" s="65"/>
      <c r="AC682" s="65"/>
      <c r="AD682" s="65"/>
      <c r="AE682" s="65"/>
      <c r="AF682" s="65"/>
      <c r="AG682" s="65"/>
      <c r="AH682" s="65"/>
      <c r="AI682" s="65"/>
      <c r="AJ682" s="65"/>
      <c r="AK682" s="65"/>
      <c r="AL682" s="65"/>
      <c r="AM682" s="65"/>
      <c r="AN682" s="65"/>
    </row>
    <row r="683" spans="10:40" ht="14.5" x14ac:dyDescent="0.35">
      <c r="J683" s="65"/>
      <c r="K683" s="65"/>
      <c r="L683" s="65"/>
      <c r="M683" s="65"/>
      <c r="N683" s="65"/>
      <c r="O683" s="65"/>
      <c r="P683" s="65"/>
      <c r="Q683" s="65"/>
      <c r="R683" s="65"/>
      <c r="S683" s="65"/>
      <c r="T683" s="65"/>
      <c r="U683" s="65"/>
      <c r="V683" s="65"/>
      <c r="W683" s="65"/>
      <c r="X683" s="65"/>
      <c r="Y683" s="65"/>
      <c r="Z683" s="65"/>
      <c r="AA683" s="65"/>
      <c r="AB683" s="65"/>
      <c r="AC683" s="65"/>
      <c r="AD683" s="65"/>
      <c r="AE683" s="65"/>
      <c r="AF683" s="65"/>
      <c r="AG683" s="65"/>
      <c r="AH683" s="65"/>
      <c r="AI683" s="65"/>
      <c r="AJ683" s="65"/>
      <c r="AK683" s="65"/>
      <c r="AL683" s="65"/>
      <c r="AM683" s="65"/>
      <c r="AN683" s="65"/>
    </row>
    <row r="684" spans="10:40" ht="14.5" x14ac:dyDescent="0.35">
      <c r="J684" s="65"/>
      <c r="K684" s="65"/>
      <c r="L684" s="65"/>
      <c r="M684" s="65"/>
      <c r="N684" s="65"/>
      <c r="O684" s="65"/>
      <c r="P684" s="65"/>
      <c r="Q684" s="65"/>
      <c r="R684" s="65"/>
      <c r="S684" s="65"/>
      <c r="T684" s="65"/>
      <c r="U684" s="65"/>
      <c r="V684" s="65"/>
      <c r="W684" s="65"/>
      <c r="X684" s="65"/>
      <c r="Y684" s="65"/>
      <c r="Z684" s="65"/>
      <c r="AA684" s="65"/>
      <c r="AB684" s="65"/>
      <c r="AC684" s="65"/>
      <c r="AD684" s="65"/>
      <c r="AE684" s="65"/>
      <c r="AF684" s="65"/>
      <c r="AG684" s="65"/>
      <c r="AH684" s="65"/>
      <c r="AI684" s="65"/>
      <c r="AJ684" s="65"/>
      <c r="AK684" s="65"/>
      <c r="AL684" s="65"/>
      <c r="AM684" s="65"/>
      <c r="AN684" s="65"/>
    </row>
    <row r="685" spans="10:40" ht="14.5" x14ac:dyDescent="0.35">
      <c r="J685" s="65"/>
      <c r="K685" s="65"/>
      <c r="L685" s="65"/>
      <c r="M685" s="65"/>
      <c r="N685" s="65"/>
      <c r="O685" s="65"/>
      <c r="P685" s="65"/>
      <c r="Q685" s="65"/>
      <c r="R685" s="65"/>
      <c r="S685" s="65"/>
      <c r="T685" s="65"/>
      <c r="U685" s="65"/>
      <c r="V685" s="65"/>
      <c r="W685" s="65"/>
      <c r="X685" s="65"/>
      <c r="Y685" s="65"/>
      <c r="Z685" s="65"/>
      <c r="AA685" s="65"/>
      <c r="AB685" s="65"/>
      <c r="AC685" s="65"/>
      <c r="AD685" s="65"/>
      <c r="AE685" s="65"/>
      <c r="AF685" s="65"/>
      <c r="AG685" s="65"/>
      <c r="AH685" s="65"/>
      <c r="AI685" s="65"/>
      <c r="AJ685" s="65"/>
      <c r="AK685" s="65"/>
      <c r="AL685" s="65"/>
      <c r="AM685" s="65"/>
      <c r="AN685" s="65"/>
    </row>
    <row r="686" spans="10:40" ht="14.5" x14ac:dyDescent="0.35">
      <c r="J686" s="65"/>
      <c r="K686" s="65"/>
      <c r="L686" s="65"/>
      <c r="M686" s="65"/>
      <c r="N686" s="65"/>
      <c r="O686" s="65"/>
      <c r="P686" s="65"/>
      <c r="Q686" s="65"/>
      <c r="R686" s="65"/>
      <c r="S686" s="65"/>
      <c r="T686" s="65"/>
      <c r="U686" s="65"/>
      <c r="V686" s="65"/>
      <c r="W686" s="65"/>
      <c r="X686" s="65"/>
      <c r="Y686" s="65"/>
      <c r="Z686" s="65"/>
      <c r="AA686" s="65"/>
      <c r="AB686" s="65"/>
      <c r="AC686" s="65"/>
      <c r="AD686" s="65"/>
      <c r="AE686" s="65"/>
      <c r="AF686" s="65"/>
      <c r="AG686" s="65"/>
      <c r="AH686" s="65"/>
      <c r="AI686" s="65"/>
      <c r="AJ686" s="65"/>
      <c r="AK686" s="65"/>
      <c r="AL686" s="65"/>
      <c r="AM686" s="65"/>
      <c r="AN686" s="65"/>
    </row>
    <row r="687" spans="10:40" ht="14.5" x14ac:dyDescent="0.35">
      <c r="J687" s="65"/>
      <c r="K687" s="65"/>
      <c r="L687" s="65"/>
      <c r="M687" s="65"/>
      <c r="N687" s="65"/>
      <c r="O687" s="65"/>
      <c r="P687" s="65"/>
      <c r="Q687" s="65"/>
      <c r="R687" s="65"/>
      <c r="S687" s="65"/>
      <c r="T687" s="65"/>
      <c r="U687" s="65"/>
      <c r="V687" s="65"/>
      <c r="W687" s="65"/>
      <c r="X687" s="65"/>
      <c r="Y687" s="65"/>
      <c r="Z687" s="65"/>
      <c r="AA687" s="65"/>
      <c r="AB687" s="65"/>
      <c r="AC687" s="65"/>
      <c r="AD687" s="65"/>
      <c r="AE687" s="65"/>
      <c r="AF687" s="65"/>
      <c r="AG687" s="65"/>
      <c r="AH687" s="65"/>
      <c r="AI687" s="65"/>
      <c r="AJ687" s="65"/>
      <c r="AK687" s="65"/>
      <c r="AL687" s="65"/>
      <c r="AM687" s="65"/>
      <c r="AN687" s="65"/>
    </row>
    <row r="688" spans="10:40" ht="14.5" x14ac:dyDescent="0.35">
      <c r="J688" s="65"/>
      <c r="K688" s="65"/>
      <c r="L688" s="65"/>
      <c r="M688" s="65"/>
      <c r="N688" s="65"/>
      <c r="O688" s="65"/>
      <c r="P688" s="65"/>
      <c r="Q688" s="65"/>
      <c r="R688" s="65"/>
      <c r="S688" s="65"/>
      <c r="T688" s="65"/>
      <c r="U688" s="65"/>
      <c r="V688" s="65"/>
      <c r="W688" s="65"/>
      <c r="X688" s="65"/>
      <c r="Y688" s="65"/>
      <c r="Z688" s="65"/>
      <c r="AA688" s="65"/>
      <c r="AB688" s="65"/>
      <c r="AC688" s="65"/>
      <c r="AD688" s="65"/>
      <c r="AE688" s="65"/>
      <c r="AF688" s="65"/>
      <c r="AG688" s="65"/>
      <c r="AH688" s="65"/>
      <c r="AI688" s="65"/>
      <c r="AJ688" s="65"/>
      <c r="AK688" s="65"/>
      <c r="AL688" s="65"/>
      <c r="AM688" s="65"/>
      <c r="AN688" s="65"/>
    </row>
    <row r="689" spans="10:40" ht="14.5" x14ac:dyDescent="0.35">
      <c r="J689" s="65"/>
      <c r="K689" s="65"/>
      <c r="L689" s="65"/>
      <c r="M689" s="65"/>
      <c r="N689" s="65"/>
      <c r="O689" s="65"/>
      <c r="P689" s="65"/>
      <c r="Q689" s="65"/>
      <c r="R689" s="65"/>
      <c r="S689" s="65"/>
      <c r="T689" s="65"/>
      <c r="U689" s="65"/>
      <c r="V689" s="65"/>
      <c r="W689" s="65"/>
      <c r="X689" s="65"/>
      <c r="Y689" s="65"/>
      <c r="Z689" s="65"/>
      <c r="AA689" s="65"/>
      <c r="AB689" s="65"/>
      <c r="AC689" s="65"/>
      <c r="AD689" s="65"/>
      <c r="AE689" s="65"/>
      <c r="AF689" s="65"/>
      <c r="AG689" s="65"/>
      <c r="AH689" s="65"/>
      <c r="AI689" s="65"/>
      <c r="AJ689" s="65"/>
      <c r="AK689" s="65"/>
      <c r="AL689" s="65"/>
      <c r="AM689" s="65"/>
      <c r="AN689" s="65"/>
    </row>
    <row r="690" spans="10:40" ht="14.5" x14ac:dyDescent="0.35">
      <c r="J690" s="65"/>
      <c r="K690" s="65"/>
      <c r="L690" s="65"/>
      <c r="M690" s="65"/>
      <c r="N690" s="65"/>
      <c r="O690" s="65"/>
      <c r="P690" s="65"/>
      <c r="Q690" s="65"/>
      <c r="R690" s="65"/>
      <c r="S690" s="65"/>
      <c r="T690" s="65"/>
      <c r="U690" s="65"/>
      <c r="V690" s="65"/>
      <c r="W690" s="65"/>
      <c r="X690" s="65"/>
      <c r="Y690" s="65"/>
      <c r="Z690" s="65"/>
      <c r="AA690" s="65"/>
      <c r="AB690" s="65"/>
      <c r="AC690" s="65"/>
      <c r="AD690" s="65"/>
      <c r="AE690" s="65"/>
      <c r="AF690" s="65"/>
      <c r="AG690" s="65"/>
      <c r="AH690" s="65"/>
      <c r="AI690" s="65"/>
      <c r="AJ690" s="65"/>
      <c r="AK690" s="65"/>
      <c r="AL690" s="65"/>
      <c r="AM690" s="65"/>
      <c r="AN690" s="65"/>
    </row>
    <row r="691" spans="10:40" ht="14.5" x14ac:dyDescent="0.35">
      <c r="J691" s="65"/>
      <c r="K691" s="65"/>
      <c r="L691" s="65"/>
      <c r="M691" s="65"/>
      <c r="N691" s="65"/>
      <c r="O691" s="65"/>
      <c r="P691" s="65"/>
      <c r="Q691" s="65"/>
      <c r="R691" s="65"/>
      <c r="S691" s="65"/>
      <c r="T691" s="65"/>
      <c r="U691" s="65"/>
      <c r="V691" s="65"/>
      <c r="W691" s="65"/>
      <c r="X691" s="65"/>
      <c r="Y691" s="65"/>
      <c r="Z691" s="65"/>
      <c r="AA691" s="65"/>
      <c r="AB691" s="65"/>
      <c r="AC691" s="65"/>
      <c r="AD691" s="65"/>
      <c r="AE691" s="65"/>
      <c r="AF691" s="65"/>
      <c r="AG691" s="65"/>
      <c r="AH691" s="65"/>
      <c r="AI691" s="65"/>
      <c r="AJ691" s="65"/>
      <c r="AK691" s="65"/>
      <c r="AL691" s="65"/>
      <c r="AM691" s="65"/>
      <c r="AN691" s="65"/>
    </row>
    <row r="692" spans="10:40" ht="14.5" x14ac:dyDescent="0.35">
      <c r="J692" s="65"/>
      <c r="K692" s="65"/>
      <c r="L692" s="65"/>
      <c r="M692" s="65"/>
      <c r="N692" s="65"/>
      <c r="O692" s="65"/>
      <c r="P692" s="65"/>
      <c r="Q692" s="65"/>
      <c r="R692" s="65"/>
      <c r="S692" s="65"/>
      <c r="T692" s="65"/>
      <c r="U692" s="65"/>
      <c r="V692" s="65"/>
      <c r="W692" s="65"/>
      <c r="X692" s="65"/>
      <c r="Y692" s="65"/>
      <c r="Z692" s="65"/>
      <c r="AA692" s="65"/>
      <c r="AB692" s="65"/>
      <c r="AC692" s="65"/>
      <c r="AD692" s="65"/>
      <c r="AE692" s="65"/>
      <c r="AF692" s="65"/>
      <c r="AG692" s="65"/>
      <c r="AH692" s="65"/>
      <c r="AI692" s="65"/>
      <c r="AJ692" s="65"/>
      <c r="AK692" s="65"/>
      <c r="AL692" s="65"/>
      <c r="AM692" s="65"/>
      <c r="AN692" s="65"/>
    </row>
    <row r="693" spans="10:40" ht="14.5" x14ac:dyDescent="0.35">
      <c r="J693" s="65"/>
      <c r="K693" s="65"/>
      <c r="L693" s="65"/>
      <c r="M693" s="65"/>
      <c r="N693" s="65"/>
      <c r="O693" s="65"/>
      <c r="P693" s="65"/>
      <c r="Q693" s="65"/>
      <c r="R693" s="65"/>
      <c r="S693" s="65"/>
      <c r="T693" s="65"/>
      <c r="U693" s="65"/>
      <c r="V693" s="65"/>
      <c r="W693" s="65"/>
      <c r="X693" s="65"/>
      <c r="Y693" s="65"/>
      <c r="Z693" s="65"/>
      <c r="AA693" s="65"/>
      <c r="AB693" s="65"/>
      <c r="AC693" s="65"/>
      <c r="AD693" s="65"/>
      <c r="AE693" s="65"/>
      <c r="AF693" s="65"/>
      <c r="AG693" s="65"/>
      <c r="AH693" s="65"/>
      <c r="AI693" s="65"/>
      <c r="AJ693" s="65"/>
      <c r="AK693" s="65"/>
      <c r="AL693" s="65"/>
      <c r="AM693" s="65"/>
      <c r="AN693" s="65"/>
    </row>
    <row r="694" spans="10:40" ht="14.5" x14ac:dyDescent="0.35">
      <c r="J694" s="65"/>
      <c r="K694" s="65"/>
      <c r="L694" s="65"/>
      <c r="M694" s="65"/>
      <c r="N694" s="65"/>
      <c r="O694" s="65"/>
      <c r="P694" s="65"/>
      <c r="Q694" s="65"/>
      <c r="R694" s="65"/>
      <c r="S694" s="65"/>
      <c r="T694" s="65"/>
      <c r="U694" s="65"/>
      <c r="V694" s="65"/>
      <c r="W694" s="65"/>
      <c r="X694" s="65"/>
      <c r="Y694" s="65"/>
      <c r="Z694" s="65"/>
      <c r="AA694" s="65"/>
      <c r="AB694" s="65"/>
      <c r="AC694" s="65"/>
      <c r="AD694" s="65"/>
      <c r="AE694" s="65"/>
      <c r="AF694" s="65"/>
      <c r="AG694" s="65"/>
      <c r="AH694" s="65"/>
      <c r="AI694" s="65"/>
      <c r="AJ694" s="65"/>
      <c r="AK694" s="65"/>
      <c r="AL694" s="65"/>
      <c r="AM694" s="65"/>
      <c r="AN694" s="65"/>
    </row>
    <row r="695" spans="10:40" ht="14.5" x14ac:dyDescent="0.35">
      <c r="J695" s="65"/>
      <c r="K695" s="65"/>
      <c r="L695" s="65"/>
      <c r="M695" s="65"/>
      <c r="N695" s="65"/>
      <c r="O695" s="65"/>
      <c r="P695" s="65"/>
      <c r="Q695" s="65"/>
      <c r="R695" s="65"/>
      <c r="S695" s="65"/>
      <c r="T695" s="65"/>
      <c r="U695" s="65"/>
      <c r="V695" s="65"/>
      <c r="W695" s="65"/>
      <c r="X695" s="65"/>
      <c r="Y695" s="65"/>
      <c r="Z695" s="65"/>
      <c r="AA695" s="65"/>
      <c r="AB695" s="65"/>
      <c r="AC695" s="65"/>
      <c r="AD695" s="65"/>
      <c r="AE695" s="65"/>
      <c r="AF695" s="65"/>
      <c r="AG695" s="65"/>
      <c r="AH695" s="65"/>
      <c r="AI695" s="65"/>
      <c r="AJ695" s="65"/>
      <c r="AK695" s="65"/>
      <c r="AL695" s="65"/>
      <c r="AM695" s="65"/>
      <c r="AN695" s="65"/>
    </row>
    <row r="696" spans="10:40" ht="14.5" x14ac:dyDescent="0.35">
      <c r="J696" s="65"/>
      <c r="K696" s="65"/>
      <c r="L696" s="65"/>
      <c r="M696" s="65"/>
      <c r="N696" s="65"/>
      <c r="O696" s="65"/>
      <c r="P696" s="65"/>
      <c r="Q696" s="65"/>
      <c r="R696" s="65"/>
      <c r="S696" s="65"/>
      <c r="T696" s="65"/>
      <c r="U696" s="65"/>
      <c r="V696" s="65"/>
      <c r="W696" s="65"/>
      <c r="X696" s="65"/>
      <c r="Y696" s="65"/>
      <c r="Z696" s="65"/>
      <c r="AA696" s="65"/>
      <c r="AB696" s="65"/>
      <c r="AC696" s="65"/>
      <c r="AD696" s="65"/>
      <c r="AE696" s="65"/>
      <c r="AF696" s="65"/>
      <c r="AG696" s="65"/>
      <c r="AH696" s="65"/>
      <c r="AI696" s="65"/>
      <c r="AJ696" s="65"/>
      <c r="AK696" s="65"/>
      <c r="AL696" s="65"/>
      <c r="AM696" s="65"/>
      <c r="AN696" s="65"/>
    </row>
    <row r="697" spans="10:40" ht="14.5" x14ac:dyDescent="0.35">
      <c r="J697" s="65"/>
      <c r="K697" s="65"/>
      <c r="L697" s="65"/>
      <c r="M697" s="65"/>
      <c r="N697" s="65"/>
      <c r="O697" s="65"/>
      <c r="P697" s="65"/>
      <c r="Q697" s="65"/>
      <c r="R697" s="65"/>
      <c r="S697" s="65"/>
      <c r="T697" s="65"/>
      <c r="U697" s="65"/>
      <c r="V697" s="65"/>
      <c r="W697" s="65"/>
      <c r="X697" s="65"/>
      <c r="Y697" s="65"/>
      <c r="Z697" s="65"/>
      <c r="AA697" s="65"/>
      <c r="AB697" s="65"/>
      <c r="AC697" s="65"/>
      <c r="AD697" s="65"/>
      <c r="AE697" s="65"/>
      <c r="AF697" s="65"/>
      <c r="AG697" s="65"/>
      <c r="AH697" s="65"/>
      <c r="AI697" s="65"/>
      <c r="AJ697" s="65"/>
      <c r="AK697" s="65"/>
      <c r="AL697" s="65"/>
      <c r="AM697" s="65"/>
      <c r="AN697" s="65"/>
    </row>
    <row r="698" spans="10:40" ht="14.5" x14ac:dyDescent="0.35">
      <c r="J698" s="65"/>
      <c r="K698" s="65"/>
      <c r="L698" s="65"/>
      <c r="M698" s="65"/>
      <c r="N698" s="65"/>
      <c r="O698" s="65"/>
      <c r="P698" s="65"/>
      <c r="Q698" s="65"/>
      <c r="R698" s="65"/>
      <c r="S698" s="65"/>
      <c r="T698" s="65"/>
      <c r="U698" s="65"/>
      <c r="V698" s="65"/>
      <c r="W698" s="65"/>
      <c r="X698" s="65"/>
      <c r="Y698" s="65"/>
      <c r="Z698" s="65"/>
      <c r="AA698" s="65"/>
      <c r="AB698" s="65"/>
      <c r="AC698" s="65"/>
      <c r="AD698" s="65"/>
      <c r="AE698" s="65"/>
      <c r="AF698" s="65"/>
      <c r="AG698" s="65"/>
      <c r="AH698" s="65"/>
      <c r="AI698" s="65"/>
      <c r="AJ698" s="65"/>
      <c r="AK698" s="65"/>
      <c r="AL698" s="65"/>
      <c r="AM698" s="65"/>
      <c r="AN698" s="65"/>
    </row>
    <row r="699" spans="10:40" ht="14.5" x14ac:dyDescent="0.35">
      <c r="J699" s="65"/>
      <c r="K699" s="65"/>
      <c r="L699" s="65"/>
      <c r="M699" s="65"/>
      <c r="N699" s="65"/>
      <c r="O699" s="65"/>
      <c r="P699" s="65"/>
      <c r="Q699" s="65"/>
      <c r="R699" s="65"/>
      <c r="S699" s="65"/>
      <c r="T699" s="65"/>
      <c r="U699" s="65"/>
      <c r="V699" s="65"/>
      <c r="W699" s="65"/>
      <c r="X699" s="65"/>
      <c r="Y699" s="65"/>
      <c r="Z699" s="65"/>
      <c r="AA699" s="65"/>
      <c r="AB699" s="65"/>
      <c r="AC699" s="65"/>
      <c r="AD699" s="65"/>
      <c r="AE699" s="65"/>
      <c r="AF699" s="65"/>
      <c r="AG699" s="65"/>
      <c r="AH699" s="65"/>
      <c r="AI699" s="65"/>
      <c r="AJ699" s="65"/>
      <c r="AK699" s="65"/>
      <c r="AL699" s="65"/>
      <c r="AM699" s="65"/>
      <c r="AN699" s="65"/>
    </row>
    <row r="700" spans="10:40" ht="14.5" x14ac:dyDescent="0.35">
      <c r="J700" s="65"/>
      <c r="K700" s="65"/>
      <c r="L700" s="65"/>
      <c r="M700" s="65"/>
      <c r="N700" s="65"/>
      <c r="O700" s="65"/>
      <c r="P700" s="65"/>
      <c r="Q700" s="65"/>
      <c r="R700" s="65"/>
      <c r="S700" s="65"/>
      <c r="T700" s="65"/>
      <c r="U700" s="65"/>
      <c r="V700" s="65"/>
      <c r="W700" s="65"/>
      <c r="X700" s="65"/>
      <c r="Y700" s="65"/>
      <c r="Z700" s="65"/>
      <c r="AA700" s="65"/>
      <c r="AB700" s="65"/>
      <c r="AC700" s="65"/>
      <c r="AD700" s="65"/>
      <c r="AE700" s="65"/>
      <c r="AF700" s="65"/>
      <c r="AG700" s="65"/>
      <c r="AH700" s="65"/>
      <c r="AI700" s="65"/>
      <c r="AJ700" s="65"/>
      <c r="AK700" s="65"/>
      <c r="AL700" s="65"/>
      <c r="AM700" s="65"/>
      <c r="AN700" s="65"/>
    </row>
    <row r="701" spans="10:40" ht="14.5" x14ac:dyDescent="0.35">
      <c r="J701" s="65"/>
      <c r="K701" s="65"/>
      <c r="L701" s="65"/>
      <c r="M701" s="65"/>
      <c r="N701" s="65"/>
      <c r="O701" s="65"/>
      <c r="P701" s="65"/>
      <c r="Q701" s="65"/>
      <c r="R701" s="65"/>
      <c r="S701" s="65"/>
      <c r="T701" s="65"/>
      <c r="U701" s="65"/>
      <c r="V701" s="65"/>
      <c r="W701" s="65"/>
      <c r="X701" s="65"/>
      <c r="Y701" s="65"/>
      <c r="Z701" s="65"/>
      <c r="AA701" s="65"/>
      <c r="AB701" s="65"/>
      <c r="AC701" s="65"/>
      <c r="AD701" s="65"/>
      <c r="AE701" s="65"/>
      <c r="AF701" s="65"/>
      <c r="AG701" s="65"/>
      <c r="AH701" s="65"/>
      <c r="AI701" s="65"/>
      <c r="AJ701" s="65"/>
      <c r="AK701" s="65"/>
      <c r="AL701" s="65"/>
      <c r="AM701" s="65"/>
      <c r="AN701" s="65"/>
    </row>
    <row r="702" spans="10:40" ht="14.5" x14ac:dyDescent="0.35">
      <c r="J702" s="65"/>
      <c r="K702" s="65"/>
      <c r="L702" s="65"/>
      <c r="M702" s="65"/>
      <c r="N702" s="65"/>
      <c r="O702" s="65"/>
      <c r="P702" s="65"/>
      <c r="Q702" s="65"/>
      <c r="R702" s="65"/>
      <c r="S702" s="65"/>
      <c r="T702" s="65"/>
      <c r="U702" s="65"/>
      <c r="V702" s="65"/>
      <c r="W702" s="65"/>
      <c r="X702" s="65"/>
      <c r="Y702" s="65"/>
      <c r="Z702" s="65"/>
      <c r="AA702" s="65"/>
      <c r="AB702" s="65"/>
      <c r="AC702" s="65"/>
      <c r="AD702" s="65"/>
      <c r="AE702" s="65"/>
      <c r="AF702" s="65"/>
      <c r="AG702" s="65"/>
      <c r="AH702" s="65"/>
      <c r="AI702" s="65"/>
      <c r="AJ702" s="65"/>
      <c r="AK702" s="65"/>
      <c r="AL702" s="65"/>
      <c r="AM702" s="65"/>
      <c r="AN702" s="65"/>
    </row>
    <row r="703" spans="10:40" ht="14.5" x14ac:dyDescent="0.35">
      <c r="J703" s="65"/>
      <c r="K703" s="65"/>
      <c r="L703" s="65"/>
      <c r="M703" s="65"/>
      <c r="N703" s="65"/>
      <c r="O703" s="65"/>
      <c r="P703" s="65"/>
      <c r="Q703" s="65"/>
      <c r="R703" s="65"/>
      <c r="S703" s="65"/>
      <c r="T703" s="65"/>
      <c r="U703" s="65"/>
      <c r="V703" s="65"/>
      <c r="W703" s="65"/>
      <c r="X703" s="65"/>
      <c r="Y703" s="65"/>
      <c r="Z703" s="65"/>
      <c r="AA703" s="65"/>
      <c r="AB703" s="65"/>
      <c r="AC703" s="65"/>
      <c r="AD703" s="65"/>
      <c r="AE703" s="65"/>
      <c r="AF703" s="65"/>
      <c r="AG703" s="65"/>
      <c r="AH703" s="65"/>
      <c r="AI703" s="65"/>
      <c r="AJ703" s="65"/>
      <c r="AK703" s="65"/>
      <c r="AL703" s="65"/>
      <c r="AM703" s="65"/>
      <c r="AN703" s="65"/>
    </row>
    <row r="704" spans="10:40" ht="14.5" x14ac:dyDescent="0.35">
      <c r="J704" s="65"/>
      <c r="K704" s="65"/>
      <c r="L704" s="65"/>
      <c r="M704" s="65"/>
      <c r="N704" s="65"/>
      <c r="O704" s="65"/>
      <c r="P704" s="65"/>
      <c r="Q704" s="65"/>
      <c r="R704" s="65"/>
      <c r="S704" s="65"/>
      <c r="T704" s="65"/>
      <c r="U704" s="65"/>
      <c r="V704" s="65"/>
      <c r="W704" s="65"/>
      <c r="X704" s="65"/>
      <c r="Y704" s="65"/>
      <c r="Z704" s="65"/>
      <c r="AA704" s="65"/>
      <c r="AB704" s="65"/>
      <c r="AC704" s="65"/>
      <c r="AD704" s="65"/>
      <c r="AE704" s="65"/>
      <c r="AF704" s="65"/>
      <c r="AG704" s="65"/>
      <c r="AH704" s="65"/>
      <c r="AI704" s="65"/>
      <c r="AJ704" s="65"/>
      <c r="AK704" s="65"/>
      <c r="AL704" s="65"/>
      <c r="AM704" s="65"/>
      <c r="AN704" s="65"/>
    </row>
    <row r="705" spans="10:40" ht="14.5" x14ac:dyDescent="0.35">
      <c r="J705" s="65"/>
      <c r="K705" s="65"/>
      <c r="L705" s="65"/>
      <c r="M705" s="65"/>
      <c r="N705" s="65"/>
      <c r="O705" s="65"/>
      <c r="P705" s="65"/>
      <c r="Q705" s="65"/>
      <c r="R705" s="65"/>
      <c r="S705" s="65"/>
      <c r="T705" s="65"/>
      <c r="U705" s="65"/>
      <c r="V705" s="65"/>
      <c r="W705" s="65"/>
      <c r="X705" s="65"/>
      <c r="Y705" s="65"/>
      <c r="Z705" s="65"/>
      <c r="AA705" s="65"/>
      <c r="AB705" s="65"/>
      <c r="AC705" s="65"/>
      <c r="AD705" s="65"/>
      <c r="AE705" s="65"/>
      <c r="AF705" s="65"/>
      <c r="AG705" s="65"/>
      <c r="AH705" s="65"/>
      <c r="AI705" s="65"/>
      <c r="AJ705" s="65"/>
      <c r="AK705" s="65"/>
      <c r="AL705" s="65"/>
      <c r="AM705" s="65"/>
      <c r="AN705" s="65"/>
    </row>
    <row r="706" spans="10:40" ht="14.5" x14ac:dyDescent="0.35">
      <c r="J706" s="65"/>
      <c r="K706" s="65"/>
      <c r="L706" s="65"/>
      <c r="M706" s="65"/>
      <c r="N706" s="65"/>
      <c r="O706" s="65"/>
      <c r="P706" s="65"/>
      <c r="Q706" s="65"/>
      <c r="R706" s="65"/>
      <c r="S706" s="65"/>
      <c r="T706" s="65"/>
      <c r="U706" s="65"/>
      <c r="V706" s="65"/>
      <c r="W706" s="65"/>
      <c r="X706" s="65"/>
      <c r="Y706" s="65"/>
      <c r="Z706" s="65"/>
      <c r="AA706" s="65"/>
      <c r="AB706" s="65"/>
      <c r="AC706" s="65"/>
      <c r="AD706" s="65"/>
      <c r="AE706" s="65"/>
      <c r="AF706" s="65"/>
      <c r="AG706" s="65"/>
      <c r="AH706" s="65"/>
      <c r="AI706" s="65"/>
      <c r="AJ706" s="65"/>
      <c r="AK706" s="65"/>
      <c r="AL706" s="65"/>
      <c r="AM706" s="65"/>
      <c r="AN706" s="65"/>
    </row>
    <row r="707" spans="10:40" ht="14.5" x14ac:dyDescent="0.35">
      <c r="J707" s="65"/>
      <c r="K707" s="65"/>
      <c r="L707" s="65"/>
      <c r="M707" s="65"/>
      <c r="N707" s="65"/>
      <c r="O707" s="65"/>
      <c r="P707" s="65"/>
      <c r="Q707" s="65"/>
      <c r="R707" s="65"/>
      <c r="S707" s="65"/>
      <c r="T707" s="65"/>
      <c r="U707" s="65"/>
      <c r="V707" s="65"/>
      <c r="W707" s="65"/>
      <c r="X707" s="65"/>
      <c r="Y707" s="65"/>
      <c r="Z707" s="65"/>
      <c r="AA707" s="65"/>
      <c r="AB707" s="65"/>
      <c r="AC707" s="65"/>
      <c r="AD707" s="65"/>
      <c r="AE707" s="65"/>
      <c r="AF707" s="65"/>
      <c r="AG707" s="65"/>
      <c r="AH707" s="65"/>
      <c r="AI707" s="65"/>
      <c r="AJ707" s="65"/>
      <c r="AK707" s="65"/>
      <c r="AL707" s="65"/>
      <c r="AM707" s="65"/>
      <c r="AN707" s="65"/>
    </row>
    <row r="708" spans="10:40" ht="14.5" x14ac:dyDescent="0.35">
      <c r="J708" s="65"/>
      <c r="K708" s="65"/>
      <c r="L708" s="65"/>
      <c r="M708" s="65"/>
      <c r="N708" s="65"/>
      <c r="O708" s="65"/>
      <c r="P708" s="65"/>
      <c r="Q708" s="65"/>
      <c r="R708" s="65"/>
      <c r="S708" s="65"/>
      <c r="T708" s="65"/>
      <c r="U708" s="65"/>
      <c r="V708" s="65"/>
      <c r="W708" s="65"/>
      <c r="X708" s="65"/>
      <c r="Y708" s="65"/>
      <c r="Z708" s="65"/>
      <c r="AA708" s="65"/>
      <c r="AB708" s="65"/>
      <c r="AC708" s="65"/>
      <c r="AD708" s="65"/>
      <c r="AE708" s="65"/>
      <c r="AF708" s="65"/>
      <c r="AG708" s="65"/>
      <c r="AH708" s="65"/>
      <c r="AI708" s="65"/>
      <c r="AJ708" s="65"/>
      <c r="AK708" s="65"/>
      <c r="AL708" s="65"/>
      <c r="AM708" s="65"/>
      <c r="AN708" s="65"/>
    </row>
    <row r="709" spans="10:40" ht="14.5" x14ac:dyDescent="0.35">
      <c r="J709" s="65"/>
      <c r="K709" s="65"/>
      <c r="L709" s="65"/>
      <c r="M709" s="65"/>
      <c r="N709" s="65"/>
      <c r="O709" s="65"/>
      <c r="P709" s="65"/>
      <c r="Q709" s="65"/>
      <c r="R709" s="65"/>
      <c r="S709" s="65"/>
      <c r="T709" s="65"/>
      <c r="U709" s="65"/>
      <c r="V709" s="65"/>
      <c r="W709" s="65"/>
      <c r="X709" s="65"/>
      <c r="Y709" s="65"/>
      <c r="Z709" s="65"/>
      <c r="AA709" s="65"/>
      <c r="AB709" s="65"/>
      <c r="AC709" s="65"/>
      <c r="AD709" s="65"/>
      <c r="AE709" s="65"/>
      <c r="AF709" s="65"/>
      <c r="AG709" s="65"/>
      <c r="AH709" s="65"/>
      <c r="AI709" s="65"/>
      <c r="AJ709" s="65"/>
      <c r="AK709" s="65"/>
      <c r="AL709" s="65"/>
      <c r="AM709" s="65"/>
      <c r="AN709" s="65"/>
    </row>
    <row r="710" spans="10:40" ht="14.5" x14ac:dyDescent="0.35">
      <c r="J710" s="65"/>
      <c r="K710" s="65"/>
      <c r="L710" s="65"/>
      <c r="M710" s="65"/>
      <c r="N710" s="65"/>
      <c r="O710" s="65"/>
      <c r="P710" s="65"/>
      <c r="Q710" s="65"/>
      <c r="R710" s="65"/>
      <c r="S710" s="65"/>
      <c r="T710" s="65"/>
      <c r="U710" s="65"/>
      <c r="V710" s="65"/>
      <c r="W710" s="65"/>
      <c r="X710" s="65"/>
      <c r="Y710" s="65"/>
      <c r="Z710" s="65"/>
      <c r="AA710" s="65"/>
      <c r="AB710" s="65"/>
      <c r="AC710" s="65"/>
      <c r="AD710" s="65"/>
      <c r="AE710" s="65"/>
      <c r="AF710" s="65"/>
      <c r="AG710" s="65"/>
      <c r="AH710" s="65"/>
      <c r="AI710" s="65"/>
      <c r="AJ710" s="65"/>
      <c r="AK710" s="65"/>
      <c r="AL710" s="65"/>
      <c r="AM710" s="65"/>
      <c r="AN710" s="65"/>
    </row>
    <row r="711" spans="10:40" ht="14.5" x14ac:dyDescent="0.35">
      <c r="J711" s="65"/>
      <c r="K711" s="65"/>
      <c r="L711" s="65"/>
      <c r="M711" s="65"/>
      <c r="N711" s="65"/>
      <c r="O711" s="65"/>
      <c r="P711" s="65"/>
      <c r="Q711" s="65"/>
      <c r="R711" s="65"/>
      <c r="S711" s="65"/>
      <c r="T711" s="65"/>
      <c r="U711" s="65"/>
      <c r="V711" s="65"/>
      <c r="W711" s="65"/>
      <c r="X711" s="65"/>
      <c r="Y711" s="65"/>
      <c r="Z711" s="65"/>
      <c r="AA711" s="65"/>
      <c r="AB711" s="65"/>
      <c r="AC711" s="65"/>
      <c r="AD711" s="65"/>
      <c r="AE711" s="65"/>
      <c r="AF711" s="65"/>
      <c r="AG711" s="65"/>
      <c r="AH711" s="65"/>
      <c r="AI711" s="65"/>
      <c r="AJ711" s="65"/>
      <c r="AK711" s="65"/>
      <c r="AL711" s="65"/>
      <c r="AM711" s="65"/>
      <c r="AN711" s="65"/>
    </row>
    <row r="712" spans="10:40" ht="14.5" x14ac:dyDescent="0.35">
      <c r="J712" s="65"/>
      <c r="K712" s="65"/>
      <c r="L712" s="65"/>
      <c r="M712" s="65"/>
      <c r="N712" s="65"/>
      <c r="O712" s="65"/>
      <c r="P712" s="65"/>
      <c r="Q712" s="65"/>
      <c r="R712" s="65"/>
      <c r="S712" s="65"/>
      <c r="T712" s="65"/>
      <c r="U712" s="65"/>
      <c r="V712" s="65"/>
      <c r="W712" s="65"/>
      <c r="X712" s="65"/>
      <c r="Y712" s="65"/>
      <c r="Z712" s="65"/>
      <c r="AA712" s="65"/>
      <c r="AB712" s="65"/>
      <c r="AC712" s="65"/>
      <c r="AD712" s="65"/>
      <c r="AE712" s="65"/>
      <c r="AF712" s="65"/>
      <c r="AG712" s="65"/>
      <c r="AH712" s="65"/>
      <c r="AI712" s="65"/>
      <c r="AJ712" s="65"/>
      <c r="AK712" s="65"/>
      <c r="AL712" s="65"/>
      <c r="AM712" s="65"/>
      <c r="AN712" s="65"/>
    </row>
    <row r="713" spans="10:40" ht="14.5" x14ac:dyDescent="0.35">
      <c r="J713" s="65"/>
      <c r="K713" s="65"/>
      <c r="L713" s="65"/>
      <c r="M713" s="65"/>
      <c r="N713" s="65"/>
      <c r="O713" s="65"/>
      <c r="P713" s="65"/>
      <c r="Q713" s="65"/>
      <c r="R713" s="65"/>
      <c r="S713" s="65"/>
      <c r="T713" s="65"/>
      <c r="U713" s="65"/>
      <c r="V713" s="65"/>
      <c r="W713" s="65"/>
      <c r="X713" s="65"/>
      <c r="Y713" s="65"/>
      <c r="Z713" s="65"/>
      <c r="AA713" s="65"/>
      <c r="AB713" s="65"/>
      <c r="AC713" s="65"/>
      <c r="AD713" s="65"/>
      <c r="AE713" s="65"/>
      <c r="AF713" s="65"/>
      <c r="AG713" s="65"/>
      <c r="AH713" s="65"/>
      <c r="AI713" s="65"/>
      <c r="AJ713" s="65"/>
      <c r="AK713" s="65"/>
      <c r="AL713" s="65"/>
      <c r="AM713" s="65"/>
      <c r="AN713" s="65"/>
    </row>
    <row r="714" spans="10:40" ht="14.5" x14ac:dyDescent="0.35">
      <c r="J714" s="65"/>
      <c r="K714" s="65"/>
      <c r="L714" s="65"/>
      <c r="M714" s="65"/>
      <c r="N714" s="65"/>
      <c r="O714" s="65"/>
      <c r="P714" s="65"/>
      <c r="Q714" s="65"/>
      <c r="R714" s="65"/>
      <c r="S714" s="65"/>
      <c r="T714" s="65"/>
      <c r="U714" s="65"/>
      <c r="V714" s="65"/>
      <c r="W714" s="65"/>
      <c r="X714" s="65"/>
      <c r="Y714" s="65"/>
      <c r="Z714" s="65"/>
      <c r="AA714" s="65"/>
      <c r="AB714" s="65"/>
      <c r="AC714" s="65"/>
      <c r="AD714" s="65"/>
      <c r="AE714" s="65"/>
      <c r="AF714" s="65"/>
      <c r="AG714" s="65"/>
      <c r="AH714" s="65"/>
      <c r="AI714" s="65"/>
      <c r="AJ714" s="65"/>
      <c r="AK714" s="65"/>
      <c r="AL714" s="65"/>
      <c r="AM714" s="65"/>
      <c r="AN714" s="65"/>
    </row>
    <row r="715" spans="10:40" ht="14.5" x14ac:dyDescent="0.35">
      <c r="J715" s="65"/>
      <c r="K715" s="65"/>
      <c r="L715" s="65"/>
      <c r="M715" s="65"/>
      <c r="N715" s="65"/>
      <c r="O715" s="65"/>
      <c r="P715" s="65"/>
      <c r="Q715" s="65"/>
      <c r="R715" s="65"/>
      <c r="S715" s="65"/>
      <c r="T715" s="65"/>
      <c r="U715" s="65"/>
      <c r="V715" s="65"/>
      <c r="W715" s="65"/>
      <c r="X715" s="65"/>
      <c r="Y715" s="65"/>
      <c r="Z715" s="65"/>
      <c r="AA715" s="65"/>
      <c r="AB715" s="65"/>
      <c r="AC715" s="65"/>
      <c r="AD715" s="65"/>
      <c r="AE715" s="65"/>
      <c r="AF715" s="65"/>
      <c r="AG715" s="65"/>
      <c r="AH715" s="65"/>
      <c r="AI715" s="65"/>
      <c r="AJ715" s="65"/>
      <c r="AK715" s="65"/>
      <c r="AL715" s="65"/>
      <c r="AM715" s="65"/>
      <c r="AN715" s="65"/>
    </row>
    <row r="716" spans="10:40" ht="14.5" x14ac:dyDescent="0.35">
      <c r="J716" s="65"/>
      <c r="K716" s="65"/>
      <c r="L716" s="65"/>
      <c r="M716" s="65"/>
      <c r="N716" s="65"/>
      <c r="O716" s="65"/>
      <c r="P716" s="65"/>
      <c r="Q716" s="65"/>
      <c r="R716" s="65"/>
      <c r="S716" s="65"/>
      <c r="T716" s="65"/>
      <c r="U716" s="65"/>
      <c r="V716" s="65"/>
      <c r="W716" s="65"/>
      <c r="X716" s="65"/>
      <c r="Y716" s="65"/>
      <c r="Z716" s="65"/>
      <c r="AA716" s="65"/>
      <c r="AB716" s="65"/>
      <c r="AC716" s="65"/>
      <c r="AD716" s="65"/>
      <c r="AE716" s="65"/>
      <c r="AF716" s="65"/>
      <c r="AG716" s="65"/>
      <c r="AH716" s="65"/>
      <c r="AI716" s="65"/>
      <c r="AJ716" s="65"/>
      <c r="AK716" s="65"/>
      <c r="AL716" s="65"/>
      <c r="AM716" s="65"/>
      <c r="AN716" s="65"/>
    </row>
    <row r="717" spans="10:40" ht="14.5" x14ac:dyDescent="0.35">
      <c r="J717" s="65"/>
      <c r="K717" s="65"/>
      <c r="L717" s="65"/>
      <c r="M717" s="65"/>
      <c r="N717" s="65"/>
      <c r="O717" s="65"/>
      <c r="P717" s="65"/>
      <c r="Q717" s="65"/>
      <c r="R717" s="65"/>
      <c r="S717" s="65"/>
      <c r="T717" s="65"/>
      <c r="U717" s="65"/>
      <c r="V717" s="65"/>
      <c r="W717" s="65"/>
      <c r="X717" s="65"/>
      <c r="Y717" s="65"/>
      <c r="Z717" s="65"/>
      <c r="AA717" s="65"/>
      <c r="AB717" s="65"/>
      <c r="AC717" s="65"/>
      <c r="AD717" s="65"/>
      <c r="AE717" s="65"/>
      <c r="AF717" s="65"/>
      <c r="AG717" s="65"/>
      <c r="AH717" s="65"/>
      <c r="AI717" s="65"/>
      <c r="AJ717" s="65"/>
      <c r="AK717" s="65"/>
      <c r="AL717" s="65"/>
      <c r="AM717" s="65"/>
      <c r="AN717" s="65"/>
    </row>
    <row r="718" spans="10:40" ht="14.5" x14ac:dyDescent="0.35">
      <c r="J718" s="65"/>
      <c r="K718" s="65"/>
      <c r="L718" s="65"/>
      <c r="M718" s="65"/>
      <c r="N718" s="65"/>
      <c r="O718" s="65"/>
      <c r="P718" s="65"/>
      <c r="Q718" s="65"/>
      <c r="R718" s="65"/>
      <c r="S718" s="65"/>
      <c r="T718" s="65"/>
      <c r="U718" s="65"/>
      <c r="V718" s="65"/>
      <c r="W718" s="65"/>
      <c r="X718" s="65"/>
      <c r="Y718" s="65"/>
      <c r="Z718" s="65"/>
      <c r="AA718" s="65"/>
      <c r="AB718" s="65"/>
      <c r="AC718" s="65"/>
      <c r="AD718" s="65"/>
      <c r="AE718" s="65"/>
      <c r="AF718" s="65"/>
      <c r="AG718" s="65"/>
      <c r="AH718" s="65"/>
      <c r="AI718" s="65"/>
      <c r="AJ718" s="65"/>
      <c r="AK718" s="65"/>
      <c r="AL718" s="65"/>
      <c r="AM718" s="65"/>
      <c r="AN718" s="65"/>
    </row>
    <row r="719" spans="10:40" ht="14.5" x14ac:dyDescent="0.35">
      <c r="J719" s="65"/>
      <c r="K719" s="65"/>
      <c r="L719" s="65"/>
      <c r="M719" s="65"/>
      <c r="N719" s="65"/>
      <c r="O719" s="65"/>
      <c r="P719" s="65"/>
      <c r="Q719" s="65"/>
      <c r="R719" s="65"/>
      <c r="S719" s="65"/>
      <c r="T719" s="65"/>
      <c r="U719" s="65"/>
      <c r="V719" s="65"/>
      <c r="W719" s="65"/>
      <c r="X719" s="65"/>
      <c r="Y719" s="65"/>
      <c r="Z719" s="65"/>
      <c r="AA719" s="65"/>
      <c r="AB719" s="65"/>
      <c r="AC719" s="65"/>
      <c r="AD719" s="65"/>
      <c r="AE719" s="65"/>
      <c r="AF719" s="65"/>
      <c r="AG719" s="65"/>
      <c r="AH719" s="65"/>
      <c r="AI719" s="65"/>
      <c r="AJ719" s="65"/>
      <c r="AK719" s="65"/>
      <c r="AL719" s="65"/>
      <c r="AM719" s="65"/>
      <c r="AN719" s="65"/>
    </row>
    <row r="720" spans="10:40" ht="14.5" x14ac:dyDescent="0.35">
      <c r="J720" s="65"/>
      <c r="K720" s="65"/>
      <c r="L720" s="65"/>
      <c r="M720" s="65"/>
      <c r="N720" s="65"/>
      <c r="O720" s="65"/>
      <c r="P720" s="65"/>
      <c r="Q720" s="65"/>
      <c r="R720" s="65"/>
      <c r="S720" s="65"/>
      <c r="T720" s="65"/>
      <c r="U720" s="65"/>
      <c r="V720" s="65"/>
      <c r="W720" s="65"/>
      <c r="X720" s="65"/>
      <c r="Y720" s="65"/>
      <c r="Z720" s="65"/>
      <c r="AA720" s="65"/>
      <c r="AB720" s="65"/>
      <c r="AC720" s="65"/>
      <c r="AD720" s="65"/>
      <c r="AE720" s="65"/>
      <c r="AF720" s="65"/>
      <c r="AG720" s="65"/>
      <c r="AH720" s="65"/>
      <c r="AI720" s="65"/>
      <c r="AJ720" s="65"/>
      <c r="AK720" s="65"/>
      <c r="AL720" s="65"/>
      <c r="AM720" s="65"/>
      <c r="AN720" s="65"/>
    </row>
    <row r="721" spans="10:40" ht="14.5" x14ac:dyDescent="0.35">
      <c r="J721" s="65"/>
      <c r="K721" s="65"/>
      <c r="L721" s="65"/>
      <c r="M721" s="65"/>
      <c r="N721" s="65"/>
      <c r="O721" s="65"/>
      <c r="P721" s="65"/>
      <c r="Q721" s="65"/>
      <c r="R721" s="65"/>
      <c r="S721" s="65"/>
      <c r="T721" s="65"/>
      <c r="U721" s="65"/>
      <c r="V721" s="65"/>
      <c r="W721" s="65"/>
      <c r="X721" s="65"/>
      <c r="Y721" s="65"/>
      <c r="Z721" s="65"/>
      <c r="AA721" s="65"/>
      <c r="AB721" s="65"/>
      <c r="AC721" s="65"/>
      <c r="AD721" s="65"/>
      <c r="AE721" s="65"/>
      <c r="AF721" s="65"/>
      <c r="AG721" s="65"/>
      <c r="AH721" s="65"/>
      <c r="AI721" s="65"/>
      <c r="AJ721" s="65"/>
      <c r="AK721" s="65"/>
      <c r="AL721" s="65"/>
      <c r="AM721" s="65"/>
      <c r="AN721" s="65"/>
    </row>
    <row r="722" spans="10:40" ht="14.5" x14ac:dyDescent="0.35">
      <c r="J722" s="65"/>
      <c r="K722" s="65"/>
      <c r="L722" s="65"/>
      <c r="M722" s="65"/>
      <c r="N722" s="65"/>
      <c r="O722" s="65"/>
      <c r="P722" s="65"/>
      <c r="Q722" s="65"/>
      <c r="R722" s="65"/>
      <c r="S722" s="65"/>
      <c r="T722" s="65"/>
      <c r="U722" s="65"/>
      <c r="V722" s="65"/>
      <c r="W722" s="65"/>
      <c r="X722" s="65"/>
      <c r="Y722" s="65"/>
      <c r="Z722" s="65"/>
      <c r="AA722" s="65"/>
      <c r="AB722" s="65"/>
      <c r="AC722" s="65"/>
      <c r="AD722" s="65"/>
      <c r="AE722" s="65"/>
      <c r="AF722" s="65"/>
      <c r="AG722" s="65"/>
      <c r="AH722" s="65"/>
      <c r="AI722" s="65"/>
      <c r="AJ722" s="65"/>
      <c r="AK722" s="65"/>
      <c r="AL722" s="65"/>
      <c r="AM722" s="65"/>
      <c r="AN722" s="65"/>
    </row>
    <row r="723" spans="10:40" ht="14.5" x14ac:dyDescent="0.35">
      <c r="J723" s="65"/>
      <c r="K723" s="65"/>
      <c r="L723" s="65"/>
      <c r="M723" s="65"/>
      <c r="N723" s="65"/>
      <c r="O723" s="65"/>
      <c r="P723" s="65"/>
      <c r="Q723" s="65"/>
      <c r="R723" s="65"/>
      <c r="S723" s="65"/>
      <c r="T723" s="65"/>
      <c r="U723" s="65"/>
      <c r="V723" s="65"/>
      <c r="W723" s="65"/>
      <c r="X723" s="65"/>
      <c r="Y723" s="65"/>
      <c r="Z723" s="65"/>
      <c r="AA723" s="65"/>
      <c r="AB723" s="65"/>
      <c r="AC723" s="65"/>
      <c r="AD723" s="65"/>
      <c r="AE723" s="65"/>
      <c r="AF723" s="65"/>
      <c r="AG723" s="65"/>
      <c r="AH723" s="65"/>
      <c r="AI723" s="65"/>
      <c r="AJ723" s="65"/>
      <c r="AK723" s="65"/>
      <c r="AL723" s="65"/>
      <c r="AM723" s="65"/>
      <c r="AN723" s="65"/>
    </row>
    <row r="724" spans="10:40" ht="14.5" x14ac:dyDescent="0.35">
      <c r="J724" s="65"/>
      <c r="K724" s="65"/>
      <c r="L724" s="65"/>
      <c r="M724" s="65"/>
      <c r="N724" s="65"/>
      <c r="O724" s="65"/>
      <c r="P724" s="65"/>
      <c r="Q724" s="65"/>
      <c r="R724" s="65"/>
      <c r="S724" s="65"/>
      <c r="T724" s="65"/>
      <c r="U724" s="65"/>
      <c r="V724" s="65"/>
      <c r="W724" s="65"/>
      <c r="X724" s="65"/>
      <c r="Y724" s="65"/>
      <c r="Z724" s="65"/>
      <c r="AA724" s="65"/>
      <c r="AB724" s="65"/>
      <c r="AC724" s="65"/>
      <c r="AD724" s="65"/>
      <c r="AE724" s="65"/>
      <c r="AF724" s="65"/>
      <c r="AG724" s="65"/>
      <c r="AH724" s="65"/>
      <c r="AI724" s="65"/>
      <c r="AJ724" s="65"/>
      <c r="AK724" s="65"/>
      <c r="AL724" s="65"/>
      <c r="AM724" s="65"/>
      <c r="AN724" s="65"/>
    </row>
    <row r="725" spans="10:40" ht="14.5" x14ac:dyDescent="0.35">
      <c r="J725" s="65"/>
      <c r="K725" s="65"/>
      <c r="L725" s="65"/>
      <c r="M725" s="65"/>
      <c r="N725" s="65"/>
      <c r="O725" s="65"/>
      <c r="P725" s="65"/>
      <c r="Q725" s="65"/>
      <c r="R725" s="65"/>
      <c r="S725" s="65"/>
      <c r="T725" s="65"/>
      <c r="U725" s="65"/>
      <c r="V725" s="65"/>
      <c r="W725" s="65"/>
      <c r="X725" s="65"/>
      <c r="Y725" s="65"/>
      <c r="Z725" s="65"/>
      <c r="AA725" s="65"/>
      <c r="AB725" s="65"/>
      <c r="AC725" s="65"/>
      <c r="AD725" s="65"/>
      <c r="AE725" s="65"/>
      <c r="AF725" s="65"/>
      <c r="AG725" s="65"/>
      <c r="AH725" s="65"/>
      <c r="AI725" s="65"/>
      <c r="AJ725" s="65"/>
      <c r="AK725" s="65"/>
      <c r="AL725" s="65"/>
      <c r="AM725" s="65"/>
      <c r="AN725" s="65"/>
    </row>
    <row r="726" spans="10:40" ht="14.5" x14ac:dyDescent="0.35">
      <c r="J726" s="65"/>
      <c r="K726" s="65"/>
      <c r="L726" s="65"/>
      <c r="M726" s="65"/>
      <c r="N726" s="65"/>
      <c r="O726" s="65"/>
      <c r="P726" s="65"/>
      <c r="Q726" s="65"/>
      <c r="R726" s="65"/>
      <c r="S726" s="65"/>
      <c r="T726" s="65"/>
      <c r="U726" s="65"/>
      <c r="V726" s="65"/>
      <c r="W726" s="65"/>
      <c r="X726" s="65"/>
      <c r="Y726" s="65"/>
      <c r="Z726" s="65"/>
      <c r="AA726" s="65"/>
      <c r="AB726" s="65"/>
      <c r="AC726" s="65"/>
      <c r="AD726" s="65"/>
      <c r="AE726" s="65"/>
      <c r="AF726" s="65"/>
      <c r="AG726" s="65"/>
      <c r="AH726" s="65"/>
      <c r="AI726" s="65"/>
      <c r="AJ726" s="65"/>
      <c r="AK726" s="65"/>
      <c r="AL726" s="65"/>
      <c r="AM726" s="65"/>
      <c r="AN726" s="65"/>
    </row>
    <row r="727" spans="10:40" ht="14.5" x14ac:dyDescent="0.35">
      <c r="J727" s="65"/>
      <c r="K727" s="65"/>
      <c r="L727" s="65"/>
      <c r="M727" s="65"/>
      <c r="N727" s="65"/>
      <c r="O727" s="65"/>
      <c r="P727" s="65"/>
      <c r="Q727" s="65"/>
      <c r="R727" s="65"/>
      <c r="S727" s="65"/>
      <c r="T727" s="65"/>
      <c r="U727" s="65"/>
      <c r="V727" s="65"/>
      <c r="W727" s="65"/>
      <c r="X727" s="65"/>
      <c r="Y727" s="65"/>
      <c r="Z727" s="65"/>
      <c r="AA727" s="65"/>
      <c r="AB727" s="65"/>
      <c r="AC727" s="65"/>
      <c r="AD727" s="65"/>
      <c r="AE727" s="65"/>
      <c r="AF727" s="65"/>
      <c r="AG727" s="65"/>
      <c r="AH727" s="65"/>
      <c r="AI727" s="65"/>
      <c r="AJ727" s="65"/>
      <c r="AK727" s="65"/>
      <c r="AL727" s="65"/>
      <c r="AM727" s="65"/>
      <c r="AN727" s="65"/>
    </row>
    <row r="728" spans="10:40" ht="14.5" x14ac:dyDescent="0.35">
      <c r="J728" s="65"/>
      <c r="K728" s="65"/>
      <c r="L728" s="65"/>
      <c r="M728" s="65"/>
      <c r="N728" s="65"/>
      <c r="O728" s="65"/>
      <c r="P728" s="65"/>
      <c r="Q728" s="65"/>
      <c r="R728" s="65"/>
      <c r="S728" s="65"/>
      <c r="T728" s="65"/>
      <c r="U728" s="65"/>
      <c r="V728" s="65"/>
      <c r="W728" s="65"/>
      <c r="X728" s="65"/>
      <c r="Y728" s="65"/>
      <c r="Z728" s="65"/>
      <c r="AA728" s="65"/>
      <c r="AB728" s="65"/>
      <c r="AC728" s="65"/>
      <c r="AD728" s="65"/>
      <c r="AE728" s="65"/>
      <c r="AF728" s="65"/>
      <c r="AG728" s="65"/>
      <c r="AH728" s="65"/>
      <c r="AI728" s="65"/>
      <c r="AJ728" s="65"/>
      <c r="AK728" s="65"/>
      <c r="AL728" s="65"/>
      <c r="AM728" s="65"/>
      <c r="AN728" s="65"/>
    </row>
    <row r="729" spans="10:40" ht="14.5" x14ac:dyDescent="0.35">
      <c r="J729" s="65"/>
      <c r="K729" s="65"/>
      <c r="L729" s="65"/>
      <c r="M729" s="65"/>
      <c r="N729" s="65"/>
      <c r="O729" s="65"/>
      <c r="P729" s="65"/>
      <c r="Q729" s="65"/>
      <c r="R729" s="65"/>
      <c r="S729" s="65"/>
      <c r="T729" s="65"/>
      <c r="U729" s="65"/>
      <c r="V729" s="65"/>
      <c r="W729" s="65"/>
      <c r="X729" s="65"/>
      <c r="Y729" s="65"/>
      <c r="Z729" s="65"/>
      <c r="AA729" s="65"/>
      <c r="AB729" s="65"/>
      <c r="AC729" s="65"/>
      <c r="AD729" s="65"/>
      <c r="AE729" s="65"/>
      <c r="AF729" s="65"/>
      <c r="AG729" s="65"/>
      <c r="AH729" s="65"/>
      <c r="AI729" s="65"/>
      <c r="AJ729" s="65"/>
      <c r="AK729" s="65"/>
      <c r="AL729" s="65"/>
      <c r="AM729" s="65"/>
      <c r="AN729" s="65"/>
    </row>
    <row r="730" spans="10:40" ht="14.5" x14ac:dyDescent="0.35">
      <c r="J730" s="65"/>
      <c r="K730" s="65"/>
      <c r="L730" s="65"/>
      <c r="M730" s="65"/>
      <c r="N730" s="65"/>
      <c r="O730" s="65"/>
      <c r="P730" s="65"/>
      <c r="Q730" s="65"/>
      <c r="R730" s="65"/>
      <c r="S730" s="65"/>
      <c r="T730" s="65"/>
      <c r="U730" s="65"/>
      <c r="V730" s="65"/>
      <c r="W730" s="65"/>
      <c r="X730" s="65"/>
      <c r="Y730" s="65"/>
      <c r="Z730" s="65"/>
      <c r="AA730" s="65"/>
      <c r="AB730" s="65"/>
      <c r="AC730" s="65"/>
      <c r="AD730" s="65"/>
      <c r="AE730" s="65"/>
      <c r="AF730" s="65"/>
      <c r="AG730" s="65"/>
      <c r="AH730" s="65"/>
      <c r="AI730" s="65"/>
      <c r="AJ730" s="65"/>
      <c r="AK730" s="65"/>
      <c r="AL730" s="65"/>
      <c r="AM730" s="65"/>
      <c r="AN730" s="65"/>
    </row>
    <row r="731" spans="10:40" ht="14.5" x14ac:dyDescent="0.35">
      <c r="J731" s="65"/>
      <c r="K731" s="65"/>
      <c r="L731" s="65"/>
      <c r="M731" s="65"/>
      <c r="N731" s="65"/>
      <c r="O731" s="65"/>
      <c r="P731" s="65"/>
      <c r="Q731" s="65"/>
      <c r="R731" s="65"/>
      <c r="S731" s="65"/>
      <c r="T731" s="65"/>
      <c r="U731" s="65"/>
      <c r="V731" s="65"/>
      <c r="W731" s="65"/>
      <c r="X731" s="65"/>
      <c r="Y731" s="65"/>
      <c r="Z731" s="65"/>
      <c r="AA731" s="65"/>
      <c r="AB731" s="65"/>
      <c r="AC731" s="65"/>
      <c r="AD731" s="65"/>
      <c r="AE731" s="65"/>
      <c r="AF731" s="65"/>
      <c r="AG731" s="65"/>
      <c r="AH731" s="65"/>
      <c r="AI731" s="65"/>
      <c r="AJ731" s="65"/>
      <c r="AK731" s="65"/>
      <c r="AL731" s="65"/>
      <c r="AM731" s="65"/>
      <c r="AN731" s="65"/>
    </row>
    <row r="732" spans="10:40" ht="14.5" x14ac:dyDescent="0.35">
      <c r="J732" s="65"/>
      <c r="K732" s="65"/>
      <c r="L732" s="65"/>
      <c r="M732" s="65"/>
      <c r="N732" s="65"/>
      <c r="O732" s="65"/>
      <c r="P732" s="65"/>
      <c r="Q732" s="65"/>
      <c r="R732" s="65"/>
      <c r="S732" s="65"/>
      <c r="T732" s="65"/>
      <c r="U732" s="65"/>
      <c r="V732" s="65"/>
      <c r="W732" s="65"/>
      <c r="X732" s="65"/>
      <c r="Y732" s="65"/>
      <c r="Z732" s="65"/>
      <c r="AA732" s="65"/>
      <c r="AB732" s="65"/>
      <c r="AC732" s="65"/>
      <c r="AD732" s="65"/>
      <c r="AE732" s="65"/>
      <c r="AF732" s="65"/>
      <c r="AG732" s="65"/>
      <c r="AH732" s="65"/>
      <c r="AI732" s="65"/>
      <c r="AJ732" s="65"/>
      <c r="AK732" s="65"/>
      <c r="AL732" s="65"/>
      <c r="AM732" s="65"/>
      <c r="AN732" s="65"/>
    </row>
    <row r="733" spans="10:40" ht="14.5" x14ac:dyDescent="0.35">
      <c r="J733" s="65"/>
      <c r="K733" s="65"/>
      <c r="L733" s="65"/>
      <c r="M733" s="65"/>
      <c r="N733" s="65"/>
      <c r="O733" s="65"/>
      <c r="P733" s="65"/>
      <c r="Q733" s="65"/>
      <c r="R733" s="65"/>
      <c r="S733" s="65"/>
      <c r="T733" s="65"/>
      <c r="U733" s="65"/>
      <c r="V733" s="65"/>
      <c r="W733" s="65"/>
      <c r="X733" s="65"/>
      <c r="Y733" s="65"/>
      <c r="Z733" s="65"/>
      <c r="AA733" s="65"/>
      <c r="AB733" s="65"/>
      <c r="AC733" s="65"/>
      <c r="AD733" s="65"/>
      <c r="AE733" s="65"/>
      <c r="AF733" s="65"/>
      <c r="AG733" s="65"/>
      <c r="AH733" s="65"/>
      <c r="AI733" s="65"/>
      <c r="AJ733" s="65"/>
      <c r="AK733" s="65"/>
      <c r="AL733" s="65"/>
      <c r="AM733" s="65"/>
      <c r="AN733" s="65"/>
    </row>
    <row r="734" spans="10:40" ht="14.5" x14ac:dyDescent="0.35">
      <c r="J734" s="65"/>
      <c r="K734" s="65"/>
      <c r="L734" s="65"/>
      <c r="M734" s="65"/>
      <c r="N734" s="65"/>
      <c r="O734" s="65"/>
      <c r="P734" s="65"/>
      <c r="Q734" s="65"/>
      <c r="R734" s="65"/>
      <c r="S734" s="65"/>
      <c r="T734" s="65"/>
      <c r="U734" s="65"/>
      <c r="V734" s="65"/>
      <c r="W734" s="65"/>
      <c r="X734" s="65"/>
      <c r="Y734" s="65"/>
      <c r="Z734" s="65"/>
      <c r="AA734" s="65"/>
      <c r="AB734" s="65"/>
      <c r="AC734" s="65"/>
      <c r="AD734" s="65"/>
      <c r="AE734" s="65"/>
      <c r="AF734" s="65"/>
      <c r="AG734" s="65"/>
      <c r="AH734" s="65"/>
      <c r="AI734" s="65"/>
      <c r="AJ734" s="65"/>
      <c r="AK734" s="65"/>
      <c r="AL734" s="65"/>
      <c r="AM734" s="65"/>
      <c r="AN734" s="65"/>
    </row>
    <row r="735" spans="10:40" ht="14.5" x14ac:dyDescent="0.35">
      <c r="J735" s="65"/>
      <c r="K735" s="65"/>
      <c r="L735" s="65"/>
      <c r="M735" s="65"/>
      <c r="N735" s="65"/>
      <c r="O735" s="65"/>
      <c r="P735" s="65"/>
      <c r="Q735" s="65"/>
      <c r="R735" s="65"/>
      <c r="S735" s="65"/>
      <c r="T735" s="65"/>
      <c r="U735" s="65"/>
      <c r="V735" s="65"/>
      <c r="W735" s="65"/>
      <c r="X735" s="65"/>
      <c r="Y735" s="65"/>
      <c r="Z735" s="65"/>
      <c r="AA735" s="65"/>
      <c r="AB735" s="65"/>
      <c r="AC735" s="65"/>
      <c r="AD735" s="65"/>
      <c r="AE735" s="65"/>
      <c r="AF735" s="65"/>
      <c r="AG735" s="65"/>
      <c r="AH735" s="65"/>
      <c r="AI735" s="65"/>
      <c r="AJ735" s="65"/>
      <c r="AK735" s="65"/>
      <c r="AL735" s="65"/>
      <c r="AM735" s="65"/>
      <c r="AN735" s="65"/>
    </row>
    <row r="736" spans="10:40" ht="14.5" x14ac:dyDescent="0.35">
      <c r="J736" s="65"/>
      <c r="K736" s="65"/>
      <c r="L736" s="65"/>
      <c r="M736" s="65"/>
      <c r="N736" s="65"/>
      <c r="O736" s="65"/>
      <c r="P736" s="65"/>
      <c r="Q736" s="65"/>
      <c r="R736" s="65"/>
      <c r="S736" s="65"/>
      <c r="T736" s="65"/>
      <c r="U736" s="65"/>
      <c r="V736" s="65"/>
      <c r="W736" s="65"/>
      <c r="X736" s="65"/>
      <c r="Y736" s="65"/>
      <c r="Z736" s="65"/>
      <c r="AA736" s="65"/>
      <c r="AB736" s="65"/>
      <c r="AC736" s="65"/>
      <c r="AD736" s="65"/>
      <c r="AE736" s="65"/>
      <c r="AF736" s="65"/>
      <c r="AG736" s="65"/>
      <c r="AH736" s="65"/>
      <c r="AI736" s="65"/>
      <c r="AJ736" s="65"/>
      <c r="AK736" s="65"/>
      <c r="AL736" s="65"/>
      <c r="AM736" s="65"/>
      <c r="AN736" s="65"/>
    </row>
    <row r="737" spans="10:40" ht="14.5" x14ac:dyDescent="0.35">
      <c r="J737" s="65"/>
      <c r="K737" s="65"/>
      <c r="L737" s="65"/>
      <c r="M737" s="65"/>
      <c r="N737" s="65"/>
      <c r="O737" s="65"/>
      <c r="P737" s="65"/>
      <c r="Q737" s="65"/>
      <c r="R737" s="65"/>
      <c r="S737" s="65"/>
      <c r="T737" s="65"/>
      <c r="U737" s="65"/>
      <c r="V737" s="65"/>
      <c r="W737" s="65"/>
      <c r="X737" s="65"/>
      <c r="Y737" s="65"/>
      <c r="Z737" s="65"/>
      <c r="AA737" s="65"/>
      <c r="AB737" s="65"/>
      <c r="AC737" s="65"/>
      <c r="AD737" s="65"/>
      <c r="AE737" s="65"/>
      <c r="AF737" s="65"/>
      <c r="AG737" s="65"/>
      <c r="AH737" s="65"/>
      <c r="AI737" s="65"/>
      <c r="AJ737" s="65"/>
      <c r="AK737" s="65"/>
      <c r="AL737" s="65"/>
      <c r="AM737" s="65"/>
      <c r="AN737" s="65"/>
    </row>
    <row r="738" spans="10:40" ht="14.5" x14ac:dyDescent="0.35">
      <c r="J738" s="65"/>
      <c r="K738" s="65"/>
      <c r="L738" s="65"/>
      <c r="M738" s="65"/>
      <c r="N738" s="65"/>
      <c r="O738" s="65"/>
      <c r="P738" s="65"/>
      <c r="Q738" s="65"/>
      <c r="R738" s="65"/>
      <c r="S738" s="65"/>
      <c r="T738" s="65"/>
      <c r="U738" s="65"/>
      <c r="V738" s="65"/>
      <c r="W738" s="65"/>
      <c r="X738" s="65"/>
      <c r="Y738" s="65"/>
      <c r="Z738" s="65"/>
      <c r="AA738" s="65"/>
      <c r="AB738" s="65"/>
      <c r="AC738" s="65"/>
      <c r="AD738" s="65"/>
      <c r="AE738" s="65"/>
      <c r="AF738" s="65"/>
      <c r="AG738" s="65"/>
      <c r="AH738" s="65"/>
      <c r="AI738" s="65"/>
      <c r="AJ738" s="65"/>
      <c r="AK738" s="65"/>
      <c r="AL738" s="65"/>
      <c r="AM738" s="65"/>
      <c r="AN738" s="65"/>
    </row>
    <row r="739" spans="10:40" ht="14.5" x14ac:dyDescent="0.35">
      <c r="J739" s="65"/>
      <c r="K739" s="65"/>
      <c r="L739" s="65"/>
      <c r="M739" s="65"/>
      <c r="N739" s="65"/>
      <c r="O739" s="65"/>
      <c r="P739" s="65"/>
      <c r="Q739" s="65"/>
      <c r="R739" s="65"/>
      <c r="S739" s="65"/>
      <c r="T739" s="65"/>
      <c r="U739" s="65"/>
      <c r="V739" s="65"/>
      <c r="W739" s="65"/>
      <c r="X739" s="65"/>
      <c r="Y739" s="65"/>
      <c r="Z739" s="65"/>
      <c r="AA739" s="65"/>
      <c r="AB739" s="65"/>
      <c r="AC739" s="65"/>
      <c r="AD739" s="65"/>
      <c r="AE739" s="65"/>
      <c r="AF739" s="65"/>
      <c r="AG739" s="65"/>
      <c r="AH739" s="65"/>
      <c r="AI739" s="65"/>
      <c r="AJ739" s="65"/>
      <c r="AK739" s="65"/>
      <c r="AL739" s="65"/>
      <c r="AM739" s="65"/>
      <c r="AN739" s="65"/>
    </row>
    <row r="740" spans="10:40" ht="14.5" x14ac:dyDescent="0.35">
      <c r="J740" s="65"/>
      <c r="K740" s="65"/>
      <c r="L740" s="65"/>
      <c r="M740" s="65"/>
      <c r="N740" s="65"/>
      <c r="O740" s="65"/>
      <c r="P740" s="65"/>
      <c r="Q740" s="65"/>
      <c r="R740" s="65"/>
      <c r="S740" s="65"/>
      <c r="T740" s="65"/>
      <c r="U740" s="65"/>
      <c r="V740" s="65"/>
      <c r="W740" s="65"/>
      <c r="X740" s="65"/>
      <c r="Y740" s="65"/>
      <c r="Z740" s="65"/>
      <c r="AA740" s="65"/>
      <c r="AB740" s="65"/>
      <c r="AC740" s="65"/>
      <c r="AD740" s="65"/>
      <c r="AE740" s="65"/>
      <c r="AF740" s="65"/>
      <c r="AG740" s="65"/>
      <c r="AH740" s="65"/>
      <c r="AI740" s="65"/>
      <c r="AJ740" s="65"/>
      <c r="AK740" s="65"/>
      <c r="AL740" s="65"/>
      <c r="AM740" s="65"/>
      <c r="AN740" s="65"/>
    </row>
    <row r="741" spans="10:40" ht="14.5" x14ac:dyDescent="0.35">
      <c r="J741" s="65"/>
      <c r="K741" s="65"/>
      <c r="L741" s="65"/>
      <c r="M741" s="65"/>
      <c r="N741" s="65"/>
      <c r="O741" s="65"/>
      <c r="P741" s="65"/>
      <c r="Q741" s="65"/>
      <c r="R741" s="65"/>
      <c r="S741" s="65"/>
      <c r="T741" s="65"/>
      <c r="U741" s="65"/>
      <c r="V741" s="65"/>
      <c r="W741" s="65"/>
      <c r="X741" s="65"/>
      <c r="Y741" s="65"/>
      <c r="Z741" s="65"/>
      <c r="AA741" s="65"/>
      <c r="AB741" s="65"/>
      <c r="AC741" s="65"/>
      <c r="AD741" s="65"/>
      <c r="AE741" s="65"/>
      <c r="AF741" s="65"/>
      <c r="AG741" s="65"/>
      <c r="AH741" s="65"/>
      <c r="AI741" s="65"/>
      <c r="AJ741" s="65"/>
      <c r="AK741" s="65"/>
      <c r="AL741" s="65"/>
      <c r="AM741" s="65"/>
      <c r="AN741" s="65"/>
    </row>
    <row r="742" spans="10:40" ht="14.5" x14ac:dyDescent="0.35">
      <c r="J742" s="65"/>
      <c r="K742" s="65"/>
      <c r="L742" s="65"/>
      <c r="M742" s="65"/>
      <c r="N742" s="65"/>
      <c r="O742" s="65"/>
      <c r="P742" s="65"/>
      <c r="Q742" s="65"/>
      <c r="R742" s="65"/>
      <c r="S742" s="65"/>
      <c r="T742" s="65"/>
      <c r="U742" s="65"/>
      <c r="V742" s="65"/>
      <c r="W742" s="65"/>
      <c r="X742" s="65"/>
      <c r="Y742" s="65"/>
      <c r="Z742" s="65"/>
      <c r="AA742" s="65"/>
      <c r="AB742" s="65"/>
      <c r="AC742" s="65"/>
      <c r="AD742" s="65"/>
      <c r="AE742" s="65"/>
      <c r="AF742" s="65"/>
      <c r="AG742" s="65"/>
      <c r="AH742" s="65"/>
      <c r="AI742" s="65"/>
      <c r="AJ742" s="65"/>
      <c r="AK742" s="65"/>
      <c r="AL742" s="65"/>
      <c r="AM742" s="65"/>
      <c r="AN742" s="65"/>
    </row>
    <row r="743" spans="10:40" ht="14.5" x14ac:dyDescent="0.35">
      <c r="J743" s="65"/>
      <c r="K743" s="65"/>
      <c r="L743" s="65"/>
      <c r="M743" s="65"/>
      <c r="N743" s="65"/>
      <c r="O743" s="65"/>
      <c r="P743" s="65"/>
      <c r="Q743" s="65"/>
      <c r="R743" s="65"/>
      <c r="S743" s="65"/>
      <c r="T743" s="65"/>
      <c r="U743" s="65"/>
      <c r="V743" s="65"/>
      <c r="W743" s="65"/>
      <c r="X743" s="65"/>
      <c r="Y743" s="65"/>
      <c r="Z743" s="65"/>
      <c r="AA743" s="65"/>
      <c r="AB743" s="65"/>
      <c r="AC743" s="65"/>
      <c r="AD743" s="65"/>
      <c r="AE743" s="65"/>
      <c r="AF743" s="65"/>
      <c r="AG743" s="65"/>
      <c r="AH743" s="65"/>
      <c r="AI743" s="65"/>
      <c r="AJ743" s="65"/>
      <c r="AK743" s="65"/>
      <c r="AL743" s="65"/>
      <c r="AM743" s="65"/>
      <c r="AN743" s="65"/>
    </row>
    <row r="744" spans="10:40" ht="14.5" x14ac:dyDescent="0.35">
      <c r="J744" s="65"/>
      <c r="K744" s="65"/>
      <c r="L744" s="65"/>
      <c r="M744" s="65"/>
      <c r="N744" s="65"/>
      <c r="O744" s="65"/>
      <c r="P744" s="65"/>
      <c r="Q744" s="65"/>
      <c r="R744" s="65"/>
      <c r="S744" s="65"/>
      <c r="T744" s="65"/>
      <c r="U744" s="65"/>
      <c r="V744" s="65"/>
      <c r="W744" s="65"/>
      <c r="X744" s="65"/>
      <c r="Y744" s="65"/>
      <c r="Z744" s="65"/>
      <c r="AA744" s="65"/>
      <c r="AB744" s="65"/>
      <c r="AC744" s="65"/>
      <c r="AD744" s="65"/>
      <c r="AE744" s="65"/>
      <c r="AF744" s="65"/>
      <c r="AG744" s="65"/>
      <c r="AH744" s="65"/>
      <c r="AI744" s="65"/>
      <c r="AJ744" s="65"/>
      <c r="AK744" s="65"/>
      <c r="AL744" s="65"/>
      <c r="AM744" s="65"/>
      <c r="AN744" s="65"/>
    </row>
    <row r="745" spans="10:40" ht="14.5" x14ac:dyDescent="0.35">
      <c r="J745" s="65"/>
      <c r="K745" s="65"/>
      <c r="L745" s="65"/>
      <c r="M745" s="65"/>
      <c r="N745" s="65"/>
      <c r="O745" s="65"/>
      <c r="P745" s="65"/>
      <c r="Q745" s="65"/>
      <c r="R745" s="65"/>
      <c r="S745" s="65"/>
      <c r="T745" s="65"/>
      <c r="U745" s="65"/>
      <c r="V745" s="65"/>
      <c r="W745" s="65"/>
      <c r="X745" s="65"/>
      <c r="Y745" s="65"/>
      <c r="Z745" s="65"/>
      <c r="AA745" s="65"/>
      <c r="AB745" s="65"/>
      <c r="AC745" s="65"/>
      <c r="AD745" s="65"/>
      <c r="AE745" s="65"/>
      <c r="AF745" s="65"/>
      <c r="AG745" s="65"/>
      <c r="AH745" s="65"/>
      <c r="AI745" s="65"/>
      <c r="AJ745" s="65"/>
      <c r="AK745" s="65"/>
      <c r="AL745" s="65"/>
      <c r="AM745" s="65"/>
      <c r="AN745" s="65"/>
    </row>
    <row r="746" spans="10:40" ht="14.5" x14ac:dyDescent="0.35">
      <c r="J746" s="65"/>
      <c r="K746" s="65"/>
      <c r="L746" s="65"/>
      <c r="M746" s="65"/>
      <c r="N746" s="65"/>
      <c r="O746" s="65"/>
      <c r="P746" s="65"/>
      <c r="Q746" s="65"/>
      <c r="R746" s="65"/>
      <c r="S746" s="65"/>
      <c r="T746" s="65"/>
      <c r="U746" s="65"/>
      <c r="V746" s="65"/>
      <c r="W746" s="65"/>
      <c r="X746" s="65"/>
      <c r="Y746" s="65"/>
      <c r="Z746" s="65"/>
      <c r="AA746" s="65"/>
      <c r="AB746" s="65"/>
      <c r="AC746" s="65"/>
      <c r="AD746" s="65"/>
      <c r="AE746" s="65"/>
      <c r="AF746" s="65"/>
      <c r="AG746" s="65"/>
      <c r="AH746" s="65"/>
      <c r="AI746" s="65"/>
      <c r="AJ746" s="65"/>
      <c r="AK746" s="65"/>
      <c r="AL746" s="65"/>
      <c r="AM746" s="65"/>
      <c r="AN746" s="65"/>
    </row>
    <row r="747" spans="10:40" ht="14.5" x14ac:dyDescent="0.35">
      <c r="J747" s="65"/>
      <c r="K747" s="65"/>
      <c r="L747" s="65"/>
      <c r="M747" s="65"/>
      <c r="N747" s="65"/>
      <c r="O747" s="65"/>
      <c r="P747" s="65"/>
      <c r="Q747" s="65"/>
      <c r="R747" s="65"/>
      <c r="S747" s="65"/>
      <c r="T747" s="65"/>
      <c r="U747" s="65"/>
      <c r="V747" s="65"/>
      <c r="W747" s="65"/>
      <c r="X747" s="65"/>
      <c r="Y747" s="65"/>
      <c r="Z747" s="65"/>
      <c r="AA747" s="65"/>
      <c r="AB747" s="65"/>
      <c r="AC747" s="65"/>
      <c r="AD747" s="65"/>
      <c r="AE747" s="65"/>
      <c r="AF747" s="65"/>
      <c r="AG747" s="65"/>
      <c r="AH747" s="65"/>
      <c r="AI747" s="65"/>
      <c r="AJ747" s="65"/>
      <c r="AK747" s="65"/>
      <c r="AL747" s="65"/>
      <c r="AM747" s="65"/>
      <c r="AN747" s="65"/>
    </row>
    <row r="748" spans="10:40" ht="14.5" x14ac:dyDescent="0.35">
      <c r="J748" s="65"/>
      <c r="K748" s="65"/>
      <c r="L748" s="65"/>
      <c r="M748" s="65"/>
      <c r="N748" s="65"/>
      <c r="O748" s="65"/>
      <c r="P748" s="65"/>
      <c r="Q748" s="65"/>
      <c r="R748" s="65"/>
      <c r="S748" s="65"/>
      <c r="T748" s="65"/>
      <c r="U748" s="65"/>
      <c r="V748" s="65"/>
      <c r="W748" s="65"/>
      <c r="X748" s="65"/>
      <c r="Y748" s="65"/>
      <c r="Z748" s="65"/>
      <c r="AA748" s="65"/>
      <c r="AB748" s="65"/>
      <c r="AC748" s="65"/>
      <c r="AD748" s="65"/>
      <c r="AE748" s="65"/>
      <c r="AF748" s="65"/>
      <c r="AG748" s="65"/>
      <c r="AH748" s="65"/>
      <c r="AI748" s="65"/>
      <c r="AJ748" s="65"/>
      <c r="AK748" s="65"/>
      <c r="AL748" s="65"/>
      <c r="AM748" s="65"/>
      <c r="AN748" s="65"/>
    </row>
    <row r="749" spans="10:40" ht="14.5" x14ac:dyDescent="0.35">
      <c r="J749" s="65"/>
      <c r="K749" s="65"/>
      <c r="L749" s="65"/>
      <c r="M749" s="65"/>
      <c r="N749" s="65"/>
      <c r="O749" s="65"/>
      <c r="P749" s="65"/>
      <c r="Q749" s="65"/>
      <c r="R749" s="65"/>
      <c r="S749" s="65"/>
      <c r="T749" s="65"/>
      <c r="U749" s="65"/>
      <c r="V749" s="65"/>
      <c r="W749" s="65"/>
      <c r="X749" s="65"/>
      <c r="Y749" s="65"/>
      <c r="Z749" s="65"/>
      <c r="AA749" s="65"/>
      <c r="AB749" s="65"/>
      <c r="AC749" s="65"/>
      <c r="AD749" s="65"/>
      <c r="AE749" s="65"/>
      <c r="AF749" s="65"/>
      <c r="AG749" s="65"/>
      <c r="AH749" s="65"/>
      <c r="AI749" s="65"/>
      <c r="AJ749" s="65"/>
      <c r="AK749" s="65"/>
      <c r="AL749" s="65"/>
      <c r="AM749" s="65"/>
      <c r="AN749" s="65"/>
    </row>
    <row r="750" spans="10:40" ht="14.5" x14ac:dyDescent="0.35">
      <c r="J750" s="65"/>
      <c r="K750" s="65"/>
      <c r="L750" s="65"/>
      <c r="M750" s="65"/>
      <c r="N750" s="65"/>
      <c r="O750" s="65"/>
      <c r="P750" s="65"/>
      <c r="Q750" s="65"/>
      <c r="R750" s="65"/>
      <c r="S750" s="65"/>
      <c r="T750" s="65"/>
      <c r="U750" s="65"/>
      <c r="V750" s="65"/>
      <c r="W750" s="65"/>
      <c r="X750" s="65"/>
      <c r="Y750" s="65"/>
      <c r="Z750" s="65"/>
      <c r="AA750" s="65"/>
      <c r="AB750" s="65"/>
      <c r="AC750" s="65"/>
      <c r="AD750" s="65"/>
      <c r="AE750" s="65"/>
      <c r="AF750" s="65"/>
      <c r="AG750" s="65"/>
      <c r="AH750" s="65"/>
      <c r="AI750" s="65"/>
      <c r="AJ750" s="65"/>
      <c r="AK750" s="65"/>
      <c r="AL750" s="65"/>
      <c r="AM750" s="65"/>
      <c r="AN750" s="65"/>
    </row>
    <row r="751" spans="10:40" ht="14.5" x14ac:dyDescent="0.35">
      <c r="J751" s="65"/>
      <c r="K751" s="65"/>
      <c r="L751" s="65"/>
      <c r="M751" s="65"/>
      <c r="N751" s="65"/>
      <c r="O751" s="65"/>
      <c r="P751" s="65"/>
      <c r="Q751" s="65"/>
      <c r="R751" s="65"/>
      <c r="S751" s="65"/>
      <c r="T751" s="65"/>
      <c r="U751" s="65"/>
      <c r="V751" s="65"/>
      <c r="W751" s="65"/>
      <c r="X751" s="65"/>
      <c r="Y751" s="65"/>
      <c r="Z751" s="65"/>
      <c r="AA751" s="65"/>
      <c r="AB751" s="65"/>
      <c r="AC751" s="65"/>
      <c r="AD751" s="65"/>
      <c r="AE751" s="65"/>
      <c r="AF751" s="65"/>
      <c r="AG751" s="65"/>
      <c r="AH751" s="65"/>
      <c r="AI751" s="65"/>
      <c r="AJ751" s="65"/>
      <c r="AK751" s="65"/>
      <c r="AL751" s="65"/>
      <c r="AM751" s="65"/>
      <c r="AN751" s="65"/>
    </row>
    <row r="752" spans="10:40" ht="14.5" x14ac:dyDescent="0.35">
      <c r="J752" s="65"/>
      <c r="K752" s="65"/>
      <c r="L752" s="65"/>
      <c r="M752" s="65"/>
      <c r="N752" s="65"/>
      <c r="O752" s="65"/>
      <c r="P752" s="65"/>
      <c r="Q752" s="65"/>
      <c r="R752" s="65"/>
      <c r="S752" s="65"/>
      <c r="T752" s="65"/>
      <c r="U752" s="65"/>
      <c r="V752" s="65"/>
      <c r="W752" s="65"/>
      <c r="X752" s="65"/>
      <c r="Y752" s="65"/>
      <c r="Z752" s="65"/>
      <c r="AA752" s="65"/>
      <c r="AB752" s="65"/>
      <c r="AC752" s="65"/>
      <c r="AD752" s="65"/>
      <c r="AE752" s="65"/>
      <c r="AF752" s="65"/>
      <c r="AG752" s="65"/>
      <c r="AH752" s="65"/>
      <c r="AI752" s="65"/>
      <c r="AJ752" s="65"/>
      <c r="AK752" s="65"/>
      <c r="AL752" s="65"/>
      <c r="AM752" s="65"/>
      <c r="AN752" s="65"/>
    </row>
    <row r="753" spans="10:40" ht="14.5" x14ac:dyDescent="0.35">
      <c r="J753" s="65"/>
      <c r="K753" s="65"/>
      <c r="L753" s="65"/>
      <c r="M753" s="65"/>
      <c r="N753" s="65"/>
      <c r="O753" s="65"/>
      <c r="P753" s="65"/>
      <c r="Q753" s="65"/>
      <c r="R753" s="65"/>
      <c r="S753" s="65"/>
      <c r="T753" s="65"/>
      <c r="U753" s="65"/>
      <c r="V753" s="65"/>
      <c r="W753" s="65"/>
      <c r="X753" s="65"/>
      <c r="Y753" s="65"/>
      <c r="Z753" s="65"/>
      <c r="AA753" s="65"/>
      <c r="AB753" s="65"/>
      <c r="AC753" s="65"/>
      <c r="AD753" s="65"/>
      <c r="AE753" s="65"/>
      <c r="AF753" s="65"/>
      <c r="AG753" s="65"/>
      <c r="AH753" s="65"/>
      <c r="AI753" s="65"/>
      <c r="AJ753" s="65"/>
      <c r="AK753" s="65"/>
      <c r="AL753" s="65"/>
      <c r="AM753" s="65"/>
      <c r="AN753" s="65"/>
    </row>
    <row r="754" spans="10:40" ht="14.5" x14ac:dyDescent="0.35">
      <c r="J754" s="65"/>
      <c r="K754" s="65"/>
      <c r="L754" s="65"/>
      <c r="M754" s="65"/>
      <c r="N754" s="65"/>
      <c r="O754" s="65"/>
      <c r="P754" s="65"/>
      <c r="Q754" s="65"/>
      <c r="R754" s="65"/>
      <c r="S754" s="65"/>
      <c r="T754" s="65"/>
      <c r="U754" s="65"/>
      <c r="V754" s="65"/>
      <c r="W754" s="65"/>
      <c r="X754" s="65"/>
      <c r="Y754" s="65"/>
      <c r="Z754" s="65"/>
      <c r="AA754" s="65"/>
      <c r="AB754" s="65"/>
      <c r="AC754" s="65"/>
      <c r="AD754" s="65"/>
      <c r="AE754" s="65"/>
      <c r="AF754" s="65"/>
      <c r="AG754" s="65"/>
      <c r="AH754" s="65"/>
      <c r="AI754" s="65"/>
      <c r="AJ754" s="65"/>
      <c r="AK754" s="65"/>
      <c r="AL754" s="65"/>
      <c r="AM754" s="65"/>
      <c r="AN754" s="65"/>
    </row>
    <row r="755" spans="10:40" ht="14.5" x14ac:dyDescent="0.35">
      <c r="J755" s="65"/>
      <c r="K755" s="65"/>
      <c r="L755" s="65"/>
      <c r="M755" s="65"/>
      <c r="N755" s="65"/>
      <c r="O755" s="65"/>
      <c r="P755" s="65"/>
      <c r="Q755" s="65"/>
      <c r="R755" s="65"/>
      <c r="S755" s="65"/>
      <c r="T755" s="65"/>
      <c r="U755" s="65"/>
      <c r="V755" s="65"/>
      <c r="W755" s="65"/>
      <c r="X755" s="65"/>
      <c r="Y755" s="65"/>
      <c r="Z755" s="65"/>
      <c r="AA755" s="65"/>
      <c r="AB755" s="65"/>
      <c r="AC755" s="65"/>
      <c r="AD755" s="65"/>
      <c r="AE755" s="65"/>
      <c r="AF755" s="65"/>
      <c r="AG755" s="65"/>
      <c r="AH755" s="65"/>
      <c r="AI755" s="65"/>
      <c r="AJ755" s="65"/>
      <c r="AK755" s="65"/>
      <c r="AL755" s="65"/>
      <c r="AM755" s="65"/>
      <c r="AN755" s="65"/>
    </row>
    <row r="756" spans="10:40" ht="14.5" x14ac:dyDescent="0.35">
      <c r="J756" s="65"/>
      <c r="K756" s="65"/>
      <c r="L756" s="65"/>
      <c r="M756" s="65"/>
      <c r="N756" s="65"/>
      <c r="O756" s="65"/>
      <c r="P756" s="65"/>
      <c r="Q756" s="65"/>
      <c r="R756" s="65"/>
      <c r="S756" s="65"/>
      <c r="T756" s="65"/>
      <c r="U756" s="65"/>
      <c r="V756" s="65"/>
      <c r="W756" s="65"/>
      <c r="X756" s="65"/>
      <c r="Y756" s="65"/>
      <c r="Z756" s="65"/>
      <c r="AA756" s="65"/>
      <c r="AB756" s="65"/>
      <c r="AC756" s="65"/>
      <c r="AD756" s="65"/>
      <c r="AE756" s="65"/>
      <c r="AF756" s="65"/>
      <c r="AG756" s="65"/>
      <c r="AH756" s="65"/>
      <c r="AI756" s="65"/>
      <c r="AJ756" s="65"/>
      <c r="AK756" s="65"/>
      <c r="AL756" s="65"/>
      <c r="AM756" s="65"/>
      <c r="AN756" s="65"/>
    </row>
    <row r="757" spans="10:40" ht="14.5" x14ac:dyDescent="0.3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c r="AH757" s="65"/>
      <c r="AI757" s="65"/>
      <c r="AJ757" s="65"/>
      <c r="AK757" s="65"/>
      <c r="AL757" s="65"/>
      <c r="AM757" s="65"/>
      <c r="AN757" s="65"/>
    </row>
    <row r="758" spans="10:40" ht="14.5" x14ac:dyDescent="0.35">
      <c r="J758" s="65"/>
      <c r="K758" s="65"/>
      <c r="L758" s="65"/>
      <c r="M758" s="65"/>
      <c r="N758" s="65"/>
      <c r="O758" s="65"/>
      <c r="P758" s="65"/>
      <c r="Q758" s="65"/>
      <c r="R758" s="65"/>
      <c r="S758" s="65"/>
      <c r="T758" s="65"/>
      <c r="U758" s="65"/>
      <c r="V758" s="65"/>
      <c r="W758" s="65"/>
      <c r="X758" s="65"/>
      <c r="Y758" s="65"/>
      <c r="Z758" s="65"/>
      <c r="AA758" s="65"/>
      <c r="AB758" s="65"/>
      <c r="AC758" s="65"/>
      <c r="AD758" s="65"/>
      <c r="AE758" s="65"/>
      <c r="AF758" s="65"/>
      <c r="AG758" s="65"/>
      <c r="AH758" s="65"/>
      <c r="AI758" s="65"/>
      <c r="AJ758" s="65"/>
      <c r="AK758" s="65"/>
      <c r="AL758" s="65"/>
      <c r="AM758" s="65"/>
      <c r="AN758" s="65"/>
    </row>
    <row r="759" spans="10:40" ht="14.5" x14ac:dyDescent="0.35">
      <c r="J759" s="65"/>
      <c r="K759" s="65"/>
      <c r="L759" s="65"/>
      <c r="M759" s="65"/>
      <c r="N759" s="65"/>
      <c r="O759" s="65"/>
      <c r="P759" s="65"/>
      <c r="Q759" s="65"/>
      <c r="R759" s="65"/>
      <c r="S759" s="65"/>
      <c r="T759" s="65"/>
      <c r="U759" s="65"/>
      <c r="V759" s="65"/>
      <c r="W759" s="65"/>
      <c r="X759" s="65"/>
      <c r="Y759" s="65"/>
      <c r="Z759" s="65"/>
      <c r="AA759" s="65"/>
      <c r="AB759" s="65"/>
      <c r="AC759" s="65"/>
      <c r="AD759" s="65"/>
      <c r="AE759" s="65"/>
      <c r="AF759" s="65"/>
      <c r="AG759" s="65"/>
      <c r="AH759" s="65"/>
      <c r="AI759" s="65"/>
      <c r="AJ759" s="65"/>
      <c r="AK759" s="65"/>
      <c r="AL759" s="65"/>
      <c r="AM759" s="65"/>
      <c r="AN759" s="65"/>
    </row>
    <row r="760" spans="10:40" ht="14.5" x14ac:dyDescent="0.35">
      <c r="J760" s="65"/>
      <c r="K760" s="65"/>
      <c r="L760" s="65"/>
      <c r="M760" s="65"/>
      <c r="N760" s="65"/>
      <c r="O760" s="65"/>
      <c r="P760" s="65"/>
      <c r="Q760" s="65"/>
      <c r="R760" s="65"/>
      <c r="S760" s="65"/>
      <c r="T760" s="65"/>
      <c r="U760" s="65"/>
      <c r="V760" s="65"/>
      <c r="W760" s="65"/>
      <c r="X760" s="65"/>
      <c r="Y760" s="65"/>
      <c r="Z760" s="65"/>
      <c r="AA760" s="65"/>
      <c r="AB760" s="65"/>
      <c r="AC760" s="65"/>
      <c r="AD760" s="65"/>
      <c r="AE760" s="65"/>
      <c r="AF760" s="65"/>
      <c r="AG760" s="65"/>
      <c r="AH760" s="65"/>
      <c r="AI760" s="65"/>
      <c r="AJ760" s="65"/>
      <c r="AK760" s="65"/>
      <c r="AL760" s="65"/>
      <c r="AM760" s="65"/>
      <c r="AN760" s="65"/>
    </row>
    <row r="761" spans="10:40" ht="14.5" x14ac:dyDescent="0.35">
      <c r="J761" s="65"/>
      <c r="K761" s="65"/>
      <c r="L761" s="65"/>
      <c r="M761" s="65"/>
      <c r="N761" s="65"/>
      <c r="O761" s="65"/>
      <c r="P761" s="65"/>
      <c r="Q761" s="65"/>
      <c r="R761" s="65"/>
      <c r="S761" s="65"/>
      <c r="T761" s="65"/>
      <c r="U761" s="65"/>
      <c r="V761" s="65"/>
      <c r="W761" s="65"/>
      <c r="X761" s="65"/>
      <c r="Y761" s="65"/>
      <c r="Z761" s="65"/>
      <c r="AA761" s="65"/>
      <c r="AB761" s="65"/>
      <c r="AC761" s="65"/>
      <c r="AD761" s="65"/>
      <c r="AE761" s="65"/>
      <c r="AF761" s="65"/>
      <c r="AG761" s="65"/>
      <c r="AH761" s="65"/>
      <c r="AI761" s="65"/>
      <c r="AJ761" s="65"/>
      <c r="AK761" s="65"/>
      <c r="AL761" s="65"/>
      <c r="AM761" s="65"/>
      <c r="AN761" s="65"/>
    </row>
    <row r="762" spans="10:40" ht="14.5" x14ac:dyDescent="0.35">
      <c r="J762" s="65"/>
      <c r="K762" s="65"/>
      <c r="L762" s="65"/>
      <c r="M762" s="65"/>
      <c r="N762" s="65"/>
      <c r="O762" s="65"/>
      <c r="P762" s="65"/>
      <c r="Q762" s="65"/>
      <c r="R762" s="65"/>
      <c r="S762" s="65"/>
      <c r="T762" s="65"/>
      <c r="U762" s="65"/>
      <c r="V762" s="65"/>
      <c r="W762" s="65"/>
      <c r="X762" s="65"/>
      <c r="Y762" s="65"/>
      <c r="Z762" s="65"/>
      <c r="AA762" s="65"/>
      <c r="AB762" s="65"/>
      <c r="AC762" s="65"/>
      <c r="AD762" s="65"/>
      <c r="AE762" s="65"/>
      <c r="AF762" s="65"/>
      <c r="AG762" s="65"/>
      <c r="AH762" s="65"/>
      <c r="AI762" s="65"/>
      <c r="AJ762" s="65"/>
      <c r="AK762" s="65"/>
      <c r="AL762" s="65"/>
      <c r="AM762" s="65"/>
      <c r="AN762" s="65"/>
    </row>
    <row r="763" spans="10:40" ht="14.5" x14ac:dyDescent="0.35">
      <c r="J763" s="65"/>
      <c r="K763" s="65"/>
      <c r="L763" s="65"/>
      <c r="M763" s="65"/>
      <c r="N763" s="65"/>
      <c r="O763" s="65"/>
      <c r="P763" s="65"/>
      <c r="Q763" s="65"/>
      <c r="R763" s="65"/>
      <c r="S763" s="65"/>
      <c r="T763" s="65"/>
      <c r="U763" s="65"/>
      <c r="V763" s="65"/>
      <c r="W763" s="65"/>
      <c r="X763" s="65"/>
      <c r="Y763" s="65"/>
      <c r="Z763" s="65"/>
      <c r="AA763" s="65"/>
      <c r="AB763" s="65"/>
      <c r="AC763" s="65"/>
      <c r="AD763" s="65"/>
      <c r="AE763" s="65"/>
      <c r="AF763" s="65"/>
      <c r="AG763" s="65"/>
      <c r="AH763" s="65"/>
      <c r="AI763" s="65"/>
      <c r="AJ763" s="65"/>
      <c r="AK763" s="65"/>
      <c r="AL763" s="65"/>
      <c r="AM763" s="65"/>
      <c r="AN763" s="65"/>
    </row>
    <row r="764" spans="10:40" ht="14.5" x14ac:dyDescent="0.35">
      <c r="J764" s="65"/>
      <c r="K764" s="65"/>
      <c r="L764" s="65"/>
      <c r="M764" s="65"/>
      <c r="N764" s="65"/>
      <c r="O764" s="65"/>
      <c r="P764" s="65"/>
      <c r="Q764" s="65"/>
      <c r="R764" s="65"/>
      <c r="S764" s="65"/>
      <c r="T764" s="65"/>
      <c r="U764" s="65"/>
      <c r="V764" s="65"/>
      <c r="W764" s="65"/>
      <c r="X764" s="65"/>
      <c r="Y764" s="65"/>
      <c r="Z764" s="65"/>
      <c r="AA764" s="65"/>
      <c r="AB764" s="65"/>
      <c r="AC764" s="65"/>
      <c r="AD764" s="65"/>
      <c r="AE764" s="65"/>
      <c r="AF764" s="65"/>
      <c r="AG764" s="65"/>
      <c r="AH764" s="65"/>
      <c r="AI764" s="65"/>
      <c r="AJ764" s="65"/>
      <c r="AK764" s="65"/>
      <c r="AL764" s="65"/>
      <c r="AM764" s="65"/>
      <c r="AN764" s="65"/>
    </row>
    <row r="765" spans="10:40" ht="14.5" x14ac:dyDescent="0.35">
      <c r="J765" s="65"/>
      <c r="K765" s="65"/>
      <c r="L765" s="65"/>
      <c r="M765" s="65"/>
      <c r="N765" s="65"/>
      <c r="O765" s="65"/>
      <c r="P765" s="65"/>
      <c r="Q765" s="65"/>
      <c r="R765" s="65"/>
      <c r="S765" s="65"/>
      <c r="T765" s="65"/>
      <c r="U765" s="65"/>
      <c r="V765" s="65"/>
      <c r="W765" s="65"/>
      <c r="X765" s="65"/>
      <c r="Y765" s="65"/>
      <c r="Z765" s="65"/>
      <c r="AA765" s="65"/>
      <c r="AB765" s="65"/>
      <c r="AC765" s="65"/>
      <c r="AD765" s="65"/>
      <c r="AE765" s="65"/>
      <c r="AF765" s="65"/>
      <c r="AG765" s="65"/>
      <c r="AH765" s="65"/>
      <c r="AI765" s="65"/>
      <c r="AJ765" s="65"/>
      <c r="AK765" s="65"/>
      <c r="AL765" s="65"/>
      <c r="AM765" s="65"/>
      <c r="AN765" s="65"/>
    </row>
    <row r="766" spans="10:40" ht="14.5" x14ac:dyDescent="0.35">
      <c r="J766" s="65"/>
      <c r="K766" s="65"/>
      <c r="L766" s="65"/>
      <c r="M766" s="65"/>
      <c r="N766" s="65"/>
      <c r="O766" s="65"/>
      <c r="P766" s="65"/>
      <c r="Q766" s="65"/>
      <c r="R766" s="65"/>
      <c r="S766" s="65"/>
      <c r="T766" s="65"/>
      <c r="U766" s="65"/>
      <c r="V766" s="65"/>
      <c r="W766" s="65"/>
      <c r="X766" s="65"/>
      <c r="Y766" s="65"/>
      <c r="Z766" s="65"/>
      <c r="AA766" s="65"/>
      <c r="AB766" s="65"/>
      <c r="AC766" s="65"/>
      <c r="AD766" s="65"/>
      <c r="AE766" s="65"/>
      <c r="AF766" s="65"/>
      <c r="AG766" s="65"/>
      <c r="AH766" s="65"/>
      <c r="AI766" s="65"/>
      <c r="AJ766" s="65"/>
      <c r="AK766" s="65"/>
      <c r="AL766" s="65"/>
      <c r="AM766" s="65"/>
      <c r="AN766" s="65"/>
    </row>
    <row r="767" spans="10:40" ht="14.5" x14ac:dyDescent="0.35">
      <c r="J767" s="65"/>
      <c r="K767" s="65"/>
      <c r="L767" s="65"/>
      <c r="M767" s="65"/>
      <c r="N767" s="65"/>
      <c r="O767" s="65"/>
      <c r="P767" s="65"/>
      <c r="Q767" s="65"/>
      <c r="R767" s="65"/>
      <c r="S767" s="65"/>
      <c r="T767" s="65"/>
      <c r="U767" s="65"/>
      <c r="V767" s="65"/>
      <c r="W767" s="65"/>
      <c r="X767" s="65"/>
      <c r="Y767" s="65"/>
      <c r="Z767" s="65"/>
      <c r="AA767" s="65"/>
      <c r="AB767" s="65"/>
      <c r="AC767" s="65"/>
      <c r="AD767" s="65"/>
      <c r="AE767" s="65"/>
      <c r="AF767" s="65"/>
      <c r="AG767" s="65"/>
      <c r="AH767" s="65"/>
      <c r="AI767" s="65"/>
      <c r="AJ767" s="65"/>
      <c r="AK767" s="65"/>
      <c r="AL767" s="65"/>
      <c r="AM767" s="65"/>
      <c r="AN767" s="65"/>
    </row>
    <row r="768" spans="10:40" ht="14.5" x14ac:dyDescent="0.35">
      <c r="J768" s="65"/>
      <c r="K768" s="65"/>
      <c r="L768" s="65"/>
      <c r="M768" s="65"/>
      <c r="N768" s="65"/>
      <c r="O768" s="65"/>
      <c r="P768" s="65"/>
      <c r="Q768" s="65"/>
      <c r="R768" s="65"/>
      <c r="S768" s="65"/>
      <c r="T768" s="65"/>
      <c r="U768" s="65"/>
      <c r="V768" s="65"/>
      <c r="W768" s="65"/>
      <c r="X768" s="65"/>
      <c r="Y768" s="65"/>
      <c r="Z768" s="65"/>
      <c r="AA768" s="65"/>
      <c r="AB768" s="65"/>
      <c r="AC768" s="65"/>
      <c r="AD768" s="65"/>
      <c r="AE768" s="65"/>
      <c r="AF768" s="65"/>
      <c r="AG768" s="65"/>
      <c r="AH768" s="65"/>
      <c r="AI768" s="65"/>
      <c r="AJ768" s="65"/>
      <c r="AK768" s="65"/>
      <c r="AL768" s="65"/>
      <c r="AM768" s="65"/>
      <c r="AN768" s="65"/>
    </row>
    <row r="769" spans="10:40" ht="14.5" x14ac:dyDescent="0.35">
      <c r="J769" s="65"/>
      <c r="K769" s="65"/>
      <c r="L769" s="65"/>
      <c r="M769" s="65"/>
      <c r="N769" s="65"/>
      <c r="O769" s="65"/>
      <c r="P769" s="65"/>
      <c r="Q769" s="65"/>
      <c r="R769" s="65"/>
      <c r="S769" s="65"/>
      <c r="T769" s="65"/>
      <c r="U769" s="65"/>
      <c r="V769" s="65"/>
      <c r="W769" s="65"/>
      <c r="X769" s="65"/>
      <c r="Y769" s="65"/>
      <c r="Z769" s="65"/>
      <c r="AA769" s="65"/>
      <c r="AB769" s="65"/>
      <c r="AC769" s="65"/>
      <c r="AD769" s="65"/>
      <c r="AE769" s="65"/>
      <c r="AF769" s="65"/>
      <c r="AG769" s="65"/>
      <c r="AH769" s="65"/>
      <c r="AI769" s="65"/>
      <c r="AJ769" s="65"/>
      <c r="AK769" s="65"/>
      <c r="AL769" s="65"/>
      <c r="AM769" s="65"/>
      <c r="AN769" s="65"/>
    </row>
    <row r="770" spans="10:40" ht="14.5" x14ac:dyDescent="0.35">
      <c r="J770" s="65"/>
      <c r="K770" s="65"/>
      <c r="L770" s="65"/>
      <c r="M770" s="65"/>
      <c r="N770" s="65"/>
      <c r="O770" s="65"/>
      <c r="P770" s="65"/>
      <c r="Q770" s="65"/>
      <c r="R770" s="65"/>
      <c r="S770" s="65"/>
      <c r="T770" s="65"/>
      <c r="U770" s="65"/>
      <c r="V770" s="65"/>
      <c r="W770" s="65"/>
      <c r="X770" s="65"/>
      <c r="Y770" s="65"/>
      <c r="Z770" s="65"/>
      <c r="AA770" s="65"/>
      <c r="AB770" s="65"/>
      <c r="AC770" s="65"/>
      <c r="AD770" s="65"/>
      <c r="AE770" s="65"/>
      <c r="AF770" s="65"/>
      <c r="AG770" s="65"/>
      <c r="AH770" s="65"/>
      <c r="AI770" s="65"/>
      <c r="AJ770" s="65"/>
      <c r="AK770" s="65"/>
      <c r="AL770" s="65"/>
      <c r="AM770" s="65"/>
      <c r="AN770" s="65"/>
    </row>
    <row r="771" spans="10:40" ht="14.5" x14ac:dyDescent="0.35">
      <c r="J771" s="65"/>
      <c r="K771" s="65"/>
      <c r="L771" s="65"/>
      <c r="M771" s="65"/>
      <c r="N771" s="65"/>
      <c r="O771" s="65"/>
      <c r="P771" s="65"/>
      <c r="Q771" s="65"/>
      <c r="R771" s="65"/>
      <c r="S771" s="65"/>
      <c r="T771" s="65"/>
      <c r="U771" s="65"/>
      <c r="V771" s="65"/>
      <c r="W771" s="65"/>
      <c r="X771" s="65"/>
      <c r="Y771" s="65"/>
      <c r="Z771" s="65"/>
      <c r="AA771" s="65"/>
      <c r="AB771" s="65"/>
      <c r="AC771" s="65"/>
      <c r="AD771" s="65"/>
      <c r="AE771" s="65"/>
      <c r="AF771" s="65"/>
      <c r="AG771" s="65"/>
      <c r="AH771" s="65"/>
      <c r="AI771" s="65"/>
      <c r="AJ771" s="65"/>
      <c r="AK771" s="65"/>
      <c r="AL771" s="65"/>
      <c r="AM771" s="65"/>
      <c r="AN771" s="65"/>
    </row>
    <row r="772" spans="10:40" ht="14.5" x14ac:dyDescent="0.35">
      <c r="J772" s="65"/>
      <c r="K772" s="65"/>
      <c r="L772" s="65"/>
      <c r="M772" s="65"/>
      <c r="N772" s="65"/>
      <c r="O772" s="65"/>
      <c r="P772" s="65"/>
      <c r="Q772" s="65"/>
      <c r="R772" s="65"/>
      <c r="S772" s="65"/>
      <c r="T772" s="65"/>
      <c r="U772" s="65"/>
      <c r="V772" s="65"/>
      <c r="W772" s="65"/>
      <c r="X772" s="65"/>
      <c r="Y772" s="65"/>
      <c r="Z772" s="65"/>
      <c r="AA772" s="65"/>
      <c r="AB772" s="65"/>
      <c r="AC772" s="65"/>
      <c r="AD772" s="65"/>
      <c r="AE772" s="65"/>
      <c r="AF772" s="65"/>
      <c r="AG772" s="65"/>
      <c r="AH772" s="65"/>
      <c r="AI772" s="65"/>
      <c r="AJ772" s="65"/>
      <c r="AK772" s="65"/>
      <c r="AL772" s="65"/>
      <c r="AM772" s="65"/>
      <c r="AN772" s="65"/>
    </row>
    <row r="773" spans="10:40" ht="14.5" x14ac:dyDescent="0.35">
      <c r="J773" s="65"/>
      <c r="K773" s="65"/>
      <c r="L773" s="65"/>
      <c r="M773" s="65"/>
      <c r="N773" s="65"/>
      <c r="O773" s="65"/>
      <c r="P773" s="65"/>
      <c r="Q773" s="65"/>
      <c r="R773" s="65"/>
      <c r="S773" s="65"/>
      <c r="T773" s="65"/>
      <c r="U773" s="65"/>
      <c r="V773" s="65"/>
      <c r="W773" s="65"/>
      <c r="X773" s="65"/>
      <c r="Y773" s="65"/>
      <c r="Z773" s="65"/>
      <c r="AA773" s="65"/>
      <c r="AB773" s="65"/>
      <c r="AC773" s="65"/>
      <c r="AD773" s="65"/>
      <c r="AE773" s="65"/>
      <c r="AF773" s="65"/>
      <c r="AG773" s="65"/>
      <c r="AH773" s="65"/>
      <c r="AI773" s="65"/>
      <c r="AJ773" s="65"/>
      <c r="AK773" s="65"/>
      <c r="AL773" s="65"/>
      <c r="AM773" s="65"/>
      <c r="AN773" s="65"/>
    </row>
    <row r="774" spans="10:40" ht="14.5" x14ac:dyDescent="0.35">
      <c r="J774" s="65"/>
      <c r="K774" s="65"/>
      <c r="L774" s="65"/>
      <c r="M774" s="65"/>
      <c r="N774" s="65"/>
      <c r="O774" s="65"/>
      <c r="P774" s="65"/>
      <c r="Q774" s="65"/>
      <c r="R774" s="65"/>
      <c r="S774" s="65"/>
      <c r="T774" s="65"/>
      <c r="U774" s="65"/>
      <c r="V774" s="65"/>
      <c r="W774" s="65"/>
      <c r="X774" s="65"/>
      <c r="Y774" s="65"/>
      <c r="Z774" s="65"/>
      <c r="AA774" s="65"/>
      <c r="AB774" s="65"/>
      <c r="AC774" s="65"/>
      <c r="AD774" s="65"/>
      <c r="AE774" s="65"/>
      <c r="AF774" s="65"/>
      <c r="AG774" s="65"/>
      <c r="AH774" s="65"/>
      <c r="AI774" s="65"/>
      <c r="AJ774" s="65"/>
      <c r="AK774" s="65"/>
      <c r="AL774" s="65"/>
      <c r="AM774" s="65"/>
      <c r="AN774" s="65"/>
    </row>
    <row r="775" spans="10:40" ht="14.5" x14ac:dyDescent="0.35">
      <c r="J775" s="65"/>
      <c r="K775" s="65"/>
      <c r="L775" s="65"/>
      <c r="M775" s="65"/>
      <c r="N775" s="65"/>
      <c r="O775" s="65"/>
      <c r="P775" s="65"/>
      <c r="Q775" s="65"/>
      <c r="R775" s="65"/>
      <c r="S775" s="65"/>
      <c r="T775" s="65"/>
      <c r="U775" s="65"/>
      <c r="V775" s="65"/>
      <c r="W775" s="65"/>
      <c r="X775" s="65"/>
      <c r="Y775" s="65"/>
      <c r="Z775" s="65"/>
      <c r="AA775" s="65"/>
      <c r="AB775" s="65"/>
      <c r="AC775" s="65"/>
      <c r="AD775" s="65"/>
      <c r="AE775" s="65"/>
      <c r="AF775" s="65"/>
      <c r="AG775" s="65"/>
      <c r="AH775" s="65"/>
      <c r="AI775" s="65"/>
      <c r="AJ775" s="65"/>
      <c r="AK775" s="65"/>
      <c r="AL775" s="65"/>
      <c r="AM775" s="65"/>
      <c r="AN775" s="65"/>
    </row>
    <row r="776" spans="10:40" ht="14.5" x14ac:dyDescent="0.35">
      <c r="J776" s="65"/>
      <c r="K776" s="65"/>
      <c r="L776" s="65"/>
      <c r="M776" s="65"/>
      <c r="N776" s="65"/>
      <c r="O776" s="65"/>
      <c r="P776" s="65"/>
      <c r="Q776" s="65"/>
      <c r="R776" s="65"/>
      <c r="S776" s="65"/>
      <c r="T776" s="65"/>
      <c r="U776" s="65"/>
      <c r="V776" s="65"/>
      <c r="W776" s="65"/>
      <c r="X776" s="65"/>
      <c r="Y776" s="65"/>
      <c r="Z776" s="65"/>
      <c r="AA776" s="65"/>
      <c r="AB776" s="65"/>
      <c r="AC776" s="65"/>
      <c r="AD776" s="65"/>
      <c r="AE776" s="65"/>
      <c r="AF776" s="65"/>
      <c r="AG776" s="65"/>
      <c r="AH776" s="65"/>
      <c r="AI776" s="65"/>
      <c r="AJ776" s="65"/>
      <c r="AK776" s="65"/>
      <c r="AL776" s="65"/>
      <c r="AM776" s="65"/>
      <c r="AN776" s="65"/>
    </row>
    <row r="777" spans="10:40" ht="14.5" x14ac:dyDescent="0.35">
      <c r="J777" s="65"/>
      <c r="K777" s="65"/>
      <c r="L777" s="65"/>
      <c r="M777" s="65"/>
      <c r="N777" s="65"/>
      <c r="O777" s="65"/>
      <c r="P777" s="65"/>
      <c r="Q777" s="65"/>
      <c r="R777" s="65"/>
      <c r="S777" s="65"/>
      <c r="T777" s="65"/>
      <c r="U777" s="65"/>
      <c r="V777" s="65"/>
      <c r="W777" s="65"/>
      <c r="X777" s="65"/>
      <c r="Y777" s="65"/>
      <c r="Z777" s="65"/>
      <c r="AA777" s="65"/>
      <c r="AB777" s="65"/>
      <c r="AC777" s="65"/>
      <c r="AD777" s="65"/>
      <c r="AE777" s="65"/>
      <c r="AF777" s="65"/>
      <c r="AG777" s="65"/>
      <c r="AH777" s="65"/>
      <c r="AI777" s="65"/>
      <c r="AJ777" s="65"/>
      <c r="AK777" s="65"/>
      <c r="AL777" s="65"/>
      <c r="AM777" s="65"/>
      <c r="AN777" s="65"/>
    </row>
    <row r="778" spans="10:40" ht="14.5" x14ac:dyDescent="0.35">
      <c r="J778" s="65"/>
      <c r="K778" s="65"/>
      <c r="L778" s="65"/>
      <c r="M778" s="65"/>
      <c r="N778" s="65"/>
      <c r="O778" s="65"/>
      <c r="P778" s="65"/>
      <c r="Q778" s="65"/>
      <c r="R778" s="65"/>
      <c r="S778" s="65"/>
      <c r="T778" s="65"/>
      <c r="U778" s="65"/>
      <c r="V778" s="65"/>
      <c r="W778" s="65"/>
      <c r="X778" s="65"/>
      <c r="Y778" s="65"/>
      <c r="Z778" s="65"/>
      <c r="AA778" s="65"/>
      <c r="AB778" s="65"/>
      <c r="AC778" s="65"/>
      <c r="AD778" s="65"/>
      <c r="AE778" s="65"/>
      <c r="AF778" s="65"/>
      <c r="AG778" s="65"/>
      <c r="AH778" s="65"/>
      <c r="AI778" s="65"/>
      <c r="AJ778" s="65"/>
      <c r="AK778" s="65"/>
      <c r="AL778" s="65"/>
      <c r="AM778" s="65"/>
      <c r="AN778" s="65"/>
    </row>
    <row r="779" spans="10:40" ht="14.5" x14ac:dyDescent="0.35">
      <c r="J779" s="65"/>
      <c r="K779" s="65"/>
      <c r="L779" s="65"/>
      <c r="M779" s="65"/>
      <c r="N779" s="65"/>
      <c r="O779" s="65"/>
      <c r="P779" s="65"/>
      <c r="Q779" s="65"/>
      <c r="R779" s="65"/>
      <c r="S779" s="65"/>
      <c r="T779" s="65"/>
      <c r="U779" s="65"/>
      <c r="V779" s="65"/>
      <c r="W779" s="65"/>
      <c r="X779" s="65"/>
      <c r="Y779" s="65"/>
      <c r="Z779" s="65"/>
      <c r="AA779" s="65"/>
      <c r="AB779" s="65"/>
      <c r="AC779" s="65"/>
      <c r="AD779" s="65"/>
      <c r="AE779" s="65"/>
      <c r="AF779" s="65"/>
      <c r="AG779" s="65"/>
      <c r="AH779" s="65"/>
      <c r="AI779" s="65"/>
      <c r="AJ779" s="65"/>
      <c r="AK779" s="65"/>
      <c r="AL779" s="65"/>
      <c r="AM779" s="65"/>
      <c r="AN779" s="65"/>
    </row>
    <row r="780" spans="10:40" ht="14.5" x14ac:dyDescent="0.35">
      <c r="J780" s="65"/>
      <c r="K780" s="65"/>
      <c r="L780" s="65"/>
      <c r="M780" s="65"/>
      <c r="N780" s="65"/>
      <c r="O780" s="65"/>
      <c r="P780" s="65"/>
      <c r="Q780" s="65"/>
      <c r="R780" s="65"/>
      <c r="S780" s="65"/>
      <c r="T780" s="65"/>
      <c r="U780" s="65"/>
      <c r="V780" s="65"/>
      <c r="W780" s="65"/>
      <c r="X780" s="65"/>
      <c r="Y780" s="65"/>
      <c r="Z780" s="65"/>
      <c r="AA780" s="65"/>
      <c r="AB780" s="65"/>
      <c r="AC780" s="65"/>
      <c r="AD780" s="65"/>
      <c r="AE780" s="65"/>
      <c r="AF780" s="65"/>
      <c r="AG780" s="65"/>
      <c r="AH780" s="65"/>
      <c r="AI780" s="65"/>
      <c r="AJ780" s="65"/>
      <c r="AK780" s="65"/>
      <c r="AL780" s="65"/>
      <c r="AM780" s="65"/>
      <c r="AN780" s="65"/>
    </row>
    <row r="781" spans="10:40" ht="14.5" x14ac:dyDescent="0.35">
      <c r="J781" s="65"/>
      <c r="K781" s="65"/>
      <c r="L781" s="65"/>
      <c r="M781" s="65"/>
      <c r="N781" s="65"/>
      <c r="O781" s="65"/>
      <c r="P781" s="65"/>
      <c r="Q781" s="65"/>
      <c r="R781" s="65"/>
      <c r="S781" s="65"/>
      <c r="T781" s="65"/>
      <c r="U781" s="65"/>
      <c r="V781" s="65"/>
      <c r="W781" s="65"/>
      <c r="X781" s="65"/>
      <c r="Y781" s="65"/>
      <c r="Z781" s="65"/>
      <c r="AA781" s="65"/>
      <c r="AB781" s="65"/>
      <c r="AC781" s="65"/>
      <c r="AD781" s="65"/>
      <c r="AE781" s="65"/>
      <c r="AF781" s="65"/>
      <c r="AG781" s="65"/>
      <c r="AH781" s="65"/>
      <c r="AI781" s="65"/>
      <c r="AJ781" s="65"/>
      <c r="AK781" s="65"/>
      <c r="AL781" s="65"/>
      <c r="AM781" s="65"/>
      <c r="AN781" s="65"/>
    </row>
    <row r="782" spans="10:40" ht="14.5" x14ac:dyDescent="0.35">
      <c r="J782" s="65"/>
      <c r="K782" s="65"/>
      <c r="L782" s="65"/>
      <c r="M782" s="65"/>
      <c r="N782" s="65"/>
      <c r="O782" s="65"/>
      <c r="P782" s="65"/>
      <c r="Q782" s="65"/>
      <c r="R782" s="65"/>
      <c r="S782" s="65"/>
      <c r="T782" s="65"/>
      <c r="U782" s="65"/>
      <c r="V782" s="65"/>
      <c r="W782" s="65"/>
      <c r="X782" s="65"/>
      <c r="Y782" s="65"/>
      <c r="Z782" s="65"/>
      <c r="AA782" s="65"/>
      <c r="AB782" s="65"/>
      <c r="AC782" s="65"/>
      <c r="AD782" s="65"/>
      <c r="AE782" s="65"/>
      <c r="AF782" s="65"/>
      <c r="AG782" s="65"/>
      <c r="AH782" s="65"/>
      <c r="AI782" s="65"/>
      <c r="AJ782" s="65"/>
      <c r="AK782" s="65"/>
      <c r="AL782" s="65"/>
      <c r="AM782" s="65"/>
      <c r="AN782" s="65"/>
    </row>
    <row r="783" spans="10:40" ht="14.5" x14ac:dyDescent="0.35">
      <c r="J783" s="65"/>
      <c r="K783" s="65"/>
      <c r="L783" s="65"/>
      <c r="M783" s="65"/>
      <c r="N783" s="65"/>
      <c r="O783" s="65"/>
      <c r="P783" s="65"/>
      <c r="Q783" s="65"/>
      <c r="R783" s="65"/>
      <c r="S783" s="65"/>
      <c r="T783" s="65"/>
      <c r="U783" s="65"/>
      <c r="V783" s="65"/>
      <c r="W783" s="65"/>
      <c r="X783" s="65"/>
      <c r="Y783" s="65"/>
      <c r="Z783" s="65"/>
      <c r="AA783" s="65"/>
      <c r="AB783" s="65"/>
      <c r="AC783" s="65"/>
      <c r="AD783" s="65"/>
      <c r="AE783" s="65"/>
      <c r="AF783" s="65"/>
      <c r="AG783" s="65"/>
      <c r="AH783" s="65"/>
      <c r="AI783" s="65"/>
      <c r="AJ783" s="65"/>
      <c r="AK783" s="65"/>
      <c r="AL783" s="65"/>
      <c r="AM783" s="65"/>
      <c r="AN783" s="65"/>
    </row>
    <row r="784" spans="10:40" ht="14.5" x14ac:dyDescent="0.35">
      <c r="J784" s="65"/>
      <c r="K784" s="65"/>
      <c r="L784" s="65"/>
      <c r="M784" s="65"/>
      <c r="N784" s="65"/>
      <c r="O784" s="65"/>
      <c r="P784" s="65"/>
      <c r="Q784" s="65"/>
      <c r="R784" s="65"/>
      <c r="S784" s="65"/>
      <c r="T784" s="65"/>
      <c r="U784" s="65"/>
      <c r="V784" s="65"/>
      <c r="W784" s="65"/>
      <c r="X784" s="65"/>
      <c r="Y784" s="65"/>
      <c r="Z784" s="65"/>
      <c r="AA784" s="65"/>
      <c r="AB784" s="65"/>
      <c r="AC784" s="65"/>
      <c r="AD784" s="65"/>
      <c r="AE784" s="65"/>
      <c r="AF784" s="65"/>
      <c r="AG784" s="65"/>
      <c r="AH784" s="65"/>
      <c r="AI784" s="65"/>
      <c r="AJ784" s="65"/>
      <c r="AK784" s="65"/>
      <c r="AL784" s="65"/>
      <c r="AM784" s="65"/>
      <c r="AN784" s="65"/>
    </row>
    <row r="785" spans="10:40" ht="14.5" x14ac:dyDescent="0.35">
      <c r="J785" s="65"/>
      <c r="K785" s="65"/>
      <c r="L785" s="65"/>
      <c r="M785" s="65"/>
      <c r="N785" s="65"/>
      <c r="O785" s="65"/>
      <c r="P785" s="65"/>
      <c r="Q785" s="65"/>
      <c r="R785" s="65"/>
      <c r="S785" s="65"/>
      <c r="T785" s="65"/>
      <c r="U785" s="65"/>
      <c r="V785" s="65"/>
      <c r="W785" s="65"/>
      <c r="X785" s="65"/>
      <c r="Y785" s="65"/>
      <c r="Z785" s="65"/>
      <c r="AA785" s="65"/>
      <c r="AB785" s="65"/>
      <c r="AC785" s="65"/>
      <c r="AD785" s="65"/>
      <c r="AE785" s="65"/>
      <c r="AF785" s="65"/>
      <c r="AG785" s="65"/>
      <c r="AH785" s="65"/>
      <c r="AI785" s="65"/>
      <c r="AJ785" s="65"/>
      <c r="AK785" s="65"/>
      <c r="AL785" s="65"/>
      <c r="AM785" s="65"/>
      <c r="AN785" s="65"/>
    </row>
    <row r="786" spans="10:40" ht="14.5" x14ac:dyDescent="0.35">
      <c r="J786" s="65"/>
      <c r="K786" s="65"/>
      <c r="L786" s="65"/>
      <c r="M786" s="65"/>
      <c r="N786" s="65"/>
      <c r="O786" s="65"/>
      <c r="P786" s="65"/>
      <c r="Q786" s="65"/>
      <c r="R786" s="65"/>
      <c r="S786" s="65"/>
      <c r="T786" s="65"/>
      <c r="U786" s="65"/>
      <c r="V786" s="65"/>
      <c r="W786" s="65"/>
      <c r="X786" s="65"/>
      <c r="Y786" s="65"/>
      <c r="Z786" s="65"/>
      <c r="AA786" s="65"/>
      <c r="AB786" s="65"/>
      <c r="AC786" s="65"/>
      <c r="AD786" s="65"/>
      <c r="AE786" s="65"/>
      <c r="AF786" s="65"/>
      <c r="AG786" s="65"/>
      <c r="AH786" s="65"/>
      <c r="AI786" s="65"/>
      <c r="AJ786" s="65"/>
      <c r="AK786" s="65"/>
      <c r="AL786" s="65"/>
      <c r="AM786" s="65"/>
      <c r="AN786" s="65"/>
    </row>
    <row r="787" spans="10:40" ht="14.5" x14ac:dyDescent="0.35">
      <c r="J787" s="65"/>
      <c r="K787" s="65"/>
      <c r="L787" s="65"/>
      <c r="M787" s="65"/>
      <c r="N787" s="65"/>
      <c r="O787" s="65"/>
      <c r="P787" s="65"/>
      <c r="Q787" s="65"/>
      <c r="R787" s="65"/>
      <c r="S787" s="65"/>
      <c r="T787" s="65"/>
      <c r="U787" s="65"/>
      <c r="V787" s="65"/>
      <c r="W787" s="65"/>
      <c r="X787" s="65"/>
      <c r="Y787" s="65"/>
      <c r="Z787" s="65"/>
      <c r="AA787" s="65"/>
      <c r="AB787" s="65"/>
      <c r="AC787" s="65"/>
      <c r="AD787" s="65"/>
      <c r="AE787" s="65"/>
      <c r="AF787" s="65"/>
      <c r="AG787" s="65"/>
      <c r="AH787" s="65"/>
      <c r="AI787" s="65"/>
      <c r="AJ787" s="65"/>
      <c r="AK787" s="65"/>
      <c r="AL787" s="65"/>
      <c r="AM787" s="65"/>
      <c r="AN787" s="65"/>
    </row>
    <row r="788" spans="10:40" ht="14.5" x14ac:dyDescent="0.35">
      <c r="J788" s="65"/>
      <c r="K788" s="65"/>
      <c r="L788" s="65"/>
      <c r="M788" s="65"/>
      <c r="N788" s="65"/>
      <c r="O788" s="65"/>
      <c r="P788" s="65"/>
      <c r="Q788" s="65"/>
      <c r="R788" s="65"/>
      <c r="S788" s="65"/>
      <c r="T788" s="65"/>
      <c r="U788" s="65"/>
      <c r="V788" s="65"/>
      <c r="W788" s="65"/>
      <c r="X788" s="65"/>
      <c r="Y788" s="65"/>
      <c r="Z788" s="65"/>
      <c r="AA788" s="65"/>
      <c r="AB788" s="65"/>
      <c r="AC788" s="65"/>
      <c r="AD788" s="65"/>
      <c r="AE788" s="65"/>
      <c r="AF788" s="65"/>
      <c r="AG788" s="65"/>
      <c r="AH788" s="65"/>
      <c r="AI788" s="65"/>
      <c r="AJ788" s="65"/>
      <c r="AK788" s="65"/>
      <c r="AL788" s="65"/>
      <c r="AM788" s="65"/>
      <c r="AN788" s="65"/>
    </row>
    <row r="789" spans="10:40" ht="14.5" x14ac:dyDescent="0.35">
      <c r="J789" s="65"/>
      <c r="K789" s="65"/>
      <c r="L789" s="65"/>
      <c r="M789" s="65"/>
      <c r="N789" s="65"/>
      <c r="O789" s="65"/>
      <c r="P789" s="65"/>
      <c r="Q789" s="65"/>
      <c r="R789" s="65"/>
      <c r="S789" s="65"/>
      <c r="T789" s="65"/>
      <c r="U789" s="65"/>
      <c r="V789" s="65"/>
      <c r="W789" s="65"/>
      <c r="X789" s="65"/>
      <c r="Y789" s="65"/>
      <c r="Z789" s="65"/>
      <c r="AA789" s="65"/>
      <c r="AB789" s="65"/>
      <c r="AC789" s="65"/>
      <c r="AD789" s="65"/>
      <c r="AE789" s="65"/>
      <c r="AF789" s="65"/>
      <c r="AG789" s="65"/>
      <c r="AH789" s="65"/>
      <c r="AI789" s="65"/>
      <c r="AJ789" s="65"/>
      <c r="AK789" s="65"/>
      <c r="AL789" s="65"/>
      <c r="AM789" s="65"/>
      <c r="AN789" s="65"/>
    </row>
    <row r="790" spans="10:40" ht="14.5" x14ac:dyDescent="0.35">
      <c r="J790" s="65"/>
      <c r="K790" s="65"/>
      <c r="L790" s="65"/>
      <c r="M790" s="65"/>
      <c r="N790" s="65"/>
      <c r="O790" s="65"/>
      <c r="P790" s="65"/>
      <c r="Q790" s="65"/>
      <c r="R790" s="65"/>
      <c r="S790" s="65"/>
      <c r="T790" s="65"/>
      <c r="U790" s="65"/>
      <c r="V790" s="65"/>
      <c r="W790" s="65"/>
      <c r="X790" s="65"/>
      <c r="Y790" s="65"/>
      <c r="Z790" s="65"/>
      <c r="AA790" s="65"/>
      <c r="AB790" s="65"/>
      <c r="AC790" s="65"/>
      <c r="AD790" s="65"/>
      <c r="AE790" s="65"/>
      <c r="AF790" s="65"/>
      <c r="AG790" s="65"/>
      <c r="AH790" s="65"/>
      <c r="AI790" s="65"/>
      <c r="AJ790" s="65"/>
      <c r="AK790" s="65"/>
      <c r="AL790" s="65"/>
      <c r="AM790" s="65"/>
      <c r="AN790" s="65"/>
    </row>
    <row r="791" spans="10:40" ht="14.5" x14ac:dyDescent="0.35">
      <c r="J791" s="65"/>
      <c r="K791" s="65"/>
      <c r="L791" s="65"/>
      <c r="M791" s="65"/>
      <c r="N791" s="65"/>
      <c r="O791" s="65"/>
      <c r="P791" s="65"/>
      <c r="Q791" s="65"/>
      <c r="R791" s="65"/>
      <c r="S791" s="65"/>
      <c r="T791" s="65"/>
      <c r="U791" s="65"/>
      <c r="V791" s="65"/>
      <c r="W791" s="65"/>
      <c r="X791" s="65"/>
      <c r="Y791" s="65"/>
      <c r="Z791" s="65"/>
      <c r="AA791" s="65"/>
      <c r="AB791" s="65"/>
      <c r="AC791" s="65"/>
      <c r="AD791" s="65"/>
      <c r="AE791" s="65"/>
      <c r="AF791" s="65"/>
      <c r="AG791" s="65"/>
      <c r="AH791" s="65"/>
      <c r="AI791" s="65"/>
      <c r="AJ791" s="65"/>
      <c r="AK791" s="65"/>
      <c r="AL791" s="65"/>
      <c r="AM791" s="65"/>
      <c r="AN791" s="65"/>
    </row>
    <row r="792" spans="10:40" ht="14.5" x14ac:dyDescent="0.35">
      <c r="J792" s="65"/>
      <c r="K792" s="65"/>
      <c r="L792" s="65"/>
      <c r="M792" s="65"/>
      <c r="N792" s="65"/>
      <c r="O792" s="65"/>
      <c r="P792" s="65"/>
      <c r="Q792" s="65"/>
      <c r="R792" s="65"/>
      <c r="S792" s="65"/>
      <c r="T792" s="65"/>
      <c r="U792" s="65"/>
      <c r="V792" s="65"/>
      <c r="W792" s="65"/>
      <c r="X792" s="65"/>
      <c r="Y792" s="65"/>
      <c r="Z792" s="65"/>
      <c r="AA792" s="65"/>
      <c r="AB792" s="65"/>
      <c r="AC792" s="65"/>
      <c r="AD792" s="65"/>
      <c r="AE792" s="65"/>
      <c r="AF792" s="65"/>
      <c r="AG792" s="65"/>
      <c r="AH792" s="65"/>
      <c r="AI792" s="65"/>
      <c r="AJ792" s="65"/>
      <c r="AK792" s="65"/>
      <c r="AL792" s="65"/>
      <c r="AM792" s="65"/>
      <c r="AN792" s="65"/>
    </row>
    <row r="793" spans="10:40" ht="14.5" x14ac:dyDescent="0.35">
      <c r="J793" s="65"/>
      <c r="K793" s="65"/>
      <c r="L793" s="65"/>
      <c r="M793" s="65"/>
      <c r="N793" s="65"/>
      <c r="O793" s="65"/>
      <c r="P793" s="65"/>
      <c r="Q793" s="65"/>
      <c r="R793" s="65"/>
      <c r="S793" s="65"/>
      <c r="T793" s="65"/>
      <c r="U793" s="65"/>
      <c r="V793" s="65"/>
      <c r="W793" s="65"/>
      <c r="X793" s="65"/>
      <c r="Y793" s="65"/>
      <c r="Z793" s="65"/>
      <c r="AA793" s="65"/>
      <c r="AB793" s="65"/>
      <c r="AC793" s="65"/>
      <c r="AD793" s="65"/>
      <c r="AE793" s="65"/>
      <c r="AF793" s="65"/>
      <c r="AG793" s="65"/>
      <c r="AH793" s="65"/>
      <c r="AI793" s="65"/>
      <c r="AJ793" s="65"/>
      <c r="AK793" s="65"/>
      <c r="AL793" s="65"/>
    </row>
    <row r="794" spans="10:40" ht="14.5" x14ac:dyDescent="0.35">
      <c r="J794" s="65"/>
      <c r="K794" s="65"/>
      <c r="L794" s="65"/>
      <c r="M794" s="65"/>
      <c r="N794" s="65"/>
      <c r="O794" s="65"/>
      <c r="P794" s="65"/>
      <c r="Q794" s="65"/>
      <c r="R794" s="65"/>
      <c r="S794" s="65"/>
      <c r="T794" s="65"/>
      <c r="U794" s="65"/>
      <c r="V794" s="65"/>
      <c r="W794" s="65"/>
      <c r="X794" s="65"/>
      <c r="Y794" s="65"/>
      <c r="Z794" s="65"/>
      <c r="AA794" s="65"/>
      <c r="AB794" s="65"/>
      <c r="AC794" s="65"/>
      <c r="AD794" s="65"/>
      <c r="AE794" s="65"/>
      <c r="AF794" s="65"/>
      <c r="AG794" s="65"/>
      <c r="AH794" s="65"/>
      <c r="AI794" s="65"/>
      <c r="AJ794" s="65"/>
      <c r="AK794" s="65"/>
      <c r="AL794" s="65"/>
    </row>
    <row r="795" spans="10:40" ht="14.5" x14ac:dyDescent="0.35">
      <c r="J795" s="65"/>
      <c r="K795" s="65"/>
      <c r="L795" s="65"/>
      <c r="M795" s="65"/>
      <c r="N795" s="65"/>
      <c r="O795" s="65"/>
      <c r="P795" s="65"/>
      <c r="Q795" s="65"/>
      <c r="R795" s="65"/>
      <c r="S795" s="65"/>
      <c r="T795" s="65"/>
      <c r="U795" s="65"/>
      <c r="V795" s="65"/>
      <c r="W795" s="65"/>
      <c r="X795" s="65"/>
      <c r="Y795" s="65"/>
      <c r="Z795" s="65"/>
      <c r="AA795" s="65"/>
      <c r="AB795" s="65"/>
      <c r="AC795" s="65"/>
      <c r="AD795" s="65"/>
      <c r="AE795" s="65"/>
      <c r="AF795" s="65"/>
      <c r="AG795" s="65"/>
      <c r="AH795" s="65"/>
      <c r="AI795" s="65"/>
      <c r="AJ795" s="65"/>
      <c r="AK795" s="65"/>
      <c r="AL795" s="65"/>
    </row>
    <row r="796" spans="10:40" ht="14.5" x14ac:dyDescent="0.35">
      <c r="J796" s="65"/>
      <c r="K796" s="65"/>
      <c r="L796" s="65"/>
      <c r="M796" s="65"/>
      <c r="N796" s="65"/>
      <c r="O796" s="65"/>
      <c r="P796" s="65"/>
      <c r="Q796" s="65"/>
      <c r="R796" s="65"/>
      <c r="S796" s="65"/>
      <c r="T796" s="65"/>
      <c r="U796" s="65"/>
      <c r="V796" s="65"/>
      <c r="W796" s="65"/>
      <c r="X796" s="65"/>
      <c r="Y796" s="65"/>
      <c r="Z796" s="65"/>
      <c r="AA796" s="65"/>
      <c r="AB796" s="65"/>
      <c r="AC796" s="65"/>
      <c r="AD796" s="65"/>
      <c r="AE796" s="65"/>
      <c r="AF796" s="65"/>
      <c r="AG796" s="65"/>
      <c r="AH796" s="65"/>
      <c r="AI796" s="65"/>
      <c r="AJ796" s="65"/>
      <c r="AK796" s="65"/>
      <c r="AL796" s="65"/>
    </row>
    <row r="797" spans="10:40" ht="14.5" x14ac:dyDescent="0.35">
      <c r="J797" s="65"/>
      <c r="K797" s="65"/>
      <c r="L797" s="65"/>
      <c r="M797" s="65"/>
      <c r="N797" s="65"/>
      <c r="O797" s="65"/>
      <c r="P797" s="65"/>
      <c r="Q797" s="65"/>
      <c r="R797" s="65"/>
      <c r="S797" s="65"/>
      <c r="T797" s="65"/>
      <c r="U797" s="65"/>
      <c r="V797" s="65"/>
      <c r="W797" s="65"/>
      <c r="X797" s="65"/>
      <c r="Y797" s="65"/>
      <c r="Z797" s="65"/>
      <c r="AA797" s="65"/>
      <c r="AB797" s="65"/>
      <c r="AC797" s="65"/>
      <c r="AD797" s="65"/>
      <c r="AE797" s="65"/>
      <c r="AF797" s="65"/>
      <c r="AG797" s="65"/>
      <c r="AH797" s="65"/>
      <c r="AI797" s="65"/>
      <c r="AJ797" s="65"/>
      <c r="AK797" s="65"/>
      <c r="AL797" s="65"/>
    </row>
    <row r="798" spans="10:40" ht="14.5" x14ac:dyDescent="0.35">
      <c r="J798" s="65"/>
      <c r="K798" s="65"/>
      <c r="L798" s="65"/>
      <c r="M798" s="65"/>
      <c r="N798" s="65"/>
      <c r="O798" s="65"/>
      <c r="P798" s="65"/>
      <c r="Q798" s="65"/>
      <c r="R798" s="65"/>
      <c r="S798" s="65"/>
      <c r="T798" s="65"/>
      <c r="U798" s="65"/>
      <c r="V798" s="65"/>
      <c r="W798" s="65"/>
      <c r="X798" s="65"/>
      <c r="Y798" s="65"/>
      <c r="Z798" s="65"/>
      <c r="AA798" s="65"/>
      <c r="AB798" s="65"/>
      <c r="AC798" s="65"/>
      <c r="AD798" s="65"/>
      <c r="AE798" s="65"/>
      <c r="AF798" s="65"/>
      <c r="AG798" s="65"/>
      <c r="AH798" s="65"/>
      <c r="AI798" s="65"/>
      <c r="AJ798" s="65"/>
      <c r="AK798" s="65"/>
      <c r="AL798" s="65"/>
    </row>
    <row r="799" spans="10:40" ht="14.5" x14ac:dyDescent="0.35">
      <c r="J799" s="65"/>
      <c r="K799" s="65"/>
      <c r="L799" s="65"/>
      <c r="M799" s="65"/>
      <c r="N799" s="65"/>
      <c r="O799" s="65"/>
      <c r="P799" s="65"/>
      <c r="Q799" s="65"/>
      <c r="R799" s="65"/>
      <c r="S799" s="65"/>
      <c r="T799" s="65"/>
      <c r="U799" s="65"/>
      <c r="V799" s="65"/>
      <c r="W799" s="65"/>
      <c r="X799" s="65"/>
      <c r="Y799" s="65"/>
      <c r="Z799" s="65"/>
      <c r="AA799" s="65"/>
      <c r="AB799" s="65"/>
      <c r="AC799" s="65"/>
      <c r="AD799" s="65"/>
      <c r="AE799" s="65"/>
      <c r="AF799" s="65"/>
      <c r="AG799" s="65"/>
      <c r="AH799" s="65"/>
      <c r="AI799" s="65"/>
      <c r="AJ799" s="65"/>
      <c r="AL799" s="65"/>
    </row>
    <row r="800" spans="10:40" ht="14.5" x14ac:dyDescent="0.35">
      <c r="J800" s="65"/>
      <c r="K800" s="65"/>
      <c r="L800" s="65"/>
      <c r="M800" s="65"/>
      <c r="N800" s="65"/>
      <c r="O800" s="65"/>
      <c r="P800" s="65"/>
      <c r="Q800" s="65"/>
      <c r="R800" s="65"/>
      <c r="S800" s="65"/>
      <c r="T800" s="65"/>
      <c r="U800" s="65"/>
      <c r="V800" s="65"/>
      <c r="W800" s="65"/>
      <c r="X800" s="65"/>
      <c r="Y800" s="65"/>
      <c r="Z800" s="65"/>
      <c r="AA800" s="65"/>
      <c r="AB800" s="65"/>
      <c r="AC800" s="65"/>
      <c r="AD800" s="65"/>
      <c r="AE800" s="65"/>
      <c r="AF800" s="65"/>
      <c r="AG800" s="65"/>
      <c r="AH800" s="65"/>
      <c r="AI800" s="65"/>
      <c r="AJ800" s="65"/>
      <c r="AL800" s="65"/>
    </row>
    <row r="801" spans="10:38" ht="14.5" x14ac:dyDescent="0.3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c r="AH801" s="65"/>
      <c r="AI801" s="65"/>
      <c r="AJ801" s="65"/>
      <c r="AL801" s="65"/>
    </row>
    <row r="802" spans="10:38" ht="14.5" x14ac:dyDescent="0.35">
      <c r="J802" s="65"/>
      <c r="K802" s="65"/>
      <c r="L802" s="65"/>
      <c r="M802" s="65"/>
      <c r="N802" s="65"/>
      <c r="O802" s="65"/>
      <c r="P802" s="65"/>
      <c r="Q802" s="65"/>
      <c r="R802" s="65"/>
      <c r="S802" s="65"/>
      <c r="T802" s="65"/>
      <c r="U802" s="65"/>
      <c r="V802" s="65"/>
      <c r="W802" s="65"/>
      <c r="X802" s="65"/>
      <c r="Y802" s="65"/>
      <c r="Z802" s="65"/>
      <c r="AA802" s="65"/>
      <c r="AB802" s="65"/>
      <c r="AC802" s="65"/>
      <c r="AD802" s="65"/>
      <c r="AE802" s="65"/>
      <c r="AF802" s="65"/>
      <c r="AG802" s="65"/>
      <c r="AH802" s="65"/>
      <c r="AI802" s="65"/>
      <c r="AJ802" s="65"/>
      <c r="AL802" s="65"/>
    </row>
    <row r="803" spans="10:38" ht="14.5" x14ac:dyDescent="0.35">
      <c r="J803" s="65"/>
      <c r="K803" s="65"/>
      <c r="L803" s="65"/>
      <c r="M803" s="65"/>
      <c r="N803" s="65"/>
      <c r="O803" s="65"/>
      <c r="P803" s="65"/>
      <c r="Q803" s="65"/>
      <c r="R803" s="65"/>
      <c r="S803" s="65"/>
      <c r="T803" s="65"/>
      <c r="U803" s="65"/>
      <c r="V803" s="65"/>
      <c r="W803" s="65"/>
      <c r="X803" s="65"/>
      <c r="Y803" s="65"/>
      <c r="Z803" s="65"/>
      <c r="AA803" s="65"/>
      <c r="AB803" s="65"/>
      <c r="AC803" s="65"/>
      <c r="AD803" s="65"/>
      <c r="AE803" s="65"/>
      <c r="AF803" s="65"/>
      <c r="AG803" s="65"/>
      <c r="AH803" s="65"/>
      <c r="AI803" s="65"/>
      <c r="AJ803" s="65"/>
      <c r="AL803" s="65"/>
    </row>
    <row r="804" spans="10:38" ht="14.5" x14ac:dyDescent="0.35">
      <c r="J804" s="65"/>
      <c r="K804" s="65"/>
      <c r="L804" s="65"/>
      <c r="M804" s="65"/>
      <c r="N804" s="65"/>
      <c r="O804" s="65"/>
      <c r="P804" s="65"/>
      <c r="Q804" s="65"/>
      <c r="R804" s="65"/>
      <c r="S804" s="65"/>
      <c r="T804" s="65"/>
      <c r="U804" s="65"/>
      <c r="V804" s="65"/>
      <c r="W804" s="65"/>
      <c r="X804" s="65"/>
      <c r="Y804" s="65"/>
      <c r="Z804" s="65"/>
      <c r="AA804" s="65"/>
      <c r="AB804" s="65"/>
      <c r="AC804" s="65"/>
      <c r="AD804" s="65"/>
      <c r="AE804" s="65"/>
      <c r="AF804" s="65"/>
      <c r="AG804" s="65"/>
      <c r="AH804" s="65"/>
      <c r="AI804" s="65"/>
      <c r="AJ804" s="65"/>
      <c r="AL804" s="65"/>
    </row>
    <row r="805" spans="10:38" ht="14.5" x14ac:dyDescent="0.35">
      <c r="J805" s="65"/>
      <c r="K805" s="65"/>
      <c r="L805" s="65"/>
      <c r="M805" s="65"/>
      <c r="N805" s="65"/>
      <c r="O805" s="65"/>
      <c r="P805" s="65"/>
      <c r="Q805" s="65"/>
      <c r="R805" s="65"/>
      <c r="S805" s="65"/>
      <c r="T805" s="65"/>
      <c r="U805" s="65"/>
      <c r="V805" s="65"/>
      <c r="W805" s="65"/>
      <c r="X805" s="65"/>
      <c r="Y805" s="65"/>
      <c r="Z805" s="65"/>
      <c r="AA805" s="65"/>
      <c r="AB805" s="65"/>
      <c r="AC805" s="65"/>
      <c r="AD805" s="65"/>
      <c r="AE805" s="65"/>
      <c r="AF805" s="65"/>
      <c r="AG805" s="65"/>
      <c r="AH805" s="65"/>
      <c r="AI805" s="65"/>
      <c r="AJ805" s="65"/>
      <c r="AL805" s="65"/>
    </row>
    <row r="806" spans="10:38" ht="14.5" x14ac:dyDescent="0.35">
      <c r="J806" s="65"/>
      <c r="K806" s="65"/>
      <c r="L806" s="65"/>
      <c r="M806" s="65"/>
      <c r="N806" s="65"/>
      <c r="O806" s="65"/>
      <c r="P806" s="65"/>
      <c r="Q806" s="65"/>
      <c r="R806" s="65"/>
      <c r="S806" s="65"/>
      <c r="T806" s="65"/>
      <c r="U806" s="65"/>
      <c r="V806" s="65"/>
      <c r="W806" s="65"/>
      <c r="X806" s="65"/>
      <c r="Y806" s="65"/>
      <c r="Z806" s="65"/>
      <c r="AA806" s="65"/>
      <c r="AB806" s="65"/>
      <c r="AC806" s="65"/>
      <c r="AD806" s="65"/>
      <c r="AE806" s="65"/>
      <c r="AF806" s="65"/>
      <c r="AG806" s="65"/>
      <c r="AH806" s="65"/>
      <c r="AI806" s="65"/>
      <c r="AJ806" s="65"/>
      <c r="AL806" s="65"/>
    </row>
    <row r="807" spans="10:38" ht="14.5" x14ac:dyDescent="0.35">
      <c r="J807" s="65"/>
      <c r="K807" s="65"/>
      <c r="L807" s="65"/>
      <c r="M807" s="65"/>
      <c r="N807" s="65"/>
      <c r="O807" s="65"/>
      <c r="P807" s="65"/>
      <c r="Q807" s="65"/>
      <c r="R807" s="65"/>
      <c r="S807" s="65"/>
      <c r="T807" s="65"/>
      <c r="U807" s="65"/>
      <c r="V807" s="65"/>
      <c r="W807" s="65"/>
      <c r="X807" s="65"/>
      <c r="Y807" s="65"/>
      <c r="Z807" s="65"/>
      <c r="AA807" s="65"/>
      <c r="AB807" s="65"/>
      <c r="AC807" s="65"/>
      <c r="AD807" s="65"/>
      <c r="AE807" s="65"/>
      <c r="AF807" s="65"/>
      <c r="AG807" s="65"/>
      <c r="AH807" s="65"/>
      <c r="AI807" s="65"/>
      <c r="AJ807" s="65"/>
      <c r="AL807" s="65"/>
    </row>
    <row r="808" spans="10:38" ht="14.5" x14ac:dyDescent="0.3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c r="AH808" s="65"/>
      <c r="AI808" s="65"/>
      <c r="AJ808" s="65"/>
      <c r="AL808" s="65"/>
    </row>
    <row r="809" spans="10:38" ht="14.5" x14ac:dyDescent="0.35">
      <c r="J809" s="65"/>
      <c r="K809" s="65"/>
      <c r="L809" s="65"/>
      <c r="M809" s="65"/>
      <c r="N809" s="65"/>
      <c r="O809" s="65"/>
      <c r="P809" s="65"/>
      <c r="Q809" s="65"/>
      <c r="R809" s="65"/>
      <c r="S809" s="65"/>
      <c r="T809" s="65"/>
      <c r="U809" s="65"/>
      <c r="V809" s="65"/>
      <c r="W809" s="65"/>
      <c r="X809" s="65"/>
      <c r="Y809" s="65"/>
      <c r="Z809" s="65"/>
      <c r="AA809" s="65"/>
      <c r="AB809" s="65"/>
      <c r="AC809" s="65"/>
      <c r="AD809" s="65"/>
      <c r="AE809" s="65"/>
      <c r="AF809" s="65"/>
      <c r="AG809" s="65"/>
      <c r="AH809" s="65"/>
      <c r="AI809" s="65"/>
      <c r="AJ809" s="65"/>
      <c r="AL809" s="65"/>
    </row>
    <row r="810" spans="10:38" ht="14.5" x14ac:dyDescent="0.35">
      <c r="J810" s="65"/>
      <c r="K810" s="65"/>
      <c r="L810" s="65"/>
      <c r="M810" s="65"/>
      <c r="N810" s="65"/>
      <c r="O810" s="65"/>
      <c r="P810" s="65"/>
      <c r="Q810" s="65"/>
      <c r="R810" s="65"/>
      <c r="S810" s="65"/>
      <c r="T810" s="65"/>
      <c r="U810" s="65"/>
      <c r="V810" s="65"/>
      <c r="W810" s="65"/>
      <c r="X810" s="65"/>
      <c r="Y810" s="65"/>
      <c r="Z810" s="65"/>
      <c r="AA810" s="65"/>
      <c r="AB810" s="65"/>
      <c r="AC810" s="65"/>
      <c r="AD810" s="65"/>
      <c r="AE810" s="65"/>
      <c r="AF810" s="65"/>
      <c r="AG810" s="65"/>
      <c r="AH810" s="65"/>
      <c r="AI810" s="65"/>
      <c r="AJ810" s="65"/>
      <c r="AL810" s="65"/>
    </row>
    <row r="811" spans="10:38" ht="14.5" x14ac:dyDescent="0.35">
      <c r="J811" s="65"/>
      <c r="K811" s="65"/>
      <c r="L811" s="65"/>
      <c r="M811" s="65"/>
      <c r="N811" s="65"/>
      <c r="O811" s="65"/>
      <c r="P811" s="65"/>
      <c r="Q811" s="65"/>
      <c r="R811" s="65"/>
      <c r="S811" s="65"/>
      <c r="T811" s="65"/>
      <c r="U811" s="65"/>
      <c r="V811" s="65"/>
      <c r="W811" s="65"/>
      <c r="X811" s="65"/>
      <c r="Y811" s="65"/>
      <c r="Z811" s="65"/>
      <c r="AA811" s="65"/>
      <c r="AB811" s="65"/>
      <c r="AC811" s="65"/>
      <c r="AD811" s="65"/>
      <c r="AE811" s="65"/>
      <c r="AF811" s="65"/>
      <c r="AG811" s="65"/>
      <c r="AH811" s="65"/>
      <c r="AI811" s="65"/>
      <c r="AJ811" s="65"/>
      <c r="AL811" s="65"/>
    </row>
    <row r="812" spans="10:38" ht="14.5" x14ac:dyDescent="0.35">
      <c r="J812" s="65"/>
      <c r="K812" s="65"/>
      <c r="L812" s="65"/>
      <c r="M812" s="65"/>
      <c r="N812" s="65"/>
      <c r="O812" s="65"/>
      <c r="P812" s="65"/>
      <c r="Q812" s="65"/>
      <c r="R812" s="65"/>
      <c r="S812" s="65"/>
      <c r="T812" s="65"/>
      <c r="U812" s="65"/>
      <c r="V812" s="65"/>
      <c r="W812" s="65"/>
      <c r="X812" s="65"/>
      <c r="Y812" s="65"/>
      <c r="Z812" s="65"/>
      <c r="AA812" s="65"/>
      <c r="AB812" s="65"/>
      <c r="AC812" s="65"/>
      <c r="AD812" s="65"/>
      <c r="AE812" s="65"/>
      <c r="AF812" s="65"/>
      <c r="AG812" s="65"/>
      <c r="AH812" s="65"/>
      <c r="AI812" s="65"/>
      <c r="AJ812" s="65"/>
      <c r="AL812" s="65"/>
    </row>
    <row r="813" spans="10:38" ht="14.5" x14ac:dyDescent="0.35">
      <c r="J813" s="65"/>
      <c r="K813" s="65"/>
      <c r="L813" s="65"/>
      <c r="M813" s="65"/>
      <c r="N813" s="65"/>
      <c r="O813" s="65"/>
      <c r="P813" s="65"/>
      <c r="Q813" s="65"/>
      <c r="R813" s="65"/>
      <c r="S813" s="65"/>
      <c r="T813" s="65"/>
      <c r="U813" s="65"/>
      <c r="V813" s="65"/>
      <c r="W813" s="65"/>
      <c r="X813" s="65"/>
      <c r="Y813" s="65"/>
      <c r="Z813" s="65"/>
      <c r="AA813" s="65"/>
      <c r="AB813" s="65"/>
      <c r="AC813" s="65"/>
      <c r="AD813" s="65"/>
      <c r="AE813" s="65"/>
      <c r="AF813" s="65"/>
      <c r="AG813" s="65"/>
      <c r="AH813" s="65"/>
      <c r="AI813" s="65"/>
      <c r="AJ813" s="65"/>
      <c r="AL813" s="65"/>
    </row>
    <row r="814" spans="10:38" ht="14.5" x14ac:dyDescent="0.35">
      <c r="J814" s="65"/>
      <c r="K814" s="65"/>
      <c r="L814" s="65"/>
      <c r="M814" s="65"/>
      <c r="N814" s="65"/>
      <c r="O814" s="65"/>
      <c r="P814" s="65"/>
      <c r="Q814" s="65"/>
      <c r="R814" s="65"/>
      <c r="S814" s="65"/>
      <c r="T814" s="65"/>
      <c r="U814" s="65"/>
      <c r="V814" s="65"/>
      <c r="W814" s="65"/>
      <c r="X814" s="65"/>
      <c r="Y814" s="65"/>
      <c r="Z814" s="65"/>
      <c r="AA814" s="65"/>
      <c r="AB814" s="65"/>
      <c r="AC814" s="65"/>
      <c r="AD814" s="65"/>
      <c r="AE814" s="65"/>
      <c r="AF814" s="65"/>
      <c r="AG814" s="65"/>
      <c r="AH814" s="65"/>
      <c r="AI814" s="65"/>
      <c r="AJ814" s="65"/>
      <c r="AL814" s="65"/>
    </row>
    <row r="815" spans="10:38" ht="14.5" x14ac:dyDescent="0.3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c r="AH815" s="65"/>
      <c r="AI815" s="65"/>
      <c r="AJ815" s="65"/>
      <c r="AL815" s="65"/>
    </row>
    <row r="816" spans="10:38" ht="14.5" x14ac:dyDescent="0.3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L816" s="65"/>
    </row>
    <row r="817" spans="10:38" ht="14.5" x14ac:dyDescent="0.35">
      <c r="J817" s="65"/>
      <c r="K817" s="65"/>
      <c r="L817" s="65"/>
      <c r="M817" s="65"/>
      <c r="N817" s="65"/>
      <c r="O817" s="65"/>
      <c r="P817" s="65"/>
      <c r="Q817" s="65"/>
      <c r="R817" s="65"/>
      <c r="S817" s="65"/>
      <c r="T817" s="65"/>
      <c r="U817" s="65"/>
      <c r="V817" s="65"/>
      <c r="W817" s="65"/>
      <c r="X817" s="65"/>
      <c r="Y817" s="65"/>
      <c r="Z817" s="65"/>
      <c r="AA817" s="65"/>
      <c r="AB817" s="65"/>
      <c r="AC817" s="65"/>
      <c r="AD817" s="65"/>
      <c r="AE817" s="65"/>
      <c r="AF817" s="65"/>
      <c r="AG817" s="65"/>
      <c r="AH817" s="65"/>
      <c r="AI817" s="65"/>
      <c r="AJ817" s="65"/>
      <c r="AL817" s="65"/>
    </row>
    <row r="818" spans="10:38" ht="14.5" x14ac:dyDescent="0.35">
      <c r="J818" s="65"/>
      <c r="K818" s="65"/>
      <c r="L818" s="65"/>
      <c r="M818" s="65"/>
      <c r="N818" s="65"/>
      <c r="O818" s="65"/>
      <c r="P818" s="65"/>
      <c r="Q818" s="65"/>
      <c r="R818" s="65"/>
      <c r="S818" s="65"/>
      <c r="T818" s="65"/>
      <c r="U818" s="65"/>
      <c r="V818" s="65"/>
      <c r="W818" s="65"/>
      <c r="X818" s="65"/>
      <c r="Y818" s="65"/>
      <c r="Z818" s="65"/>
      <c r="AA818" s="65"/>
      <c r="AB818" s="65"/>
      <c r="AC818" s="65"/>
      <c r="AD818" s="65"/>
      <c r="AE818" s="65"/>
      <c r="AF818" s="65"/>
      <c r="AG818" s="65"/>
      <c r="AH818" s="65"/>
      <c r="AI818" s="65"/>
      <c r="AJ818" s="65"/>
      <c r="AL818" s="65"/>
    </row>
    <row r="819" spans="10:38" ht="14.5" x14ac:dyDescent="0.35">
      <c r="J819" s="65"/>
      <c r="K819" s="65"/>
      <c r="L819" s="65"/>
      <c r="M819" s="65"/>
      <c r="N819" s="65"/>
      <c r="O819" s="65"/>
      <c r="P819" s="65"/>
      <c r="Q819" s="65"/>
      <c r="R819" s="65"/>
      <c r="S819" s="65"/>
      <c r="T819" s="65"/>
      <c r="U819" s="65"/>
      <c r="V819" s="65"/>
      <c r="W819" s="65"/>
      <c r="X819" s="65"/>
      <c r="Y819" s="65"/>
      <c r="Z819" s="65"/>
      <c r="AA819" s="65"/>
      <c r="AB819" s="65"/>
      <c r="AC819" s="65"/>
      <c r="AD819" s="65"/>
      <c r="AE819" s="65"/>
      <c r="AF819" s="65"/>
      <c r="AG819" s="65"/>
      <c r="AH819" s="65"/>
      <c r="AI819" s="65"/>
      <c r="AJ819" s="65"/>
    </row>
    <row r="820" spans="10:38" ht="14.5" x14ac:dyDescent="0.35">
      <c r="J820" s="65"/>
      <c r="K820" s="65"/>
      <c r="L820" s="65"/>
      <c r="M820" s="65"/>
      <c r="N820" s="65"/>
      <c r="O820" s="65"/>
      <c r="P820" s="65"/>
      <c r="Q820" s="65"/>
      <c r="R820" s="65"/>
      <c r="S820" s="65"/>
      <c r="T820" s="65"/>
      <c r="U820" s="65"/>
      <c r="V820" s="65"/>
      <c r="W820" s="65"/>
      <c r="X820" s="65"/>
      <c r="Y820" s="65"/>
      <c r="Z820" s="65"/>
      <c r="AA820" s="65"/>
      <c r="AB820" s="65"/>
      <c r="AC820" s="65"/>
      <c r="AD820" s="65"/>
      <c r="AE820" s="65"/>
      <c r="AF820" s="65"/>
      <c r="AG820" s="65"/>
      <c r="AH820" s="65"/>
      <c r="AI820" s="65"/>
      <c r="AJ820" s="65"/>
    </row>
    <row r="821" spans="10:38" ht="14.5" x14ac:dyDescent="0.35">
      <c r="J821" s="65"/>
      <c r="K821" s="65"/>
      <c r="L821" s="65"/>
      <c r="M821" s="65"/>
      <c r="N821" s="65"/>
      <c r="O821" s="65"/>
      <c r="P821" s="65"/>
      <c r="Q821" s="65"/>
      <c r="R821" s="65"/>
      <c r="S821" s="65"/>
      <c r="T821" s="65"/>
      <c r="U821" s="65"/>
      <c r="V821" s="65"/>
      <c r="W821" s="65"/>
      <c r="X821" s="65"/>
      <c r="Y821" s="65"/>
      <c r="Z821" s="65"/>
      <c r="AA821" s="65"/>
      <c r="AB821" s="65"/>
      <c r="AC821" s="65"/>
      <c r="AD821" s="65"/>
      <c r="AE821" s="65"/>
      <c r="AF821" s="65"/>
      <c r="AG821" s="65"/>
      <c r="AH821" s="65"/>
      <c r="AI821" s="65"/>
      <c r="AJ821" s="65"/>
    </row>
    <row r="822" spans="10:38" ht="14.5" x14ac:dyDescent="0.35">
      <c r="J822" s="65"/>
      <c r="K822" s="65"/>
      <c r="L822" s="65"/>
      <c r="M822" s="65"/>
      <c r="N822" s="65"/>
      <c r="O822" s="65"/>
      <c r="P822" s="65"/>
      <c r="Q822" s="65"/>
      <c r="R822" s="65"/>
      <c r="S822" s="65"/>
      <c r="T822" s="65"/>
      <c r="U822" s="65"/>
      <c r="V822" s="65"/>
      <c r="W822" s="65"/>
      <c r="X822" s="65"/>
      <c r="Y822" s="65"/>
      <c r="Z822" s="65"/>
      <c r="AA822" s="65"/>
      <c r="AB822" s="65"/>
      <c r="AC822" s="65"/>
      <c r="AD822" s="65"/>
      <c r="AE822" s="65"/>
      <c r="AF822" s="65"/>
      <c r="AG822" s="65"/>
      <c r="AH822" s="65"/>
      <c r="AI822" s="65"/>
      <c r="AJ822" s="65"/>
    </row>
    <row r="823" spans="10:38" ht="14.5" x14ac:dyDescent="0.35">
      <c r="J823" s="65"/>
      <c r="K823" s="65"/>
      <c r="L823" s="65"/>
      <c r="M823" s="65"/>
      <c r="N823" s="65"/>
      <c r="O823" s="65"/>
      <c r="P823" s="65"/>
      <c r="Q823" s="65"/>
      <c r="R823" s="65"/>
      <c r="S823" s="65"/>
      <c r="T823" s="65"/>
      <c r="U823" s="65"/>
      <c r="V823" s="65"/>
      <c r="W823" s="65"/>
      <c r="X823" s="65"/>
      <c r="Y823" s="65"/>
      <c r="Z823" s="65"/>
      <c r="AA823" s="65"/>
      <c r="AB823" s="65"/>
      <c r="AC823" s="65"/>
      <c r="AD823" s="65"/>
      <c r="AE823" s="65"/>
      <c r="AF823" s="65"/>
      <c r="AG823" s="65"/>
      <c r="AH823" s="65"/>
      <c r="AI823" s="65"/>
      <c r="AJ823" s="65"/>
    </row>
    <row r="824" spans="10:38" ht="14.5" x14ac:dyDescent="0.35">
      <c r="J824" s="65"/>
      <c r="K824" s="65"/>
      <c r="L824" s="65"/>
      <c r="M824" s="65"/>
      <c r="N824" s="65"/>
      <c r="O824" s="65"/>
      <c r="P824" s="65"/>
      <c r="Q824" s="65"/>
      <c r="R824" s="65"/>
      <c r="S824" s="65"/>
      <c r="T824" s="65"/>
      <c r="U824" s="65"/>
      <c r="V824" s="65"/>
      <c r="W824" s="65"/>
      <c r="X824" s="65"/>
      <c r="Y824" s="65"/>
      <c r="Z824" s="65"/>
      <c r="AA824" s="65"/>
      <c r="AB824" s="65"/>
      <c r="AC824" s="65"/>
      <c r="AD824" s="65"/>
      <c r="AE824" s="65"/>
      <c r="AF824" s="65"/>
      <c r="AG824" s="65"/>
      <c r="AH824" s="65"/>
      <c r="AI824" s="65"/>
      <c r="AJ824" s="65"/>
    </row>
    <row r="825" spans="10:38" ht="14.5" x14ac:dyDescent="0.35">
      <c r="J825" s="65"/>
      <c r="K825" s="65"/>
      <c r="L825" s="65"/>
      <c r="M825" s="65"/>
      <c r="N825" s="65"/>
      <c r="O825" s="65"/>
      <c r="P825" s="65"/>
      <c r="Q825" s="65"/>
      <c r="R825" s="65"/>
      <c r="S825" s="65"/>
      <c r="T825" s="65"/>
      <c r="U825" s="65"/>
      <c r="V825" s="65"/>
      <c r="W825" s="65"/>
      <c r="X825" s="65"/>
      <c r="Y825" s="65"/>
      <c r="Z825" s="65"/>
      <c r="AA825" s="65"/>
      <c r="AB825" s="65"/>
      <c r="AC825" s="65"/>
      <c r="AD825" s="65"/>
      <c r="AE825" s="65"/>
      <c r="AF825" s="65"/>
      <c r="AG825" s="65"/>
      <c r="AH825" s="65"/>
      <c r="AI825" s="65"/>
      <c r="AJ825" s="65"/>
    </row>
    <row r="826" spans="10:38" ht="14.5" x14ac:dyDescent="0.35">
      <c r="J826" s="65"/>
      <c r="K826" s="65"/>
      <c r="L826" s="65"/>
      <c r="M826" s="65"/>
      <c r="N826" s="65"/>
      <c r="O826" s="65"/>
      <c r="P826" s="65"/>
      <c r="Q826" s="65"/>
      <c r="R826" s="65"/>
      <c r="S826" s="65"/>
      <c r="T826" s="65"/>
      <c r="U826" s="65"/>
      <c r="V826" s="65"/>
      <c r="W826" s="65"/>
      <c r="X826" s="65"/>
      <c r="Y826" s="65"/>
      <c r="Z826" s="65"/>
      <c r="AA826" s="65"/>
      <c r="AB826" s="65"/>
      <c r="AC826" s="65"/>
      <c r="AD826" s="65"/>
      <c r="AE826" s="65"/>
      <c r="AF826" s="65"/>
      <c r="AG826" s="65"/>
      <c r="AH826" s="65"/>
      <c r="AI826" s="65"/>
      <c r="AJ826" s="65"/>
    </row>
    <row r="827" spans="10:38" ht="14.5" x14ac:dyDescent="0.35">
      <c r="J827" s="65"/>
      <c r="K827" s="65"/>
      <c r="L827" s="65"/>
      <c r="M827" s="65"/>
      <c r="N827" s="65"/>
      <c r="O827" s="65"/>
      <c r="P827" s="65"/>
      <c r="Q827" s="65"/>
      <c r="R827" s="65"/>
      <c r="S827" s="65"/>
      <c r="T827" s="65"/>
      <c r="U827" s="65"/>
      <c r="V827" s="65"/>
      <c r="W827" s="65"/>
      <c r="X827" s="65"/>
      <c r="Y827" s="65"/>
      <c r="Z827" s="65"/>
      <c r="AA827" s="65"/>
      <c r="AB827" s="65"/>
      <c r="AC827" s="65"/>
      <c r="AD827" s="65"/>
      <c r="AE827" s="65"/>
      <c r="AF827" s="65"/>
      <c r="AG827" s="65"/>
      <c r="AH827" s="65"/>
      <c r="AI827" s="65"/>
      <c r="AJ827" s="65"/>
    </row>
    <row r="828" spans="10:38" ht="14.5" x14ac:dyDescent="0.35"/>
    <row r="829" spans="10:38" ht="14.5" x14ac:dyDescent="0.35"/>
    <row r="830" spans="10:38" ht="14.5" x14ac:dyDescent="0.35"/>
    <row r="831" spans="10:38" ht="14.5" x14ac:dyDescent="0.35"/>
    <row r="832" spans="10:38" ht="14.5" x14ac:dyDescent="0.35"/>
    <row r="833" ht="14.5" x14ac:dyDescent="0.35"/>
    <row r="834" ht="14.5" x14ac:dyDescent="0.35"/>
    <row r="835" ht="14.5" x14ac:dyDescent="0.35"/>
    <row r="836" ht="14.5" x14ac:dyDescent="0.35"/>
    <row r="837" ht="14.5" x14ac:dyDescent="0.35"/>
    <row r="838" ht="14.5" x14ac:dyDescent="0.35"/>
    <row r="839" ht="14.5" x14ac:dyDescent="0.35"/>
    <row r="840" ht="14.5" x14ac:dyDescent="0.35"/>
    <row r="841" ht="14.5" x14ac:dyDescent="0.35"/>
    <row r="842" ht="14.5" x14ac:dyDescent="0.35"/>
    <row r="843" ht="14.5" x14ac:dyDescent="0.35"/>
    <row r="844" ht="14.5" x14ac:dyDescent="0.35"/>
    <row r="845" ht="14.5" x14ac:dyDescent="0.35"/>
    <row r="846" ht="14.5" x14ac:dyDescent="0.35"/>
    <row r="847" ht="14.5" x14ac:dyDescent="0.35"/>
    <row r="848" ht="14.5" x14ac:dyDescent="0.35"/>
    <row r="849" ht="14.5" x14ac:dyDescent="0.35"/>
    <row r="850" ht="14.5" x14ac:dyDescent="0.35"/>
    <row r="851" ht="14.5" x14ac:dyDescent="0.35"/>
    <row r="852" ht="14.5" x14ac:dyDescent="0.35"/>
    <row r="853" ht="14.5" x14ac:dyDescent="0.35"/>
    <row r="854" ht="14.5" x14ac:dyDescent="0.35"/>
    <row r="855" ht="14.5" x14ac:dyDescent="0.35"/>
    <row r="856" ht="14.5" x14ac:dyDescent="0.35"/>
    <row r="857" ht="14.5" x14ac:dyDescent="0.35"/>
    <row r="858" ht="14.5" x14ac:dyDescent="0.35"/>
    <row r="859" ht="14.5" x14ac:dyDescent="0.35"/>
    <row r="860" ht="14.5" x14ac:dyDescent="0.35"/>
    <row r="861" ht="14.5" x14ac:dyDescent="0.35"/>
    <row r="862" ht="14.5" x14ac:dyDescent="0.35"/>
    <row r="863" ht="14.5" x14ac:dyDescent="0.35"/>
    <row r="864" ht="14.5" x14ac:dyDescent="0.35"/>
    <row r="865" ht="14.5" x14ac:dyDescent="0.35"/>
    <row r="866" ht="14.5" x14ac:dyDescent="0.35"/>
    <row r="867" ht="14.5" x14ac:dyDescent="0.35"/>
    <row r="868" ht="14.5" x14ac:dyDescent="0.35"/>
    <row r="869" ht="14.5" x14ac:dyDescent="0.35"/>
    <row r="870" ht="14.5" x14ac:dyDescent="0.35"/>
    <row r="871" ht="14.5" x14ac:dyDescent="0.35"/>
    <row r="872" ht="14.5" x14ac:dyDescent="0.35"/>
    <row r="873" ht="14.5" x14ac:dyDescent="0.35"/>
    <row r="874" ht="14.5" x14ac:dyDescent="0.35"/>
    <row r="875" ht="14.5" x14ac:dyDescent="0.35"/>
    <row r="876" ht="14.5" x14ac:dyDescent="0.35"/>
    <row r="877" ht="14.5" x14ac:dyDescent="0.35"/>
    <row r="878" ht="14.5" x14ac:dyDescent="0.35"/>
    <row r="879" ht="14.5" x14ac:dyDescent="0.35"/>
    <row r="880" ht="14.5" x14ac:dyDescent="0.35"/>
    <row r="881" ht="14.5" x14ac:dyDescent="0.35"/>
    <row r="882" ht="14.5" x14ac:dyDescent="0.35"/>
    <row r="883" ht="14.5" x14ac:dyDescent="0.35"/>
    <row r="884" ht="14.5" x14ac:dyDescent="0.35"/>
    <row r="885" ht="14.5" x14ac:dyDescent="0.35"/>
    <row r="886" ht="14.5" x14ac:dyDescent="0.35"/>
    <row r="887" ht="14.5" x14ac:dyDescent="0.35"/>
    <row r="888" ht="14.5" x14ac:dyDescent="0.35"/>
    <row r="889" ht="14.5" x14ac:dyDescent="0.35"/>
    <row r="890" ht="14.5" x14ac:dyDescent="0.35"/>
    <row r="891" ht="14.5" x14ac:dyDescent="0.35"/>
    <row r="892" ht="14.5" x14ac:dyDescent="0.35"/>
    <row r="893" ht="14.5" x14ac:dyDescent="0.35"/>
    <row r="894" ht="14.5" x14ac:dyDescent="0.35"/>
    <row r="895" ht="14.5" x14ac:dyDescent="0.35"/>
    <row r="896" ht="14.5" x14ac:dyDescent="0.35"/>
    <row r="897" ht="14.5" x14ac:dyDescent="0.35"/>
    <row r="898" ht="14.5" x14ac:dyDescent="0.35"/>
    <row r="899" ht="14.5" x14ac:dyDescent="0.35"/>
    <row r="900" ht="14.5" x14ac:dyDescent="0.35"/>
    <row r="901" ht="14.5" x14ac:dyDescent="0.35"/>
    <row r="902" ht="14.5" x14ac:dyDescent="0.35"/>
    <row r="903" ht="14.5" x14ac:dyDescent="0.35"/>
    <row r="904" ht="14.5" x14ac:dyDescent="0.35"/>
    <row r="905" ht="14.5" x14ac:dyDescent="0.35"/>
    <row r="906" ht="14.5" x14ac:dyDescent="0.35"/>
    <row r="907" ht="14.5" x14ac:dyDescent="0.35"/>
    <row r="908" ht="14.5" x14ac:dyDescent="0.35"/>
    <row r="909" ht="14.5" x14ac:dyDescent="0.35"/>
    <row r="910" ht="14.5" x14ac:dyDescent="0.35"/>
    <row r="911" ht="14.5" x14ac:dyDescent="0.35"/>
    <row r="912" ht="14.5" x14ac:dyDescent="0.35"/>
    <row r="913" ht="14.5" x14ac:dyDescent="0.35"/>
    <row r="914" ht="14.5" x14ac:dyDescent="0.35"/>
    <row r="915" ht="14.5" x14ac:dyDescent="0.35"/>
    <row r="916" ht="14.5" x14ac:dyDescent="0.35"/>
    <row r="917" ht="14.5" x14ac:dyDescent="0.35"/>
    <row r="918" ht="14.5" x14ac:dyDescent="0.35"/>
    <row r="919" ht="14.5" x14ac:dyDescent="0.35"/>
    <row r="920" ht="14.5" x14ac:dyDescent="0.35"/>
    <row r="921" ht="14.5" x14ac:dyDescent="0.35"/>
    <row r="922" ht="14.5" x14ac:dyDescent="0.35"/>
    <row r="923" ht="14.5" x14ac:dyDescent="0.35"/>
    <row r="924" ht="14.5" x14ac:dyDescent="0.35"/>
    <row r="925" ht="14.5" x14ac:dyDescent="0.35"/>
    <row r="926" ht="14.5" x14ac:dyDescent="0.35"/>
    <row r="927" ht="14.5" x14ac:dyDescent="0.35"/>
    <row r="928" ht="14.5" x14ac:dyDescent="0.35"/>
    <row r="929" ht="14.5" x14ac:dyDescent="0.35"/>
    <row r="930" ht="14.5" x14ac:dyDescent="0.35"/>
    <row r="931" ht="14.5" x14ac:dyDescent="0.35"/>
    <row r="932" ht="14.5" x14ac:dyDescent="0.35"/>
    <row r="933" ht="14.5" x14ac:dyDescent="0.35"/>
    <row r="934" ht="14.5" x14ac:dyDescent="0.35"/>
    <row r="935" ht="14.5" x14ac:dyDescent="0.35"/>
    <row r="936" ht="14.5" x14ac:dyDescent="0.35"/>
    <row r="937" ht="14.5" x14ac:dyDescent="0.35"/>
    <row r="938" ht="14.5" x14ac:dyDescent="0.35"/>
    <row r="939" ht="14.5" x14ac:dyDescent="0.35"/>
    <row r="940" ht="14.5" x14ac:dyDescent="0.35"/>
    <row r="941" ht="14.5" x14ac:dyDescent="0.35"/>
    <row r="942" ht="14.5" x14ac:dyDescent="0.35"/>
    <row r="943" ht="14.5" x14ac:dyDescent="0.35"/>
    <row r="944" ht="14.5" x14ac:dyDescent="0.35"/>
    <row r="945" ht="14.5" x14ac:dyDescent="0.35"/>
    <row r="946" ht="14.5" x14ac:dyDescent="0.35"/>
    <row r="947" ht="14.5" x14ac:dyDescent="0.35"/>
    <row r="948" ht="14.5" x14ac:dyDescent="0.35"/>
    <row r="949" ht="14.5" x14ac:dyDescent="0.35"/>
    <row r="950" ht="14.5" x14ac:dyDescent="0.35"/>
    <row r="951" ht="14.5" x14ac:dyDescent="0.35"/>
    <row r="952" ht="14.5" x14ac:dyDescent="0.35"/>
    <row r="953" ht="14.5" x14ac:dyDescent="0.35"/>
    <row r="954" ht="14.5" x14ac:dyDescent="0.35"/>
    <row r="955" ht="14.5" x14ac:dyDescent="0.35"/>
    <row r="956" ht="14.5" x14ac:dyDescent="0.35"/>
    <row r="957" ht="14.5" x14ac:dyDescent="0.35"/>
    <row r="958" ht="14.5" x14ac:dyDescent="0.35"/>
    <row r="959" ht="14.5" x14ac:dyDescent="0.35"/>
    <row r="960" ht="14.5" x14ac:dyDescent="0.35"/>
    <row r="961" ht="14.5" x14ac:dyDescent="0.35"/>
    <row r="962" ht="14.5" x14ac:dyDescent="0.35"/>
    <row r="963" ht="14.5" x14ac:dyDescent="0.35"/>
    <row r="964" ht="14.5" x14ac:dyDescent="0.35"/>
    <row r="965" ht="14.5" x14ac:dyDescent="0.35"/>
    <row r="966" ht="14.5" x14ac:dyDescent="0.35"/>
    <row r="967" ht="14.5" x14ac:dyDescent="0.35"/>
    <row r="968" ht="14.5" x14ac:dyDescent="0.35"/>
    <row r="969" ht="14.5" x14ac:dyDescent="0.35"/>
    <row r="970" ht="14.5" x14ac:dyDescent="0.35"/>
    <row r="971" ht="14.5" x14ac:dyDescent="0.35"/>
    <row r="972" ht="14.5" x14ac:dyDescent="0.35"/>
    <row r="973" ht="14.5" x14ac:dyDescent="0.35"/>
    <row r="974" ht="14.5" x14ac:dyDescent="0.35"/>
    <row r="975" ht="14.5" x14ac:dyDescent="0.35"/>
    <row r="976" ht="14.5" x14ac:dyDescent="0.35"/>
    <row r="977" ht="14.5" x14ac:dyDescent="0.35"/>
    <row r="978" ht="14.5" x14ac:dyDescent="0.35"/>
    <row r="979" ht="14.5" x14ac:dyDescent="0.35"/>
    <row r="980" ht="14.5" x14ac:dyDescent="0.35"/>
    <row r="981" ht="14.5" x14ac:dyDescent="0.35"/>
    <row r="982" ht="14.5" x14ac:dyDescent="0.35"/>
    <row r="983" ht="14.5" x14ac:dyDescent="0.35"/>
    <row r="984" ht="14.5" x14ac:dyDescent="0.35"/>
    <row r="985" ht="14.5" x14ac:dyDescent="0.35"/>
    <row r="986" ht="14.5" x14ac:dyDescent="0.35"/>
    <row r="987" ht="14.5" x14ac:dyDescent="0.35"/>
    <row r="988" ht="14.5" x14ac:dyDescent="0.35"/>
    <row r="989" ht="14.5" x14ac:dyDescent="0.35"/>
    <row r="990" ht="14.5" x14ac:dyDescent="0.35"/>
    <row r="991" ht="14.5" x14ac:dyDescent="0.35"/>
    <row r="992" ht="14.5" x14ac:dyDescent="0.35"/>
    <row r="993" ht="14.5" x14ac:dyDescent="0.35"/>
    <row r="994" ht="14.5" x14ac:dyDescent="0.35"/>
    <row r="995" ht="14.5" x14ac:dyDescent="0.35"/>
    <row r="996" ht="14.5" x14ac:dyDescent="0.35"/>
    <row r="997" ht="14.5" x14ac:dyDescent="0.35"/>
    <row r="998" ht="14.5" x14ac:dyDescent="0.35"/>
    <row r="999" ht="14.5" x14ac:dyDescent="0.35"/>
    <row r="1000" ht="14.5" x14ac:dyDescent="0.35"/>
    <row r="1001" ht="14.65" hidden="1" customHeight="1" x14ac:dyDescent="0.35"/>
    <row r="1002" ht="14.65" hidden="1" customHeight="1" x14ac:dyDescent="0.35"/>
    <row r="1003" ht="14.65" hidden="1" customHeight="1" x14ac:dyDescent="0.35"/>
  </sheetData>
  <sheetProtection autoFilter="0"/>
  <phoneticPr fontId="2" type="noConversion"/>
  <conditionalFormatting sqref="C2:AJ107 C108:G108 I108:AJ108 C109:AJ119 C120:P120 Q120:AJ122 C121:N122 C123:AJ136 C137:N137 P137:AJ137 C138:AJ142 C143:G143 I143:N143 P143:AJ143 C144:AJ194 C195:I195 K195:M195 O195:AJ195 C196:AJ210 C211:N211 P211:AJ211 C212:AJ269 C270:G270 I270:AJ270 C271:AJ436">
    <cfRule type="expression" dxfId="488" priority="1">
      <formula>$B2&lt;&gt;0</formula>
    </cfRule>
  </conditionalFormatting>
  <conditionalFormatting sqref="O122:P122">
    <cfRule type="expression" dxfId="487" priority="113">
      <formula>$B121&lt;&gt;0</formula>
    </cfRule>
  </conditionalFormatting>
  <conditionalFormatting sqref="AK300:AK407">
    <cfRule type="expression" dxfId="486" priority="3">
      <formula>$B329&lt;&gt;0</formula>
    </cfRule>
  </conditionalFormatting>
  <conditionalFormatting sqref="AL335:AL1526">
    <cfRule type="expression" dxfId="485" priority="2">
      <formula>$B344&lt;&gt;0</formula>
    </cfRule>
  </conditionalFormatting>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62412-7E19-4F6F-B160-41221553DF1A}">
  <sheetPr codeName="Sheet11">
    <tabColor theme="9" tint="-0.249977111117893"/>
  </sheetPr>
  <dimension ref="A1:AN1000"/>
  <sheetViews>
    <sheetView topLeftCell="C1" zoomScale="80" zoomScaleNormal="80" workbookViewId="0">
      <pane xSplit="3" ySplit="1" topLeftCell="F41" activePane="bottomRight" state="frozen"/>
      <selection activeCell="C1" sqref="C1"/>
      <selection pane="topRight" activeCell="F1" sqref="F1"/>
      <selection pane="bottomLeft" activeCell="C2" sqref="C2"/>
      <selection pane="bottomRight" activeCell="S54" sqref="S54"/>
    </sheetView>
  </sheetViews>
  <sheetFormatPr defaultRowHeight="14.65" customHeight="1" zeroHeight="1" x14ac:dyDescent="0.35"/>
  <cols>
    <col min="1" max="1" width="21.453125" hidden="1" customWidth="1"/>
    <col min="2" max="2" width="19.26953125" hidden="1" customWidth="1"/>
    <col min="3" max="3" width="37.81640625" bestFit="1" customWidth="1" collapsed="1"/>
    <col min="4" max="4" width="14" bestFit="1" customWidth="1"/>
    <col min="5" max="5" width="13.54296875" bestFit="1" customWidth="1"/>
    <col min="6" max="6" width="8.7265625" customWidth="1"/>
    <col min="7" max="7" width="6.1796875" bestFit="1" customWidth="1"/>
    <col min="8" max="8" width="7.453125" customWidth="1"/>
    <col min="9" max="9" width="7.54296875" customWidth="1"/>
    <col min="10" max="10" width="6.81640625" customWidth="1"/>
    <col min="11" max="11" width="6.81640625" style="1" customWidth="1"/>
    <col min="12" max="12" width="6.1796875" style="1" bestFit="1" customWidth="1"/>
    <col min="13" max="13" width="7" style="1" customWidth="1"/>
    <col min="14" max="14" width="6.1796875" style="1" bestFit="1" customWidth="1"/>
    <col min="15" max="15" width="8.54296875" style="1" customWidth="1"/>
    <col min="16" max="16" width="5" style="1" bestFit="1" customWidth="1"/>
    <col min="17" max="19" width="6.54296875" style="1" bestFit="1" customWidth="1"/>
    <col min="20" max="22" width="5.7265625" style="1" bestFit="1" customWidth="1"/>
    <col min="23" max="23" width="8.7265625" style="1" bestFit="1" customWidth="1"/>
    <col min="24" max="40" width="5.7265625" style="1" bestFit="1" customWidth="1"/>
    <col min="41" max="41" width="1.7265625" bestFit="1" customWidth="1"/>
    <col min="42" max="42" width="8.453125" bestFit="1" customWidth="1"/>
    <col min="43" max="43" width="15.26953125" bestFit="1" customWidth="1"/>
    <col min="44" max="44" width="8.453125" bestFit="1" customWidth="1"/>
    <col min="45" max="45" width="15.26953125" bestFit="1" customWidth="1"/>
    <col min="46" max="46" width="8.453125" bestFit="1" customWidth="1"/>
    <col min="47" max="47" width="15.26953125" bestFit="1" customWidth="1"/>
    <col min="48" max="48" width="8.453125" bestFit="1" customWidth="1"/>
    <col min="49" max="49" width="15.26953125" bestFit="1" customWidth="1"/>
    <col min="50" max="50" width="8.453125" bestFit="1" customWidth="1"/>
    <col min="51" max="51" width="15.26953125" bestFit="1" customWidth="1"/>
    <col min="52" max="52" width="8.453125" bestFit="1" customWidth="1"/>
    <col min="53" max="53" width="15.26953125" bestFit="1" customWidth="1"/>
    <col min="54" max="54" width="8.453125" bestFit="1" customWidth="1"/>
    <col min="55" max="55" width="15.26953125" bestFit="1" customWidth="1"/>
    <col min="56" max="56" width="8.453125" bestFit="1" customWidth="1"/>
    <col min="57" max="57" width="15.26953125" bestFit="1" customWidth="1"/>
    <col min="58" max="58" width="8.453125" bestFit="1" customWidth="1"/>
    <col min="59" max="60" width="15.26953125" bestFit="1" customWidth="1"/>
  </cols>
  <sheetData>
    <row r="1" spans="1:40" ht="14.5" x14ac:dyDescent="0.35">
      <c r="A1" s="61" t="s">
        <v>172</v>
      </c>
      <c r="B1" s="61" t="s">
        <v>0</v>
      </c>
      <c r="C1" s="62" t="s">
        <v>170</v>
      </c>
      <c r="D1" s="63" t="s">
        <v>1</v>
      </c>
      <c r="E1" s="64" t="s">
        <v>168</v>
      </c>
      <c r="F1" s="156" t="s">
        <v>36</v>
      </c>
      <c r="G1" s="156" t="s">
        <v>37</v>
      </c>
      <c r="H1" s="156" t="s">
        <v>38</v>
      </c>
      <c r="I1" s="156" t="s">
        <v>39</v>
      </c>
      <c r="J1" s="156" t="s">
        <v>40</v>
      </c>
      <c r="K1" s="156" t="s">
        <v>41</v>
      </c>
      <c r="L1" s="156" t="s">
        <v>42</v>
      </c>
      <c r="M1" s="156" t="s">
        <v>43</v>
      </c>
      <c r="N1" s="156" t="s">
        <v>44</v>
      </c>
      <c r="O1" s="156" t="s">
        <v>45</v>
      </c>
      <c r="P1" s="156" t="s">
        <v>46</v>
      </c>
      <c r="Q1" s="156" t="s">
        <v>47</v>
      </c>
      <c r="R1" s="156" t="s">
        <v>48</v>
      </c>
      <c r="S1" s="156" t="s">
        <v>49</v>
      </c>
      <c r="T1" s="156" t="s">
        <v>50</v>
      </c>
      <c r="U1" s="156" t="s">
        <v>51</v>
      </c>
      <c r="V1" s="156" t="s">
        <v>52</v>
      </c>
      <c r="W1" s="156" t="s">
        <v>53</v>
      </c>
      <c r="X1" s="156" t="s">
        <v>54</v>
      </c>
      <c r="Y1" s="156" t="s">
        <v>55</v>
      </c>
      <c r="Z1" s="156" t="s">
        <v>56</v>
      </c>
      <c r="AA1" s="156" t="s">
        <v>57</v>
      </c>
      <c r="AB1" s="156" t="s">
        <v>58</v>
      </c>
      <c r="AC1" s="156" t="s">
        <v>59</v>
      </c>
      <c r="AD1" s="156" t="s">
        <v>60</v>
      </c>
      <c r="AE1" s="156" t="s">
        <v>61</v>
      </c>
      <c r="AF1" s="156" t="s">
        <v>62</v>
      </c>
      <c r="AG1" s="156" t="s">
        <v>63</v>
      </c>
      <c r="AH1" s="156" t="s">
        <v>64</v>
      </c>
      <c r="AI1" s="156" t="s">
        <v>65</v>
      </c>
      <c r="AJ1" s="156" t="s">
        <v>66</v>
      </c>
      <c r="AK1"/>
      <c r="AL1"/>
      <c r="AM1"/>
      <c r="AN1"/>
    </row>
    <row r="2" spans="1:40" ht="14.5" x14ac:dyDescent="0.35">
      <c r="A2" t="s">
        <v>1316</v>
      </c>
      <c r="C2" t="s">
        <v>1432</v>
      </c>
      <c r="D2" t="s">
        <v>103</v>
      </c>
      <c r="E2">
        <v>15000</v>
      </c>
      <c r="F2" s="68"/>
      <c r="G2" s="68"/>
      <c r="H2" s="68"/>
      <c r="I2" s="68"/>
      <c r="J2" s="68">
        <v>9</v>
      </c>
      <c r="K2" s="68"/>
      <c r="L2" s="68">
        <v>7</v>
      </c>
      <c r="M2" s="68">
        <v>3</v>
      </c>
      <c r="N2" s="68">
        <f>4</f>
        <v>4</v>
      </c>
      <c r="O2" s="68"/>
      <c r="P2" s="68"/>
      <c r="Q2" s="68">
        <f>7</f>
        <v>7</v>
      </c>
      <c r="R2" s="68"/>
      <c r="S2" s="68">
        <v>4</v>
      </c>
      <c r="T2" s="68"/>
      <c r="U2" s="68"/>
      <c r="V2" s="68"/>
      <c r="W2" s="68"/>
      <c r="X2" s="68"/>
      <c r="Y2" s="68"/>
      <c r="Z2" s="68"/>
      <c r="AA2" s="68"/>
      <c r="AB2" s="68"/>
      <c r="AC2" s="68"/>
      <c r="AD2" s="68"/>
      <c r="AE2" s="68"/>
      <c r="AF2" s="68"/>
      <c r="AG2" s="68"/>
      <c r="AH2" s="68"/>
      <c r="AI2" s="68"/>
      <c r="AJ2" s="68"/>
      <c r="AK2"/>
      <c r="AL2"/>
      <c r="AM2"/>
      <c r="AN2"/>
    </row>
    <row r="3" spans="1:40" ht="14.5" x14ac:dyDescent="0.35">
      <c r="A3" t="s">
        <v>1316</v>
      </c>
      <c r="C3" t="s">
        <v>1433</v>
      </c>
      <c r="D3" t="s">
        <v>101</v>
      </c>
      <c r="E3">
        <v>1000</v>
      </c>
      <c r="F3" s="68"/>
      <c r="G3" s="68"/>
      <c r="H3" s="68">
        <v>13</v>
      </c>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c r="AL3"/>
      <c r="AM3"/>
      <c r="AN3"/>
    </row>
    <row r="4" spans="1:40" ht="14.5" x14ac:dyDescent="0.35">
      <c r="A4" t="s">
        <v>1316</v>
      </c>
      <c r="C4" t="s">
        <v>1317</v>
      </c>
      <c r="D4" t="s">
        <v>29</v>
      </c>
      <c r="E4">
        <v>1</v>
      </c>
      <c r="F4" s="68"/>
      <c r="G4" s="68"/>
      <c r="H4" s="68"/>
      <c r="I4" s="68"/>
      <c r="J4" s="68"/>
      <c r="K4" s="68"/>
      <c r="L4" s="68"/>
      <c r="M4" s="68"/>
      <c r="N4" s="68"/>
      <c r="O4" s="68">
        <v>50000</v>
      </c>
      <c r="P4" s="68"/>
      <c r="Q4" s="68"/>
      <c r="R4" s="68"/>
      <c r="S4" s="68"/>
      <c r="T4" s="68"/>
      <c r="U4" s="68"/>
      <c r="V4" s="68"/>
      <c r="W4" s="68"/>
      <c r="X4" s="68"/>
      <c r="Y4" s="68"/>
      <c r="Z4" s="68"/>
      <c r="AA4" s="68"/>
      <c r="AB4" s="68"/>
      <c r="AC4" s="68"/>
      <c r="AD4" s="68"/>
      <c r="AE4" s="68"/>
      <c r="AF4" s="68"/>
      <c r="AG4" s="68"/>
      <c r="AH4" s="68"/>
      <c r="AI4" s="68"/>
      <c r="AJ4" s="68"/>
      <c r="AK4"/>
      <c r="AL4" s="168">
        <f>13000</f>
        <v>13000</v>
      </c>
      <c r="AM4"/>
      <c r="AN4"/>
    </row>
    <row r="5" spans="1:40" ht="14.5" x14ac:dyDescent="0.35">
      <c r="A5" t="s">
        <v>1316</v>
      </c>
      <c r="B5" t="s">
        <v>1322</v>
      </c>
      <c r="C5" t="s">
        <v>1316</v>
      </c>
      <c r="D5" t="s">
        <v>35</v>
      </c>
      <c r="F5" s="68"/>
      <c r="G5" s="68"/>
      <c r="H5" s="68"/>
      <c r="I5" s="68"/>
      <c r="J5" s="68"/>
      <c r="K5" s="68"/>
      <c r="L5" s="68"/>
      <c r="M5" s="68"/>
      <c r="N5" s="68"/>
      <c r="O5" s="68"/>
      <c r="P5" s="68"/>
      <c r="Q5" s="68"/>
      <c r="R5" s="68"/>
      <c r="S5" s="68"/>
      <c r="T5" s="68"/>
      <c r="U5" s="68"/>
      <c r="V5" s="68"/>
      <c r="W5" s="68"/>
      <c r="X5" s="68"/>
      <c r="Y5" s="68"/>
      <c r="Z5" s="68"/>
      <c r="AA5" s="68"/>
      <c r="AB5" s="68"/>
      <c r="AC5" s="68"/>
      <c r="AD5" s="68"/>
      <c r="AE5" s="68"/>
      <c r="AF5" s="68"/>
      <c r="AG5" s="68"/>
      <c r="AH5" s="68"/>
      <c r="AI5" s="68"/>
      <c r="AJ5" s="68"/>
      <c r="AK5"/>
      <c r="AL5"/>
      <c r="AM5"/>
      <c r="AN5"/>
    </row>
    <row r="6" spans="1:40" ht="14.5" x14ac:dyDescent="0.35">
      <c r="A6" t="s">
        <v>837</v>
      </c>
      <c r="C6" t="s">
        <v>841</v>
      </c>
      <c r="D6" t="s">
        <v>103</v>
      </c>
      <c r="E6">
        <v>24</v>
      </c>
      <c r="F6" s="68"/>
      <c r="G6" s="68">
        <v>55</v>
      </c>
      <c r="H6" s="68"/>
      <c r="I6" s="68"/>
      <c r="J6" s="68"/>
      <c r="K6" s="68">
        <f>35</f>
        <v>35</v>
      </c>
      <c r="L6" s="68"/>
      <c r="M6" s="68"/>
      <c r="N6" s="68">
        <f>60</f>
        <v>60</v>
      </c>
      <c r="O6" s="68"/>
      <c r="P6" s="68"/>
      <c r="Q6" s="68"/>
      <c r="R6" s="171">
        <v>40</v>
      </c>
      <c r="S6" s="68"/>
      <c r="T6" s="68"/>
      <c r="U6" s="68"/>
      <c r="V6" s="68"/>
      <c r="W6" s="68"/>
      <c r="X6" s="68"/>
      <c r="Y6" s="68"/>
      <c r="Z6" s="68"/>
      <c r="AA6" s="68"/>
      <c r="AB6" s="68"/>
      <c r="AC6" s="68"/>
      <c r="AD6" s="68"/>
      <c r="AE6" s="68"/>
      <c r="AF6" s="68"/>
      <c r="AG6" s="68"/>
      <c r="AH6" s="68"/>
      <c r="AI6" s="68"/>
      <c r="AJ6" s="68"/>
      <c r="AK6"/>
      <c r="AL6"/>
      <c r="AM6"/>
      <c r="AN6"/>
    </row>
    <row r="7" spans="1:40" ht="14.5" x14ac:dyDescent="0.35">
      <c r="A7" t="s">
        <v>837</v>
      </c>
      <c r="C7" t="s">
        <v>1123</v>
      </c>
      <c r="D7" t="s">
        <v>358</v>
      </c>
      <c r="E7">
        <v>1</v>
      </c>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c r="AL7"/>
      <c r="AM7"/>
      <c r="AN7"/>
    </row>
    <row r="8" spans="1:40" ht="14.5" x14ac:dyDescent="0.35">
      <c r="A8" t="s">
        <v>837</v>
      </c>
      <c r="B8" t="s">
        <v>842</v>
      </c>
      <c r="C8" t="s">
        <v>837</v>
      </c>
      <c r="D8" t="s">
        <v>69</v>
      </c>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c r="AL8"/>
      <c r="AM8"/>
      <c r="AN8"/>
    </row>
    <row r="9" spans="1:40" ht="14.5" x14ac:dyDescent="0.35">
      <c r="A9" t="s">
        <v>550</v>
      </c>
      <c r="C9" t="s">
        <v>1116</v>
      </c>
      <c r="D9" t="s">
        <v>103</v>
      </c>
      <c r="E9">
        <v>10000</v>
      </c>
      <c r="F9" s="68"/>
      <c r="G9" s="68"/>
      <c r="H9" s="68"/>
      <c r="I9" s="68"/>
      <c r="J9" s="68">
        <v>2</v>
      </c>
      <c r="K9" s="68"/>
      <c r="L9" s="68"/>
      <c r="M9" s="68"/>
      <c r="N9" s="68"/>
      <c r="O9" s="68"/>
      <c r="P9" s="68"/>
      <c r="Q9" s="68"/>
      <c r="R9" s="68"/>
      <c r="S9" s="68"/>
      <c r="T9" s="68"/>
      <c r="U9" s="68"/>
      <c r="V9" s="68"/>
      <c r="W9" s="68"/>
      <c r="X9" s="68"/>
      <c r="Y9" s="68"/>
      <c r="Z9" s="68"/>
      <c r="AA9" s="68"/>
      <c r="AB9" s="68"/>
      <c r="AC9" s="68"/>
      <c r="AD9" s="68"/>
      <c r="AE9" s="68"/>
      <c r="AF9" s="68"/>
      <c r="AG9" s="68"/>
      <c r="AH9" s="68"/>
      <c r="AI9" s="68"/>
      <c r="AJ9" s="68"/>
      <c r="AK9"/>
      <c r="AL9"/>
      <c r="AM9"/>
      <c r="AN9"/>
    </row>
    <row r="10" spans="1:40" ht="14.5" x14ac:dyDescent="0.35">
      <c r="A10" t="s">
        <v>550</v>
      </c>
      <c r="C10" t="s">
        <v>1072</v>
      </c>
      <c r="D10" t="s">
        <v>29</v>
      </c>
      <c r="E10">
        <v>1</v>
      </c>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c r="AJ10" s="68"/>
      <c r="AK10"/>
      <c r="AL10"/>
      <c r="AM10"/>
      <c r="AN10"/>
    </row>
    <row r="11" spans="1:40" ht="14.5" x14ac:dyDescent="0.35">
      <c r="A11" t="s">
        <v>550</v>
      </c>
      <c r="B11" t="s">
        <v>627</v>
      </c>
      <c r="C11" t="s">
        <v>550</v>
      </c>
      <c r="D11" t="s">
        <v>35</v>
      </c>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c r="AL11"/>
      <c r="AM11"/>
      <c r="AN11"/>
    </row>
    <row r="12" spans="1:40" ht="14.5" x14ac:dyDescent="0.35">
      <c r="A12" t="s">
        <v>914</v>
      </c>
      <c r="C12" t="s">
        <v>987</v>
      </c>
      <c r="D12" t="s">
        <v>103</v>
      </c>
      <c r="E12">
        <v>12000</v>
      </c>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c r="AJ12" s="68"/>
      <c r="AK12"/>
      <c r="AL12"/>
      <c r="AM12"/>
      <c r="AN12"/>
    </row>
    <row r="13" spans="1:40" ht="14.5" x14ac:dyDescent="0.35">
      <c r="A13" t="s">
        <v>914</v>
      </c>
      <c r="C13" t="s">
        <v>988</v>
      </c>
      <c r="D13" t="s">
        <v>101</v>
      </c>
      <c r="E13">
        <v>1000</v>
      </c>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c r="AL13"/>
      <c r="AM13"/>
      <c r="AN13"/>
    </row>
    <row r="14" spans="1:40" ht="14.5" x14ac:dyDescent="0.35">
      <c r="A14" t="s">
        <v>914</v>
      </c>
      <c r="C14" t="s">
        <v>989</v>
      </c>
      <c r="D14" t="s">
        <v>29</v>
      </c>
      <c r="E14">
        <v>1</v>
      </c>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68"/>
      <c r="AK14"/>
      <c r="AL14"/>
      <c r="AM14"/>
      <c r="AN14"/>
    </row>
    <row r="15" spans="1:40" ht="14.5" x14ac:dyDescent="0.35">
      <c r="A15" t="s">
        <v>914</v>
      </c>
      <c r="B15" t="s">
        <v>1017</v>
      </c>
      <c r="C15" t="s">
        <v>914</v>
      </c>
      <c r="D15" t="s">
        <v>35</v>
      </c>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c r="AL15"/>
      <c r="AM15"/>
      <c r="AN15"/>
    </row>
    <row r="16" spans="1:40" ht="14.5" x14ac:dyDescent="0.35">
      <c r="A16" t="s">
        <v>484</v>
      </c>
      <c r="C16" t="s">
        <v>1031</v>
      </c>
      <c r="D16" t="s">
        <v>103</v>
      </c>
      <c r="E16">
        <v>480</v>
      </c>
      <c r="F16" s="68"/>
      <c r="G16" s="68"/>
      <c r="H16" s="68"/>
      <c r="I16" s="68"/>
      <c r="J16" s="68">
        <v>35</v>
      </c>
      <c r="K16" s="68"/>
      <c r="L16" s="68">
        <v>34</v>
      </c>
      <c r="M16" s="68"/>
      <c r="N16" s="68">
        <f>192/12</f>
        <v>16</v>
      </c>
      <c r="O16" s="68"/>
      <c r="P16" s="68"/>
      <c r="Q16" s="68">
        <f>26</f>
        <v>26</v>
      </c>
      <c r="R16" s="68"/>
      <c r="S16" s="68">
        <v>16</v>
      </c>
      <c r="T16" s="68"/>
      <c r="U16" s="68"/>
      <c r="V16" s="68"/>
      <c r="W16" s="68"/>
      <c r="X16" s="68"/>
      <c r="Y16" s="68"/>
      <c r="Z16" s="68"/>
      <c r="AA16" s="68"/>
      <c r="AB16" s="68"/>
      <c r="AC16" s="68"/>
      <c r="AD16" s="68"/>
      <c r="AE16" s="68"/>
      <c r="AF16" s="68"/>
      <c r="AG16" s="68"/>
      <c r="AH16" s="68"/>
      <c r="AI16" s="68"/>
      <c r="AJ16" s="68"/>
      <c r="AK16"/>
      <c r="AL16"/>
      <c r="AM16"/>
      <c r="AN16"/>
    </row>
    <row r="17" spans="1:40" ht="14.5" x14ac:dyDescent="0.35">
      <c r="A17" t="s">
        <v>484</v>
      </c>
      <c r="C17" t="s">
        <v>1043</v>
      </c>
      <c r="D17" t="s">
        <v>101</v>
      </c>
      <c r="E17">
        <v>40</v>
      </c>
      <c r="F17" s="68"/>
      <c r="G17" s="68"/>
      <c r="H17" s="68">
        <f>456</f>
        <v>456</v>
      </c>
      <c r="I17" s="68"/>
      <c r="J17" s="68"/>
      <c r="K17" s="68"/>
      <c r="L17" s="68"/>
      <c r="M17" s="68"/>
      <c r="N17" s="68"/>
      <c r="O17" s="68">
        <v>432</v>
      </c>
      <c r="P17" s="68"/>
      <c r="Q17" s="68"/>
      <c r="R17" s="68"/>
      <c r="S17" s="68"/>
      <c r="T17" s="68"/>
      <c r="U17" s="68"/>
      <c r="V17" s="68"/>
      <c r="W17" s="68"/>
      <c r="X17" s="68"/>
      <c r="Y17" s="68"/>
      <c r="Z17" s="68"/>
      <c r="AA17" s="68"/>
      <c r="AB17" s="68"/>
      <c r="AC17" s="68"/>
      <c r="AD17" s="68"/>
      <c r="AE17" s="68"/>
      <c r="AF17" s="68"/>
      <c r="AG17" s="68"/>
      <c r="AH17" s="68"/>
      <c r="AI17" s="68"/>
      <c r="AJ17" s="68"/>
      <c r="AK17"/>
      <c r="AL17"/>
      <c r="AM17"/>
      <c r="AN17"/>
    </row>
    <row r="18" spans="1:40" ht="14.5" x14ac:dyDescent="0.35">
      <c r="A18" t="s">
        <v>484</v>
      </c>
      <c r="C18" t="s">
        <v>1029</v>
      </c>
      <c r="D18" t="s">
        <v>102</v>
      </c>
      <c r="E18">
        <v>1</v>
      </c>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c r="AL18"/>
      <c r="AM18"/>
      <c r="AN18"/>
    </row>
    <row r="19" spans="1:40" ht="14.5" x14ac:dyDescent="0.35">
      <c r="A19" t="s">
        <v>484</v>
      </c>
      <c r="B19" t="s">
        <v>538</v>
      </c>
      <c r="C19" t="s">
        <v>484</v>
      </c>
      <c r="D19" t="s">
        <v>67</v>
      </c>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c r="AL19"/>
      <c r="AM19"/>
      <c r="AN19"/>
    </row>
    <row r="20" spans="1:40" ht="14.5" x14ac:dyDescent="0.35">
      <c r="A20" t="s">
        <v>507</v>
      </c>
      <c r="C20" t="s">
        <v>1032</v>
      </c>
      <c r="D20" t="s">
        <v>103</v>
      </c>
      <c r="E20">
        <v>480</v>
      </c>
      <c r="F20" s="68">
        <f>40</f>
        <v>40</v>
      </c>
      <c r="G20" s="68"/>
      <c r="H20" s="68"/>
      <c r="I20" s="68"/>
      <c r="J20" s="68">
        <v>21</v>
      </c>
      <c r="K20" s="68"/>
      <c r="L20" s="68">
        <v>28</v>
      </c>
      <c r="M20" s="68"/>
      <c r="N20" s="68">
        <f>72/12</f>
        <v>6</v>
      </c>
      <c r="O20" s="68"/>
      <c r="P20" s="68"/>
      <c r="Q20" s="68">
        <f>18</f>
        <v>18</v>
      </c>
      <c r="R20" s="68"/>
      <c r="S20" s="68">
        <v>6</v>
      </c>
      <c r="T20" s="68"/>
      <c r="U20" s="68"/>
      <c r="V20" s="68"/>
      <c r="W20" s="68"/>
      <c r="X20" s="68"/>
      <c r="Y20" s="68"/>
      <c r="Z20" s="68"/>
      <c r="AA20" s="68"/>
      <c r="AB20" s="68"/>
      <c r="AC20" s="68"/>
      <c r="AD20" s="68"/>
      <c r="AE20" s="68"/>
      <c r="AF20" s="68"/>
      <c r="AG20" s="68"/>
      <c r="AH20" s="68"/>
      <c r="AI20" s="68"/>
      <c r="AJ20" s="68"/>
      <c r="AK20"/>
      <c r="AL20"/>
      <c r="AM20"/>
      <c r="AN20"/>
    </row>
    <row r="21" spans="1:40" ht="14.5" x14ac:dyDescent="0.35">
      <c r="A21" t="s">
        <v>507</v>
      </c>
      <c r="C21" t="s">
        <v>1044</v>
      </c>
      <c r="D21" t="s">
        <v>101</v>
      </c>
      <c r="E21">
        <v>40</v>
      </c>
      <c r="F21" s="68"/>
      <c r="G21" s="68"/>
      <c r="H21" s="68">
        <f>192</f>
        <v>192</v>
      </c>
      <c r="I21" s="68"/>
      <c r="J21" s="68"/>
      <c r="K21" s="68"/>
      <c r="L21" s="68"/>
      <c r="M21" s="68"/>
      <c r="N21" s="68"/>
      <c r="O21" s="68">
        <v>264</v>
      </c>
      <c r="P21" s="68"/>
      <c r="Q21" s="68"/>
      <c r="R21" s="68"/>
      <c r="S21" s="68"/>
      <c r="T21" s="68"/>
      <c r="U21" s="68"/>
      <c r="V21" s="68"/>
      <c r="W21" s="68"/>
      <c r="X21" s="68"/>
      <c r="Y21" s="68"/>
      <c r="Z21" s="68"/>
      <c r="AA21" s="68"/>
      <c r="AB21" s="68"/>
      <c r="AC21" s="68"/>
      <c r="AD21" s="68"/>
      <c r="AE21" s="68"/>
      <c r="AF21" s="68"/>
      <c r="AG21" s="68"/>
      <c r="AH21" s="68"/>
      <c r="AI21" s="68"/>
      <c r="AJ21" s="68"/>
      <c r="AK21"/>
      <c r="AL21"/>
      <c r="AM21"/>
      <c r="AN21"/>
    </row>
    <row r="22" spans="1:40" ht="14.5" x14ac:dyDescent="0.35">
      <c r="A22" t="s">
        <v>507</v>
      </c>
      <c r="C22" t="s">
        <v>1030</v>
      </c>
      <c r="D22" t="s">
        <v>102</v>
      </c>
      <c r="E22">
        <v>1</v>
      </c>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c r="AL22"/>
      <c r="AM22"/>
      <c r="AN22"/>
    </row>
    <row r="23" spans="1:40" ht="14.5" x14ac:dyDescent="0.35">
      <c r="A23" t="s">
        <v>507</v>
      </c>
      <c r="B23" t="s">
        <v>537</v>
      </c>
      <c r="C23" t="s">
        <v>507</v>
      </c>
      <c r="D23" t="s">
        <v>67</v>
      </c>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c r="AL23"/>
      <c r="AM23"/>
      <c r="AN23"/>
    </row>
    <row r="24" spans="1:40" ht="14.5" x14ac:dyDescent="0.35">
      <c r="A24" t="s">
        <v>915</v>
      </c>
      <c r="C24" t="s">
        <v>990</v>
      </c>
      <c r="D24" t="s">
        <v>101</v>
      </c>
      <c r="E24">
        <v>1000</v>
      </c>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8"/>
      <c r="AF24" s="68"/>
      <c r="AG24" s="68"/>
      <c r="AH24" s="68"/>
      <c r="AI24" s="68"/>
      <c r="AJ24" s="68"/>
      <c r="AK24"/>
      <c r="AL24"/>
      <c r="AM24"/>
      <c r="AN24"/>
    </row>
    <row r="25" spans="1:40" ht="14.5" x14ac:dyDescent="0.35">
      <c r="A25" t="s">
        <v>915</v>
      </c>
      <c r="C25" t="s">
        <v>991</v>
      </c>
      <c r="D25" t="s">
        <v>29</v>
      </c>
      <c r="E25">
        <v>1</v>
      </c>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c r="AL25"/>
      <c r="AM25"/>
      <c r="AN25"/>
    </row>
    <row r="26" spans="1:40" ht="14.5" x14ac:dyDescent="0.35">
      <c r="A26" t="s">
        <v>915</v>
      </c>
      <c r="B26" t="s">
        <v>1018</v>
      </c>
      <c r="C26" t="s">
        <v>915</v>
      </c>
      <c r="D26" t="s">
        <v>35</v>
      </c>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c r="AL26"/>
      <c r="AM26"/>
      <c r="AN26"/>
    </row>
    <row r="27" spans="1:40" ht="14.5" x14ac:dyDescent="0.35">
      <c r="A27" t="s">
        <v>540</v>
      </c>
      <c r="C27" t="s">
        <v>1067</v>
      </c>
      <c r="D27" t="s">
        <v>103</v>
      </c>
      <c r="E27">
        <v>150</v>
      </c>
      <c r="F27" s="68"/>
      <c r="G27" s="68"/>
      <c r="H27" s="68"/>
      <c r="I27" s="68"/>
      <c r="J27" s="68">
        <v>32</v>
      </c>
      <c r="K27" s="68"/>
      <c r="L27" s="68">
        <v>19</v>
      </c>
      <c r="M27" s="68">
        <v>46</v>
      </c>
      <c r="N27" s="68">
        <f>190/10</f>
        <v>19</v>
      </c>
      <c r="O27" s="68"/>
      <c r="P27" s="68"/>
      <c r="Q27" s="68">
        <f>22</f>
        <v>22</v>
      </c>
      <c r="R27" s="68"/>
      <c r="S27" s="68">
        <v>19</v>
      </c>
      <c r="T27" s="68"/>
      <c r="U27" s="68"/>
      <c r="V27" s="68"/>
      <c r="W27" s="68"/>
      <c r="X27" s="68"/>
      <c r="Y27" s="68"/>
      <c r="Z27" s="68"/>
      <c r="AA27" s="68"/>
      <c r="AB27" s="68"/>
      <c r="AC27" s="68"/>
      <c r="AD27" s="68"/>
      <c r="AE27" s="68"/>
      <c r="AF27" s="68"/>
      <c r="AG27" s="68"/>
      <c r="AH27" s="68"/>
      <c r="AI27" s="68"/>
      <c r="AJ27" s="68"/>
      <c r="AK27"/>
      <c r="AL27"/>
      <c r="AM27"/>
      <c r="AN27"/>
    </row>
    <row r="28" spans="1:40" ht="14.5" x14ac:dyDescent="0.35">
      <c r="A28" t="s">
        <v>540</v>
      </c>
      <c r="C28" t="s">
        <v>1066</v>
      </c>
      <c r="D28" t="s">
        <v>101</v>
      </c>
      <c r="E28">
        <v>15</v>
      </c>
      <c r="F28" s="68"/>
      <c r="G28" s="68"/>
      <c r="H28" s="68">
        <f>350</f>
        <v>350</v>
      </c>
      <c r="I28" s="68"/>
      <c r="J28" s="68"/>
      <c r="K28" s="68"/>
      <c r="L28" s="68"/>
      <c r="M28" s="68"/>
      <c r="N28" s="68"/>
      <c r="O28" s="68">
        <v>190</v>
      </c>
      <c r="P28" s="68"/>
      <c r="Q28" s="68">
        <f>168</f>
        <v>168</v>
      </c>
      <c r="R28" s="68"/>
      <c r="S28" s="68"/>
      <c r="T28" s="68"/>
      <c r="U28" s="68"/>
      <c r="V28" s="68"/>
      <c r="W28" s="68"/>
      <c r="X28" s="68"/>
      <c r="Y28" s="68"/>
      <c r="Z28" s="68"/>
      <c r="AA28" s="68"/>
      <c r="AB28" s="68"/>
      <c r="AC28" s="68"/>
      <c r="AD28" s="68"/>
      <c r="AE28" s="68"/>
      <c r="AF28" s="68"/>
      <c r="AG28" s="68"/>
      <c r="AH28" s="68"/>
      <c r="AI28" s="68"/>
      <c r="AJ28" s="68"/>
      <c r="AK28"/>
      <c r="AL28"/>
      <c r="AM28"/>
      <c r="AN28"/>
    </row>
    <row r="29" spans="1:40" ht="14.5" x14ac:dyDescent="0.35">
      <c r="A29" t="s">
        <v>540</v>
      </c>
      <c r="C29" t="s">
        <v>548</v>
      </c>
      <c r="D29" t="s">
        <v>101</v>
      </c>
      <c r="E29">
        <v>1</v>
      </c>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c r="AF29" s="68"/>
      <c r="AG29" s="68"/>
      <c r="AH29" s="68"/>
      <c r="AI29" s="68"/>
      <c r="AJ29" s="68"/>
      <c r="AK29"/>
      <c r="AL29"/>
      <c r="AM29"/>
      <c r="AN29"/>
    </row>
    <row r="30" spans="1:40" ht="14.5" x14ac:dyDescent="0.35">
      <c r="A30" t="s">
        <v>540</v>
      </c>
      <c r="B30" t="s">
        <v>544</v>
      </c>
      <c r="C30" t="s">
        <v>540</v>
      </c>
      <c r="D30" t="s">
        <v>67</v>
      </c>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c r="AL30"/>
      <c r="AM30"/>
      <c r="AN30"/>
    </row>
    <row r="31" spans="1:40" ht="14.5" x14ac:dyDescent="0.35">
      <c r="A31" t="s">
        <v>496</v>
      </c>
      <c r="C31" t="s">
        <v>1033</v>
      </c>
      <c r="D31" t="s">
        <v>103</v>
      </c>
      <c r="E31">
        <v>7500</v>
      </c>
      <c r="F31" s="68"/>
      <c r="G31" s="68"/>
      <c r="H31" s="68">
        <f>3</f>
        <v>3</v>
      </c>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c r="AL31"/>
      <c r="AM31"/>
      <c r="AN31"/>
    </row>
    <row r="32" spans="1:40" ht="14.5" x14ac:dyDescent="0.35">
      <c r="A32" t="s">
        <v>496</v>
      </c>
      <c r="C32" t="s">
        <v>1068</v>
      </c>
      <c r="D32" t="s">
        <v>101</v>
      </c>
      <c r="E32">
        <v>500</v>
      </c>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c r="AG32" s="68"/>
      <c r="AH32" s="68"/>
      <c r="AI32" s="68"/>
      <c r="AJ32" s="68"/>
      <c r="AK32"/>
      <c r="AL32"/>
      <c r="AM32"/>
      <c r="AN32"/>
    </row>
    <row r="33" spans="1:40" ht="14.5" x14ac:dyDescent="0.35">
      <c r="A33" t="s">
        <v>496</v>
      </c>
      <c r="C33" t="s">
        <v>1069</v>
      </c>
      <c r="D33" t="s">
        <v>29</v>
      </c>
      <c r="E33">
        <v>1</v>
      </c>
      <c r="F33" s="68"/>
      <c r="G33" s="68"/>
      <c r="H33" s="68"/>
      <c r="I33" s="68"/>
      <c r="J33" s="68"/>
      <c r="K33" s="68"/>
      <c r="L33" s="68">
        <v>15000</v>
      </c>
      <c r="M33" s="68"/>
      <c r="N33" s="68"/>
      <c r="O33" s="68">
        <v>20000</v>
      </c>
      <c r="P33" s="68"/>
      <c r="Q33" s="68"/>
      <c r="R33" s="68"/>
      <c r="S33" s="68">
        <v>10000</v>
      </c>
      <c r="T33" s="68"/>
      <c r="U33" s="68"/>
      <c r="V33" s="68"/>
      <c r="W33" s="68"/>
      <c r="X33" s="68"/>
      <c r="Y33" s="68"/>
      <c r="Z33" s="68"/>
      <c r="AA33" s="68"/>
      <c r="AB33" s="68"/>
      <c r="AC33" s="68"/>
      <c r="AD33" s="68"/>
      <c r="AE33" s="68"/>
      <c r="AF33" s="68"/>
      <c r="AG33" s="68"/>
      <c r="AH33" s="68"/>
      <c r="AI33" s="68"/>
      <c r="AJ33" s="68"/>
      <c r="AK33"/>
      <c r="AL33"/>
      <c r="AM33"/>
      <c r="AN33"/>
    </row>
    <row r="34" spans="1:40" ht="14.5" x14ac:dyDescent="0.35">
      <c r="A34" t="s">
        <v>496</v>
      </c>
      <c r="B34" t="s">
        <v>528</v>
      </c>
      <c r="C34" t="s">
        <v>496</v>
      </c>
      <c r="D34" t="s">
        <v>35</v>
      </c>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c r="AL34"/>
      <c r="AM34"/>
      <c r="AN34"/>
    </row>
    <row r="35" spans="1:40" ht="14.5" x14ac:dyDescent="0.35">
      <c r="A35" t="s">
        <v>1195</v>
      </c>
      <c r="C35" t="s">
        <v>1034</v>
      </c>
      <c r="D35" t="s">
        <v>557</v>
      </c>
      <c r="E35">
        <v>7500</v>
      </c>
      <c r="F35" s="68"/>
      <c r="G35" s="68"/>
      <c r="H35" s="68">
        <f>1</f>
        <v>1</v>
      </c>
      <c r="I35" s="68"/>
      <c r="J35" s="68"/>
      <c r="K35" s="68"/>
      <c r="L35" s="68"/>
      <c r="M35" s="68"/>
      <c r="N35" s="68"/>
      <c r="O35" s="68"/>
      <c r="P35" s="68"/>
      <c r="Q35" s="68">
        <f>1</f>
        <v>1</v>
      </c>
      <c r="R35" s="68"/>
      <c r="S35" s="68"/>
      <c r="T35" s="68"/>
      <c r="U35" s="68"/>
      <c r="V35" s="68"/>
      <c r="W35" s="68"/>
      <c r="X35" s="68"/>
      <c r="Y35" s="68"/>
      <c r="Z35" s="68"/>
      <c r="AA35" s="68"/>
      <c r="AB35" s="68"/>
      <c r="AC35" s="68"/>
      <c r="AD35" s="68"/>
      <c r="AE35" s="68"/>
      <c r="AF35" s="68"/>
      <c r="AG35" s="68"/>
      <c r="AH35" s="68"/>
      <c r="AI35" s="68"/>
      <c r="AJ35" s="68"/>
      <c r="AK35"/>
      <c r="AL35"/>
      <c r="AM35"/>
      <c r="AN35"/>
    </row>
    <row r="36" spans="1:40" ht="14.5" x14ac:dyDescent="0.35">
      <c r="A36" t="s">
        <v>1195</v>
      </c>
      <c r="C36" t="s">
        <v>1045</v>
      </c>
      <c r="D36" t="s">
        <v>101</v>
      </c>
      <c r="E36">
        <v>500</v>
      </c>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c r="AL36"/>
      <c r="AM36"/>
      <c r="AN36"/>
    </row>
    <row r="37" spans="1:40" ht="14.5" x14ac:dyDescent="0.35">
      <c r="A37" t="s">
        <v>1195</v>
      </c>
      <c r="C37" t="s">
        <v>1070</v>
      </c>
      <c r="D37" t="s">
        <v>29</v>
      </c>
      <c r="E37">
        <v>1</v>
      </c>
      <c r="F37" s="68"/>
      <c r="G37" s="68"/>
      <c r="H37" s="68"/>
      <c r="I37" s="68"/>
      <c r="J37" s="68"/>
      <c r="K37" s="68"/>
      <c r="L37" s="68"/>
      <c r="M37" s="68"/>
      <c r="N37" s="68"/>
      <c r="O37" s="68">
        <v>7500</v>
      </c>
      <c r="P37" s="68"/>
      <c r="Q37" s="68"/>
      <c r="R37" s="68"/>
      <c r="S37" s="68"/>
      <c r="T37" s="68"/>
      <c r="U37" s="68"/>
      <c r="V37" s="68"/>
      <c r="W37" s="68"/>
      <c r="X37" s="68"/>
      <c r="Y37" s="68"/>
      <c r="Z37" s="68"/>
      <c r="AA37" s="68"/>
      <c r="AB37" s="68"/>
      <c r="AC37" s="68"/>
      <c r="AD37" s="68"/>
      <c r="AE37" s="68"/>
      <c r="AF37" s="68"/>
      <c r="AG37" s="68"/>
      <c r="AH37" s="68"/>
      <c r="AI37" s="68"/>
      <c r="AJ37" s="68"/>
      <c r="AK37"/>
      <c r="AL37"/>
      <c r="AM37"/>
      <c r="AN37"/>
    </row>
    <row r="38" spans="1:40" ht="14.5" x14ac:dyDescent="0.35">
      <c r="A38" t="s">
        <v>1195</v>
      </c>
      <c r="B38" t="s">
        <v>1197</v>
      </c>
      <c r="C38" t="s">
        <v>1195</v>
      </c>
      <c r="D38" t="s">
        <v>35</v>
      </c>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c r="AL38"/>
      <c r="AM38"/>
      <c r="AN38"/>
    </row>
    <row r="39" spans="1:40" ht="14.5" x14ac:dyDescent="0.35">
      <c r="A39" t="s">
        <v>511</v>
      </c>
      <c r="C39" t="s">
        <v>551</v>
      </c>
      <c r="D39" t="s">
        <v>136</v>
      </c>
      <c r="E39">
        <v>25000</v>
      </c>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c r="AJ39" s="68"/>
      <c r="AK39"/>
      <c r="AL39"/>
      <c r="AM39"/>
      <c r="AN39"/>
    </row>
    <row r="40" spans="1:40" ht="14.5" x14ac:dyDescent="0.35">
      <c r="A40" t="s">
        <v>511</v>
      </c>
      <c r="C40" t="s">
        <v>1071</v>
      </c>
      <c r="D40" t="s">
        <v>29</v>
      </c>
      <c r="E40">
        <v>1</v>
      </c>
      <c r="F40" s="68"/>
      <c r="G40" s="68"/>
      <c r="H40" s="68"/>
      <c r="I40" s="68"/>
      <c r="J40" s="68"/>
      <c r="K40" s="68"/>
      <c r="L40" s="68"/>
      <c r="M40" s="68"/>
      <c r="N40" s="68"/>
      <c r="O40" s="68"/>
      <c r="P40" s="68"/>
      <c r="Q40" s="68"/>
      <c r="R40" s="68"/>
      <c r="S40" s="68"/>
      <c r="T40" s="68"/>
      <c r="U40" s="68"/>
      <c r="V40" s="68"/>
      <c r="W40" s="68"/>
      <c r="X40" s="68"/>
      <c r="Y40" s="68"/>
      <c r="Z40" s="68"/>
      <c r="AA40" s="68"/>
      <c r="AB40" s="68"/>
      <c r="AC40" s="68"/>
      <c r="AD40" s="68"/>
      <c r="AE40" s="68"/>
      <c r="AF40" s="68"/>
      <c r="AG40" s="68"/>
      <c r="AH40" s="68"/>
      <c r="AI40" s="68"/>
      <c r="AJ40" s="68"/>
      <c r="AK40"/>
      <c r="AL40"/>
      <c r="AM40"/>
      <c r="AN40"/>
    </row>
    <row r="41" spans="1:40" ht="14.5" x14ac:dyDescent="0.35">
      <c r="A41" t="s">
        <v>511</v>
      </c>
      <c r="B41" t="s">
        <v>535</v>
      </c>
      <c r="C41" t="s">
        <v>511</v>
      </c>
      <c r="D41" t="s">
        <v>35</v>
      </c>
      <c r="F41" s="68"/>
      <c r="G41" s="68"/>
      <c r="H41" s="68"/>
      <c r="I41" s="68"/>
      <c r="J41" s="68"/>
      <c r="K41" s="68"/>
      <c r="L41" s="68"/>
      <c r="M41" s="68"/>
      <c r="N41" s="68"/>
      <c r="O41" s="68"/>
      <c r="P41" s="68"/>
      <c r="Q41" s="68"/>
      <c r="R41" s="68"/>
      <c r="S41" s="68"/>
      <c r="T41" s="68"/>
      <c r="U41" s="68"/>
      <c r="V41" s="68"/>
      <c r="W41" s="68"/>
      <c r="X41" s="68"/>
      <c r="Y41" s="68"/>
      <c r="Z41" s="68"/>
      <c r="AA41" s="68"/>
      <c r="AB41" s="68"/>
      <c r="AC41" s="68"/>
      <c r="AD41" s="68"/>
      <c r="AE41" s="68"/>
      <c r="AF41" s="68"/>
      <c r="AG41" s="68"/>
      <c r="AH41" s="68"/>
      <c r="AI41" s="68"/>
      <c r="AJ41" s="68"/>
      <c r="AK41"/>
      <c r="AL41"/>
      <c r="AM41"/>
      <c r="AN41"/>
    </row>
    <row r="42" spans="1:40" ht="14.5" x14ac:dyDescent="0.35">
      <c r="A42" t="s">
        <v>509</v>
      </c>
      <c r="C42" t="s">
        <v>1086</v>
      </c>
      <c r="D42" t="s">
        <v>101</v>
      </c>
      <c r="E42">
        <v>810</v>
      </c>
      <c r="F42" s="68"/>
      <c r="G42" s="68"/>
      <c r="H42" s="68">
        <f>60</f>
        <v>60</v>
      </c>
      <c r="I42" s="68"/>
      <c r="J42" s="68"/>
      <c r="K42" s="68"/>
      <c r="L42" s="68"/>
      <c r="M42" s="68">
        <v>100</v>
      </c>
      <c r="N42" s="68"/>
      <c r="O42" s="68"/>
      <c r="P42" s="68"/>
      <c r="Q42" s="68"/>
      <c r="R42" s="68"/>
      <c r="S42" s="68">
        <v>60</v>
      </c>
      <c r="T42" s="68"/>
      <c r="U42" s="68"/>
      <c r="V42" s="68"/>
      <c r="W42" s="68"/>
      <c r="X42" s="68"/>
      <c r="Y42" s="68"/>
      <c r="Z42" s="68"/>
      <c r="AA42" s="68"/>
      <c r="AB42" s="68"/>
      <c r="AC42" s="68"/>
      <c r="AD42" s="68"/>
      <c r="AE42" s="68"/>
      <c r="AF42" s="68"/>
      <c r="AG42" s="68"/>
      <c r="AH42" s="68"/>
      <c r="AI42" s="68"/>
      <c r="AJ42" s="68"/>
      <c r="AK42"/>
      <c r="AL42"/>
      <c r="AM42"/>
      <c r="AN42"/>
    </row>
    <row r="43" spans="1:40" ht="14.5" x14ac:dyDescent="0.35">
      <c r="A43" t="s">
        <v>509</v>
      </c>
      <c r="C43" t="s">
        <v>1117</v>
      </c>
      <c r="D43" t="s">
        <v>29</v>
      </c>
      <c r="E43">
        <v>1</v>
      </c>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68"/>
      <c r="AI43" s="68"/>
      <c r="AJ43" s="68"/>
      <c r="AK43"/>
      <c r="AL43"/>
      <c r="AM43"/>
      <c r="AN43"/>
    </row>
    <row r="44" spans="1:40" ht="14.5" x14ac:dyDescent="0.35">
      <c r="A44" t="s">
        <v>509</v>
      </c>
      <c r="B44" t="s">
        <v>536</v>
      </c>
      <c r="C44" t="s">
        <v>509</v>
      </c>
      <c r="D44" t="s">
        <v>35</v>
      </c>
      <c r="F44" s="68"/>
      <c r="G44" s="68"/>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c r="AJ44" s="68"/>
      <c r="AK44"/>
      <c r="AL44"/>
      <c r="AM44"/>
      <c r="AN44"/>
    </row>
    <row r="45" spans="1:40" ht="14.5" x14ac:dyDescent="0.35">
      <c r="A45" t="s">
        <v>1345</v>
      </c>
      <c r="C45" t="s">
        <v>1387</v>
      </c>
      <c r="D45" t="s">
        <v>103</v>
      </c>
      <c r="E45">
        <v>7740</v>
      </c>
      <c r="F45" s="68"/>
      <c r="G45" s="68"/>
      <c r="H45" s="68">
        <f>2</f>
        <v>2</v>
      </c>
      <c r="I45" s="68"/>
      <c r="J45" s="68"/>
      <c r="K45" s="68"/>
      <c r="L45" s="68"/>
      <c r="M45" s="68"/>
      <c r="N45" s="68"/>
      <c r="O45" s="68">
        <v>1</v>
      </c>
      <c r="P45" s="68"/>
      <c r="Q45" s="68"/>
      <c r="R45" s="68"/>
      <c r="S45" s="68">
        <v>1</v>
      </c>
      <c r="T45" s="68"/>
      <c r="U45" s="68"/>
      <c r="V45" s="68"/>
      <c r="W45" s="68"/>
      <c r="X45" s="68"/>
      <c r="Y45" s="68"/>
      <c r="Z45" s="68"/>
      <c r="AA45" s="68"/>
      <c r="AB45" s="68"/>
      <c r="AC45" s="68"/>
      <c r="AD45" s="68"/>
      <c r="AE45" s="68"/>
      <c r="AF45" s="68"/>
      <c r="AG45" s="68"/>
      <c r="AH45" s="68"/>
      <c r="AI45" s="68"/>
      <c r="AJ45" s="68"/>
      <c r="AK45"/>
      <c r="AL45"/>
      <c r="AM45"/>
      <c r="AN45"/>
    </row>
    <row r="46" spans="1:40" ht="14.5" x14ac:dyDescent="0.35">
      <c r="A46" t="s">
        <v>1345</v>
      </c>
      <c r="C46" t="s">
        <v>1388</v>
      </c>
      <c r="D46" t="s">
        <v>101</v>
      </c>
      <c r="E46">
        <v>1290</v>
      </c>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c r="AL46"/>
      <c r="AM46"/>
      <c r="AN46"/>
    </row>
    <row r="47" spans="1:40" ht="14.5" x14ac:dyDescent="0.35">
      <c r="A47" t="s">
        <v>1345</v>
      </c>
      <c r="C47" t="s">
        <v>1389</v>
      </c>
      <c r="D47" t="s">
        <v>29</v>
      </c>
      <c r="E47">
        <v>1</v>
      </c>
      <c r="F47" s="68"/>
      <c r="G47" s="68"/>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c r="AL47"/>
      <c r="AM47"/>
      <c r="AN47"/>
    </row>
    <row r="48" spans="1:40" ht="14.5" x14ac:dyDescent="0.35">
      <c r="A48" t="s">
        <v>1345</v>
      </c>
      <c r="B48" t="s">
        <v>1390</v>
      </c>
      <c r="C48" t="s">
        <v>1345</v>
      </c>
      <c r="D48" t="s">
        <v>35</v>
      </c>
      <c r="F48" s="68"/>
      <c r="G48" s="68"/>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c r="AL48"/>
      <c r="AM48"/>
      <c r="AN48"/>
    </row>
    <row r="49" spans="1:40" ht="14.5" x14ac:dyDescent="0.35">
      <c r="A49" t="s">
        <v>1344</v>
      </c>
      <c r="C49" t="s">
        <v>1383</v>
      </c>
      <c r="D49" t="s">
        <v>103</v>
      </c>
      <c r="E49">
        <v>6000</v>
      </c>
      <c r="F49" s="68"/>
      <c r="G49" s="68"/>
      <c r="H49" s="68"/>
      <c r="I49" s="68"/>
      <c r="J49" s="68"/>
      <c r="K49" s="68"/>
      <c r="L49" s="68"/>
      <c r="M49" s="68"/>
      <c r="N49" s="68"/>
      <c r="O49" s="68">
        <v>1</v>
      </c>
      <c r="P49" s="68"/>
      <c r="Q49" s="68"/>
      <c r="R49" s="68"/>
      <c r="S49" s="68"/>
      <c r="T49" s="68"/>
      <c r="U49" s="68"/>
      <c r="V49" s="68"/>
      <c r="W49" s="68"/>
      <c r="X49" s="68"/>
      <c r="Y49" s="68"/>
      <c r="Z49" s="68"/>
      <c r="AA49" s="68"/>
      <c r="AB49" s="68"/>
      <c r="AC49" s="68"/>
      <c r="AD49" s="68"/>
      <c r="AE49" s="68"/>
      <c r="AF49" s="68"/>
      <c r="AG49" s="68"/>
      <c r="AH49" s="68"/>
      <c r="AI49" s="68"/>
      <c r="AJ49" s="68"/>
      <c r="AK49"/>
      <c r="AL49"/>
      <c r="AM49"/>
      <c r="AN49"/>
    </row>
    <row r="50" spans="1:40" ht="14.5" x14ac:dyDescent="0.35">
      <c r="A50" t="s">
        <v>1344</v>
      </c>
      <c r="C50" t="s">
        <v>1384</v>
      </c>
      <c r="D50" t="s">
        <v>101</v>
      </c>
      <c r="E50">
        <v>250</v>
      </c>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c r="AL50"/>
      <c r="AM50"/>
      <c r="AN50"/>
    </row>
    <row r="51" spans="1:40" ht="14.5" x14ac:dyDescent="0.35">
      <c r="A51" t="s">
        <v>1344</v>
      </c>
      <c r="C51" t="s">
        <v>1385</v>
      </c>
      <c r="D51" t="s">
        <v>29</v>
      </c>
      <c r="E51">
        <v>1</v>
      </c>
      <c r="F51" s="68"/>
      <c r="G51" s="68"/>
      <c r="H51" s="68"/>
      <c r="I51" s="68"/>
      <c r="J51" s="68"/>
      <c r="K51" s="68"/>
      <c r="L51" s="68"/>
      <c r="M51" s="68"/>
      <c r="N51" s="68"/>
      <c r="O51" s="68"/>
      <c r="P51" s="68"/>
      <c r="Q51" s="68"/>
      <c r="R51" s="68"/>
      <c r="S51" s="68"/>
      <c r="T51" s="68"/>
      <c r="U51" s="68"/>
      <c r="V51" s="68"/>
      <c r="W51" s="68"/>
      <c r="X51" s="68"/>
      <c r="Y51" s="68"/>
      <c r="Z51" s="68"/>
      <c r="AA51" s="68"/>
      <c r="AB51" s="68"/>
      <c r="AC51" s="68"/>
      <c r="AD51" s="68"/>
      <c r="AE51" s="68"/>
      <c r="AF51" s="68"/>
      <c r="AG51" s="68"/>
      <c r="AH51" s="68"/>
      <c r="AI51" s="68"/>
      <c r="AJ51" s="68"/>
      <c r="AK51"/>
      <c r="AL51"/>
      <c r="AM51"/>
      <c r="AN51"/>
    </row>
    <row r="52" spans="1:40" ht="14.5" x14ac:dyDescent="0.35">
      <c r="A52" t="s">
        <v>1344</v>
      </c>
      <c r="B52" t="s">
        <v>1386</v>
      </c>
      <c r="C52" t="s">
        <v>1344</v>
      </c>
      <c r="D52" t="s">
        <v>35</v>
      </c>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c r="AL52"/>
      <c r="AM52"/>
      <c r="AN52"/>
    </row>
    <row r="53" spans="1:40" ht="14.5" x14ac:dyDescent="0.35">
      <c r="A53" t="s">
        <v>1343</v>
      </c>
      <c r="C53" t="s">
        <v>1379</v>
      </c>
      <c r="D53" t="s">
        <v>103</v>
      </c>
      <c r="E53">
        <v>12000</v>
      </c>
      <c r="F53" s="68"/>
      <c r="G53" s="68"/>
      <c r="H53" s="68"/>
      <c r="I53" s="68"/>
      <c r="J53" s="68"/>
      <c r="K53" s="68"/>
      <c r="L53" s="68"/>
      <c r="M53" s="68"/>
      <c r="N53" s="68"/>
      <c r="O53" s="68"/>
      <c r="P53" s="68"/>
      <c r="Q53" s="68"/>
      <c r="R53" s="68">
        <v>1</v>
      </c>
      <c r="S53" s="68">
        <v>1</v>
      </c>
      <c r="T53" s="68"/>
      <c r="U53" s="68"/>
      <c r="V53" s="68"/>
      <c r="W53" s="68"/>
      <c r="X53" s="68"/>
      <c r="Y53" s="68"/>
      <c r="Z53" s="68"/>
      <c r="AA53" s="68"/>
      <c r="AB53" s="68"/>
      <c r="AC53" s="68"/>
      <c r="AD53" s="68"/>
      <c r="AE53" s="68"/>
      <c r="AF53" s="68"/>
      <c r="AG53" s="68"/>
      <c r="AH53" s="68"/>
      <c r="AI53" s="68"/>
      <c r="AJ53" s="68"/>
      <c r="AK53"/>
      <c r="AL53"/>
      <c r="AM53"/>
      <c r="AN53"/>
    </row>
    <row r="54" spans="1:40" ht="14.5" x14ac:dyDescent="0.35">
      <c r="A54" t="s">
        <v>1343</v>
      </c>
      <c r="C54" t="s">
        <v>1380</v>
      </c>
      <c r="D54" t="s">
        <v>101</v>
      </c>
      <c r="E54">
        <v>100</v>
      </c>
      <c r="F54" s="68"/>
      <c r="G54" s="68"/>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c r="AL54"/>
      <c r="AM54"/>
      <c r="AN54"/>
    </row>
    <row r="55" spans="1:40" ht="14.5" x14ac:dyDescent="0.35">
      <c r="A55" t="s">
        <v>1343</v>
      </c>
      <c r="C55" t="s">
        <v>1381</v>
      </c>
      <c r="D55" t="s">
        <v>29</v>
      </c>
      <c r="E55">
        <v>1</v>
      </c>
      <c r="F55" s="68"/>
      <c r="G55" s="68"/>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c r="AL55"/>
      <c r="AM55"/>
      <c r="AN55"/>
    </row>
    <row r="56" spans="1:40" ht="14.5" x14ac:dyDescent="0.35">
      <c r="A56" t="s">
        <v>1343</v>
      </c>
      <c r="B56" t="s">
        <v>1382</v>
      </c>
      <c r="C56" t="s">
        <v>1343</v>
      </c>
      <c r="D56" t="s">
        <v>35</v>
      </c>
      <c r="F56" s="68"/>
      <c r="G56" s="68"/>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c r="AL56"/>
      <c r="AM56"/>
      <c r="AN56"/>
    </row>
    <row r="57" spans="1:40" ht="14.5" x14ac:dyDescent="0.35">
      <c r="A57" t="s">
        <v>1196</v>
      </c>
      <c r="C57" t="s">
        <v>1087</v>
      </c>
      <c r="D57" t="s">
        <v>557</v>
      </c>
      <c r="E57">
        <v>21000</v>
      </c>
      <c r="F57" s="68"/>
      <c r="G57" s="68"/>
      <c r="H57" s="68">
        <f>3</f>
        <v>3</v>
      </c>
      <c r="I57" s="68"/>
      <c r="J57" s="68">
        <v>2</v>
      </c>
      <c r="K57" s="68"/>
      <c r="L57" s="68">
        <v>3</v>
      </c>
      <c r="M57" s="68"/>
      <c r="N57" s="68"/>
      <c r="O57" s="68"/>
      <c r="P57" s="68"/>
      <c r="Q57" s="68">
        <f>2</f>
        <v>2</v>
      </c>
      <c r="R57" s="68"/>
      <c r="S57" s="68"/>
      <c r="T57" s="68"/>
      <c r="U57" s="68"/>
      <c r="V57" s="68"/>
      <c r="W57" s="68"/>
      <c r="X57" s="68"/>
      <c r="Y57" s="68"/>
      <c r="Z57" s="68"/>
      <c r="AA57" s="68"/>
      <c r="AB57" s="68"/>
      <c r="AC57" s="68"/>
      <c r="AD57" s="68"/>
      <c r="AE57" s="68"/>
      <c r="AF57" s="68"/>
      <c r="AG57" s="68"/>
      <c r="AH57" s="68"/>
      <c r="AI57" s="68"/>
      <c r="AJ57" s="68"/>
      <c r="AK57"/>
      <c r="AL57"/>
      <c r="AM57"/>
      <c r="AN57"/>
    </row>
    <row r="58" spans="1:40" ht="14.5" x14ac:dyDescent="0.35">
      <c r="A58" t="s">
        <v>1196</v>
      </c>
      <c r="C58" t="s">
        <v>1088</v>
      </c>
      <c r="D58" t="s">
        <v>101</v>
      </c>
      <c r="E58">
        <v>1500</v>
      </c>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c r="AL58"/>
      <c r="AM58"/>
      <c r="AN58"/>
    </row>
    <row r="59" spans="1:40" ht="14.5" x14ac:dyDescent="0.35">
      <c r="A59" t="s">
        <v>1196</v>
      </c>
      <c r="C59" t="s">
        <v>1089</v>
      </c>
      <c r="D59" t="s">
        <v>29</v>
      </c>
      <c r="E59">
        <v>1000</v>
      </c>
      <c r="F59" s="68"/>
      <c r="G59" s="68"/>
      <c r="H59" s="68"/>
      <c r="I59" s="68"/>
      <c r="J59" s="68"/>
      <c r="K59" s="68"/>
      <c r="L59" s="68"/>
      <c r="M59" s="68"/>
      <c r="N59" s="68"/>
      <c r="O59" s="68">
        <v>42</v>
      </c>
      <c r="P59" s="68"/>
      <c r="Q59" s="68"/>
      <c r="R59" s="68"/>
      <c r="S59" s="68"/>
      <c r="T59" s="68"/>
      <c r="U59" s="68"/>
      <c r="V59" s="68"/>
      <c r="W59" s="68"/>
      <c r="X59" s="68"/>
      <c r="Y59" s="68"/>
      <c r="Z59" s="68"/>
      <c r="AA59" s="68"/>
      <c r="AB59" s="68"/>
      <c r="AC59" s="68"/>
      <c r="AD59" s="68"/>
      <c r="AE59" s="68"/>
      <c r="AF59" s="68"/>
      <c r="AG59" s="68"/>
      <c r="AH59" s="68"/>
      <c r="AI59" s="68"/>
      <c r="AJ59" s="68"/>
      <c r="AK59"/>
      <c r="AL59"/>
      <c r="AM59"/>
      <c r="AN59"/>
    </row>
    <row r="60" spans="1:40" ht="14.5" x14ac:dyDescent="0.35">
      <c r="A60" t="s">
        <v>1196</v>
      </c>
      <c r="B60" t="s">
        <v>1198</v>
      </c>
      <c r="C60" t="s">
        <v>1196</v>
      </c>
      <c r="D60" t="s">
        <v>35</v>
      </c>
      <c r="F60" s="68"/>
      <c r="G60" s="68"/>
      <c r="H60" s="68"/>
      <c r="I60" s="68"/>
      <c r="J60" s="68"/>
      <c r="K60" s="68"/>
      <c r="L60" s="68"/>
      <c r="M60" s="68"/>
      <c r="N60" s="68"/>
      <c r="O60" s="68"/>
      <c r="P60" s="68"/>
      <c r="Q60" s="68"/>
      <c r="R60" s="68"/>
      <c r="S60" s="68"/>
      <c r="T60" s="68"/>
      <c r="U60" s="68"/>
      <c r="V60" s="68"/>
      <c r="W60" s="68"/>
      <c r="X60" s="68"/>
      <c r="Y60" s="68"/>
      <c r="Z60" s="68"/>
      <c r="AA60" s="68"/>
      <c r="AB60" s="68"/>
      <c r="AC60" s="68"/>
      <c r="AD60" s="68"/>
      <c r="AE60" s="68"/>
      <c r="AF60" s="68"/>
      <c r="AG60" s="68"/>
      <c r="AH60" s="68"/>
      <c r="AI60" s="68"/>
      <c r="AJ60" s="68"/>
      <c r="AK60"/>
      <c r="AL60"/>
      <c r="AM60"/>
      <c r="AN60"/>
    </row>
    <row r="61" spans="1:40" ht="14.5" x14ac:dyDescent="0.35">
      <c r="A61" t="s">
        <v>1194</v>
      </c>
      <c r="C61" t="s">
        <v>1090</v>
      </c>
      <c r="D61" t="s">
        <v>103</v>
      </c>
      <c r="E61">
        <v>14000</v>
      </c>
      <c r="F61" s="68"/>
      <c r="G61" s="68"/>
      <c r="H61" s="68"/>
      <c r="I61" s="68"/>
      <c r="J61" s="68">
        <v>4</v>
      </c>
      <c r="K61" s="68"/>
      <c r="L61" s="68"/>
      <c r="M61" s="68">
        <v>1</v>
      </c>
      <c r="N61" s="68"/>
      <c r="O61" s="68"/>
      <c r="P61" s="68"/>
      <c r="Q61" s="68">
        <f>2</f>
        <v>2</v>
      </c>
      <c r="R61" s="68"/>
      <c r="S61" s="68"/>
      <c r="T61" s="68"/>
      <c r="U61" s="68"/>
      <c r="V61" s="68"/>
      <c r="W61" s="68"/>
      <c r="X61" s="68"/>
      <c r="Y61" s="68"/>
      <c r="Z61" s="68"/>
      <c r="AA61" s="68"/>
      <c r="AB61" s="68"/>
      <c r="AC61" s="68"/>
      <c r="AD61" s="68"/>
      <c r="AE61" s="68"/>
      <c r="AF61" s="68"/>
      <c r="AG61" s="68"/>
      <c r="AH61" s="68"/>
      <c r="AI61" s="68"/>
      <c r="AJ61" s="68"/>
      <c r="AK61"/>
      <c r="AL61"/>
      <c r="AM61"/>
      <c r="AN61"/>
    </row>
    <row r="62" spans="1:40" ht="14.5" x14ac:dyDescent="0.35">
      <c r="A62" t="s">
        <v>1194</v>
      </c>
      <c r="C62" t="s">
        <v>1091</v>
      </c>
      <c r="D62" t="s">
        <v>101</v>
      </c>
      <c r="E62">
        <v>1000</v>
      </c>
      <c r="F62" s="68"/>
      <c r="G62" s="68"/>
      <c r="H62" s="68">
        <f>14</f>
        <v>14</v>
      </c>
      <c r="I62" s="68"/>
      <c r="J62" s="68"/>
      <c r="K62" s="68">
        <v>70</v>
      </c>
      <c r="L62" s="68">
        <v>31</v>
      </c>
      <c r="M62" s="68"/>
      <c r="N62" s="68">
        <v>14</v>
      </c>
      <c r="O62" s="68"/>
      <c r="P62" s="68"/>
      <c r="Q62" s="68"/>
      <c r="R62" s="68"/>
      <c r="S62" s="68">
        <v>14</v>
      </c>
      <c r="T62" s="68"/>
      <c r="U62" s="68"/>
      <c r="V62" s="68"/>
      <c r="W62" s="68"/>
      <c r="X62" s="68"/>
      <c r="Y62" s="68"/>
      <c r="Z62" s="68"/>
      <c r="AA62" s="68"/>
      <c r="AB62" s="68"/>
      <c r="AC62" s="68"/>
      <c r="AD62" s="68"/>
      <c r="AE62" s="68"/>
      <c r="AF62" s="68"/>
      <c r="AG62" s="68"/>
      <c r="AH62" s="68"/>
      <c r="AI62" s="68"/>
      <c r="AJ62" s="68"/>
      <c r="AK62"/>
      <c r="AL62"/>
      <c r="AM62"/>
      <c r="AN62"/>
    </row>
    <row r="63" spans="1:40" ht="14.5" x14ac:dyDescent="0.35">
      <c r="A63" t="s">
        <v>1194</v>
      </c>
      <c r="C63" t="s">
        <v>1124</v>
      </c>
      <c r="D63" t="s">
        <v>29</v>
      </c>
      <c r="E63">
        <v>1</v>
      </c>
      <c r="F63" s="68"/>
      <c r="G63" s="68"/>
      <c r="H63" s="68"/>
      <c r="I63" s="68"/>
      <c r="J63" s="68" t="s">
        <v>1476</v>
      </c>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c r="AL63"/>
      <c r="AM63"/>
      <c r="AN63"/>
    </row>
    <row r="64" spans="1:40" ht="14.5" x14ac:dyDescent="0.35">
      <c r="A64" t="s">
        <v>1194</v>
      </c>
      <c r="B64" t="s">
        <v>1199</v>
      </c>
      <c r="C64" t="s">
        <v>1194</v>
      </c>
      <c r="D64" t="s">
        <v>35</v>
      </c>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c r="AL64"/>
      <c r="AM64"/>
      <c r="AN64"/>
    </row>
    <row r="65" spans="1:40" ht="14.5" x14ac:dyDescent="0.35">
      <c r="A65" t="s">
        <v>2</v>
      </c>
      <c r="C65" t="s">
        <v>1093</v>
      </c>
      <c r="D65" t="s">
        <v>29</v>
      </c>
      <c r="E65">
        <v>1</v>
      </c>
      <c r="F65" s="68">
        <v>10000</v>
      </c>
      <c r="G65" s="68">
        <v>15000</v>
      </c>
      <c r="H65" s="68">
        <f>20000</f>
        <v>20000</v>
      </c>
      <c r="I65" s="68"/>
      <c r="J65" s="68">
        <v>15000</v>
      </c>
      <c r="K65" s="68">
        <v>15000</v>
      </c>
      <c r="L65" s="68">
        <v>10000</v>
      </c>
      <c r="M65" s="68">
        <v>10000</v>
      </c>
      <c r="N65" s="68">
        <f>15000</f>
        <v>15000</v>
      </c>
      <c r="O65" s="68">
        <v>20000</v>
      </c>
      <c r="P65" s="68"/>
      <c r="Q65" s="68">
        <f>15000</f>
        <v>15000</v>
      </c>
      <c r="R65" s="68">
        <v>10000</v>
      </c>
      <c r="S65" s="68"/>
      <c r="T65" s="68"/>
      <c r="U65" s="68"/>
      <c r="V65" s="68"/>
      <c r="W65" s="68"/>
      <c r="X65" s="68"/>
      <c r="Y65" s="68"/>
      <c r="Z65" s="68"/>
      <c r="AA65" s="68"/>
      <c r="AB65" s="68"/>
      <c r="AC65" s="68"/>
      <c r="AD65" s="68"/>
      <c r="AE65" s="68"/>
      <c r="AF65" s="68"/>
      <c r="AG65" s="68"/>
      <c r="AH65" s="68"/>
      <c r="AI65" s="68"/>
      <c r="AJ65" s="68"/>
      <c r="AK65"/>
      <c r="AL65"/>
      <c r="AM65"/>
      <c r="AN65"/>
    </row>
    <row r="66" spans="1:40" ht="14.5" x14ac:dyDescent="0.35">
      <c r="A66" t="s">
        <v>2</v>
      </c>
      <c r="B66" t="s">
        <v>73</v>
      </c>
      <c r="C66" t="s">
        <v>2</v>
      </c>
      <c r="D66" t="s">
        <v>35</v>
      </c>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c r="AL66"/>
      <c r="AM66"/>
      <c r="AN66"/>
    </row>
    <row r="67" spans="1:40" ht="14.5" x14ac:dyDescent="0.35">
      <c r="A67" t="s">
        <v>353</v>
      </c>
      <c r="C67" t="s">
        <v>368</v>
      </c>
      <c r="D67" t="s">
        <v>103</v>
      </c>
      <c r="E67">
        <v>1800</v>
      </c>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c r="AJ67" s="68"/>
      <c r="AK67"/>
      <c r="AL67"/>
      <c r="AM67"/>
      <c r="AN67"/>
    </row>
    <row r="68" spans="1:40" ht="14.5" x14ac:dyDescent="0.35">
      <c r="A68" t="s">
        <v>353</v>
      </c>
      <c r="C68" t="s">
        <v>369</v>
      </c>
      <c r="D68" t="s">
        <v>358</v>
      </c>
      <c r="E68">
        <v>60</v>
      </c>
      <c r="F68" s="68"/>
      <c r="G68" s="68"/>
      <c r="H68" s="68"/>
      <c r="I68" s="68"/>
      <c r="J68" s="68"/>
      <c r="K68" s="68"/>
      <c r="L68" s="68"/>
      <c r="M68" s="68"/>
      <c r="N68" s="68"/>
      <c r="O68" s="68"/>
      <c r="P68" s="68"/>
      <c r="Q68" s="68"/>
      <c r="R68" s="68"/>
      <c r="S68" s="68"/>
      <c r="T68" s="68"/>
      <c r="U68" s="68"/>
      <c r="V68" s="68"/>
      <c r="W68" s="68"/>
      <c r="X68" s="68"/>
      <c r="Y68" s="68"/>
      <c r="Z68" s="68"/>
      <c r="AA68" s="68"/>
      <c r="AB68" s="68"/>
      <c r="AC68" s="68"/>
      <c r="AD68" s="68"/>
      <c r="AE68" s="68"/>
      <c r="AF68" s="68"/>
      <c r="AG68" s="68"/>
      <c r="AH68" s="68"/>
      <c r="AI68" s="68"/>
      <c r="AJ68" s="68"/>
      <c r="AK68"/>
      <c r="AL68"/>
      <c r="AM68"/>
      <c r="AN68"/>
    </row>
    <row r="69" spans="1:40" ht="14.5" x14ac:dyDescent="0.35">
      <c r="A69" t="s">
        <v>353</v>
      </c>
      <c r="C69" t="s">
        <v>1094</v>
      </c>
      <c r="D69" t="s">
        <v>29</v>
      </c>
      <c r="E69">
        <v>1</v>
      </c>
      <c r="F69" s="68"/>
      <c r="G69" s="68"/>
      <c r="H69" s="68"/>
      <c r="I69" s="68"/>
      <c r="J69" s="68"/>
      <c r="K69" s="68"/>
      <c r="L69" s="68"/>
      <c r="M69" s="68"/>
      <c r="N69" s="68"/>
      <c r="O69" s="68"/>
      <c r="P69" s="68"/>
      <c r="Q69" s="68"/>
      <c r="R69" s="68"/>
      <c r="S69" s="68"/>
      <c r="T69" s="68"/>
      <c r="U69" s="68"/>
      <c r="V69" s="68"/>
      <c r="W69" s="68"/>
      <c r="X69" s="68"/>
      <c r="Y69" s="68"/>
      <c r="Z69" s="68"/>
      <c r="AA69" s="68"/>
      <c r="AB69" s="68"/>
      <c r="AC69" s="68"/>
      <c r="AD69" s="68"/>
      <c r="AE69" s="68"/>
      <c r="AF69" s="68"/>
      <c r="AG69" s="68"/>
      <c r="AH69" s="68"/>
      <c r="AI69" s="68"/>
      <c r="AJ69" s="68"/>
      <c r="AK69"/>
      <c r="AL69"/>
      <c r="AM69"/>
      <c r="AN69"/>
    </row>
    <row r="70" spans="1:40" ht="14.5" x14ac:dyDescent="0.35">
      <c r="A70" t="s">
        <v>353</v>
      </c>
      <c r="B70" t="s">
        <v>383</v>
      </c>
      <c r="C70" t="s">
        <v>353</v>
      </c>
      <c r="D70" t="s">
        <v>35</v>
      </c>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8"/>
      <c r="AK70"/>
      <c r="AL70"/>
      <c r="AM70"/>
      <c r="AN70"/>
    </row>
    <row r="71" spans="1:40" ht="14.5" x14ac:dyDescent="0.35">
      <c r="A71" t="s">
        <v>352</v>
      </c>
      <c r="C71" t="s">
        <v>365</v>
      </c>
      <c r="D71" t="s">
        <v>103</v>
      </c>
      <c r="E71">
        <v>6000</v>
      </c>
      <c r="F71" s="68"/>
      <c r="G71" s="68"/>
      <c r="H71" s="68"/>
      <c r="I71" s="68"/>
      <c r="J71" s="68"/>
      <c r="K71" s="68"/>
      <c r="L71" s="68"/>
      <c r="M71" s="68"/>
      <c r="N71" s="68"/>
      <c r="O71" s="68"/>
      <c r="P71" s="68"/>
      <c r="Q71" s="68"/>
      <c r="R71" s="68"/>
      <c r="S71" s="68"/>
      <c r="T71" s="68"/>
      <c r="U71" s="68"/>
      <c r="V71" s="68"/>
      <c r="W71" s="68"/>
      <c r="X71" s="68"/>
      <c r="Y71" s="68"/>
      <c r="Z71" s="68"/>
      <c r="AA71" s="68"/>
      <c r="AB71" s="68"/>
      <c r="AC71" s="68"/>
      <c r="AD71" s="68"/>
      <c r="AE71" s="68"/>
      <c r="AF71" s="68"/>
      <c r="AG71" s="68"/>
      <c r="AH71" s="68"/>
      <c r="AI71" s="68"/>
      <c r="AJ71" s="68"/>
      <c r="AK71"/>
      <c r="AL71"/>
      <c r="AM71"/>
      <c r="AN71"/>
    </row>
    <row r="72" spans="1:40" ht="14.5" x14ac:dyDescent="0.35">
      <c r="A72" t="s">
        <v>352</v>
      </c>
      <c r="C72" t="s">
        <v>366</v>
      </c>
      <c r="D72" t="s">
        <v>358</v>
      </c>
      <c r="E72">
        <v>1000</v>
      </c>
      <c r="F72" s="68"/>
      <c r="G72" s="68"/>
      <c r="H72" s="68"/>
      <c r="I72" s="68"/>
      <c r="J72" s="68"/>
      <c r="K72" s="68"/>
      <c r="L72" s="68"/>
      <c r="M72" s="68"/>
      <c r="N72" s="68"/>
      <c r="O72" s="68"/>
      <c r="P72" s="68"/>
      <c r="Q72" s="68"/>
      <c r="R72" s="68"/>
      <c r="S72" s="68"/>
      <c r="T72" s="68"/>
      <c r="U72" s="68"/>
      <c r="V72" s="68"/>
      <c r="W72" s="68"/>
      <c r="X72" s="68"/>
      <c r="Y72" s="68"/>
      <c r="Z72" s="68"/>
      <c r="AA72" s="68"/>
      <c r="AB72" s="68"/>
      <c r="AC72" s="68"/>
      <c r="AD72" s="68"/>
      <c r="AE72" s="68"/>
      <c r="AF72" s="68"/>
      <c r="AG72" s="68"/>
      <c r="AH72" s="68"/>
      <c r="AI72" s="68"/>
      <c r="AJ72" s="68"/>
      <c r="AK72"/>
      <c r="AL72"/>
      <c r="AM72"/>
      <c r="AN72"/>
    </row>
    <row r="73" spans="1:40" ht="14.5" x14ac:dyDescent="0.35">
      <c r="A73" t="s">
        <v>352</v>
      </c>
      <c r="C73" t="s">
        <v>367</v>
      </c>
      <c r="D73" t="s">
        <v>29</v>
      </c>
      <c r="E73">
        <v>0.75142771265404273</v>
      </c>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c r="AF73" s="68"/>
      <c r="AG73" s="68"/>
      <c r="AH73" s="68"/>
      <c r="AI73" s="68"/>
      <c r="AJ73" s="68"/>
      <c r="AK73"/>
      <c r="AL73"/>
      <c r="AM73"/>
      <c r="AN73"/>
    </row>
    <row r="74" spans="1:40" ht="14.5" x14ac:dyDescent="0.35">
      <c r="A74" t="s">
        <v>352</v>
      </c>
      <c r="B74" t="s">
        <v>382</v>
      </c>
      <c r="C74" t="s">
        <v>352</v>
      </c>
      <c r="D74" t="s">
        <v>68</v>
      </c>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c r="AG74" s="68"/>
      <c r="AH74" s="68"/>
      <c r="AI74" s="68"/>
      <c r="AJ74" s="68"/>
      <c r="AK74"/>
      <c r="AL74"/>
      <c r="AM74"/>
      <c r="AN74"/>
    </row>
    <row r="75" spans="1:40" ht="14.5" x14ac:dyDescent="0.35">
      <c r="A75" t="s">
        <v>1346</v>
      </c>
      <c r="C75" t="s">
        <v>1391</v>
      </c>
      <c r="D75" t="s">
        <v>103</v>
      </c>
      <c r="E75">
        <v>4200</v>
      </c>
      <c r="F75" s="68"/>
      <c r="G75" s="68"/>
      <c r="H75" s="68"/>
      <c r="I75" s="68"/>
      <c r="J75" s="68"/>
      <c r="K75" s="68"/>
      <c r="L75" s="68"/>
      <c r="M75" s="68"/>
      <c r="N75" s="68"/>
      <c r="O75" s="68"/>
      <c r="P75" s="68"/>
      <c r="Q75" s="68"/>
      <c r="R75" s="68"/>
      <c r="S75" s="68">
        <v>1</v>
      </c>
      <c r="T75" s="68"/>
      <c r="U75" s="68"/>
      <c r="V75" s="68"/>
      <c r="W75" s="68"/>
      <c r="X75" s="68"/>
      <c r="Y75" s="68"/>
      <c r="Z75" s="68"/>
      <c r="AA75" s="68"/>
      <c r="AB75" s="68"/>
      <c r="AC75" s="68"/>
      <c r="AD75" s="68"/>
      <c r="AE75" s="68"/>
      <c r="AF75" s="68"/>
      <c r="AG75" s="68"/>
      <c r="AH75" s="68"/>
      <c r="AI75" s="68"/>
      <c r="AJ75" s="68"/>
      <c r="AK75"/>
      <c r="AL75"/>
      <c r="AM75"/>
      <c r="AN75"/>
    </row>
    <row r="76" spans="1:40" ht="14.5" x14ac:dyDescent="0.35">
      <c r="A76" t="s">
        <v>1346</v>
      </c>
      <c r="C76" t="s">
        <v>1392</v>
      </c>
      <c r="D76" t="s">
        <v>101</v>
      </c>
      <c r="E76">
        <v>35</v>
      </c>
      <c r="F76" s="68"/>
      <c r="G76" s="68"/>
      <c r="H76" s="68"/>
      <c r="I76" s="68"/>
      <c r="J76" s="68"/>
      <c r="K76" s="68"/>
      <c r="L76" s="68"/>
      <c r="M76" s="68"/>
      <c r="N76" s="68"/>
      <c r="O76" s="68"/>
      <c r="P76" s="68"/>
      <c r="Q76" s="68"/>
      <c r="R76" s="68"/>
      <c r="S76" s="68"/>
      <c r="T76" s="68"/>
      <c r="U76" s="68"/>
      <c r="V76" s="68"/>
      <c r="W76" s="68"/>
      <c r="X76" s="68"/>
      <c r="Y76" s="68"/>
      <c r="Z76" s="68"/>
      <c r="AA76" s="68"/>
      <c r="AB76" s="68"/>
      <c r="AC76" s="68"/>
      <c r="AD76" s="68"/>
      <c r="AE76" s="68"/>
      <c r="AF76" s="68"/>
      <c r="AG76" s="68"/>
      <c r="AH76" s="68"/>
      <c r="AI76" s="68"/>
      <c r="AJ76" s="68"/>
      <c r="AK76"/>
      <c r="AL76"/>
      <c r="AM76"/>
      <c r="AN76"/>
    </row>
    <row r="77" spans="1:40" ht="14.5" x14ac:dyDescent="0.35">
      <c r="A77" t="s">
        <v>1346</v>
      </c>
      <c r="C77" t="s">
        <v>1393</v>
      </c>
      <c r="D77" t="s">
        <v>29</v>
      </c>
      <c r="E77">
        <v>1</v>
      </c>
      <c r="F77" s="68"/>
      <c r="G77" s="68"/>
      <c r="H77" s="68"/>
      <c r="I77" s="68"/>
      <c r="J77" s="68"/>
      <c r="K77" s="68"/>
      <c r="L77" s="68"/>
      <c r="M77" s="68"/>
      <c r="N77" s="68"/>
      <c r="O77" s="68"/>
      <c r="P77" s="68"/>
      <c r="Q77" s="68"/>
      <c r="R77" s="68"/>
      <c r="S77" s="68"/>
      <c r="T77" s="68"/>
      <c r="U77" s="68"/>
      <c r="V77" s="68"/>
      <c r="W77" s="68"/>
      <c r="X77" s="68"/>
      <c r="Y77" s="68"/>
      <c r="Z77" s="68"/>
      <c r="AA77" s="68"/>
      <c r="AB77" s="68"/>
      <c r="AC77" s="68"/>
      <c r="AD77" s="68"/>
      <c r="AE77" s="68"/>
      <c r="AF77" s="68"/>
      <c r="AG77" s="68"/>
      <c r="AH77" s="68"/>
      <c r="AI77" s="68"/>
      <c r="AJ77" s="68"/>
      <c r="AK77"/>
      <c r="AL77"/>
      <c r="AM77"/>
      <c r="AN77"/>
    </row>
    <row r="78" spans="1:40" ht="14.5" x14ac:dyDescent="0.35">
      <c r="A78" t="s">
        <v>1346</v>
      </c>
      <c r="B78" t="s">
        <v>1394</v>
      </c>
      <c r="C78" t="s">
        <v>1346</v>
      </c>
      <c r="D78" t="s">
        <v>35</v>
      </c>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8"/>
      <c r="AF78" s="68"/>
      <c r="AG78" s="68"/>
      <c r="AH78" s="68"/>
      <c r="AI78" s="68"/>
      <c r="AJ78" s="68"/>
      <c r="AK78"/>
      <c r="AL78"/>
      <c r="AM78"/>
      <c r="AN78"/>
    </row>
    <row r="79" spans="1:40" ht="14.5" x14ac:dyDescent="0.35">
      <c r="A79" t="s">
        <v>922</v>
      </c>
      <c r="C79" t="s">
        <v>1002</v>
      </c>
      <c r="D79" t="s">
        <v>557</v>
      </c>
      <c r="E79">
        <v>500</v>
      </c>
      <c r="F79" s="68"/>
      <c r="G79" s="68"/>
      <c r="H79" s="68"/>
      <c r="I79" s="68"/>
      <c r="J79" s="68"/>
      <c r="K79" s="68"/>
      <c r="L79" s="68"/>
      <c r="M79" s="68"/>
      <c r="N79" s="68"/>
      <c r="O79" s="68"/>
      <c r="P79" s="68"/>
      <c r="Q79" s="68"/>
      <c r="R79" s="68"/>
      <c r="S79" s="68"/>
      <c r="T79" s="68"/>
      <c r="U79" s="68"/>
      <c r="V79" s="68"/>
      <c r="W79" s="68"/>
      <c r="X79" s="68"/>
      <c r="Y79" s="68"/>
      <c r="Z79" s="68"/>
      <c r="AA79" s="68"/>
      <c r="AB79" s="68"/>
      <c r="AC79" s="68"/>
      <c r="AD79" s="68"/>
      <c r="AE79" s="68"/>
      <c r="AF79" s="68"/>
      <c r="AG79" s="68"/>
      <c r="AH79" s="68"/>
      <c r="AI79" s="68"/>
      <c r="AJ79" s="68"/>
      <c r="AK79"/>
      <c r="AL79"/>
      <c r="AM79"/>
      <c r="AN79"/>
    </row>
    <row r="80" spans="1:40" ht="14.5" x14ac:dyDescent="0.35">
      <c r="A80" t="s">
        <v>922</v>
      </c>
      <c r="C80" t="s">
        <v>1003</v>
      </c>
      <c r="D80" t="s">
        <v>101</v>
      </c>
      <c r="E80">
        <v>50</v>
      </c>
      <c r="F80" s="68"/>
      <c r="G80" s="68"/>
      <c r="H80" s="68"/>
      <c r="I80" s="68"/>
      <c r="J80" s="68"/>
      <c r="K80" s="68"/>
      <c r="L80" s="68"/>
      <c r="M80" s="68"/>
      <c r="N80" s="68"/>
      <c r="O80" s="68"/>
      <c r="P80" s="68"/>
      <c r="Q80" s="68"/>
      <c r="R80" s="68"/>
      <c r="S80" s="68"/>
      <c r="T80" s="68"/>
      <c r="U80" s="68"/>
      <c r="V80" s="68"/>
      <c r="W80" s="68"/>
      <c r="X80" s="68"/>
      <c r="Y80" s="68"/>
      <c r="Z80" s="68"/>
      <c r="AA80" s="68"/>
      <c r="AB80" s="68"/>
      <c r="AC80" s="68"/>
      <c r="AD80" s="68"/>
      <c r="AE80" s="68"/>
      <c r="AF80" s="68"/>
      <c r="AG80" s="68"/>
      <c r="AH80" s="68"/>
      <c r="AI80" s="68"/>
      <c r="AJ80" s="68"/>
      <c r="AK80"/>
      <c r="AL80"/>
      <c r="AM80"/>
      <c r="AN80"/>
    </row>
    <row r="81" spans="1:40" ht="14.5" x14ac:dyDescent="0.35">
      <c r="A81" t="s">
        <v>922</v>
      </c>
      <c r="C81" t="s">
        <v>1004</v>
      </c>
      <c r="D81" t="s">
        <v>102</v>
      </c>
      <c r="E81">
        <v>1</v>
      </c>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c r="AF81" s="68"/>
      <c r="AG81" s="68"/>
      <c r="AH81" s="68"/>
      <c r="AI81" s="68"/>
      <c r="AJ81" s="68"/>
      <c r="AK81"/>
      <c r="AL81"/>
      <c r="AM81"/>
      <c r="AN81"/>
    </row>
    <row r="82" spans="1:40" ht="14.5" x14ac:dyDescent="0.35">
      <c r="A82" t="s">
        <v>922</v>
      </c>
      <c r="B82" t="s">
        <v>1022</v>
      </c>
      <c r="C82" t="s">
        <v>922</v>
      </c>
      <c r="D82" t="s">
        <v>67</v>
      </c>
      <c r="F82" s="68"/>
      <c r="G82" s="68"/>
      <c r="H82" s="68"/>
      <c r="I82" s="68"/>
      <c r="J82" s="68"/>
      <c r="K82" s="68"/>
      <c r="L82" s="68"/>
      <c r="M82" s="68"/>
      <c r="N82" s="68"/>
      <c r="O82" s="68"/>
      <c r="P82" s="68"/>
      <c r="Q82" s="68"/>
      <c r="R82" s="68"/>
      <c r="S82" s="68"/>
      <c r="T82" s="68"/>
      <c r="U82" s="68"/>
      <c r="V82" s="68"/>
      <c r="W82" s="68"/>
      <c r="X82" s="68"/>
      <c r="Y82" s="68"/>
      <c r="Z82" s="68"/>
      <c r="AA82" s="68"/>
      <c r="AB82" s="68"/>
      <c r="AC82" s="68"/>
      <c r="AD82" s="68"/>
      <c r="AE82" s="68"/>
      <c r="AF82" s="68"/>
      <c r="AG82" s="68"/>
      <c r="AH82" s="68"/>
      <c r="AI82" s="68"/>
      <c r="AJ82" s="68"/>
      <c r="AK82"/>
      <c r="AL82"/>
      <c r="AM82"/>
      <c r="AN82"/>
    </row>
    <row r="83" spans="1:40" ht="14.5" x14ac:dyDescent="0.35">
      <c r="A83" t="s">
        <v>923</v>
      </c>
      <c r="C83" t="s">
        <v>1006</v>
      </c>
      <c r="D83" t="s">
        <v>101</v>
      </c>
      <c r="E83">
        <v>12</v>
      </c>
      <c r="F83" s="68"/>
      <c r="G83" s="68"/>
      <c r="H83" s="68"/>
      <c r="I83" s="68"/>
      <c r="J83" s="68"/>
      <c r="K83" s="68"/>
      <c r="L83" s="68"/>
      <c r="M83" s="68"/>
      <c r="N83" s="68"/>
      <c r="O83" s="68"/>
      <c r="P83" s="68"/>
      <c r="Q83" s="68"/>
      <c r="R83" s="68"/>
      <c r="S83" s="68"/>
      <c r="T83" s="68"/>
      <c r="U83" s="68"/>
      <c r="V83" s="68"/>
      <c r="W83" s="68"/>
      <c r="X83" s="68"/>
      <c r="Y83" s="68"/>
      <c r="Z83" s="68"/>
      <c r="AA83" s="68"/>
      <c r="AB83" s="68"/>
      <c r="AC83" s="68"/>
      <c r="AD83" s="68"/>
      <c r="AE83" s="68"/>
      <c r="AF83" s="68"/>
      <c r="AG83" s="68"/>
      <c r="AH83" s="68"/>
      <c r="AI83" s="68"/>
      <c r="AJ83" s="68"/>
      <c r="AK83"/>
      <c r="AL83"/>
      <c r="AM83"/>
      <c r="AN83"/>
    </row>
    <row r="84" spans="1:40" ht="14.5" x14ac:dyDescent="0.35">
      <c r="A84" t="s">
        <v>923</v>
      </c>
      <c r="C84" t="s">
        <v>1007</v>
      </c>
      <c r="D84" t="s">
        <v>102</v>
      </c>
      <c r="E84">
        <v>1</v>
      </c>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c r="AF84" s="68"/>
      <c r="AG84" s="68"/>
      <c r="AH84" s="68"/>
      <c r="AI84" s="68"/>
      <c r="AJ84" s="68"/>
      <c r="AK84"/>
      <c r="AL84"/>
      <c r="AM84"/>
      <c r="AN84"/>
    </row>
    <row r="85" spans="1:40" ht="14.5" x14ac:dyDescent="0.35">
      <c r="A85" t="s">
        <v>923</v>
      </c>
      <c r="B85" t="s">
        <v>1023</v>
      </c>
      <c r="C85" t="s">
        <v>923</v>
      </c>
      <c r="D85" t="s">
        <v>67</v>
      </c>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c r="AG85" s="68"/>
      <c r="AH85" s="68"/>
      <c r="AI85" s="68"/>
      <c r="AJ85" s="68"/>
      <c r="AK85"/>
      <c r="AL85"/>
      <c r="AM85"/>
      <c r="AN85"/>
    </row>
    <row r="86" spans="1:40" ht="14.5" x14ac:dyDescent="0.35">
      <c r="A86" t="s">
        <v>606</v>
      </c>
      <c r="C86" t="s">
        <v>604</v>
      </c>
      <c r="D86" t="s">
        <v>568</v>
      </c>
      <c r="E86">
        <v>1</v>
      </c>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c r="AF86" s="68"/>
      <c r="AG86" s="68"/>
      <c r="AH86" s="68"/>
      <c r="AI86" s="68"/>
      <c r="AJ86" s="68"/>
      <c r="AK86"/>
      <c r="AL86"/>
      <c r="AM86"/>
      <c r="AN86"/>
    </row>
    <row r="87" spans="1:40" ht="14.5" x14ac:dyDescent="0.35">
      <c r="A87" t="s">
        <v>606</v>
      </c>
      <c r="B87" t="s">
        <v>605</v>
      </c>
      <c r="C87" t="s">
        <v>606</v>
      </c>
      <c r="D87" t="s">
        <v>67</v>
      </c>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c r="AF87" s="68"/>
      <c r="AG87" s="68"/>
      <c r="AH87" s="68"/>
      <c r="AI87" s="68"/>
      <c r="AJ87" s="68"/>
      <c r="AK87"/>
      <c r="AL87"/>
      <c r="AM87"/>
      <c r="AN87"/>
    </row>
    <row r="88" spans="1:40" ht="14.5" x14ac:dyDescent="0.35">
      <c r="A88" t="s">
        <v>919</v>
      </c>
      <c r="C88" t="s">
        <v>996</v>
      </c>
      <c r="D88" t="s">
        <v>557</v>
      </c>
      <c r="E88">
        <v>500</v>
      </c>
      <c r="F88" s="68"/>
      <c r="G88" s="68"/>
      <c r="H88" s="68">
        <f>5</f>
        <v>5</v>
      </c>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8"/>
      <c r="AI88" s="68"/>
      <c r="AJ88" s="68"/>
      <c r="AK88"/>
      <c r="AL88"/>
      <c r="AM88"/>
      <c r="AN88"/>
    </row>
    <row r="89" spans="1:40" ht="14.5" x14ac:dyDescent="0.35">
      <c r="A89" t="s">
        <v>919</v>
      </c>
      <c r="C89" t="s">
        <v>997</v>
      </c>
      <c r="D89" t="s">
        <v>101</v>
      </c>
      <c r="E89">
        <v>50</v>
      </c>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c r="AG89" s="68"/>
      <c r="AH89" s="68"/>
      <c r="AI89" s="68"/>
      <c r="AJ89" s="68"/>
      <c r="AK89"/>
      <c r="AL89"/>
      <c r="AM89"/>
      <c r="AN89"/>
    </row>
    <row r="90" spans="1:40" ht="14.5" x14ac:dyDescent="0.35">
      <c r="A90" t="s">
        <v>919</v>
      </c>
      <c r="C90" t="s">
        <v>998</v>
      </c>
      <c r="D90" t="s">
        <v>102</v>
      </c>
      <c r="E90">
        <v>1</v>
      </c>
      <c r="F90" s="68"/>
      <c r="G90" s="68"/>
      <c r="H90" s="68"/>
      <c r="I90" s="68"/>
      <c r="J90" s="68"/>
      <c r="K90" s="68"/>
      <c r="L90" s="68">
        <v>3000</v>
      </c>
      <c r="M90" s="68"/>
      <c r="N90" s="68"/>
      <c r="O90" s="68">
        <v>3000</v>
      </c>
      <c r="P90" s="68"/>
      <c r="Q90" s="68"/>
      <c r="R90" s="68"/>
      <c r="S90" s="68">
        <v>2000</v>
      </c>
      <c r="T90" s="68"/>
      <c r="U90" s="68"/>
      <c r="V90" s="68"/>
      <c r="W90" s="68"/>
      <c r="X90" s="68"/>
      <c r="Y90" s="68"/>
      <c r="Z90" s="68"/>
      <c r="AA90" s="68"/>
      <c r="AB90" s="68"/>
      <c r="AC90" s="68"/>
      <c r="AD90" s="68"/>
      <c r="AE90" s="68"/>
      <c r="AF90" s="68"/>
      <c r="AG90" s="68"/>
      <c r="AH90" s="68"/>
      <c r="AI90" s="68"/>
      <c r="AJ90" s="68"/>
      <c r="AK90"/>
      <c r="AL90"/>
      <c r="AM90"/>
      <c r="AN90"/>
    </row>
    <row r="91" spans="1:40" ht="14.5" x14ac:dyDescent="0.35">
      <c r="A91" t="s">
        <v>919</v>
      </c>
      <c r="B91" t="s">
        <v>1020</v>
      </c>
      <c r="C91" t="s">
        <v>919</v>
      </c>
      <c r="D91" t="s">
        <v>67</v>
      </c>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c r="AG91" s="68"/>
      <c r="AH91" s="68"/>
      <c r="AI91" s="68"/>
      <c r="AJ91" s="68"/>
      <c r="AK91"/>
      <c r="AL91"/>
      <c r="AM91"/>
      <c r="AN91"/>
    </row>
    <row r="92" spans="1:40" ht="14.5" x14ac:dyDescent="0.35">
      <c r="A92" t="s">
        <v>497</v>
      </c>
      <c r="C92" t="s">
        <v>516</v>
      </c>
      <c r="D92" t="s">
        <v>125</v>
      </c>
      <c r="E92">
        <v>1000</v>
      </c>
      <c r="F92" s="68">
        <v>2</v>
      </c>
      <c r="G92" s="68">
        <v>3</v>
      </c>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c r="AI92" s="68"/>
      <c r="AJ92" s="68"/>
      <c r="AK92"/>
      <c r="AL92"/>
      <c r="AM92"/>
      <c r="AN92"/>
    </row>
    <row r="93" spans="1:40" ht="14.5" x14ac:dyDescent="0.35">
      <c r="A93" t="s">
        <v>497</v>
      </c>
      <c r="C93" t="s">
        <v>967</v>
      </c>
      <c r="D93" t="s">
        <v>29</v>
      </c>
      <c r="E93">
        <v>1</v>
      </c>
      <c r="F93" s="68"/>
      <c r="G93" s="68"/>
      <c r="H93" s="68">
        <f>5000</f>
        <v>5000</v>
      </c>
      <c r="I93" s="68"/>
      <c r="J93" s="68">
        <v>3000</v>
      </c>
      <c r="K93" s="68">
        <v>2000</v>
      </c>
      <c r="L93" s="68">
        <v>2000</v>
      </c>
      <c r="M93" s="68">
        <v>2000</v>
      </c>
      <c r="N93" s="68">
        <f>4000</f>
        <v>4000</v>
      </c>
      <c r="O93" s="68">
        <v>4000</v>
      </c>
      <c r="P93" s="68"/>
      <c r="Q93" s="68">
        <f>2000</f>
        <v>2000</v>
      </c>
      <c r="R93" s="68">
        <v>2000</v>
      </c>
      <c r="S93" s="68"/>
      <c r="T93" s="68"/>
      <c r="U93" s="68"/>
      <c r="V93" s="68"/>
      <c r="W93" s="68"/>
      <c r="X93" s="68"/>
      <c r="Y93" s="68"/>
      <c r="Z93" s="68"/>
      <c r="AA93" s="68"/>
      <c r="AB93" s="68"/>
      <c r="AC93" s="68"/>
      <c r="AD93" s="68"/>
      <c r="AE93" s="68"/>
      <c r="AF93" s="68"/>
      <c r="AG93" s="68"/>
      <c r="AH93" s="68"/>
      <c r="AI93" s="68"/>
      <c r="AJ93" s="68"/>
      <c r="AK93"/>
      <c r="AL93"/>
      <c r="AM93"/>
      <c r="AN93"/>
    </row>
    <row r="94" spans="1:40" ht="14.5" x14ac:dyDescent="0.35">
      <c r="A94" t="s">
        <v>497</v>
      </c>
      <c r="B94" t="s">
        <v>534</v>
      </c>
      <c r="C94" t="s">
        <v>497</v>
      </c>
      <c r="D94" t="s">
        <v>35</v>
      </c>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c r="AG94" s="68"/>
      <c r="AH94" s="68"/>
      <c r="AI94" s="68"/>
      <c r="AJ94" s="68"/>
      <c r="AK94"/>
      <c r="AL94"/>
      <c r="AM94"/>
      <c r="AN94"/>
    </row>
    <row r="95" spans="1:40" ht="14.5" x14ac:dyDescent="0.35">
      <c r="A95" t="s">
        <v>1168</v>
      </c>
      <c r="C95" t="s">
        <v>1165</v>
      </c>
      <c r="D95" t="s">
        <v>103</v>
      </c>
      <c r="E95">
        <v>5400</v>
      </c>
      <c r="F95" s="68">
        <v>4</v>
      </c>
      <c r="G95" s="68"/>
      <c r="H95" s="68"/>
      <c r="I95" s="68"/>
      <c r="J95" s="68"/>
      <c r="K95" s="68"/>
      <c r="L95" s="68"/>
      <c r="M95" s="68"/>
      <c r="N95" s="68"/>
      <c r="O95" s="68"/>
      <c r="P95" s="68"/>
      <c r="Q95" s="68"/>
      <c r="R95" s="68"/>
      <c r="S95" s="68"/>
      <c r="T95" s="68"/>
      <c r="U95" s="68"/>
      <c r="V95" s="68"/>
      <c r="W95" s="68"/>
      <c r="X95" s="68"/>
      <c r="Y95" s="68"/>
      <c r="Z95" s="68"/>
      <c r="AA95" s="68"/>
      <c r="AB95" s="68"/>
      <c r="AC95" s="68"/>
      <c r="AD95" s="68"/>
      <c r="AE95" s="68"/>
      <c r="AF95" s="68"/>
      <c r="AG95" s="68"/>
      <c r="AH95" s="68"/>
      <c r="AI95" s="68"/>
      <c r="AJ95" s="68"/>
      <c r="AK95"/>
      <c r="AL95"/>
      <c r="AM95"/>
      <c r="AN95"/>
    </row>
    <row r="96" spans="1:40" ht="14.5" x14ac:dyDescent="0.35">
      <c r="A96" t="s">
        <v>1168</v>
      </c>
      <c r="C96" t="s">
        <v>1166</v>
      </c>
      <c r="D96" t="s">
        <v>102</v>
      </c>
      <c r="E96">
        <v>9</v>
      </c>
      <c r="F96" s="68"/>
      <c r="G96" s="68"/>
      <c r="H96" s="68"/>
      <c r="I96" s="68"/>
      <c r="J96" s="68"/>
      <c r="K96" s="68"/>
      <c r="L96" s="68"/>
      <c r="M96" s="68"/>
      <c r="N96" s="68"/>
      <c r="O96" s="68"/>
      <c r="P96" s="68"/>
      <c r="Q96" s="68"/>
      <c r="R96" s="68"/>
      <c r="S96" s="68"/>
      <c r="T96" s="68"/>
      <c r="U96" s="68"/>
      <c r="V96" s="68"/>
      <c r="W96" s="68"/>
      <c r="X96" s="68"/>
      <c r="Y96" s="68"/>
      <c r="Z96" s="68"/>
      <c r="AA96" s="68"/>
      <c r="AB96" s="68"/>
      <c r="AC96" s="68"/>
      <c r="AD96" s="68"/>
      <c r="AE96" s="68"/>
      <c r="AF96" s="68"/>
      <c r="AG96" s="68"/>
      <c r="AH96" s="68"/>
      <c r="AI96" s="68"/>
      <c r="AJ96" s="68"/>
      <c r="AK96"/>
      <c r="AL96"/>
      <c r="AM96"/>
      <c r="AN96"/>
    </row>
    <row r="97" spans="1:40" ht="14.5" x14ac:dyDescent="0.35">
      <c r="A97" t="s">
        <v>1168</v>
      </c>
      <c r="B97" t="s">
        <v>1167</v>
      </c>
      <c r="C97" t="s">
        <v>1168</v>
      </c>
      <c r="D97" t="s">
        <v>35</v>
      </c>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c r="AF97" s="68"/>
      <c r="AG97" s="68"/>
      <c r="AH97" s="68"/>
      <c r="AI97" s="68"/>
      <c r="AJ97" s="68"/>
      <c r="AK97"/>
      <c r="AL97"/>
      <c r="AM97"/>
      <c r="AN97"/>
    </row>
    <row r="98" spans="1:40" ht="14.5" x14ac:dyDescent="0.35">
      <c r="A98" t="s">
        <v>613</v>
      </c>
      <c r="C98" t="s">
        <v>612</v>
      </c>
      <c r="D98" t="s">
        <v>517</v>
      </c>
      <c r="E98">
        <v>1</v>
      </c>
      <c r="F98" s="68"/>
      <c r="G98" s="68"/>
      <c r="H98" s="68"/>
      <c r="I98" s="68"/>
      <c r="J98" s="68"/>
      <c r="K98" s="68"/>
      <c r="L98" s="68"/>
      <c r="M98" s="68"/>
      <c r="N98" s="68"/>
      <c r="O98" s="68"/>
      <c r="P98" s="68"/>
      <c r="Q98" s="68"/>
      <c r="R98" s="68"/>
      <c r="S98" s="68"/>
      <c r="T98" s="68"/>
      <c r="U98" s="68"/>
      <c r="V98" s="68"/>
      <c r="W98" s="68"/>
      <c r="X98" s="68"/>
      <c r="Y98" s="68"/>
      <c r="Z98" s="68"/>
      <c r="AA98" s="68"/>
      <c r="AB98" s="68"/>
      <c r="AC98" s="68"/>
      <c r="AD98" s="68"/>
      <c r="AE98" s="68"/>
      <c r="AF98" s="68"/>
      <c r="AG98" s="68"/>
      <c r="AH98" s="68"/>
      <c r="AI98" s="68"/>
      <c r="AJ98" s="68"/>
      <c r="AK98"/>
      <c r="AL98"/>
      <c r="AM98"/>
      <c r="AN98"/>
    </row>
    <row r="99" spans="1:40" ht="14.5" x14ac:dyDescent="0.35">
      <c r="A99" t="s">
        <v>613</v>
      </c>
      <c r="B99" t="s">
        <v>632</v>
      </c>
      <c r="C99" t="s">
        <v>613</v>
      </c>
      <c r="D99" t="s">
        <v>147</v>
      </c>
      <c r="F99" s="68"/>
      <c r="G99" s="68"/>
      <c r="H99" s="68"/>
      <c r="I99" s="68"/>
      <c r="J99" s="68"/>
      <c r="K99" s="68"/>
      <c r="L99" s="68"/>
      <c r="M99" s="68"/>
      <c r="N99" s="68"/>
      <c r="O99" s="68"/>
      <c r="P99" s="68"/>
      <c r="Q99" s="68"/>
      <c r="R99" s="68"/>
      <c r="S99" s="68"/>
      <c r="T99" s="68"/>
      <c r="U99" s="68"/>
      <c r="V99" s="68"/>
      <c r="W99" s="68"/>
      <c r="X99" s="68"/>
      <c r="Y99" s="68"/>
      <c r="Z99" s="68"/>
      <c r="AA99" s="68"/>
      <c r="AB99" s="68"/>
      <c r="AC99" s="68"/>
      <c r="AD99" s="68"/>
      <c r="AE99" s="68"/>
      <c r="AF99" s="68"/>
      <c r="AG99" s="68"/>
      <c r="AH99" s="68"/>
      <c r="AI99" s="68"/>
      <c r="AJ99" s="68"/>
      <c r="AK99"/>
      <c r="AL99"/>
      <c r="AM99"/>
      <c r="AN99"/>
    </row>
    <row r="100" spans="1:40" ht="14.5" x14ac:dyDescent="0.35">
      <c r="A100" t="s">
        <v>1306</v>
      </c>
      <c r="C100" t="s">
        <v>1026</v>
      </c>
      <c r="D100" t="s">
        <v>1027</v>
      </c>
      <c r="E100">
        <v>30000</v>
      </c>
      <c r="F100" s="68"/>
      <c r="G100" s="68"/>
      <c r="H100" s="68">
        <f>2</f>
        <v>2</v>
      </c>
      <c r="I100" s="68"/>
      <c r="J100" s="68"/>
      <c r="K100" s="68"/>
      <c r="L100" s="68"/>
      <c r="M100" s="68"/>
      <c r="N100" s="68"/>
      <c r="O100" s="68"/>
      <c r="P100" s="68"/>
      <c r="Q100" s="68"/>
      <c r="R100" s="68"/>
      <c r="S100" s="68">
        <v>1</v>
      </c>
      <c r="T100" s="68"/>
      <c r="U100" s="68"/>
      <c r="V100" s="68"/>
      <c r="W100" s="68"/>
      <c r="X100" s="68"/>
      <c r="Y100" s="68"/>
      <c r="Z100" s="68"/>
      <c r="AA100" s="68"/>
      <c r="AB100" s="68"/>
      <c r="AC100" s="68"/>
      <c r="AD100" s="68"/>
      <c r="AE100" s="68"/>
      <c r="AF100" s="68"/>
      <c r="AG100" s="68"/>
      <c r="AH100" s="68"/>
      <c r="AI100" s="68"/>
      <c r="AJ100" s="68"/>
      <c r="AK100"/>
      <c r="AL100"/>
      <c r="AM100"/>
      <c r="AN100"/>
    </row>
    <row r="101" spans="1:40" ht="14.5" x14ac:dyDescent="0.35">
      <c r="A101" t="s">
        <v>1306</v>
      </c>
      <c r="C101" t="s">
        <v>995</v>
      </c>
      <c r="D101" t="s">
        <v>29</v>
      </c>
      <c r="E101">
        <v>1</v>
      </c>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c r="AF101" s="68"/>
      <c r="AG101" s="68"/>
      <c r="AH101" s="68"/>
      <c r="AI101" s="68"/>
      <c r="AJ101" s="68"/>
      <c r="AK101"/>
      <c r="AL101"/>
      <c r="AM101"/>
      <c r="AN101"/>
    </row>
    <row r="102" spans="1:40" ht="14.5" x14ac:dyDescent="0.35">
      <c r="A102" t="s">
        <v>1306</v>
      </c>
      <c r="B102" t="s">
        <v>1307</v>
      </c>
      <c r="C102" t="s">
        <v>1306</v>
      </c>
      <c r="D102" t="s">
        <v>35</v>
      </c>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68"/>
      <c r="AG102" s="68"/>
      <c r="AH102" s="68"/>
      <c r="AI102" s="68"/>
      <c r="AJ102" s="68"/>
      <c r="AK102"/>
      <c r="AL102"/>
      <c r="AM102"/>
      <c r="AN102"/>
    </row>
    <row r="103" spans="1:40" ht="14.5" x14ac:dyDescent="0.35">
      <c r="A103" t="s">
        <v>617</v>
      </c>
      <c r="C103" t="s">
        <v>614</v>
      </c>
      <c r="D103" t="s">
        <v>615</v>
      </c>
      <c r="E103">
        <v>1</v>
      </c>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c r="AG103" s="68"/>
      <c r="AH103" s="68"/>
      <c r="AI103" s="68"/>
      <c r="AJ103" s="68"/>
      <c r="AK103"/>
      <c r="AL103"/>
      <c r="AM103"/>
      <c r="AN103"/>
    </row>
    <row r="104" spans="1:40" ht="14.5" x14ac:dyDescent="0.35">
      <c r="A104" t="s">
        <v>617</v>
      </c>
      <c r="B104" t="s">
        <v>633</v>
      </c>
      <c r="C104" t="s">
        <v>617</v>
      </c>
      <c r="D104" t="s">
        <v>618</v>
      </c>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68"/>
      <c r="AG104" s="68"/>
      <c r="AH104" s="68"/>
      <c r="AI104" s="68"/>
      <c r="AJ104" s="68"/>
      <c r="AK104"/>
      <c r="AL104"/>
      <c r="AM104"/>
      <c r="AN104"/>
    </row>
    <row r="105" spans="1:40" ht="14.5" x14ac:dyDescent="0.35">
      <c r="A105" t="s">
        <v>4</v>
      </c>
      <c r="C105" t="s">
        <v>1046</v>
      </c>
      <c r="D105" t="s">
        <v>101</v>
      </c>
      <c r="E105">
        <v>250</v>
      </c>
      <c r="F105" s="68"/>
      <c r="G105" s="68"/>
      <c r="H105" s="68">
        <f>20</f>
        <v>20</v>
      </c>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68"/>
      <c r="AG105" s="68"/>
      <c r="AH105" s="68"/>
      <c r="AI105" s="68"/>
      <c r="AJ105" s="68"/>
      <c r="AK105"/>
      <c r="AL105"/>
      <c r="AM105"/>
      <c r="AN105"/>
    </row>
    <row r="106" spans="1:40" ht="14.5" x14ac:dyDescent="0.35">
      <c r="A106" t="s">
        <v>4</v>
      </c>
      <c r="C106" t="s">
        <v>1081</v>
      </c>
      <c r="D106" t="s">
        <v>29</v>
      </c>
      <c r="E106">
        <v>1</v>
      </c>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c r="AF106" s="68"/>
      <c r="AG106" s="68"/>
      <c r="AH106" s="68"/>
      <c r="AI106" s="68"/>
      <c r="AJ106" s="68"/>
      <c r="AK106"/>
      <c r="AL106"/>
      <c r="AM106"/>
      <c r="AN106"/>
    </row>
    <row r="107" spans="1:40" ht="14.5" x14ac:dyDescent="0.35">
      <c r="A107" t="s">
        <v>4</v>
      </c>
      <c r="B107" t="s">
        <v>611</v>
      </c>
      <c r="C107" t="s">
        <v>4</v>
      </c>
      <c r="D107" t="s">
        <v>35</v>
      </c>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c r="AF107" s="68"/>
      <c r="AG107" s="68"/>
      <c r="AH107" s="68"/>
      <c r="AI107" s="68"/>
      <c r="AJ107" s="68"/>
      <c r="AK107"/>
      <c r="AL107"/>
      <c r="AM107"/>
      <c r="AN107"/>
    </row>
    <row r="108" spans="1:40" ht="14.5" x14ac:dyDescent="0.35">
      <c r="A108" t="s">
        <v>1342</v>
      </c>
      <c r="C108" t="s">
        <v>1425</v>
      </c>
      <c r="D108" t="s">
        <v>101</v>
      </c>
      <c r="E108">
        <v>193</v>
      </c>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c r="AD108" s="68"/>
      <c r="AE108" s="68"/>
      <c r="AF108" s="68"/>
      <c r="AG108" s="68"/>
      <c r="AH108" s="68"/>
      <c r="AI108" s="68"/>
      <c r="AJ108" s="68"/>
      <c r="AK108"/>
      <c r="AL108"/>
      <c r="AM108"/>
      <c r="AN108"/>
    </row>
    <row r="109" spans="1:40" ht="14.5" x14ac:dyDescent="0.35">
      <c r="A109" t="s">
        <v>1342</v>
      </c>
      <c r="C109" t="s">
        <v>1426</v>
      </c>
      <c r="D109" t="s">
        <v>102</v>
      </c>
      <c r="E109">
        <v>1</v>
      </c>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68"/>
      <c r="AE109" s="68"/>
      <c r="AF109" s="68"/>
      <c r="AG109" s="68"/>
      <c r="AH109" s="68"/>
      <c r="AI109" s="68"/>
      <c r="AJ109" s="68"/>
      <c r="AK109"/>
      <c r="AL109"/>
      <c r="AM109"/>
      <c r="AN109"/>
    </row>
    <row r="110" spans="1:40" ht="14.5" x14ac:dyDescent="0.35">
      <c r="A110" t="s">
        <v>1342</v>
      </c>
      <c r="B110" t="s">
        <v>1415</v>
      </c>
      <c r="C110" t="s">
        <v>1342</v>
      </c>
      <c r="D110" t="s">
        <v>67</v>
      </c>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68"/>
      <c r="AG110" s="68"/>
      <c r="AH110" s="68"/>
      <c r="AI110" s="68"/>
      <c r="AJ110" s="68"/>
      <c r="AK110"/>
      <c r="AL110"/>
      <c r="AM110"/>
      <c r="AN110"/>
    </row>
    <row r="111" spans="1:40" ht="14.5" x14ac:dyDescent="0.35">
      <c r="A111" t="s">
        <v>1331</v>
      </c>
      <c r="C111" t="s">
        <v>135</v>
      </c>
      <c r="D111" t="s">
        <v>29</v>
      </c>
      <c r="E111">
        <v>50000</v>
      </c>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c r="AF111" s="68"/>
      <c r="AG111" s="68"/>
      <c r="AH111" s="68"/>
      <c r="AI111" s="68"/>
      <c r="AJ111" s="68"/>
      <c r="AK111"/>
      <c r="AL111"/>
      <c r="AM111"/>
      <c r="AN111"/>
    </row>
    <row r="112" spans="1:40" ht="14.5" x14ac:dyDescent="0.35">
      <c r="A112" t="s">
        <v>1331</v>
      </c>
      <c r="C112" t="s">
        <v>137</v>
      </c>
      <c r="D112" t="s">
        <v>29</v>
      </c>
      <c r="E112">
        <v>1000</v>
      </c>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c r="AG112" s="68"/>
      <c r="AH112" s="68"/>
      <c r="AI112" s="68"/>
      <c r="AJ112" s="68"/>
      <c r="AK112"/>
      <c r="AL112"/>
      <c r="AM112"/>
      <c r="AN112"/>
    </row>
    <row r="113" spans="1:40" ht="14.5" x14ac:dyDescent="0.35">
      <c r="A113" t="s">
        <v>1331</v>
      </c>
      <c r="C113" t="s">
        <v>134</v>
      </c>
      <c r="D113" t="s">
        <v>29</v>
      </c>
      <c r="E113">
        <v>1</v>
      </c>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68"/>
      <c r="AG113" s="68"/>
      <c r="AH113" s="68"/>
      <c r="AI113" s="68"/>
      <c r="AJ113" s="68"/>
      <c r="AK113"/>
      <c r="AL113"/>
      <c r="AM113"/>
      <c r="AN113"/>
    </row>
    <row r="114" spans="1:40" ht="14.5" x14ac:dyDescent="0.35">
      <c r="A114" t="s">
        <v>1331</v>
      </c>
      <c r="B114" t="s">
        <v>1332</v>
      </c>
      <c r="C114" t="s">
        <v>1331</v>
      </c>
      <c r="D114" t="s">
        <v>35</v>
      </c>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68"/>
      <c r="AG114" s="68"/>
      <c r="AH114" s="68"/>
      <c r="AI114" s="68"/>
      <c r="AJ114" s="68"/>
      <c r="AK114"/>
      <c r="AL114"/>
      <c r="AM114"/>
      <c r="AN114"/>
    </row>
    <row r="115" spans="1:40" ht="14.5" x14ac:dyDescent="0.35">
      <c r="A115" t="s">
        <v>598</v>
      </c>
      <c r="C115" t="s">
        <v>1047</v>
      </c>
      <c r="D115" t="s">
        <v>101</v>
      </c>
      <c r="E115">
        <v>100</v>
      </c>
      <c r="F115" s="68"/>
      <c r="G115" s="68"/>
      <c r="H115" s="68">
        <f>19</f>
        <v>19</v>
      </c>
      <c r="I115" s="68"/>
      <c r="J115" s="68"/>
      <c r="K115" s="68"/>
      <c r="L115" s="68">
        <v>24</v>
      </c>
      <c r="M115" s="68"/>
      <c r="N115" s="68"/>
      <c r="O115" s="68">
        <v>29</v>
      </c>
      <c r="P115" s="68"/>
      <c r="Q115" s="68"/>
      <c r="R115" s="68">
        <v>5</v>
      </c>
      <c r="S115" s="68">
        <v>16</v>
      </c>
      <c r="T115" s="68"/>
      <c r="U115" s="68"/>
      <c r="V115" s="68"/>
      <c r="W115" s="68"/>
      <c r="X115" s="68"/>
      <c r="Y115" s="68"/>
      <c r="Z115" s="68"/>
      <c r="AA115" s="68"/>
      <c r="AB115" s="68"/>
      <c r="AC115" s="68"/>
      <c r="AD115" s="68"/>
      <c r="AE115" s="68"/>
      <c r="AF115" s="68"/>
      <c r="AG115" s="68"/>
      <c r="AH115" s="68"/>
      <c r="AI115" s="68"/>
      <c r="AJ115" s="68"/>
      <c r="AK115"/>
      <c r="AL115"/>
      <c r="AM115"/>
      <c r="AN115"/>
    </row>
    <row r="116" spans="1:40" ht="14.5" x14ac:dyDescent="0.35">
      <c r="A116" t="s">
        <v>598</v>
      </c>
      <c r="B116" t="s">
        <v>597</v>
      </c>
      <c r="C116" t="s">
        <v>598</v>
      </c>
      <c r="D116" t="s">
        <v>67</v>
      </c>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68"/>
      <c r="AG116" s="68"/>
      <c r="AH116" s="68"/>
      <c r="AI116" s="68"/>
      <c r="AJ116" s="68"/>
      <c r="AK116"/>
      <c r="AL116"/>
      <c r="AM116"/>
      <c r="AN116"/>
    </row>
    <row r="117" spans="1:40" ht="14.5" x14ac:dyDescent="0.35">
      <c r="A117" t="s">
        <v>596</v>
      </c>
      <c r="C117" t="s">
        <v>1048</v>
      </c>
      <c r="D117" t="s">
        <v>101</v>
      </c>
      <c r="E117">
        <v>100</v>
      </c>
      <c r="F117" s="68">
        <v>40</v>
      </c>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c r="AF117" s="68"/>
      <c r="AG117" s="68"/>
      <c r="AH117" s="68"/>
      <c r="AI117" s="68"/>
      <c r="AJ117" s="68"/>
      <c r="AK117"/>
      <c r="AL117"/>
      <c r="AM117"/>
      <c r="AN117"/>
    </row>
    <row r="118" spans="1:40" ht="14.5" x14ac:dyDescent="0.35">
      <c r="A118" t="s">
        <v>596</v>
      </c>
      <c r="C118" t="s">
        <v>594</v>
      </c>
      <c r="D118" t="s">
        <v>568</v>
      </c>
      <c r="E118">
        <v>1</v>
      </c>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c r="AD118" s="68"/>
      <c r="AE118" s="68"/>
      <c r="AF118" s="68"/>
      <c r="AG118" s="68"/>
      <c r="AH118" s="68"/>
      <c r="AI118" s="68"/>
      <c r="AJ118" s="68"/>
      <c r="AK118"/>
      <c r="AL118"/>
      <c r="AM118"/>
      <c r="AN118"/>
    </row>
    <row r="119" spans="1:40" ht="14.5" x14ac:dyDescent="0.35">
      <c r="A119" t="s">
        <v>596</v>
      </c>
      <c r="B119" t="s">
        <v>595</v>
      </c>
      <c r="C119" t="s">
        <v>596</v>
      </c>
      <c r="D119" t="s">
        <v>67</v>
      </c>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68"/>
      <c r="AG119" s="68"/>
      <c r="AH119" s="68"/>
      <c r="AI119" s="68"/>
      <c r="AJ119" s="68"/>
      <c r="AK119"/>
      <c r="AL119"/>
      <c r="AM119"/>
      <c r="AN119"/>
    </row>
    <row r="120" spans="1:40" ht="14.5" x14ac:dyDescent="0.35">
      <c r="A120" t="s">
        <v>601</v>
      </c>
      <c r="C120" t="s">
        <v>599</v>
      </c>
      <c r="D120" t="s">
        <v>580</v>
      </c>
      <c r="E120">
        <v>1</v>
      </c>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68"/>
      <c r="AG120" s="68"/>
      <c r="AH120" s="68"/>
      <c r="AI120" s="68"/>
      <c r="AJ120" s="68"/>
      <c r="AK120"/>
      <c r="AL120"/>
      <c r="AM120"/>
      <c r="AN120"/>
    </row>
    <row r="121" spans="1:40" ht="14.5" x14ac:dyDescent="0.35">
      <c r="A121" t="s">
        <v>601</v>
      </c>
      <c r="B121" t="s">
        <v>600</v>
      </c>
      <c r="C121" t="s">
        <v>601</v>
      </c>
      <c r="D121" t="s">
        <v>151</v>
      </c>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c r="AD121" s="68"/>
      <c r="AE121" s="68"/>
      <c r="AF121" s="68"/>
      <c r="AG121" s="68"/>
      <c r="AH121" s="68"/>
      <c r="AI121" s="68"/>
      <c r="AJ121" s="68"/>
      <c r="AK121"/>
      <c r="AL121"/>
      <c r="AM121"/>
      <c r="AN121"/>
    </row>
    <row r="122" spans="1:40" ht="14.5" x14ac:dyDescent="0.35">
      <c r="A122" t="s">
        <v>586</v>
      </c>
      <c r="C122" t="s">
        <v>584</v>
      </c>
      <c r="D122" t="s">
        <v>580</v>
      </c>
      <c r="E122">
        <v>1</v>
      </c>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c r="AD122" s="68"/>
      <c r="AE122" s="68"/>
      <c r="AF122" s="68"/>
      <c r="AG122" s="68"/>
      <c r="AH122" s="68"/>
      <c r="AI122" s="68"/>
      <c r="AJ122" s="68"/>
      <c r="AK122"/>
      <c r="AL122"/>
      <c r="AM122"/>
      <c r="AN122"/>
    </row>
    <row r="123" spans="1:40" ht="14.5" x14ac:dyDescent="0.35">
      <c r="A123" t="s">
        <v>586</v>
      </c>
      <c r="B123" t="s">
        <v>585</v>
      </c>
      <c r="C123" t="s">
        <v>586</v>
      </c>
      <c r="D123" t="s">
        <v>151</v>
      </c>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c r="AE123" s="68"/>
      <c r="AF123" s="68"/>
      <c r="AG123" s="68"/>
      <c r="AH123" s="68"/>
      <c r="AI123" s="68"/>
      <c r="AJ123" s="68"/>
      <c r="AK123"/>
      <c r="AL123"/>
      <c r="AM123"/>
      <c r="AN123"/>
    </row>
    <row r="124" spans="1:40" ht="14.5" x14ac:dyDescent="0.35">
      <c r="A124" t="s">
        <v>349</v>
      </c>
      <c r="C124" t="s">
        <v>356</v>
      </c>
      <c r="D124" t="s">
        <v>103</v>
      </c>
      <c r="E124">
        <v>6600</v>
      </c>
      <c r="F124" s="68"/>
      <c r="G124" s="68"/>
      <c r="H124" s="68">
        <f>1</f>
        <v>1</v>
      </c>
      <c r="I124" s="68"/>
      <c r="J124" s="68"/>
      <c r="K124" s="68"/>
      <c r="L124" s="68">
        <v>1</v>
      </c>
      <c r="M124" s="68"/>
      <c r="N124" s="68"/>
      <c r="O124" s="68">
        <v>1</v>
      </c>
      <c r="P124" s="68"/>
      <c r="Q124" s="68"/>
      <c r="R124" s="68"/>
      <c r="S124" s="68">
        <v>1</v>
      </c>
      <c r="T124" s="68"/>
      <c r="U124" s="68"/>
      <c r="V124" s="68"/>
      <c r="W124" s="68"/>
      <c r="X124" s="68"/>
      <c r="Y124" s="68"/>
      <c r="Z124" s="68"/>
      <c r="AA124" s="68"/>
      <c r="AB124" s="68"/>
      <c r="AC124" s="68"/>
      <c r="AD124" s="68"/>
      <c r="AE124" s="68"/>
      <c r="AF124" s="68"/>
      <c r="AG124" s="68"/>
      <c r="AH124" s="68"/>
      <c r="AI124" s="68"/>
      <c r="AJ124" s="68"/>
      <c r="AK124"/>
      <c r="AL124"/>
      <c r="AM124"/>
      <c r="AN124"/>
    </row>
    <row r="125" spans="1:40" ht="14.5" x14ac:dyDescent="0.35">
      <c r="A125" t="s">
        <v>349</v>
      </c>
      <c r="C125" t="s">
        <v>357</v>
      </c>
      <c r="D125" t="s">
        <v>358</v>
      </c>
      <c r="E125">
        <v>550</v>
      </c>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68"/>
      <c r="AE125" s="68"/>
      <c r="AF125" s="68"/>
      <c r="AG125" s="68"/>
      <c r="AH125" s="68"/>
      <c r="AI125" s="68"/>
      <c r="AJ125" s="68"/>
      <c r="AK125"/>
      <c r="AL125"/>
      <c r="AM125"/>
      <c r="AN125"/>
    </row>
    <row r="126" spans="1:40" ht="14.5" x14ac:dyDescent="0.35">
      <c r="A126" t="s">
        <v>349</v>
      </c>
      <c r="C126" t="s">
        <v>359</v>
      </c>
      <c r="D126" t="s">
        <v>29</v>
      </c>
      <c r="E126">
        <v>1</v>
      </c>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c r="AD126" s="68"/>
      <c r="AE126" s="68"/>
      <c r="AF126" s="68"/>
      <c r="AG126" s="68"/>
      <c r="AH126" s="68"/>
      <c r="AI126" s="68"/>
      <c r="AJ126" s="68"/>
      <c r="AK126"/>
      <c r="AL126"/>
      <c r="AM126"/>
      <c r="AN126"/>
    </row>
    <row r="127" spans="1:40" ht="14.5" x14ac:dyDescent="0.35">
      <c r="A127" t="s">
        <v>349</v>
      </c>
      <c r="B127" t="s">
        <v>379</v>
      </c>
      <c r="C127" t="s">
        <v>349</v>
      </c>
      <c r="D127" t="s">
        <v>35</v>
      </c>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68"/>
      <c r="AG127" s="68"/>
      <c r="AH127" s="68"/>
      <c r="AI127" s="68"/>
      <c r="AJ127" s="68"/>
      <c r="AK127"/>
      <c r="AL127"/>
      <c r="AM127"/>
      <c r="AN127"/>
    </row>
    <row r="128" spans="1:40" ht="14.5" x14ac:dyDescent="0.35">
      <c r="A128" t="s">
        <v>8</v>
      </c>
      <c r="C128" t="s">
        <v>1100</v>
      </c>
      <c r="D128" t="s">
        <v>101</v>
      </c>
      <c r="E128">
        <v>1</v>
      </c>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68"/>
      <c r="AG128" s="68"/>
      <c r="AH128" s="68"/>
      <c r="AI128" s="68"/>
      <c r="AJ128" s="68"/>
      <c r="AK128"/>
      <c r="AL128"/>
      <c r="AM128"/>
      <c r="AN128"/>
    </row>
    <row r="129" spans="1:40" ht="14.5" x14ac:dyDescent="0.35">
      <c r="A129" t="s">
        <v>8</v>
      </c>
      <c r="B129" t="s">
        <v>631</v>
      </c>
      <c r="C129" t="s">
        <v>1465</v>
      </c>
      <c r="D129" t="s">
        <v>67</v>
      </c>
      <c r="F129" s="68"/>
      <c r="G129" s="68"/>
      <c r="H129" s="68"/>
      <c r="I129" s="68"/>
      <c r="J129" s="68"/>
      <c r="K129" s="68"/>
      <c r="L129" s="68"/>
      <c r="M129" s="68"/>
      <c r="N129" s="68"/>
      <c r="O129" s="68"/>
      <c r="P129" s="68"/>
      <c r="Q129" s="68"/>
      <c r="R129" s="68"/>
      <c r="S129" s="68"/>
      <c r="T129" s="68"/>
      <c r="U129" s="68"/>
      <c r="V129" s="68"/>
      <c r="W129" s="68"/>
      <c r="X129" s="68"/>
      <c r="Y129" s="68"/>
      <c r="Z129" s="68"/>
      <c r="AA129" s="68"/>
      <c r="AB129" s="68"/>
      <c r="AC129" s="68"/>
      <c r="AD129" s="68"/>
      <c r="AE129" s="68"/>
      <c r="AF129" s="68"/>
      <c r="AG129" s="68"/>
      <c r="AH129" s="68"/>
      <c r="AI129" s="68"/>
      <c r="AJ129" s="68"/>
      <c r="AK129"/>
      <c r="AL129"/>
      <c r="AM129"/>
      <c r="AN129"/>
    </row>
    <row r="130" spans="1:40" ht="14.5" x14ac:dyDescent="0.35">
      <c r="A130" t="s">
        <v>9</v>
      </c>
      <c r="C130" t="s">
        <v>1049</v>
      </c>
      <c r="D130" t="s">
        <v>462</v>
      </c>
      <c r="E130">
        <v>1</v>
      </c>
      <c r="F130" s="68"/>
      <c r="G130" s="68"/>
      <c r="H130" s="68"/>
      <c r="I130" s="68"/>
      <c r="J130" s="68"/>
      <c r="K130" s="68"/>
      <c r="L130" s="68"/>
      <c r="M130" s="68"/>
      <c r="N130" s="68"/>
      <c r="O130" s="68"/>
      <c r="P130" s="68"/>
      <c r="Q130" s="68"/>
      <c r="R130" s="68"/>
      <c r="S130" s="68"/>
      <c r="T130" s="68"/>
      <c r="U130" s="68"/>
      <c r="V130" s="68"/>
      <c r="W130" s="68"/>
      <c r="X130" s="68"/>
      <c r="Y130" s="68"/>
      <c r="Z130" s="68"/>
      <c r="AA130" s="68"/>
      <c r="AB130" s="68"/>
      <c r="AC130" s="68"/>
      <c r="AD130" s="68"/>
      <c r="AE130" s="68"/>
      <c r="AF130" s="68"/>
      <c r="AG130" s="68"/>
      <c r="AH130" s="68"/>
      <c r="AI130" s="68"/>
      <c r="AJ130" s="68"/>
      <c r="AK130"/>
      <c r="AL130"/>
      <c r="AM130"/>
      <c r="AN130"/>
    </row>
    <row r="131" spans="1:40" ht="14.5" x14ac:dyDescent="0.35">
      <c r="A131" t="s">
        <v>9</v>
      </c>
      <c r="B131" t="s">
        <v>569</v>
      </c>
      <c r="C131" t="s">
        <v>9</v>
      </c>
      <c r="D131" t="s">
        <v>556</v>
      </c>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c r="AD131" s="68"/>
      <c r="AE131" s="68"/>
      <c r="AF131" s="68"/>
      <c r="AG131" s="68"/>
      <c r="AH131" s="68"/>
      <c r="AI131" s="68"/>
      <c r="AJ131" s="68"/>
      <c r="AK131"/>
      <c r="AL131"/>
      <c r="AM131"/>
      <c r="AN131"/>
    </row>
    <row r="132" spans="1:40" ht="14.5" x14ac:dyDescent="0.35">
      <c r="A132" t="s">
        <v>985</v>
      </c>
      <c r="C132" t="s">
        <v>1011</v>
      </c>
      <c r="D132" t="s">
        <v>103</v>
      </c>
      <c r="E132">
        <v>12000</v>
      </c>
      <c r="F132" s="68"/>
      <c r="G132" s="68"/>
      <c r="H132" s="68"/>
      <c r="I132" s="68"/>
      <c r="J132" s="68"/>
      <c r="K132" s="68"/>
      <c r="L132" s="68"/>
      <c r="M132" s="68"/>
      <c r="N132" s="68"/>
      <c r="O132" s="68"/>
      <c r="P132" s="68"/>
      <c r="Q132" s="68"/>
      <c r="R132" s="68"/>
      <c r="S132" s="68"/>
      <c r="T132" s="68"/>
      <c r="U132" s="68"/>
      <c r="V132" s="68"/>
      <c r="W132" s="68"/>
      <c r="X132" s="68"/>
      <c r="Y132" s="68"/>
      <c r="Z132" s="68"/>
      <c r="AA132" s="68"/>
      <c r="AB132" s="68"/>
      <c r="AC132" s="68"/>
      <c r="AD132" s="68"/>
      <c r="AE132" s="68"/>
      <c r="AF132" s="68"/>
      <c r="AG132" s="68"/>
      <c r="AH132" s="68"/>
      <c r="AI132" s="68"/>
      <c r="AJ132" s="68"/>
      <c r="AK132"/>
      <c r="AL132"/>
      <c r="AM132"/>
      <c r="AN132"/>
    </row>
    <row r="133" spans="1:40" ht="14.5" x14ac:dyDescent="0.35">
      <c r="A133" t="s">
        <v>985</v>
      </c>
      <c r="C133" t="s">
        <v>1200</v>
      </c>
      <c r="D133" t="s">
        <v>1027</v>
      </c>
      <c r="E133">
        <v>6000</v>
      </c>
      <c r="F133" s="68"/>
      <c r="G133" s="68"/>
      <c r="H133" s="68">
        <f>8</f>
        <v>8</v>
      </c>
      <c r="I133" s="68"/>
      <c r="J133" s="68"/>
      <c r="K133" s="68"/>
      <c r="L133" s="68"/>
      <c r="M133" s="68"/>
      <c r="N133" s="68"/>
      <c r="O133" s="68"/>
      <c r="P133" s="68"/>
      <c r="Q133" s="68"/>
      <c r="R133" s="68"/>
      <c r="S133" s="68"/>
      <c r="T133" s="68"/>
      <c r="U133" s="68"/>
      <c r="V133" s="68"/>
      <c r="W133" s="68"/>
      <c r="X133" s="68"/>
      <c r="Y133" s="68"/>
      <c r="Z133" s="68"/>
      <c r="AA133" s="68"/>
      <c r="AB133" s="68"/>
      <c r="AC133" s="68"/>
      <c r="AD133" s="68"/>
      <c r="AE133" s="68"/>
      <c r="AF133" s="68"/>
      <c r="AG133" s="68"/>
      <c r="AH133" s="68"/>
      <c r="AI133" s="68"/>
      <c r="AJ133" s="68"/>
      <c r="AK133"/>
      <c r="AL133"/>
      <c r="AM133"/>
      <c r="AN133"/>
    </row>
    <row r="134" spans="1:40" ht="14.5" x14ac:dyDescent="0.35">
      <c r="A134" t="s">
        <v>985</v>
      </c>
      <c r="C134" t="s">
        <v>1012</v>
      </c>
      <c r="D134" t="s">
        <v>29</v>
      </c>
      <c r="E134">
        <v>1</v>
      </c>
      <c r="F134" s="68"/>
      <c r="G134" s="68"/>
      <c r="H134" s="68"/>
      <c r="I134" s="68"/>
      <c r="J134" s="68"/>
      <c r="K134" s="68"/>
      <c r="L134" s="68">
        <v>60000</v>
      </c>
      <c r="M134" s="68"/>
      <c r="N134" s="68"/>
      <c r="O134" s="68">
        <v>72000</v>
      </c>
      <c r="P134" s="68"/>
      <c r="Q134" s="68"/>
      <c r="R134" s="68"/>
      <c r="S134" s="68">
        <v>12000</v>
      </c>
      <c r="T134" s="68"/>
      <c r="U134" s="68"/>
      <c r="V134" s="68"/>
      <c r="W134" s="68"/>
      <c r="X134" s="68"/>
      <c r="Y134" s="68"/>
      <c r="Z134" s="68"/>
      <c r="AA134" s="68"/>
      <c r="AB134" s="68"/>
      <c r="AC134" s="68"/>
      <c r="AD134" s="68"/>
      <c r="AE134" s="68"/>
      <c r="AF134" s="68"/>
      <c r="AG134" s="68"/>
      <c r="AH134" s="68"/>
      <c r="AI134" s="68"/>
      <c r="AJ134" s="68"/>
      <c r="AK134"/>
      <c r="AL134"/>
      <c r="AM134"/>
      <c r="AN134"/>
    </row>
    <row r="135" spans="1:40" ht="14.5" x14ac:dyDescent="0.35">
      <c r="A135" t="s">
        <v>985</v>
      </c>
      <c r="B135" t="s">
        <v>1025</v>
      </c>
      <c r="C135" t="s">
        <v>985</v>
      </c>
      <c r="D135" t="s">
        <v>35</v>
      </c>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8"/>
      <c r="AK135"/>
      <c r="AL135"/>
      <c r="AM135"/>
      <c r="AN135"/>
    </row>
    <row r="136" spans="1:40" ht="14.5" x14ac:dyDescent="0.35">
      <c r="A136" t="s">
        <v>355</v>
      </c>
      <c r="C136" t="s">
        <v>374</v>
      </c>
      <c r="D136" t="s">
        <v>103</v>
      </c>
      <c r="E136">
        <v>5400</v>
      </c>
      <c r="F136" s="68"/>
      <c r="G136" s="68"/>
      <c r="H136" s="68"/>
      <c r="I136" s="68"/>
      <c r="J136" s="68"/>
      <c r="K136" s="68"/>
      <c r="L136" s="68"/>
      <c r="M136" s="68"/>
      <c r="N136" s="68"/>
      <c r="O136" s="68">
        <v>1</v>
      </c>
      <c r="P136" s="68"/>
      <c r="Q136" s="68"/>
      <c r="R136" s="68"/>
      <c r="S136" s="68">
        <v>1</v>
      </c>
      <c r="T136" s="68"/>
      <c r="U136" s="68"/>
      <c r="V136" s="68"/>
      <c r="W136" s="68"/>
      <c r="X136" s="68"/>
      <c r="Y136" s="68"/>
      <c r="Z136" s="68"/>
      <c r="AA136" s="68"/>
      <c r="AB136" s="68"/>
      <c r="AC136" s="68"/>
      <c r="AD136" s="68"/>
      <c r="AE136" s="68"/>
      <c r="AF136" s="68"/>
      <c r="AG136" s="68"/>
      <c r="AH136" s="68"/>
      <c r="AI136" s="68"/>
      <c r="AJ136" s="68"/>
      <c r="AK136"/>
      <c r="AL136"/>
      <c r="AM136"/>
      <c r="AN136"/>
    </row>
    <row r="137" spans="1:40" ht="14.5" x14ac:dyDescent="0.35">
      <c r="A137" t="s">
        <v>355</v>
      </c>
      <c r="C137" t="s">
        <v>1096</v>
      </c>
      <c r="D137" t="s">
        <v>101</v>
      </c>
      <c r="E137">
        <v>300</v>
      </c>
      <c r="F137" s="68"/>
      <c r="G137" s="68"/>
      <c r="H137" s="68"/>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c r="AF137" s="68"/>
      <c r="AG137" s="68"/>
      <c r="AH137" s="68"/>
      <c r="AI137" s="68"/>
      <c r="AJ137" s="68"/>
      <c r="AK137"/>
      <c r="AL137"/>
      <c r="AM137"/>
      <c r="AN137"/>
    </row>
    <row r="138" spans="1:40" ht="14.5" x14ac:dyDescent="0.35">
      <c r="A138" t="s">
        <v>355</v>
      </c>
      <c r="C138" t="s">
        <v>375</v>
      </c>
      <c r="D138" t="s">
        <v>29</v>
      </c>
      <c r="E138">
        <v>1</v>
      </c>
      <c r="F138" s="68"/>
      <c r="G138" s="68"/>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c r="AE138" s="68"/>
      <c r="AF138" s="68"/>
      <c r="AG138" s="68"/>
      <c r="AH138" s="68"/>
      <c r="AI138" s="68"/>
      <c r="AJ138" s="68"/>
      <c r="AK138"/>
      <c r="AL138"/>
      <c r="AM138"/>
      <c r="AN138"/>
    </row>
    <row r="139" spans="1:40" ht="14.5" x14ac:dyDescent="0.35">
      <c r="A139" t="s">
        <v>355</v>
      </c>
      <c r="B139" t="s">
        <v>385</v>
      </c>
      <c r="C139" t="s">
        <v>355</v>
      </c>
      <c r="D139" t="s">
        <v>35</v>
      </c>
      <c r="F139" s="68"/>
      <c r="G139" s="68"/>
      <c r="H139" s="68"/>
      <c r="I139" s="68"/>
      <c r="J139" s="68"/>
      <c r="K139" s="68"/>
      <c r="L139" s="68"/>
      <c r="M139" s="68"/>
      <c r="N139" s="68"/>
      <c r="O139" s="68"/>
      <c r="P139" s="68"/>
      <c r="Q139" s="68"/>
      <c r="R139" s="68"/>
      <c r="S139" s="68"/>
      <c r="T139" s="68"/>
      <c r="U139" s="68"/>
      <c r="V139" s="68"/>
      <c r="W139" s="68"/>
      <c r="X139" s="68"/>
      <c r="Y139" s="68"/>
      <c r="Z139" s="68"/>
      <c r="AA139" s="68"/>
      <c r="AB139" s="68"/>
      <c r="AC139" s="68"/>
      <c r="AD139" s="68"/>
      <c r="AE139" s="68"/>
      <c r="AF139" s="68"/>
      <c r="AG139" s="68"/>
      <c r="AH139" s="68"/>
      <c r="AI139" s="68"/>
      <c r="AJ139" s="68"/>
      <c r="AK139"/>
      <c r="AL139"/>
      <c r="AM139"/>
      <c r="AN139"/>
    </row>
    <row r="140" spans="1:40" ht="14.5" x14ac:dyDescent="0.35">
      <c r="A140" t="s">
        <v>554</v>
      </c>
      <c r="C140" t="s">
        <v>1035</v>
      </c>
      <c r="D140" t="s">
        <v>557</v>
      </c>
      <c r="E140">
        <v>20000</v>
      </c>
      <c r="F140" s="68"/>
      <c r="G140" s="68"/>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c r="AF140" s="68"/>
      <c r="AG140" s="68"/>
      <c r="AH140" s="68"/>
      <c r="AI140" s="68"/>
      <c r="AJ140" s="68"/>
      <c r="AK140"/>
      <c r="AL140"/>
      <c r="AM140"/>
      <c r="AN140"/>
    </row>
    <row r="141" spans="1:40" ht="14.5" x14ac:dyDescent="0.35">
      <c r="A141" t="s">
        <v>554</v>
      </c>
      <c r="C141" t="s">
        <v>1050</v>
      </c>
      <c r="D141" t="s">
        <v>101</v>
      </c>
      <c r="E141">
        <v>500</v>
      </c>
      <c r="F141" s="68"/>
      <c r="G141" s="68"/>
      <c r="H141" s="68"/>
      <c r="I141" s="68"/>
      <c r="J141" s="68"/>
      <c r="K141" s="68"/>
      <c r="L141" s="68"/>
      <c r="M141" s="68"/>
      <c r="N141" s="68"/>
      <c r="O141" s="68"/>
      <c r="P141" s="68"/>
      <c r="Q141" s="68"/>
      <c r="R141" s="68"/>
      <c r="S141" s="68"/>
      <c r="T141" s="68"/>
      <c r="U141" s="68"/>
      <c r="V141" s="68"/>
      <c r="W141" s="68"/>
      <c r="X141" s="68"/>
      <c r="Y141" s="68"/>
      <c r="Z141" s="68"/>
      <c r="AA141" s="68"/>
      <c r="AB141" s="68"/>
      <c r="AC141" s="68"/>
      <c r="AD141" s="68"/>
      <c r="AE141" s="68"/>
      <c r="AF141" s="68"/>
      <c r="AG141" s="68"/>
      <c r="AH141" s="68"/>
      <c r="AI141" s="68"/>
      <c r="AJ141" s="68"/>
      <c r="AK141"/>
      <c r="AL141"/>
      <c r="AM141"/>
      <c r="AN141"/>
    </row>
    <row r="142" spans="1:40" ht="14.5" x14ac:dyDescent="0.35">
      <c r="A142" t="s">
        <v>554</v>
      </c>
      <c r="C142" t="s">
        <v>640</v>
      </c>
      <c r="D142" t="s">
        <v>102</v>
      </c>
      <c r="E142">
        <v>1</v>
      </c>
      <c r="F142" s="68"/>
      <c r="G142" s="68"/>
      <c r="H142" s="68"/>
      <c r="I142" s="68"/>
      <c r="J142" s="68"/>
      <c r="K142" s="68"/>
      <c r="L142" s="68"/>
      <c r="M142" s="68"/>
      <c r="N142" s="68"/>
      <c r="O142" s="68"/>
      <c r="P142" s="68"/>
      <c r="Q142" s="68"/>
      <c r="R142" s="68"/>
      <c r="S142" s="68"/>
      <c r="T142" s="68"/>
      <c r="U142" s="68"/>
      <c r="V142" s="68"/>
      <c r="W142" s="68"/>
      <c r="X142" s="68"/>
      <c r="Y142" s="68"/>
      <c r="Z142" s="68"/>
      <c r="AA142" s="68"/>
      <c r="AB142" s="68"/>
      <c r="AC142" s="68"/>
      <c r="AD142" s="68"/>
      <c r="AE142" s="68"/>
      <c r="AF142" s="68"/>
      <c r="AG142" s="68"/>
      <c r="AH142" s="68"/>
      <c r="AI142" s="68"/>
      <c r="AJ142" s="68"/>
      <c r="AK142"/>
      <c r="AL142"/>
      <c r="AM142"/>
      <c r="AN142"/>
    </row>
    <row r="143" spans="1:40" ht="14.5" x14ac:dyDescent="0.35">
      <c r="A143" t="s">
        <v>554</v>
      </c>
      <c r="B143" t="s">
        <v>558</v>
      </c>
      <c r="C143" t="s">
        <v>554</v>
      </c>
      <c r="D143" t="s">
        <v>67</v>
      </c>
      <c r="F143" s="68"/>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8"/>
      <c r="AF143" s="68"/>
      <c r="AG143" s="68"/>
      <c r="AH143" s="68"/>
      <c r="AI143" s="68"/>
      <c r="AJ143" s="68"/>
      <c r="AK143"/>
      <c r="AL143"/>
      <c r="AM143"/>
      <c r="AN143"/>
    </row>
    <row r="144" spans="1:40" ht="14.5" x14ac:dyDescent="0.35">
      <c r="A144" t="s">
        <v>10</v>
      </c>
      <c r="C144" t="s">
        <v>1051</v>
      </c>
      <c r="D144" t="s">
        <v>101</v>
      </c>
      <c r="E144">
        <v>1</v>
      </c>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c r="AE144" s="68"/>
      <c r="AF144" s="68"/>
      <c r="AG144" s="68"/>
      <c r="AH144" s="68"/>
      <c r="AI144" s="68"/>
      <c r="AJ144" s="68"/>
      <c r="AK144"/>
      <c r="AL144"/>
      <c r="AM144"/>
      <c r="AN144"/>
    </row>
    <row r="145" spans="1:40" ht="14.5" x14ac:dyDescent="0.35">
      <c r="A145" t="s">
        <v>10</v>
      </c>
      <c r="B145" t="s">
        <v>560</v>
      </c>
      <c r="C145" t="s">
        <v>10</v>
      </c>
      <c r="D145" t="s">
        <v>556</v>
      </c>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c r="AD145" s="68"/>
      <c r="AE145" s="68"/>
      <c r="AF145" s="68"/>
      <c r="AG145" s="68"/>
      <c r="AH145" s="68"/>
      <c r="AI145" s="68"/>
      <c r="AJ145" s="68"/>
      <c r="AK145"/>
      <c r="AL145"/>
      <c r="AM145"/>
      <c r="AN145"/>
    </row>
    <row r="146" spans="1:40" ht="14.5" x14ac:dyDescent="0.35">
      <c r="A146" t="s">
        <v>574</v>
      </c>
      <c r="C146" t="s">
        <v>1118</v>
      </c>
      <c r="D146" t="s">
        <v>103</v>
      </c>
      <c r="E146">
        <v>50</v>
      </c>
      <c r="F146" s="68"/>
      <c r="G146" s="68"/>
      <c r="H146" s="68"/>
      <c r="I146" s="68"/>
      <c r="J146" s="68"/>
      <c r="K146" s="68"/>
      <c r="L146" s="68"/>
      <c r="M146" s="68"/>
      <c r="N146" s="68"/>
      <c r="O146" s="68">
        <v>1</v>
      </c>
      <c r="P146" s="68"/>
      <c r="Q146" s="68"/>
      <c r="R146" s="68"/>
      <c r="S146" s="68"/>
      <c r="T146" s="68"/>
      <c r="U146" s="68"/>
      <c r="V146" s="68"/>
      <c r="W146" s="68"/>
      <c r="X146" s="68"/>
      <c r="Y146" s="68"/>
      <c r="Z146" s="68"/>
      <c r="AA146" s="68"/>
      <c r="AB146" s="68"/>
      <c r="AC146" s="68"/>
      <c r="AD146" s="68"/>
      <c r="AE146" s="68"/>
      <c r="AF146" s="68"/>
      <c r="AG146" s="68"/>
      <c r="AH146" s="68"/>
      <c r="AI146" s="68"/>
      <c r="AJ146" s="68"/>
      <c r="AK146"/>
      <c r="AL146"/>
      <c r="AM146"/>
      <c r="AN146"/>
    </row>
    <row r="147" spans="1:40" ht="14.5" x14ac:dyDescent="0.35">
      <c r="A147" t="s">
        <v>574</v>
      </c>
      <c r="C147" t="s">
        <v>572</v>
      </c>
      <c r="D147" t="s">
        <v>102</v>
      </c>
      <c r="E147">
        <v>1</v>
      </c>
      <c r="F147" s="68"/>
      <c r="G147" s="68"/>
      <c r="H147" s="68"/>
      <c r="I147" s="68"/>
      <c r="J147" s="68"/>
      <c r="K147" s="68"/>
      <c r="L147" s="68"/>
      <c r="M147" s="68"/>
      <c r="N147" s="68"/>
      <c r="O147" s="68"/>
      <c r="P147" s="68"/>
      <c r="Q147" s="68"/>
      <c r="R147" s="68"/>
      <c r="S147" s="68"/>
      <c r="T147" s="68"/>
      <c r="U147" s="68"/>
      <c r="V147" s="68"/>
      <c r="W147" s="68"/>
      <c r="X147" s="68"/>
      <c r="Y147" s="68"/>
      <c r="Z147" s="68"/>
      <c r="AA147" s="68"/>
      <c r="AB147" s="68"/>
      <c r="AC147" s="68"/>
      <c r="AD147" s="68"/>
      <c r="AE147" s="68"/>
      <c r="AF147" s="68"/>
      <c r="AG147" s="68"/>
      <c r="AH147" s="68"/>
      <c r="AI147" s="68"/>
      <c r="AJ147" s="68"/>
      <c r="AK147"/>
      <c r="AL147"/>
      <c r="AM147"/>
      <c r="AN147"/>
    </row>
    <row r="148" spans="1:40" ht="14.5" x14ac:dyDescent="0.35">
      <c r="A148" t="s">
        <v>574</v>
      </c>
      <c r="B148" t="s">
        <v>573</v>
      </c>
      <c r="C148" t="s">
        <v>574</v>
      </c>
      <c r="D148" t="s">
        <v>67</v>
      </c>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c r="AE148" s="68"/>
      <c r="AF148" s="68"/>
      <c r="AG148" s="68"/>
      <c r="AH148" s="68"/>
      <c r="AI148" s="68"/>
      <c r="AJ148" s="68"/>
      <c r="AK148"/>
      <c r="AL148"/>
      <c r="AM148"/>
      <c r="AN148"/>
    </row>
    <row r="149" spans="1:40" ht="14.5" x14ac:dyDescent="0.35">
      <c r="A149" t="s">
        <v>503</v>
      </c>
      <c r="C149" t="s">
        <v>1119</v>
      </c>
      <c r="D149" t="s">
        <v>101</v>
      </c>
      <c r="E149">
        <v>100</v>
      </c>
      <c r="F149" s="68"/>
      <c r="G149" s="68"/>
      <c r="H149" s="68"/>
      <c r="I149" s="68"/>
      <c r="J149" s="68"/>
      <c r="K149" s="68"/>
      <c r="L149" s="68"/>
      <c r="M149" s="68"/>
      <c r="N149" s="68"/>
      <c r="O149" s="68"/>
      <c r="P149" s="68"/>
      <c r="Q149" s="68"/>
      <c r="R149" s="68"/>
      <c r="S149" s="68"/>
      <c r="T149" s="68"/>
      <c r="U149" s="68"/>
      <c r="V149" s="68"/>
      <c r="W149" s="68"/>
      <c r="X149" s="68"/>
      <c r="Y149" s="68"/>
      <c r="Z149" s="68"/>
      <c r="AA149" s="68"/>
      <c r="AB149" s="68"/>
      <c r="AC149" s="68"/>
      <c r="AD149" s="68"/>
      <c r="AE149" s="68"/>
      <c r="AF149" s="68"/>
      <c r="AG149" s="68"/>
      <c r="AH149" s="68"/>
      <c r="AI149" s="68"/>
      <c r="AJ149" s="68"/>
      <c r="AK149"/>
      <c r="AL149"/>
      <c r="AM149"/>
      <c r="AN149"/>
    </row>
    <row r="150" spans="1:40" ht="14.5" x14ac:dyDescent="0.35">
      <c r="A150" t="s">
        <v>503</v>
      </c>
      <c r="C150" t="s">
        <v>525</v>
      </c>
      <c r="D150" t="s">
        <v>549</v>
      </c>
      <c r="E150">
        <v>1</v>
      </c>
      <c r="F150" s="68">
        <v>10000</v>
      </c>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c r="AF150" s="68"/>
      <c r="AG150" s="68"/>
      <c r="AH150" s="68"/>
      <c r="AI150" s="68"/>
      <c r="AJ150" s="68"/>
      <c r="AK150"/>
      <c r="AL150"/>
      <c r="AM150"/>
      <c r="AN150"/>
    </row>
    <row r="151" spans="1:40" ht="14.5" x14ac:dyDescent="0.35">
      <c r="A151" t="s">
        <v>503</v>
      </c>
      <c r="B151" t="s">
        <v>521</v>
      </c>
      <c r="C151" t="s">
        <v>503</v>
      </c>
      <c r="D151" t="s">
        <v>150</v>
      </c>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c r="AF151" s="68"/>
      <c r="AG151" s="68"/>
      <c r="AH151" s="68"/>
      <c r="AI151" s="68"/>
      <c r="AJ151" s="68"/>
      <c r="AK151"/>
      <c r="AL151"/>
      <c r="AM151"/>
      <c r="AN151"/>
    </row>
    <row r="152" spans="1:40" ht="14.5" x14ac:dyDescent="0.35">
      <c r="A152" t="s">
        <v>11</v>
      </c>
      <c r="C152" t="s">
        <v>1052</v>
      </c>
      <c r="D152" t="s">
        <v>101</v>
      </c>
      <c r="E152">
        <v>1</v>
      </c>
      <c r="F152" s="68">
        <v>20</v>
      </c>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c r="AD152" s="68"/>
      <c r="AE152" s="68"/>
      <c r="AF152" s="68"/>
      <c r="AG152" s="68"/>
      <c r="AH152" s="68"/>
      <c r="AI152" s="68"/>
      <c r="AJ152" s="68"/>
      <c r="AK152"/>
      <c r="AL152"/>
      <c r="AM152"/>
      <c r="AN152"/>
    </row>
    <row r="153" spans="1:40" ht="14.5" x14ac:dyDescent="0.35">
      <c r="A153" t="s">
        <v>11</v>
      </c>
      <c r="B153" t="s">
        <v>566</v>
      </c>
      <c r="C153" t="s">
        <v>11</v>
      </c>
      <c r="D153" t="s">
        <v>556</v>
      </c>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c r="AF153" s="68"/>
      <c r="AG153" s="68"/>
      <c r="AH153" s="68"/>
      <c r="AI153" s="68"/>
      <c r="AJ153" s="68"/>
      <c r="AK153"/>
      <c r="AL153"/>
      <c r="AM153"/>
      <c r="AN153"/>
    </row>
    <row r="154" spans="1:40" ht="14.5" x14ac:dyDescent="0.35">
      <c r="A154" t="s">
        <v>12</v>
      </c>
      <c r="C154" t="s">
        <v>1053</v>
      </c>
      <c r="D154" t="s">
        <v>101</v>
      </c>
      <c r="E154">
        <v>1</v>
      </c>
      <c r="F154" s="68">
        <v>20</v>
      </c>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c r="AF154" s="68"/>
      <c r="AG154" s="68"/>
      <c r="AH154" s="68"/>
      <c r="AI154" s="68"/>
      <c r="AJ154" s="68"/>
      <c r="AK154"/>
      <c r="AL154"/>
      <c r="AM154"/>
      <c r="AN154"/>
    </row>
    <row r="155" spans="1:40" ht="14.5" x14ac:dyDescent="0.35">
      <c r="A155" t="s">
        <v>12</v>
      </c>
      <c r="B155" t="s">
        <v>567</v>
      </c>
      <c r="C155" t="s">
        <v>12</v>
      </c>
      <c r="D155" t="s">
        <v>556</v>
      </c>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c r="AE155" s="68"/>
      <c r="AF155" s="68"/>
      <c r="AG155" s="68"/>
      <c r="AH155" s="68"/>
      <c r="AI155" s="68"/>
      <c r="AJ155" s="68"/>
      <c r="AK155"/>
      <c r="AL155"/>
      <c r="AM155"/>
      <c r="AN155"/>
    </row>
    <row r="156" spans="1:40" ht="14.5" x14ac:dyDescent="0.35">
      <c r="A156" t="s">
        <v>13</v>
      </c>
      <c r="C156" t="s">
        <v>1054</v>
      </c>
      <c r="D156" t="s">
        <v>101</v>
      </c>
      <c r="E156">
        <v>1</v>
      </c>
      <c r="F156" s="68">
        <v>20</v>
      </c>
      <c r="G156" s="68"/>
      <c r="H156" s="68"/>
      <c r="I156" s="68"/>
      <c r="J156" s="68"/>
      <c r="K156" s="68"/>
      <c r="L156" s="68"/>
      <c r="M156" s="68"/>
      <c r="N156" s="68"/>
      <c r="O156" s="68"/>
      <c r="P156" s="68"/>
      <c r="Q156" s="68"/>
      <c r="R156" s="68"/>
      <c r="S156" s="68"/>
      <c r="T156" s="68"/>
      <c r="U156" s="68"/>
      <c r="V156" s="68"/>
      <c r="W156" s="68"/>
      <c r="X156" s="68"/>
      <c r="Y156" s="68"/>
      <c r="Z156" s="68"/>
      <c r="AA156" s="68"/>
      <c r="AB156" s="68"/>
      <c r="AC156" s="68"/>
      <c r="AD156" s="68"/>
      <c r="AE156" s="68"/>
      <c r="AF156" s="68"/>
      <c r="AG156" s="68"/>
      <c r="AH156" s="68"/>
      <c r="AI156" s="68"/>
      <c r="AJ156" s="68"/>
      <c r="AK156"/>
      <c r="AL156"/>
      <c r="AM156"/>
      <c r="AN156"/>
    </row>
    <row r="157" spans="1:40" ht="14.5" x14ac:dyDescent="0.35">
      <c r="A157" t="s">
        <v>13</v>
      </c>
      <c r="B157" t="s">
        <v>564</v>
      </c>
      <c r="C157" t="s">
        <v>13</v>
      </c>
      <c r="D157" t="s">
        <v>556</v>
      </c>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c r="AD157" s="68"/>
      <c r="AE157" s="68"/>
      <c r="AF157" s="68"/>
      <c r="AG157" s="68"/>
      <c r="AH157" s="68"/>
      <c r="AI157" s="68"/>
      <c r="AJ157" s="68"/>
      <c r="AK157"/>
      <c r="AL157"/>
      <c r="AM157"/>
      <c r="AN157"/>
    </row>
    <row r="158" spans="1:40" ht="14.5" x14ac:dyDescent="0.35">
      <c r="A158" t="s">
        <v>14</v>
      </c>
      <c r="C158" t="s">
        <v>1055</v>
      </c>
      <c r="D158" t="s">
        <v>101</v>
      </c>
      <c r="E158">
        <v>1</v>
      </c>
      <c r="F158" s="68">
        <v>15</v>
      </c>
      <c r="G158" s="68"/>
      <c r="H158" s="68"/>
      <c r="I158" s="68"/>
      <c r="J158" s="68"/>
      <c r="K158" s="68"/>
      <c r="L158" s="68"/>
      <c r="M158" s="68"/>
      <c r="N158" s="68"/>
      <c r="O158" s="68"/>
      <c r="P158" s="68"/>
      <c r="Q158" s="68"/>
      <c r="R158" s="68"/>
      <c r="S158" s="68"/>
      <c r="T158" s="68"/>
      <c r="U158" s="68"/>
      <c r="V158" s="68"/>
      <c r="W158" s="68"/>
      <c r="X158" s="68"/>
      <c r="Y158" s="68"/>
      <c r="Z158" s="68"/>
      <c r="AA158" s="68"/>
      <c r="AB158" s="68"/>
      <c r="AC158" s="68"/>
      <c r="AD158" s="68"/>
      <c r="AE158" s="68"/>
      <c r="AF158" s="68"/>
      <c r="AG158" s="68"/>
      <c r="AH158" s="68"/>
      <c r="AI158" s="68"/>
      <c r="AJ158" s="68"/>
      <c r="AK158"/>
      <c r="AL158"/>
      <c r="AM158"/>
      <c r="AN158"/>
    </row>
    <row r="159" spans="1:40" ht="14.5" x14ac:dyDescent="0.35">
      <c r="A159" t="s">
        <v>14</v>
      </c>
      <c r="B159" t="s">
        <v>565</v>
      </c>
      <c r="C159" t="s">
        <v>14</v>
      </c>
      <c r="D159" t="s">
        <v>556</v>
      </c>
      <c r="F159" s="68"/>
      <c r="G159" s="68"/>
      <c r="H159" s="68"/>
      <c r="I159" s="68"/>
      <c r="J159" s="68"/>
      <c r="K159" s="68"/>
      <c r="L159" s="68"/>
      <c r="M159" s="68"/>
      <c r="N159" s="68"/>
      <c r="O159" s="68"/>
      <c r="P159" s="68"/>
      <c r="Q159" s="68"/>
      <c r="R159" s="68"/>
      <c r="S159" s="68"/>
      <c r="T159" s="68"/>
      <c r="U159" s="68"/>
      <c r="V159" s="68"/>
      <c r="W159" s="68"/>
      <c r="X159" s="68"/>
      <c r="Y159" s="68"/>
      <c r="Z159" s="68"/>
      <c r="AA159" s="68"/>
      <c r="AB159" s="68"/>
      <c r="AC159" s="68"/>
      <c r="AD159" s="68"/>
      <c r="AE159" s="68"/>
      <c r="AF159" s="68"/>
      <c r="AG159" s="68"/>
      <c r="AH159" s="68"/>
      <c r="AI159" s="68"/>
      <c r="AJ159" s="68"/>
      <c r="AK159"/>
      <c r="AL159"/>
      <c r="AM159"/>
      <c r="AN159"/>
    </row>
    <row r="160" spans="1:40" ht="14.5" x14ac:dyDescent="0.35">
      <c r="A160" t="s">
        <v>498</v>
      </c>
      <c r="C160" t="s">
        <v>1073</v>
      </c>
      <c r="D160" t="s">
        <v>29</v>
      </c>
      <c r="E160">
        <v>1</v>
      </c>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c r="AF160" s="68"/>
      <c r="AG160" s="68"/>
      <c r="AH160" s="68"/>
      <c r="AI160" s="68"/>
      <c r="AJ160" s="68"/>
      <c r="AK160"/>
      <c r="AL160"/>
      <c r="AM160"/>
      <c r="AN160"/>
    </row>
    <row r="161" spans="1:40" ht="14.5" x14ac:dyDescent="0.35">
      <c r="A161" t="s">
        <v>498</v>
      </c>
      <c r="C161" t="s">
        <v>1301</v>
      </c>
      <c r="D161" t="s">
        <v>29</v>
      </c>
      <c r="E161">
        <v>1</v>
      </c>
      <c r="F161" s="68"/>
      <c r="G161" s="68"/>
      <c r="H161" s="68"/>
      <c r="I161" s="68"/>
      <c r="J161" s="68"/>
      <c r="K161" s="68"/>
      <c r="L161" s="68"/>
      <c r="M161" s="68"/>
      <c r="N161" s="68"/>
      <c r="O161" s="68"/>
      <c r="P161" s="68"/>
      <c r="Q161" s="68"/>
      <c r="R161" s="68"/>
      <c r="S161" s="68"/>
      <c r="T161" s="68"/>
      <c r="U161" s="68"/>
      <c r="V161" s="68"/>
      <c r="W161" s="68"/>
      <c r="X161" s="68"/>
      <c r="Y161" s="68"/>
      <c r="Z161" s="68"/>
      <c r="AA161" s="68"/>
      <c r="AB161" s="68"/>
      <c r="AC161" s="68"/>
      <c r="AD161" s="68"/>
      <c r="AE161" s="68"/>
      <c r="AF161" s="68"/>
      <c r="AG161" s="68"/>
      <c r="AH161" s="68"/>
      <c r="AI161" s="68"/>
      <c r="AJ161" s="68"/>
      <c r="AK161"/>
      <c r="AL161"/>
      <c r="AM161"/>
      <c r="AN161"/>
    </row>
    <row r="162" spans="1:40" ht="14.5" x14ac:dyDescent="0.35">
      <c r="A162" t="s">
        <v>498</v>
      </c>
      <c r="B162" t="s">
        <v>520</v>
      </c>
      <c r="C162" t="s">
        <v>498</v>
      </c>
      <c r="D162" t="s">
        <v>35</v>
      </c>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c r="AF162" s="68"/>
      <c r="AG162" s="68"/>
      <c r="AH162" s="68"/>
      <c r="AI162" s="68"/>
      <c r="AJ162" s="68"/>
      <c r="AK162"/>
      <c r="AL162"/>
      <c r="AM162"/>
      <c r="AN162"/>
    </row>
    <row r="163" spans="1:40" ht="14.5" x14ac:dyDescent="0.35">
      <c r="A163" t="s">
        <v>1339</v>
      </c>
      <c r="C163" t="s">
        <v>1376</v>
      </c>
      <c r="D163" t="s">
        <v>557</v>
      </c>
      <c r="E163">
        <v>21000</v>
      </c>
      <c r="F163" s="68"/>
      <c r="G163" s="68"/>
      <c r="H163" s="68">
        <f>12</f>
        <v>12</v>
      </c>
      <c r="I163" s="68"/>
      <c r="J163" s="68">
        <v>6</v>
      </c>
      <c r="K163" s="68"/>
      <c r="L163" s="68">
        <v>7</v>
      </c>
      <c r="M163" s="68"/>
      <c r="N163" s="68">
        <f>63/21</f>
        <v>3</v>
      </c>
      <c r="O163" s="68">
        <v>6</v>
      </c>
      <c r="P163" s="68"/>
      <c r="Q163" s="68">
        <f>5</f>
        <v>5</v>
      </c>
      <c r="R163" s="68">
        <v>6</v>
      </c>
      <c r="S163" s="68"/>
      <c r="T163" s="68"/>
      <c r="U163" s="68"/>
      <c r="V163" s="68"/>
      <c r="W163" s="68"/>
      <c r="X163" s="68"/>
      <c r="Y163" s="68"/>
      <c r="Z163" s="68"/>
      <c r="AA163" s="68"/>
      <c r="AB163" s="68"/>
      <c r="AC163" s="68"/>
      <c r="AD163" s="68"/>
      <c r="AE163" s="68"/>
      <c r="AF163" s="68"/>
      <c r="AG163" s="68"/>
      <c r="AH163" s="68"/>
      <c r="AI163" s="68"/>
      <c r="AJ163" s="68"/>
      <c r="AK163"/>
      <c r="AL163"/>
      <c r="AM163"/>
      <c r="AN163"/>
    </row>
    <row r="164" spans="1:40" ht="14.5" x14ac:dyDescent="0.35">
      <c r="A164" t="s">
        <v>1339</v>
      </c>
      <c r="C164" t="s">
        <v>1377</v>
      </c>
      <c r="D164" t="s">
        <v>101</v>
      </c>
      <c r="E164">
        <v>1000</v>
      </c>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c r="AF164" s="68"/>
      <c r="AG164" s="68"/>
      <c r="AH164" s="68"/>
      <c r="AI164" s="68"/>
      <c r="AJ164" s="68"/>
      <c r="AK164"/>
      <c r="AL164"/>
      <c r="AM164"/>
      <c r="AN164"/>
    </row>
    <row r="165" spans="1:40" ht="14.5" x14ac:dyDescent="0.35">
      <c r="A165" t="s">
        <v>1339</v>
      </c>
      <c r="C165" t="s">
        <v>1457</v>
      </c>
      <c r="D165" t="s">
        <v>29</v>
      </c>
      <c r="E165">
        <v>1</v>
      </c>
      <c r="F165" s="68"/>
      <c r="G165" s="68"/>
      <c r="H165" s="68"/>
      <c r="I165" s="68"/>
      <c r="J165" s="68"/>
      <c r="K165" s="68"/>
      <c r="L165" s="68"/>
      <c r="M165" s="68"/>
      <c r="N165" s="68"/>
      <c r="O165" s="68"/>
      <c r="P165" s="68"/>
      <c r="Q165" s="68"/>
      <c r="R165" s="68"/>
      <c r="S165" s="68"/>
      <c r="T165" s="68"/>
      <c r="U165" s="68"/>
      <c r="V165" s="68"/>
      <c r="W165" s="68"/>
      <c r="X165" s="68"/>
      <c r="Y165" s="68"/>
      <c r="Z165" s="68"/>
      <c r="AA165" s="68"/>
      <c r="AB165" s="68"/>
      <c r="AC165" s="68"/>
      <c r="AD165" s="68"/>
      <c r="AE165" s="68"/>
      <c r="AF165" s="68"/>
      <c r="AG165" s="68"/>
      <c r="AH165" s="68"/>
      <c r="AI165" s="68"/>
      <c r="AJ165" s="68"/>
      <c r="AK165"/>
      <c r="AL165"/>
      <c r="AM165"/>
      <c r="AN165"/>
    </row>
    <row r="166" spans="1:40" ht="14.5" x14ac:dyDescent="0.35">
      <c r="A166" t="s">
        <v>1339</v>
      </c>
      <c r="B166" t="s">
        <v>1378</v>
      </c>
      <c r="C166" t="s">
        <v>1339</v>
      </c>
      <c r="D166" t="s">
        <v>35</v>
      </c>
      <c r="F166" s="68"/>
      <c r="G166" s="68"/>
      <c r="H166" s="68"/>
      <c r="I166" s="68"/>
      <c r="J166" s="68"/>
      <c r="K166" s="68"/>
      <c r="L166" s="68"/>
      <c r="M166" s="68"/>
      <c r="N166" s="68"/>
      <c r="O166" s="68"/>
      <c r="P166" s="68"/>
      <c r="Q166" s="68"/>
      <c r="R166" s="68"/>
      <c r="S166" s="68"/>
      <c r="T166" s="68"/>
      <c r="U166" s="68"/>
      <c r="V166" s="68"/>
      <c r="W166" s="68"/>
      <c r="X166" s="68"/>
      <c r="Y166" s="68"/>
      <c r="Z166" s="68"/>
      <c r="AA166" s="68"/>
      <c r="AB166" s="68"/>
      <c r="AC166" s="68"/>
      <c r="AD166" s="68"/>
      <c r="AE166" s="68"/>
      <c r="AF166" s="68"/>
      <c r="AG166" s="68"/>
      <c r="AH166" s="68"/>
      <c r="AI166" s="68"/>
      <c r="AJ166" s="68"/>
      <c r="AK166"/>
      <c r="AL166"/>
      <c r="AM166"/>
      <c r="AN166"/>
    </row>
    <row r="167" spans="1:40" ht="14.5" x14ac:dyDescent="0.35">
      <c r="A167" t="s">
        <v>1348</v>
      </c>
      <c r="C167" t="s">
        <v>1419</v>
      </c>
      <c r="D167" t="s">
        <v>103</v>
      </c>
      <c r="E167">
        <v>15000</v>
      </c>
      <c r="F167" s="68"/>
      <c r="G167" s="68"/>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68"/>
      <c r="AG167" s="68"/>
      <c r="AH167" s="68"/>
      <c r="AI167" s="68"/>
      <c r="AJ167" s="68"/>
      <c r="AK167"/>
      <c r="AL167"/>
      <c r="AM167"/>
      <c r="AN167"/>
    </row>
    <row r="168" spans="1:40" ht="14.5" x14ac:dyDescent="0.35">
      <c r="A168" t="s">
        <v>1348</v>
      </c>
      <c r="C168" t="s">
        <v>1420</v>
      </c>
      <c r="D168" t="s">
        <v>101</v>
      </c>
      <c r="E168">
        <v>1000</v>
      </c>
      <c r="F168" s="68"/>
      <c r="G168" s="68"/>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68"/>
      <c r="AG168" s="68"/>
      <c r="AH168" s="68"/>
      <c r="AI168" s="68"/>
      <c r="AJ168" s="68"/>
      <c r="AK168"/>
      <c r="AL168"/>
      <c r="AM168"/>
      <c r="AN168"/>
    </row>
    <row r="169" spans="1:40" ht="14.5" x14ac:dyDescent="0.35">
      <c r="A169" t="s">
        <v>1348</v>
      </c>
      <c r="C169" t="s">
        <v>1421</v>
      </c>
      <c r="D169" t="s">
        <v>29</v>
      </c>
      <c r="E169">
        <v>1</v>
      </c>
      <c r="F169" s="68"/>
      <c r="G169" s="68"/>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68"/>
      <c r="AG169" s="68"/>
      <c r="AH169" s="68"/>
      <c r="AI169" s="68"/>
      <c r="AJ169" s="68"/>
      <c r="AK169"/>
      <c r="AL169"/>
      <c r="AM169"/>
      <c r="AN169"/>
    </row>
    <row r="170" spans="1:40" ht="14.5" x14ac:dyDescent="0.35">
      <c r="A170" t="s">
        <v>1348</v>
      </c>
      <c r="B170" t="s">
        <v>1399</v>
      </c>
      <c r="C170" t="s">
        <v>1348</v>
      </c>
      <c r="D170" t="s">
        <v>35</v>
      </c>
      <c r="F170" s="68"/>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c r="AD170" s="68"/>
      <c r="AE170" s="68"/>
      <c r="AF170" s="68"/>
      <c r="AG170" s="68"/>
      <c r="AH170" s="68"/>
      <c r="AI170" s="68"/>
      <c r="AJ170" s="68"/>
      <c r="AK170"/>
      <c r="AL170"/>
      <c r="AM170"/>
      <c r="AN170"/>
    </row>
    <row r="171" spans="1:40" ht="14.5" x14ac:dyDescent="0.35">
      <c r="A171" t="s">
        <v>610</v>
      </c>
      <c r="C171" t="s">
        <v>607</v>
      </c>
      <c r="D171" t="s">
        <v>608</v>
      </c>
      <c r="E171">
        <v>1</v>
      </c>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c r="AF171" s="68"/>
      <c r="AG171" s="68"/>
      <c r="AH171" s="68"/>
      <c r="AI171" s="68"/>
      <c r="AJ171" s="68"/>
      <c r="AK171"/>
      <c r="AL171"/>
      <c r="AM171"/>
      <c r="AN171"/>
    </row>
    <row r="172" spans="1:40" ht="14.5" x14ac:dyDescent="0.35">
      <c r="A172" t="s">
        <v>610</v>
      </c>
      <c r="B172" t="s">
        <v>609</v>
      </c>
      <c r="C172" t="s">
        <v>610</v>
      </c>
      <c r="D172" t="s">
        <v>1471</v>
      </c>
      <c r="F172" s="68"/>
      <c r="G172" s="68"/>
      <c r="H172" s="68"/>
      <c r="I172" s="68"/>
      <c r="J172" s="68"/>
      <c r="K172" s="68"/>
      <c r="L172" s="68"/>
      <c r="M172" s="68"/>
      <c r="N172" s="68"/>
      <c r="O172" s="68"/>
      <c r="P172" s="68"/>
      <c r="Q172" s="68"/>
      <c r="R172" s="68"/>
      <c r="S172" s="68"/>
      <c r="T172" s="68"/>
      <c r="U172" s="68"/>
      <c r="V172" s="68"/>
      <c r="W172" s="68"/>
      <c r="X172" s="68"/>
      <c r="Y172" s="68"/>
      <c r="Z172" s="68"/>
      <c r="AA172" s="68"/>
      <c r="AB172" s="68"/>
      <c r="AC172" s="68"/>
      <c r="AD172" s="68"/>
      <c r="AE172" s="68"/>
      <c r="AF172" s="68"/>
      <c r="AG172" s="68"/>
      <c r="AH172" s="68"/>
      <c r="AI172" s="68"/>
      <c r="AJ172" s="68"/>
      <c r="AK172"/>
      <c r="AL172"/>
      <c r="AM172"/>
      <c r="AN172"/>
    </row>
    <row r="173" spans="1:40" ht="14.5" x14ac:dyDescent="0.35">
      <c r="A173" t="s">
        <v>354</v>
      </c>
      <c r="C173" t="s">
        <v>370</v>
      </c>
      <c r="D173" t="s">
        <v>103</v>
      </c>
      <c r="E173">
        <v>13800</v>
      </c>
      <c r="F173" s="68"/>
      <c r="G173" s="68"/>
      <c r="H173" s="68"/>
      <c r="I173" s="68"/>
      <c r="J173" s="68"/>
      <c r="K173" s="68"/>
      <c r="L173" s="68"/>
      <c r="M173" s="68"/>
      <c r="N173" s="68"/>
      <c r="O173" s="68">
        <v>1</v>
      </c>
      <c r="P173" s="68"/>
      <c r="Q173" s="68"/>
      <c r="R173" s="68"/>
      <c r="S173" s="68">
        <v>1</v>
      </c>
      <c r="T173" s="68"/>
      <c r="U173" s="68"/>
      <c r="V173" s="68"/>
      <c r="W173" s="68"/>
      <c r="X173" s="68"/>
      <c r="Y173" s="68"/>
      <c r="Z173" s="68"/>
      <c r="AA173" s="68"/>
      <c r="AB173" s="68"/>
      <c r="AC173" s="68"/>
      <c r="AD173" s="68"/>
      <c r="AE173" s="68"/>
      <c r="AF173" s="68"/>
      <c r="AG173" s="68"/>
      <c r="AH173" s="68"/>
      <c r="AI173" s="68"/>
      <c r="AJ173" s="68"/>
      <c r="AK173"/>
      <c r="AL173"/>
      <c r="AM173"/>
      <c r="AN173"/>
    </row>
    <row r="174" spans="1:40" ht="14.5" x14ac:dyDescent="0.35">
      <c r="A174" t="s">
        <v>354</v>
      </c>
      <c r="C174" t="s">
        <v>371</v>
      </c>
      <c r="D174" t="s">
        <v>372</v>
      </c>
      <c r="E174">
        <v>2300</v>
      </c>
      <c r="F174" s="68"/>
      <c r="G174" s="68"/>
      <c r="H174" s="68"/>
      <c r="I174" s="68"/>
      <c r="J174" s="68"/>
      <c r="K174" s="68"/>
      <c r="L174" s="68"/>
      <c r="M174" s="68"/>
      <c r="N174" s="68"/>
      <c r="O174" s="68"/>
      <c r="P174" s="68"/>
      <c r="Q174" s="68"/>
      <c r="R174" s="68"/>
      <c r="S174" s="68"/>
      <c r="T174" s="68"/>
      <c r="U174" s="68"/>
      <c r="V174" s="68"/>
      <c r="W174" s="68"/>
      <c r="X174" s="68"/>
      <c r="Y174" s="68"/>
      <c r="Z174" s="68"/>
      <c r="AA174" s="68"/>
      <c r="AB174" s="68"/>
      <c r="AC174" s="68"/>
      <c r="AD174" s="68"/>
      <c r="AE174" s="68"/>
      <c r="AF174" s="68"/>
      <c r="AG174" s="68"/>
      <c r="AH174" s="68"/>
      <c r="AI174" s="68"/>
      <c r="AJ174" s="68"/>
      <c r="AK174"/>
      <c r="AL174"/>
      <c r="AM174"/>
      <c r="AN174"/>
    </row>
    <row r="175" spans="1:40" ht="14.5" x14ac:dyDescent="0.35">
      <c r="A175" t="s">
        <v>354</v>
      </c>
      <c r="C175" t="s">
        <v>373</v>
      </c>
      <c r="D175" t="s">
        <v>29</v>
      </c>
      <c r="E175">
        <v>1</v>
      </c>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c r="AD175" s="68"/>
      <c r="AE175" s="68"/>
      <c r="AF175" s="68"/>
      <c r="AG175" s="68"/>
      <c r="AH175" s="68"/>
      <c r="AI175" s="68"/>
      <c r="AJ175" s="68"/>
      <c r="AK175"/>
      <c r="AL175"/>
      <c r="AM175"/>
      <c r="AN175"/>
    </row>
    <row r="176" spans="1:40" ht="14.5" x14ac:dyDescent="0.35">
      <c r="A176" t="s">
        <v>354</v>
      </c>
      <c r="B176" t="s">
        <v>384</v>
      </c>
      <c r="C176" t="s">
        <v>354</v>
      </c>
      <c r="D176" t="s">
        <v>35</v>
      </c>
      <c r="F176" s="68"/>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c r="AD176" s="68"/>
      <c r="AE176" s="68"/>
      <c r="AF176" s="68"/>
      <c r="AG176" s="68"/>
      <c r="AH176" s="68"/>
      <c r="AI176" s="68"/>
      <c r="AJ176" s="68"/>
      <c r="AK176"/>
      <c r="AL176"/>
      <c r="AM176"/>
      <c r="AN176"/>
    </row>
    <row r="177" spans="1:40" ht="14.5" x14ac:dyDescent="0.35">
      <c r="A177" t="s">
        <v>918</v>
      </c>
      <c r="C177" t="s">
        <v>1008</v>
      </c>
      <c r="D177" t="s">
        <v>557</v>
      </c>
      <c r="E177">
        <v>2800</v>
      </c>
      <c r="F177" s="68"/>
      <c r="G177" s="68"/>
      <c r="H177" s="68"/>
      <c r="I177" s="68"/>
      <c r="J177" s="68"/>
      <c r="K177" s="68"/>
      <c r="L177" s="68"/>
      <c r="M177" s="68"/>
      <c r="N177" s="68"/>
      <c r="O177" s="68"/>
      <c r="P177" s="68"/>
      <c r="Q177" s="68"/>
      <c r="R177" s="68"/>
      <c r="S177" s="68"/>
      <c r="T177" s="68"/>
      <c r="U177" s="68"/>
      <c r="V177" s="68"/>
      <c r="W177" s="68"/>
      <c r="X177" s="68"/>
      <c r="Y177" s="68"/>
      <c r="Z177" s="68"/>
      <c r="AA177" s="68"/>
      <c r="AB177" s="68"/>
      <c r="AC177" s="68"/>
      <c r="AD177" s="68"/>
      <c r="AE177" s="68"/>
      <c r="AF177" s="68"/>
      <c r="AG177" s="68"/>
      <c r="AH177" s="68"/>
      <c r="AI177" s="68"/>
      <c r="AJ177" s="68"/>
      <c r="AK177"/>
      <c r="AL177"/>
      <c r="AM177"/>
      <c r="AN177"/>
    </row>
    <row r="178" spans="1:40" ht="14.5" x14ac:dyDescent="0.35">
      <c r="A178" t="s">
        <v>918</v>
      </c>
      <c r="C178" t="s">
        <v>1009</v>
      </c>
      <c r="D178" t="s">
        <v>101</v>
      </c>
      <c r="E178">
        <v>40</v>
      </c>
      <c r="F178" s="68"/>
      <c r="G178" s="68"/>
      <c r="H178" s="68"/>
      <c r="I178" s="68"/>
      <c r="J178" s="68"/>
      <c r="K178" s="68"/>
      <c r="L178" s="68"/>
      <c r="M178" s="68"/>
      <c r="N178" s="68"/>
      <c r="O178" s="68"/>
      <c r="P178" s="68"/>
      <c r="Q178" s="68"/>
      <c r="R178" s="68"/>
      <c r="S178" s="68"/>
      <c r="T178" s="68"/>
      <c r="U178" s="68"/>
      <c r="V178" s="68"/>
      <c r="W178" s="68"/>
      <c r="X178" s="68"/>
      <c r="Y178" s="68"/>
      <c r="Z178" s="68"/>
      <c r="AA178" s="68"/>
      <c r="AB178" s="68"/>
      <c r="AC178" s="68"/>
      <c r="AD178" s="68"/>
      <c r="AE178" s="68"/>
      <c r="AF178" s="68"/>
      <c r="AG178" s="68"/>
      <c r="AH178" s="68"/>
      <c r="AI178" s="68"/>
      <c r="AJ178" s="68"/>
      <c r="AK178"/>
      <c r="AL178"/>
      <c r="AM178"/>
      <c r="AN178"/>
    </row>
    <row r="179" spans="1:40" ht="14.5" x14ac:dyDescent="0.35">
      <c r="A179" t="s">
        <v>918</v>
      </c>
      <c r="C179" t="s">
        <v>1010</v>
      </c>
      <c r="D179" t="s">
        <v>102</v>
      </c>
      <c r="E179">
        <v>1</v>
      </c>
      <c r="F179" s="68"/>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c r="AD179" s="68"/>
      <c r="AE179" s="68"/>
      <c r="AF179" s="68"/>
      <c r="AG179" s="68"/>
      <c r="AH179" s="68"/>
      <c r="AI179" s="68"/>
      <c r="AJ179" s="68"/>
      <c r="AK179"/>
      <c r="AL179"/>
      <c r="AM179"/>
      <c r="AN179"/>
    </row>
    <row r="180" spans="1:40" ht="14.5" x14ac:dyDescent="0.35">
      <c r="A180" t="s">
        <v>918</v>
      </c>
      <c r="B180" t="s">
        <v>1024</v>
      </c>
      <c r="C180" t="s">
        <v>918</v>
      </c>
      <c r="D180" t="s">
        <v>67</v>
      </c>
      <c r="F180" s="68"/>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c r="AD180" s="68"/>
      <c r="AE180" s="68"/>
      <c r="AF180" s="68"/>
      <c r="AG180" s="68"/>
      <c r="AH180" s="68"/>
      <c r="AI180" s="68"/>
      <c r="AJ180" s="68"/>
      <c r="AK180"/>
      <c r="AL180"/>
      <c r="AM180"/>
      <c r="AN180"/>
    </row>
    <row r="181" spans="1:40" ht="14.5" x14ac:dyDescent="0.35">
      <c r="A181" t="s">
        <v>636</v>
      </c>
      <c r="C181" t="s">
        <v>1250</v>
      </c>
      <c r="D181" t="s">
        <v>103</v>
      </c>
      <c r="E181">
        <v>12000</v>
      </c>
      <c r="F181" s="68">
        <v>4</v>
      </c>
      <c r="G181" s="68"/>
      <c r="H181" s="68"/>
      <c r="I181" s="68"/>
      <c r="J181" s="68"/>
      <c r="K181" s="68"/>
      <c r="L181" s="68"/>
      <c r="M181" s="68">
        <v>2</v>
      </c>
      <c r="N181" s="68"/>
      <c r="O181" s="68"/>
      <c r="P181" s="68"/>
      <c r="Q181" s="68"/>
      <c r="R181" s="68"/>
      <c r="S181" s="68"/>
      <c r="T181" s="68"/>
      <c r="U181" s="68"/>
      <c r="V181" s="68"/>
      <c r="W181" s="68"/>
      <c r="X181" s="68"/>
      <c r="Y181" s="68"/>
      <c r="Z181" s="68"/>
      <c r="AA181" s="68"/>
      <c r="AB181" s="68"/>
      <c r="AC181" s="68"/>
      <c r="AD181" s="68"/>
      <c r="AE181" s="68"/>
      <c r="AF181" s="68"/>
      <c r="AG181" s="68"/>
      <c r="AH181" s="68"/>
      <c r="AI181" s="68"/>
      <c r="AJ181" s="68"/>
      <c r="AK181"/>
      <c r="AL181"/>
      <c r="AM181"/>
      <c r="AN181"/>
    </row>
    <row r="182" spans="1:40" ht="14.5" x14ac:dyDescent="0.35">
      <c r="A182" t="s">
        <v>636</v>
      </c>
      <c r="C182" t="s">
        <v>637</v>
      </c>
      <c r="D182" t="s">
        <v>102</v>
      </c>
      <c r="E182">
        <v>1</v>
      </c>
      <c r="F182" s="68"/>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c r="AD182" s="68"/>
      <c r="AE182" s="68"/>
      <c r="AF182" s="68"/>
      <c r="AG182" s="68"/>
      <c r="AH182" s="68"/>
      <c r="AI182" s="68"/>
      <c r="AJ182" s="68"/>
      <c r="AK182"/>
      <c r="AL182"/>
      <c r="AM182"/>
      <c r="AN182"/>
    </row>
    <row r="183" spans="1:40" ht="14.5" x14ac:dyDescent="0.35">
      <c r="A183" t="s">
        <v>636</v>
      </c>
      <c r="B183" t="s">
        <v>635</v>
      </c>
      <c r="C183" t="s">
        <v>636</v>
      </c>
      <c r="D183" t="s">
        <v>67</v>
      </c>
      <c r="F183" s="68"/>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c r="AD183" s="68"/>
      <c r="AE183" s="68"/>
      <c r="AF183" s="68"/>
      <c r="AG183" s="68"/>
      <c r="AH183" s="68"/>
      <c r="AI183" s="68"/>
      <c r="AJ183" s="68"/>
      <c r="AK183"/>
      <c r="AL183"/>
      <c r="AM183"/>
      <c r="AN183"/>
    </row>
    <row r="184" spans="1:40" ht="14.5" x14ac:dyDescent="0.35">
      <c r="A184" t="s">
        <v>743</v>
      </c>
      <c r="C184" t="s">
        <v>739</v>
      </c>
      <c r="D184" t="s">
        <v>103</v>
      </c>
      <c r="E184">
        <v>16200</v>
      </c>
      <c r="F184" s="68"/>
      <c r="G184" s="68"/>
      <c r="H184" s="68"/>
      <c r="I184" s="68"/>
      <c r="J184" s="68"/>
      <c r="K184" s="68"/>
      <c r="L184" s="68"/>
      <c r="M184" s="68"/>
      <c r="N184" s="68"/>
      <c r="O184" s="68"/>
      <c r="P184" s="68"/>
      <c r="Q184" s="68"/>
      <c r="R184" s="68"/>
      <c r="S184" s="68">
        <v>12</v>
      </c>
      <c r="T184" s="68"/>
      <c r="U184" s="68"/>
      <c r="V184" s="68"/>
      <c r="W184" s="68"/>
      <c r="X184" s="68"/>
      <c r="Y184" s="68"/>
      <c r="Z184" s="68"/>
      <c r="AA184" s="68"/>
      <c r="AB184" s="68"/>
      <c r="AC184" s="68"/>
      <c r="AD184" s="68"/>
      <c r="AE184" s="68"/>
      <c r="AF184" s="68"/>
      <c r="AG184" s="68"/>
      <c r="AH184" s="68"/>
      <c r="AI184" s="68"/>
      <c r="AJ184" s="68"/>
      <c r="AK184"/>
      <c r="AL184"/>
      <c r="AM184"/>
      <c r="AN184"/>
    </row>
    <row r="185" spans="1:40" ht="14.5" x14ac:dyDescent="0.35">
      <c r="A185" t="s">
        <v>743</v>
      </c>
      <c r="C185" t="s">
        <v>740</v>
      </c>
      <c r="D185" t="s">
        <v>125</v>
      </c>
      <c r="E185">
        <v>1000</v>
      </c>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8"/>
      <c r="AF185" s="68"/>
      <c r="AG185" s="68"/>
      <c r="AH185" s="68"/>
      <c r="AI185" s="68"/>
      <c r="AJ185" s="68"/>
      <c r="AK185"/>
      <c r="AL185"/>
      <c r="AM185"/>
      <c r="AN185"/>
    </row>
    <row r="186" spans="1:40" ht="14.5" x14ac:dyDescent="0.35">
      <c r="A186" t="s">
        <v>743</v>
      </c>
      <c r="C186" t="s">
        <v>741</v>
      </c>
      <c r="D186" t="s">
        <v>461</v>
      </c>
      <c r="E186">
        <v>1</v>
      </c>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c r="AF186" s="68"/>
      <c r="AG186" s="68"/>
      <c r="AH186" s="68"/>
      <c r="AI186" s="68"/>
      <c r="AJ186" s="68"/>
      <c r="AK186"/>
      <c r="AL186"/>
      <c r="AM186"/>
      <c r="AN186"/>
    </row>
    <row r="187" spans="1:40" ht="14.5" x14ac:dyDescent="0.35">
      <c r="A187" t="s">
        <v>743</v>
      </c>
      <c r="B187" t="s">
        <v>742</v>
      </c>
      <c r="C187" t="s">
        <v>743</v>
      </c>
      <c r="D187" t="s">
        <v>35</v>
      </c>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68"/>
      <c r="AG187" s="68"/>
      <c r="AH187" s="68"/>
      <c r="AI187" s="68"/>
      <c r="AJ187" s="68"/>
      <c r="AK187"/>
      <c r="AL187"/>
      <c r="AM187"/>
      <c r="AN187"/>
    </row>
    <row r="188" spans="1:40" ht="14.5" x14ac:dyDescent="0.35">
      <c r="A188" t="s">
        <v>593</v>
      </c>
      <c r="C188" t="s">
        <v>590</v>
      </c>
      <c r="D188" t="s">
        <v>591</v>
      </c>
      <c r="E188">
        <v>1</v>
      </c>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68"/>
      <c r="AG188" s="68"/>
      <c r="AH188" s="68"/>
      <c r="AI188" s="68"/>
      <c r="AJ188" s="68"/>
      <c r="AK188"/>
      <c r="AL188"/>
      <c r="AM188"/>
      <c r="AN188"/>
    </row>
    <row r="189" spans="1:40" ht="14.5" x14ac:dyDescent="0.35">
      <c r="A189" t="s">
        <v>593</v>
      </c>
      <c r="B189" t="s">
        <v>592</v>
      </c>
      <c r="C189" t="s">
        <v>593</v>
      </c>
      <c r="D189" t="s">
        <v>69</v>
      </c>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68"/>
      <c r="AG189" s="68"/>
      <c r="AH189" s="68"/>
      <c r="AI189" s="68"/>
      <c r="AJ189" s="68"/>
      <c r="AK189"/>
      <c r="AL189"/>
      <c r="AM189"/>
      <c r="AN189"/>
    </row>
    <row r="190" spans="1:40" ht="14.5" x14ac:dyDescent="0.35">
      <c r="A190" t="s">
        <v>19</v>
      </c>
      <c r="C190" t="s">
        <v>117</v>
      </c>
      <c r="D190" t="s">
        <v>103</v>
      </c>
      <c r="E190">
        <v>6720</v>
      </c>
      <c r="F190" s="68"/>
      <c r="G190" s="68"/>
      <c r="H190" s="68">
        <f>3</f>
        <v>3</v>
      </c>
      <c r="I190" s="68"/>
      <c r="J190" s="68"/>
      <c r="K190" s="68"/>
      <c r="L190" s="68">
        <v>4</v>
      </c>
      <c r="M190" s="68"/>
      <c r="N190" s="68"/>
      <c r="O190" s="68">
        <v>6</v>
      </c>
      <c r="P190" s="68"/>
      <c r="Q190" s="68"/>
      <c r="R190" s="68"/>
      <c r="S190" s="68">
        <v>3</v>
      </c>
      <c r="T190" s="68"/>
      <c r="U190" s="68"/>
      <c r="V190" s="68"/>
      <c r="W190" s="68"/>
      <c r="X190" s="68"/>
      <c r="Y190" s="68"/>
      <c r="Z190" s="68"/>
      <c r="AA190" s="68"/>
      <c r="AB190" s="68"/>
      <c r="AC190" s="68"/>
      <c r="AD190" s="68"/>
      <c r="AE190" s="68"/>
      <c r="AF190" s="68"/>
      <c r="AG190" s="68"/>
      <c r="AH190" s="68"/>
      <c r="AI190" s="68"/>
      <c r="AJ190" s="68"/>
      <c r="AK190"/>
      <c r="AL190"/>
      <c r="AM190"/>
      <c r="AN190"/>
    </row>
    <row r="191" spans="1:40" ht="14.5" x14ac:dyDescent="0.35">
      <c r="A191" t="s">
        <v>19</v>
      </c>
      <c r="C191" t="s">
        <v>118</v>
      </c>
      <c r="D191" t="s">
        <v>101</v>
      </c>
      <c r="E191">
        <v>560</v>
      </c>
      <c r="F191" s="68"/>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8"/>
      <c r="AE191" s="68"/>
      <c r="AF191" s="68"/>
      <c r="AG191" s="68"/>
      <c r="AH191" s="68"/>
      <c r="AI191" s="68"/>
      <c r="AJ191" s="68"/>
      <c r="AK191"/>
      <c r="AL191"/>
      <c r="AM191"/>
      <c r="AN191"/>
    </row>
    <row r="192" spans="1:40" ht="14.5" x14ac:dyDescent="0.35">
      <c r="A192" t="s">
        <v>19</v>
      </c>
      <c r="B192" t="s">
        <v>74</v>
      </c>
      <c r="C192" t="s">
        <v>19</v>
      </c>
      <c r="D192" t="s">
        <v>35</v>
      </c>
      <c r="F192" s="68"/>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c r="AD192" s="68"/>
      <c r="AE192" s="68"/>
      <c r="AF192" s="68"/>
      <c r="AG192" s="68"/>
      <c r="AH192" s="68"/>
      <c r="AI192" s="68"/>
      <c r="AJ192" s="68"/>
      <c r="AK192"/>
      <c r="AL192"/>
      <c r="AM192"/>
      <c r="AN192"/>
    </row>
    <row r="193" spans="1:40" ht="14.5" x14ac:dyDescent="0.35">
      <c r="A193" t="s">
        <v>20</v>
      </c>
      <c r="C193" t="s">
        <v>1036</v>
      </c>
      <c r="D193" t="s">
        <v>103</v>
      </c>
      <c r="E193">
        <v>12000</v>
      </c>
      <c r="F193" s="68"/>
      <c r="G193" s="68"/>
      <c r="H193" s="68"/>
      <c r="I193" s="68"/>
      <c r="J193" s="68"/>
      <c r="K193" s="68"/>
      <c r="L193" s="68"/>
      <c r="M193" s="68"/>
      <c r="N193" s="68"/>
      <c r="O193" s="68">
        <v>1</v>
      </c>
      <c r="P193" s="68"/>
      <c r="Q193" s="68"/>
      <c r="R193" s="68"/>
      <c r="S193" s="68">
        <v>1</v>
      </c>
      <c r="T193" s="68"/>
      <c r="U193" s="68"/>
      <c r="V193" s="68"/>
      <c r="W193" s="68"/>
      <c r="X193" s="68"/>
      <c r="Y193" s="68"/>
      <c r="Z193" s="68"/>
      <c r="AA193" s="68"/>
      <c r="AB193" s="68"/>
      <c r="AC193" s="68"/>
      <c r="AD193" s="68"/>
      <c r="AE193" s="68"/>
      <c r="AF193" s="68"/>
      <c r="AG193" s="68"/>
      <c r="AH193" s="68"/>
      <c r="AI193" s="68"/>
      <c r="AJ193" s="68"/>
      <c r="AK193"/>
      <c r="AL193"/>
      <c r="AM193"/>
      <c r="AN193"/>
    </row>
    <row r="194" spans="1:40" ht="14.5" x14ac:dyDescent="0.35">
      <c r="A194" t="s">
        <v>20</v>
      </c>
      <c r="C194" t="s">
        <v>1056</v>
      </c>
      <c r="D194" t="s">
        <v>101</v>
      </c>
      <c r="E194">
        <v>1000</v>
      </c>
      <c r="F194" s="68"/>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c r="AD194" s="68"/>
      <c r="AE194" s="68"/>
      <c r="AF194" s="68"/>
      <c r="AG194" s="68"/>
      <c r="AH194" s="68"/>
      <c r="AI194" s="68"/>
      <c r="AJ194" s="68"/>
      <c r="AK194"/>
      <c r="AL194"/>
      <c r="AM194"/>
      <c r="AN194"/>
    </row>
    <row r="195" spans="1:40" ht="14.5" x14ac:dyDescent="0.35">
      <c r="A195" t="s">
        <v>20</v>
      </c>
      <c r="C195" t="s">
        <v>1082</v>
      </c>
      <c r="D195" t="s">
        <v>29</v>
      </c>
      <c r="E195">
        <v>1</v>
      </c>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8"/>
      <c r="AF195" s="68"/>
      <c r="AG195" s="68"/>
      <c r="AH195" s="68"/>
      <c r="AI195" s="68"/>
      <c r="AJ195" s="68"/>
      <c r="AK195"/>
      <c r="AL195"/>
      <c r="AM195"/>
      <c r="AN195"/>
    </row>
    <row r="196" spans="1:40" ht="14.5" x14ac:dyDescent="0.35">
      <c r="A196" t="s">
        <v>20</v>
      </c>
      <c r="B196" t="s">
        <v>97</v>
      </c>
      <c r="C196" t="s">
        <v>20</v>
      </c>
      <c r="D196" t="s">
        <v>35</v>
      </c>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8"/>
      <c r="AF196" s="68"/>
      <c r="AG196" s="68"/>
      <c r="AH196" s="68"/>
      <c r="AI196" s="68"/>
      <c r="AJ196" s="68"/>
      <c r="AK196"/>
      <c r="AL196"/>
      <c r="AM196"/>
      <c r="AN196"/>
    </row>
    <row r="197" spans="1:40" ht="14.5" x14ac:dyDescent="0.35">
      <c r="A197" t="s">
        <v>499</v>
      </c>
      <c r="C197" t="s">
        <v>973</v>
      </c>
      <c r="D197" t="s">
        <v>103</v>
      </c>
      <c r="E197">
        <v>500</v>
      </c>
      <c r="F197" s="68"/>
      <c r="G197" s="68"/>
      <c r="H197" s="68"/>
      <c r="I197" s="68"/>
      <c r="J197" s="68"/>
      <c r="K197" s="68"/>
      <c r="L197" s="68"/>
      <c r="M197" s="68"/>
      <c r="N197" s="68"/>
      <c r="O197" s="68">
        <v>5</v>
      </c>
      <c r="P197" s="68"/>
      <c r="Q197" s="68"/>
      <c r="R197" s="68"/>
      <c r="S197" s="68"/>
      <c r="T197" s="68"/>
      <c r="U197" s="68"/>
      <c r="V197" s="68"/>
      <c r="W197" s="68"/>
      <c r="X197" s="68"/>
      <c r="Y197" s="68"/>
      <c r="Z197" s="68"/>
      <c r="AA197" s="68"/>
      <c r="AB197" s="68"/>
      <c r="AC197" s="68"/>
      <c r="AD197" s="68"/>
      <c r="AE197" s="68"/>
      <c r="AF197" s="68"/>
      <c r="AG197" s="68"/>
      <c r="AH197" s="68"/>
      <c r="AI197" s="68"/>
      <c r="AJ197" s="68"/>
      <c r="AK197"/>
      <c r="AL197"/>
      <c r="AM197"/>
      <c r="AN197"/>
    </row>
    <row r="198" spans="1:40" ht="14.5" x14ac:dyDescent="0.35">
      <c r="A198" t="s">
        <v>499</v>
      </c>
      <c r="C198" t="s">
        <v>974</v>
      </c>
      <c r="D198" t="s">
        <v>969</v>
      </c>
      <c r="E198">
        <v>25</v>
      </c>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68"/>
      <c r="AG198" s="68"/>
      <c r="AH198" s="68"/>
      <c r="AI198" s="68"/>
      <c r="AJ198" s="68"/>
      <c r="AK198"/>
      <c r="AL198"/>
      <c r="AM198"/>
      <c r="AN198"/>
    </row>
    <row r="199" spans="1:40" ht="14.5" x14ac:dyDescent="0.35">
      <c r="A199" t="s">
        <v>499</v>
      </c>
      <c r="C199" t="s">
        <v>975</v>
      </c>
      <c r="D199" t="s">
        <v>102</v>
      </c>
      <c r="E199">
        <v>1</v>
      </c>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68"/>
      <c r="AG199" s="68"/>
      <c r="AH199" s="68"/>
      <c r="AI199" s="68"/>
      <c r="AJ199" s="68"/>
      <c r="AK199"/>
      <c r="AL199"/>
      <c r="AM199"/>
      <c r="AN199"/>
    </row>
    <row r="200" spans="1:40" ht="14.5" x14ac:dyDescent="0.35">
      <c r="A200" t="s">
        <v>499</v>
      </c>
      <c r="B200" t="s">
        <v>531</v>
      </c>
      <c r="C200" t="s">
        <v>499</v>
      </c>
      <c r="D200" t="s">
        <v>67</v>
      </c>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8"/>
      <c r="AF200" s="68"/>
      <c r="AG200" s="68"/>
      <c r="AH200" s="68"/>
      <c r="AI200" s="68"/>
      <c r="AJ200" s="68"/>
      <c r="AK200"/>
      <c r="AL200"/>
      <c r="AM200"/>
      <c r="AN200"/>
    </row>
    <row r="201" spans="1:40" ht="14.5" x14ac:dyDescent="0.35">
      <c r="A201" t="s">
        <v>488</v>
      </c>
      <c r="C201" t="s">
        <v>972</v>
      </c>
      <c r="D201" t="s">
        <v>557</v>
      </c>
      <c r="E201">
        <v>500</v>
      </c>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8"/>
      <c r="AF201" s="68"/>
      <c r="AG201" s="68"/>
      <c r="AH201" s="68"/>
      <c r="AI201" s="68"/>
      <c r="AJ201" s="68"/>
      <c r="AK201"/>
      <c r="AL201"/>
      <c r="AM201"/>
      <c r="AN201"/>
    </row>
    <row r="202" spans="1:40" ht="14.5" x14ac:dyDescent="0.35">
      <c r="A202" t="s">
        <v>488</v>
      </c>
      <c r="C202" t="s">
        <v>971</v>
      </c>
      <c r="D202" t="s">
        <v>101</v>
      </c>
      <c r="E202">
        <v>25</v>
      </c>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c r="AF202" s="68"/>
      <c r="AG202" s="68"/>
      <c r="AH202" s="68"/>
      <c r="AI202" s="68"/>
      <c r="AJ202" s="68"/>
      <c r="AK202"/>
      <c r="AL202"/>
      <c r="AM202"/>
      <c r="AN202"/>
    </row>
    <row r="203" spans="1:40" ht="14.5" x14ac:dyDescent="0.35">
      <c r="A203" t="s">
        <v>488</v>
      </c>
      <c r="C203" t="s">
        <v>970</v>
      </c>
      <c r="D203" t="s">
        <v>102</v>
      </c>
      <c r="E203">
        <v>1</v>
      </c>
      <c r="F203" s="68"/>
      <c r="G203" s="68"/>
      <c r="H203" s="68"/>
      <c r="I203" s="68"/>
      <c r="J203" s="68"/>
      <c r="K203" s="68"/>
      <c r="L203" s="68"/>
      <c r="M203" s="68"/>
      <c r="N203" s="68"/>
      <c r="O203" s="68"/>
      <c r="P203" s="68"/>
      <c r="Q203" s="68"/>
      <c r="R203" s="68"/>
      <c r="S203" s="68"/>
      <c r="T203" s="68"/>
      <c r="U203" s="68"/>
      <c r="V203" s="68"/>
      <c r="W203" s="68"/>
      <c r="X203" s="68"/>
      <c r="Y203" s="68"/>
      <c r="Z203" s="68"/>
      <c r="AA203" s="68"/>
      <c r="AB203" s="68"/>
      <c r="AC203" s="68"/>
      <c r="AD203" s="68"/>
      <c r="AE203" s="68"/>
      <c r="AF203" s="68"/>
      <c r="AG203" s="68"/>
      <c r="AH203" s="68"/>
      <c r="AI203" s="68"/>
      <c r="AJ203" s="68"/>
      <c r="AK203"/>
      <c r="AL203"/>
      <c r="AM203"/>
      <c r="AN203"/>
    </row>
    <row r="204" spans="1:40" ht="14.5" x14ac:dyDescent="0.35">
      <c r="A204" t="s">
        <v>488</v>
      </c>
      <c r="B204" t="s">
        <v>519</v>
      </c>
      <c r="C204" t="s">
        <v>488</v>
      </c>
      <c r="D204" t="s">
        <v>67</v>
      </c>
      <c r="F204" s="68"/>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c r="AD204" s="68"/>
      <c r="AE204" s="68"/>
      <c r="AF204" s="68"/>
      <c r="AG204" s="68"/>
      <c r="AH204" s="68"/>
      <c r="AI204" s="68"/>
      <c r="AJ204" s="68"/>
      <c r="AK204"/>
      <c r="AL204"/>
      <c r="AM204"/>
      <c r="AN204"/>
    </row>
    <row r="205" spans="1:40" ht="14.5" x14ac:dyDescent="0.35">
      <c r="A205" t="s">
        <v>485</v>
      </c>
      <c r="C205" t="s">
        <v>1127</v>
      </c>
      <c r="D205" t="s">
        <v>103</v>
      </c>
      <c r="E205">
        <v>1000</v>
      </c>
      <c r="F205" s="68"/>
      <c r="G205" s="68"/>
      <c r="H205" s="68">
        <f>1</f>
        <v>1</v>
      </c>
      <c r="I205" s="68"/>
      <c r="J205" s="68"/>
      <c r="K205" s="68"/>
      <c r="L205" s="68">
        <v>1</v>
      </c>
      <c r="M205" s="68"/>
      <c r="N205" s="68"/>
      <c r="O205" s="68"/>
      <c r="P205" s="68"/>
      <c r="Q205" s="68"/>
      <c r="R205" s="68"/>
      <c r="S205" s="68"/>
      <c r="T205" s="68"/>
      <c r="U205" s="68"/>
      <c r="V205" s="68"/>
      <c r="W205" s="68"/>
      <c r="X205" s="68"/>
      <c r="Y205" s="68"/>
      <c r="Z205" s="68"/>
      <c r="AA205" s="68"/>
      <c r="AB205" s="68"/>
      <c r="AC205" s="68"/>
      <c r="AD205" s="68"/>
      <c r="AE205" s="68"/>
      <c r="AF205" s="68"/>
      <c r="AG205" s="68"/>
      <c r="AH205" s="68"/>
      <c r="AI205" s="68"/>
      <c r="AJ205" s="68"/>
      <c r="AK205"/>
      <c r="AL205"/>
      <c r="AM205"/>
      <c r="AN205"/>
    </row>
    <row r="206" spans="1:40" ht="14.5" x14ac:dyDescent="0.35">
      <c r="A206" t="s">
        <v>485</v>
      </c>
      <c r="C206" t="s">
        <v>1251</v>
      </c>
      <c r="D206" t="s">
        <v>969</v>
      </c>
      <c r="E206">
        <v>250</v>
      </c>
      <c r="F206" s="68"/>
      <c r="G206" s="68"/>
      <c r="H206" s="68"/>
      <c r="I206" s="68"/>
      <c r="J206" s="68"/>
      <c r="K206" s="68"/>
      <c r="L206" s="68"/>
      <c r="M206" s="68"/>
      <c r="N206" s="68"/>
      <c r="O206" s="68"/>
      <c r="P206" s="68"/>
      <c r="Q206" s="68"/>
      <c r="R206" s="68"/>
      <c r="S206" s="68"/>
      <c r="T206" s="68"/>
      <c r="U206" s="68"/>
      <c r="V206" s="68"/>
      <c r="W206" s="68"/>
      <c r="X206" s="68"/>
      <c r="Y206" s="68"/>
      <c r="Z206" s="68"/>
      <c r="AA206" s="68"/>
      <c r="AB206" s="68"/>
      <c r="AC206" s="68"/>
      <c r="AD206" s="68"/>
      <c r="AE206" s="68"/>
      <c r="AF206" s="68"/>
      <c r="AG206" s="68"/>
      <c r="AH206" s="68"/>
      <c r="AI206" s="68"/>
      <c r="AJ206" s="68"/>
      <c r="AK206"/>
      <c r="AL206"/>
      <c r="AM206"/>
      <c r="AN206"/>
    </row>
    <row r="207" spans="1:40" ht="14.5" x14ac:dyDescent="0.35">
      <c r="A207" t="s">
        <v>485</v>
      </c>
      <c r="C207" t="s">
        <v>524</v>
      </c>
      <c r="D207" t="s">
        <v>102</v>
      </c>
      <c r="E207">
        <v>1</v>
      </c>
      <c r="F207" s="68"/>
      <c r="G207" s="68"/>
      <c r="H207" s="68"/>
      <c r="I207" s="68"/>
      <c r="J207" s="68"/>
      <c r="K207" s="68"/>
      <c r="L207" s="68"/>
      <c r="M207" s="68"/>
      <c r="N207" s="68"/>
      <c r="O207" s="68">
        <v>2000</v>
      </c>
      <c r="P207" s="68"/>
      <c r="Q207" s="68"/>
      <c r="R207" s="68"/>
      <c r="S207" s="68">
        <v>1000</v>
      </c>
      <c r="T207" s="68"/>
      <c r="U207" s="68"/>
      <c r="V207" s="68"/>
      <c r="W207" s="68"/>
      <c r="X207" s="68"/>
      <c r="Y207" s="68"/>
      <c r="Z207" s="68"/>
      <c r="AA207" s="68"/>
      <c r="AB207" s="68"/>
      <c r="AC207" s="68"/>
      <c r="AD207" s="68"/>
      <c r="AE207" s="68"/>
      <c r="AF207" s="68"/>
      <c r="AG207" s="68"/>
      <c r="AH207" s="68"/>
      <c r="AI207" s="68"/>
      <c r="AJ207" s="68"/>
      <c r="AK207"/>
      <c r="AL207"/>
      <c r="AM207"/>
      <c r="AN207"/>
    </row>
    <row r="208" spans="1:40" ht="14.5" x14ac:dyDescent="0.35">
      <c r="A208" t="s">
        <v>485</v>
      </c>
      <c r="B208" t="s">
        <v>518</v>
      </c>
      <c r="C208" t="s">
        <v>485</v>
      </c>
      <c r="D208" t="s">
        <v>67</v>
      </c>
      <c r="F208" s="68"/>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c r="AD208" s="68"/>
      <c r="AE208" s="68"/>
      <c r="AF208" s="68"/>
      <c r="AG208" s="68"/>
      <c r="AH208" s="68"/>
      <c r="AI208" s="68"/>
      <c r="AJ208" s="68"/>
      <c r="AK208"/>
      <c r="AL208"/>
      <c r="AM208"/>
      <c r="AN208"/>
    </row>
    <row r="209" spans="1:40" ht="14.5" x14ac:dyDescent="0.35">
      <c r="A209" t="s">
        <v>504</v>
      </c>
      <c r="C209" t="s">
        <v>1037</v>
      </c>
      <c r="D209" t="s">
        <v>103</v>
      </c>
      <c r="E209">
        <v>500</v>
      </c>
      <c r="F209" s="68"/>
      <c r="G209" s="68"/>
      <c r="H209" s="68"/>
      <c r="I209" s="68"/>
      <c r="J209" s="68"/>
      <c r="K209" s="68"/>
      <c r="L209" s="68"/>
      <c r="M209" s="68"/>
      <c r="N209" s="68"/>
      <c r="O209" s="68"/>
      <c r="P209" s="68"/>
      <c r="Q209" s="68"/>
      <c r="R209" s="68"/>
      <c r="S209" s="68"/>
      <c r="T209" s="68"/>
      <c r="U209" s="68"/>
      <c r="V209" s="68"/>
      <c r="W209" s="68"/>
      <c r="X209" s="68"/>
      <c r="Y209" s="68"/>
      <c r="Z209" s="68"/>
      <c r="AA209" s="68"/>
      <c r="AB209" s="68"/>
      <c r="AC209" s="68"/>
      <c r="AD209" s="68"/>
      <c r="AE209" s="68"/>
      <c r="AF209" s="68"/>
      <c r="AG209" s="68"/>
      <c r="AH209" s="68"/>
      <c r="AI209" s="68"/>
      <c r="AJ209" s="68"/>
      <c r="AK209"/>
      <c r="AL209"/>
      <c r="AM209"/>
      <c r="AN209"/>
    </row>
    <row r="210" spans="1:40" ht="14.5" x14ac:dyDescent="0.35">
      <c r="A210" t="s">
        <v>504</v>
      </c>
      <c r="C210" t="s">
        <v>1120</v>
      </c>
      <c r="D210" t="s">
        <v>101</v>
      </c>
      <c r="E210">
        <v>25</v>
      </c>
      <c r="F210" s="68"/>
      <c r="G210" s="68"/>
      <c r="H210" s="68"/>
      <c r="I210" s="68"/>
      <c r="J210" s="68"/>
      <c r="K210" s="68"/>
      <c r="L210" s="68"/>
      <c r="M210" s="68"/>
      <c r="N210" s="68"/>
      <c r="O210" s="68"/>
      <c r="P210" s="68"/>
      <c r="Q210" s="68"/>
      <c r="R210" s="68"/>
      <c r="S210" s="68"/>
      <c r="T210" s="68"/>
      <c r="U210" s="68"/>
      <c r="V210" s="68"/>
      <c r="W210" s="68"/>
      <c r="X210" s="68"/>
      <c r="Y210" s="68"/>
      <c r="Z210" s="68"/>
      <c r="AA210" s="68"/>
      <c r="AB210" s="68"/>
      <c r="AC210" s="68"/>
      <c r="AD210" s="68"/>
      <c r="AE210" s="68"/>
      <c r="AF210" s="68"/>
      <c r="AG210" s="68"/>
      <c r="AH210" s="68"/>
      <c r="AI210" s="68"/>
      <c r="AJ210" s="68"/>
      <c r="AK210"/>
      <c r="AL210"/>
      <c r="AM210"/>
      <c r="AN210"/>
    </row>
    <row r="211" spans="1:40" ht="14.5" x14ac:dyDescent="0.35">
      <c r="A211" t="s">
        <v>504</v>
      </c>
      <c r="C211" t="s">
        <v>1121</v>
      </c>
      <c r="D211" t="s">
        <v>102</v>
      </c>
      <c r="E211">
        <v>1</v>
      </c>
      <c r="F211" s="68"/>
      <c r="G211" s="68"/>
      <c r="H211" s="68"/>
      <c r="I211" s="68"/>
      <c r="J211" s="68"/>
      <c r="K211" s="68"/>
      <c r="L211" s="68"/>
      <c r="M211" s="68"/>
      <c r="N211" s="68"/>
      <c r="O211" s="68"/>
      <c r="P211" s="68"/>
      <c r="Q211" s="68"/>
      <c r="R211" s="68"/>
      <c r="S211" s="68"/>
      <c r="T211" s="68"/>
      <c r="U211" s="68"/>
      <c r="V211" s="68"/>
      <c r="W211" s="68"/>
      <c r="X211" s="68"/>
      <c r="Y211" s="68"/>
      <c r="Z211" s="68"/>
      <c r="AA211" s="68"/>
      <c r="AB211" s="68"/>
      <c r="AC211" s="68"/>
      <c r="AD211" s="68"/>
      <c r="AE211" s="68"/>
      <c r="AF211" s="68"/>
      <c r="AG211" s="68"/>
      <c r="AH211" s="68"/>
      <c r="AI211" s="68"/>
      <c r="AJ211" s="68"/>
      <c r="AK211"/>
      <c r="AL211"/>
      <c r="AM211"/>
      <c r="AN211"/>
    </row>
    <row r="212" spans="1:40" ht="14.5" x14ac:dyDescent="0.35">
      <c r="A212" t="s">
        <v>504</v>
      </c>
      <c r="B212" t="s">
        <v>532</v>
      </c>
      <c r="C212" t="s">
        <v>504</v>
      </c>
      <c r="D212" t="s">
        <v>67</v>
      </c>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c r="AF212" s="68"/>
      <c r="AG212" s="68"/>
      <c r="AH212" s="68"/>
      <c r="AI212" s="68"/>
      <c r="AJ212" s="68"/>
      <c r="AK212"/>
      <c r="AL212"/>
      <c r="AM212"/>
      <c r="AN212"/>
    </row>
    <row r="213" spans="1:40" ht="14.5" x14ac:dyDescent="0.35">
      <c r="A213" t="s">
        <v>921</v>
      </c>
      <c r="C213" t="s">
        <v>1016</v>
      </c>
      <c r="D213" t="s">
        <v>102</v>
      </c>
      <c r="E213">
        <v>1</v>
      </c>
      <c r="F213" s="68"/>
      <c r="G213" s="68"/>
      <c r="H213" s="68"/>
      <c r="I213" s="68"/>
      <c r="J213" s="68"/>
      <c r="K213" s="68"/>
      <c r="L213" s="68"/>
      <c r="M213" s="68"/>
      <c r="N213" s="68"/>
      <c r="O213" s="68"/>
      <c r="P213" s="68"/>
      <c r="Q213" s="68"/>
      <c r="R213" s="68"/>
      <c r="S213" s="68"/>
      <c r="T213" s="68"/>
      <c r="U213" s="68"/>
      <c r="V213" s="68"/>
      <c r="W213" s="68"/>
      <c r="X213" s="68"/>
      <c r="Y213" s="68"/>
      <c r="Z213" s="68"/>
      <c r="AA213" s="68"/>
      <c r="AB213" s="68"/>
      <c r="AC213" s="68"/>
      <c r="AD213" s="68"/>
      <c r="AE213" s="68"/>
      <c r="AF213" s="68"/>
      <c r="AG213" s="68"/>
      <c r="AH213" s="68"/>
      <c r="AI213" s="68"/>
      <c r="AJ213" s="68"/>
      <c r="AK213"/>
      <c r="AL213"/>
      <c r="AM213"/>
      <c r="AN213"/>
    </row>
    <row r="214" spans="1:40" ht="14.5" x14ac:dyDescent="0.35">
      <c r="A214" t="s">
        <v>921</v>
      </c>
      <c r="B214" t="s">
        <v>628</v>
      </c>
      <c r="C214" t="s">
        <v>921</v>
      </c>
      <c r="D214" t="s">
        <v>67</v>
      </c>
      <c r="F214" s="68"/>
      <c r="G214" s="68"/>
      <c r="H214" s="68"/>
      <c r="I214" s="68"/>
      <c r="J214" s="68"/>
      <c r="K214" s="68"/>
      <c r="L214" s="68"/>
      <c r="M214" s="68"/>
      <c r="N214" s="68"/>
      <c r="O214" s="68"/>
      <c r="P214" s="68"/>
      <c r="Q214" s="68"/>
      <c r="R214" s="68"/>
      <c r="S214" s="68"/>
      <c r="T214" s="68"/>
      <c r="U214" s="68"/>
      <c r="V214" s="68"/>
      <c r="W214" s="68"/>
      <c r="X214" s="68"/>
      <c r="Y214" s="68"/>
      <c r="Z214" s="68"/>
      <c r="AA214" s="68"/>
      <c r="AB214" s="68"/>
      <c r="AC214" s="68"/>
      <c r="AD214" s="68"/>
      <c r="AE214" s="68"/>
      <c r="AF214" s="68"/>
      <c r="AG214" s="68"/>
      <c r="AH214" s="68"/>
      <c r="AI214" s="68"/>
      <c r="AJ214" s="68"/>
      <c r="AK214"/>
      <c r="AL214"/>
      <c r="AM214"/>
      <c r="AN214"/>
    </row>
    <row r="215" spans="1:40" ht="14.5" x14ac:dyDescent="0.35">
      <c r="A215" t="s">
        <v>350</v>
      </c>
      <c r="C215" t="s">
        <v>360</v>
      </c>
      <c r="D215" t="s">
        <v>103</v>
      </c>
      <c r="E215">
        <v>5000</v>
      </c>
      <c r="F215" s="68"/>
      <c r="G215" s="68"/>
      <c r="H215" s="68">
        <v>1</v>
      </c>
      <c r="I215" s="68"/>
      <c r="J215" s="68"/>
      <c r="K215" s="68"/>
      <c r="L215" s="68">
        <v>1</v>
      </c>
      <c r="M215" s="68"/>
      <c r="N215" s="68"/>
      <c r="O215" s="68">
        <v>1</v>
      </c>
      <c r="P215" s="68"/>
      <c r="Q215" s="68"/>
      <c r="R215" s="68"/>
      <c r="S215" s="68">
        <v>1</v>
      </c>
      <c r="T215" s="68"/>
      <c r="U215" s="68"/>
      <c r="V215" s="68"/>
      <c r="W215" s="68"/>
      <c r="X215" s="68"/>
      <c r="Y215" s="68"/>
      <c r="Z215" s="68"/>
      <c r="AA215" s="68"/>
      <c r="AB215" s="68"/>
      <c r="AC215" s="68"/>
      <c r="AD215" s="68"/>
      <c r="AE215" s="68"/>
      <c r="AF215" s="68"/>
      <c r="AG215" s="68"/>
      <c r="AH215" s="68"/>
      <c r="AI215" s="68"/>
      <c r="AJ215" s="68"/>
      <c r="AK215"/>
      <c r="AL215"/>
      <c r="AM215"/>
      <c r="AN215"/>
    </row>
    <row r="216" spans="1:40" ht="14.5" x14ac:dyDescent="0.35">
      <c r="A216" t="s">
        <v>350</v>
      </c>
      <c r="C216" t="s">
        <v>1057</v>
      </c>
      <c r="D216" t="s">
        <v>101</v>
      </c>
      <c r="E216">
        <v>1000</v>
      </c>
      <c r="F216" s="68"/>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c r="AD216" s="68"/>
      <c r="AE216" s="68"/>
      <c r="AF216" s="68"/>
      <c r="AG216" s="68"/>
      <c r="AH216" s="68"/>
      <c r="AI216" s="68"/>
      <c r="AJ216" s="68"/>
      <c r="AK216"/>
      <c r="AL216"/>
      <c r="AM216"/>
      <c r="AN216"/>
    </row>
    <row r="217" spans="1:40" ht="14.5" x14ac:dyDescent="0.35">
      <c r="A217" t="s">
        <v>350</v>
      </c>
      <c r="C217" t="s">
        <v>361</v>
      </c>
      <c r="D217" t="s">
        <v>29</v>
      </c>
      <c r="E217">
        <v>1</v>
      </c>
      <c r="F217" s="68"/>
      <c r="G217" s="68"/>
      <c r="H217" s="68"/>
      <c r="I217" s="68"/>
      <c r="J217" s="68"/>
      <c r="K217" s="68"/>
      <c r="L217" s="68"/>
      <c r="M217" s="68"/>
      <c r="N217" s="68"/>
      <c r="O217" s="68"/>
      <c r="P217" s="68"/>
      <c r="Q217" s="68"/>
      <c r="R217" s="68"/>
      <c r="S217" s="68"/>
      <c r="T217" s="68"/>
      <c r="U217" s="68"/>
      <c r="V217" s="68"/>
      <c r="W217" s="68"/>
      <c r="X217" s="68"/>
      <c r="Y217" s="68"/>
      <c r="Z217" s="68"/>
      <c r="AA217" s="68"/>
      <c r="AB217" s="68"/>
      <c r="AC217" s="68"/>
      <c r="AD217" s="68"/>
      <c r="AE217" s="68"/>
      <c r="AF217" s="68"/>
      <c r="AG217" s="68"/>
      <c r="AH217" s="68"/>
      <c r="AI217" s="68"/>
      <c r="AJ217" s="68"/>
      <c r="AK217"/>
      <c r="AL217"/>
      <c r="AM217"/>
      <c r="AN217"/>
    </row>
    <row r="218" spans="1:40" ht="14.5" x14ac:dyDescent="0.35">
      <c r="A218" t="s">
        <v>350</v>
      </c>
      <c r="B218" t="s">
        <v>380</v>
      </c>
      <c r="C218" t="s">
        <v>350</v>
      </c>
      <c r="D218" t="s">
        <v>35</v>
      </c>
      <c r="F218" s="68"/>
      <c r="G218" s="68"/>
      <c r="H218" s="68"/>
      <c r="I218" s="68"/>
      <c r="J218" s="68"/>
      <c r="K218" s="68"/>
      <c r="L218" s="68"/>
      <c r="M218" s="68"/>
      <c r="N218" s="68"/>
      <c r="O218" s="68"/>
      <c r="P218" s="68"/>
      <c r="Q218" s="68"/>
      <c r="R218" s="68"/>
      <c r="S218" s="68"/>
      <c r="T218" s="68"/>
      <c r="U218" s="68"/>
      <c r="V218" s="68"/>
      <c r="W218" s="68"/>
      <c r="X218" s="68"/>
      <c r="Y218" s="68"/>
      <c r="Z218" s="68"/>
      <c r="AA218" s="68"/>
      <c r="AB218" s="68"/>
      <c r="AC218" s="68"/>
      <c r="AD218" s="68"/>
      <c r="AE218" s="68"/>
      <c r="AF218" s="68"/>
      <c r="AG218" s="68"/>
      <c r="AH218" s="68"/>
      <c r="AI218" s="68"/>
      <c r="AJ218" s="68"/>
      <c r="AK218"/>
      <c r="AL218"/>
      <c r="AM218"/>
      <c r="AN218"/>
    </row>
    <row r="219" spans="1:40" ht="14.5" x14ac:dyDescent="0.35">
      <c r="A219" t="s">
        <v>589</v>
      </c>
      <c r="C219" t="s">
        <v>587</v>
      </c>
      <c r="D219" t="s">
        <v>580</v>
      </c>
      <c r="E219">
        <v>1</v>
      </c>
      <c r="F219" s="68"/>
      <c r="G219" s="68"/>
      <c r="H219" s="68"/>
      <c r="I219" s="68"/>
      <c r="J219" s="68"/>
      <c r="K219" s="68"/>
      <c r="L219" s="68"/>
      <c r="M219" s="68"/>
      <c r="N219" s="68"/>
      <c r="O219" s="68"/>
      <c r="P219" s="68"/>
      <c r="Q219" s="68"/>
      <c r="R219" s="68"/>
      <c r="S219" s="68"/>
      <c r="T219" s="68"/>
      <c r="U219" s="68"/>
      <c r="V219" s="68"/>
      <c r="W219" s="68"/>
      <c r="X219" s="68"/>
      <c r="Y219" s="68"/>
      <c r="Z219" s="68"/>
      <c r="AA219" s="68"/>
      <c r="AB219" s="68"/>
      <c r="AC219" s="68"/>
      <c r="AD219" s="68"/>
      <c r="AE219" s="68"/>
      <c r="AF219" s="68"/>
      <c r="AG219" s="68"/>
      <c r="AH219" s="68"/>
      <c r="AI219" s="68"/>
      <c r="AJ219" s="68"/>
      <c r="AK219"/>
      <c r="AL219"/>
      <c r="AM219"/>
      <c r="AN219"/>
    </row>
    <row r="220" spans="1:40" ht="14.5" x14ac:dyDescent="0.35">
      <c r="A220" t="s">
        <v>589</v>
      </c>
      <c r="B220" t="s">
        <v>588</v>
      </c>
      <c r="C220" t="s">
        <v>589</v>
      </c>
      <c r="D220" t="s">
        <v>151</v>
      </c>
      <c r="F220" s="68"/>
      <c r="G220" s="68"/>
      <c r="H220" s="68"/>
      <c r="I220" s="68"/>
      <c r="J220" s="68"/>
      <c r="K220" s="68"/>
      <c r="L220" s="68"/>
      <c r="M220" s="68"/>
      <c r="N220" s="68"/>
      <c r="O220" s="68"/>
      <c r="P220" s="68"/>
      <c r="Q220" s="68"/>
      <c r="R220" s="68"/>
      <c r="S220" s="68"/>
      <c r="T220" s="68"/>
      <c r="U220" s="68"/>
      <c r="V220" s="68"/>
      <c r="W220" s="68"/>
      <c r="X220" s="68"/>
      <c r="Y220" s="68"/>
      <c r="Z220" s="68"/>
      <c r="AA220" s="68"/>
      <c r="AB220" s="68"/>
      <c r="AC220" s="68"/>
      <c r="AD220" s="68"/>
      <c r="AE220" s="68"/>
      <c r="AF220" s="68"/>
      <c r="AG220" s="68"/>
      <c r="AH220" s="68"/>
      <c r="AI220" s="68"/>
      <c r="AJ220" s="68"/>
      <c r="AK220"/>
      <c r="AL220"/>
      <c r="AM220"/>
      <c r="AN220"/>
    </row>
    <row r="221" spans="1:40" ht="14.5" x14ac:dyDescent="0.35">
      <c r="A221" t="s">
        <v>1347</v>
      </c>
      <c r="C221" t="s">
        <v>1395</v>
      </c>
      <c r="D221" t="s">
        <v>103</v>
      </c>
      <c r="E221">
        <v>7332</v>
      </c>
      <c r="F221" s="68"/>
      <c r="G221" s="68"/>
      <c r="H221" s="68">
        <f>2</f>
        <v>2</v>
      </c>
      <c r="I221" s="68"/>
      <c r="J221" s="68"/>
      <c r="K221" s="68"/>
      <c r="L221" s="68">
        <v>1</v>
      </c>
      <c r="M221" s="68"/>
      <c r="N221" s="68"/>
      <c r="O221" s="68">
        <v>2</v>
      </c>
      <c r="P221" s="68"/>
      <c r="Q221" s="68"/>
      <c r="R221" s="68"/>
      <c r="S221" s="68">
        <v>3</v>
      </c>
      <c r="T221" s="68"/>
      <c r="U221" s="68"/>
      <c r="V221" s="68"/>
      <c r="W221" s="68"/>
      <c r="X221" s="68"/>
      <c r="Y221" s="68"/>
      <c r="Z221" s="68"/>
      <c r="AA221" s="68"/>
      <c r="AB221" s="68"/>
      <c r="AC221" s="68"/>
      <c r="AD221" s="68"/>
      <c r="AE221" s="68"/>
      <c r="AF221" s="68"/>
      <c r="AG221" s="68"/>
      <c r="AH221" s="68"/>
      <c r="AI221" s="68"/>
      <c r="AJ221" s="68"/>
      <c r="AK221"/>
      <c r="AL221"/>
      <c r="AM221"/>
      <c r="AN221"/>
    </row>
    <row r="222" spans="1:40" ht="14.5" x14ac:dyDescent="0.35">
      <c r="A222" t="s">
        <v>1347</v>
      </c>
      <c r="C222" t="s">
        <v>1396</v>
      </c>
      <c r="D222" t="s">
        <v>101</v>
      </c>
      <c r="E222">
        <v>1222</v>
      </c>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68"/>
      <c r="AG222" s="68"/>
      <c r="AH222" s="68"/>
      <c r="AI222" s="68"/>
      <c r="AJ222" s="68"/>
      <c r="AK222"/>
      <c r="AL222"/>
      <c r="AM222"/>
      <c r="AN222"/>
    </row>
    <row r="223" spans="1:40" ht="14.5" x14ac:dyDescent="0.35">
      <c r="A223" t="s">
        <v>1347</v>
      </c>
      <c r="C223" t="s">
        <v>1397</v>
      </c>
      <c r="D223" t="s">
        <v>29</v>
      </c>
      <c r="E223">
        <v>1</v>
      </c>
      <c r="F223" s="68"/>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c r="AD223" s="68"/>
      <c r="AE223" s="68"/>
      <c r="AF223" s="68"/>
      <c r="AG223" s="68"/>
      <c r="AH223" s="68"/>
      <c r="AI223" s="68"/>
      <c r="AJ223" s="68"/>
      <c r="AK223"/>
      <c r="AL223"/>
      <c r="AM223"/>
      <c r="AN223"/>
    </row>
    <row r="224" spans="1:40" ht="14.5" x14ac:dyDescent="0.35">
      <c r="A224" t="s">
        <v>1347</v>
      </c>
      <c r="B224" t="s">
        <v>1398</v>
      </c>
      <c r="C224" t="s">
        <v>1347</v>
      </c>
      <c r="D224" t="s">
        <v>35</v>
      </c>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c r="AF224" s="68"/>
      <c r="AG224" s="68"/>
      <c r="AH224" s="68"/>
      <c r="AI224" s="68"/>
      <c r="AJ224" s="68"/>
      <c r="AK224"/>
      <c r="AL224"/>
      <c r="AM224"/>
      <c r="AN224"/>
    </row>
    <row r="225" spans="1:40" ht="14.5" x14ac:dyDescent="0.35">
      <c r="A225" t="s">
        <v>21</v>
      </c>
      <c r="C225" t="s">
        <v>1058</v>
      </c>
      <c r="D225" t="s">
        <v>462</v>
      </c>
      <c r="E225">
        <v>1</v>
      </c>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c r="AF225" s="68"/>
      <c r="AG225" s="68"/>
      <c r="AH225" s="68"/>
      <c r="AI225" s="68"/>
      <c r="AJ225" s="68"/>
      <c r="AK225"/>
      <c r="AL225"/>
      <c r="AM225"/>
      <c r="AN225"/>
    </row>
    <row r="226" spans="1:40" ht="14.5" x14ac:dyDescent="0.35">
      <c r="A226" t="s">
        <v>21</v>
      </c>
      <c r="B226" t="s">
        <v>571</v>
      </c>
      <c r="C226" t="s">
        <v>21</v>
      </c>
      <c r="D226" t="s">
        <v>556</v>
      </c>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c r="AF226" s="68"/>
      <c r="AG226" s="68"/>
      <c r="AH226" s="68"/>
      <c r="AI226" s="68"/>
      <c r="AJ226" s="68"/>
      <c r="AK226"/>
      <c r="AL226"/>
      <c r="AM226"/>
      <c r="AN226"/>
    </row>
    <row r="227" spans="1:40" ht="14.5" x14ac:dyDescent="0.35">
      <c r="A227" t="s">
        <v>22</v>
      </c>
      <c r="C227" t="s">
        <v>1059</v>
      </c>
      <c r="D227" t="s">
        <v>462</v>
      </c>
      <c r="E227">
        <v>1</v>
      </c>
      <c r="F227" s="68"/>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c r="AD227" s="68"/>
      <c r="AE227" s="68"/>
      <c r="AF227" s="68"/>
      <c r="AG227" s="68"/>
      <c r="AH227" s="68"/>
      <c r="AI227" s="68"/>
      <c r="AJ227" s="68"/>
      <c r="AK227"/>
      <c r="AL227"/>
      <c r="AM227"/>
      <c r="AN227"/>
    </row>
    <row r="228" spans="1:40" ht="14.5" x14ac:dyDescent="0.35">
      <c r="A228" t="s">
        <v>22</v>
      </c>
      <c r="B228" t="s">
        <v>570</v>
      </c>
      <c r="C228" t="s">
        <v>22</v>
      </c>
      <c r="D228" t="s">
        <v>556</v>
      </c>
      <c r="F228" s="68"/>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c r="AD228" s="68"/>
      <c r="AE228" s="68"/>
      <c r="AF228" s="68"/>
      <c r="AG228" s="68"/>
      <c r="AH228" s="68"/>
      <c r="AI228" s="68"/>
      <c r="AJ228" s="68"/>
      <c r="AK228"/>
      <c r="AL228"/>
      <c r="AM228"/>
      <c r="AN228"/>
    </row>
    <row r="229" spans="1:40" ht="14.5" x14ac:dyDescent="0.35">
      <c r="A229" t="s">
        <v>1340</v>
      </c>
      <c r="C229" t="s">
        <v>1413</v>
      </c>
      <c r="D229" t="s">
        <v>101</v>
      </c>
      <c r="E229">
        <v>193</v>
      </c>
      <c r="F229" s="68"/>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c r="AD229" s="68"/>
      <c r="AE229" s="68"/>
      <c r="AF229" s="68"/>
      <c r="AG229" s="68"/>
      <c r="AH229" s="68"/>
      <c r="AI229" s="68"/>
      <c r="AJ229" s="68"/>
      <c r="AK229"/>
      <c r="AL229"/>
      <c r="AM229"/>
      <c r="AN229"/>
    </row>
    <row r="230" spans="1:40" ht="14.5" x14ac:dyDescent="0.35">
      <c r="A230" t="s">
        <v>1340</v>
      </c>
      <c r="C230" t="s">
        <v>1414</v>
      </c>
      <c r="D230" t="s">
        <v>102</v>
      </c>
      <c r="E230">
        <v>1</v>
      </c>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68"/>
      <c r="AG230" s="68"/>
      <c r="AH230" s="68"/>
      <c r="AI230" s="68"/>
      <c r="AJ230" s="68"/>
      <c r="AK230"/>
      <c r="AL230"/>
      <c r="AM230"/>
      <c r="AN230"/>
    </row>
    <row r="231" spans="1:40" ht="14.5" x14ac:dyDescent="0.35">
      <c r="A231" t="s">
        <v>1340</v>
      </c>
      <c r="B231" t="s">
        <v>1412</v>
      </c>
      <c r="C231" t="s">
        <v>1340</v>
      </c>
      <c r="D231" t="s">
        <v>67</v>
      </c>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68"/>
      <c r="AG231" s="68"/>
      <c r="AH231" s="68"/>
      <c r="AI231" s="68"/>
      <c r="AJ231" s="68"/>
      <c r="AK231"/>
      <c r="AL231"/>
      <c r="AM231"/>
      <c r="AN231"/>
    </row>
    <row r="232" spans="1:40" ht="14.5" x14ac:dyDescent="0.35">
      <c r="A232" t="s">
        <v>505</v>
      </c>
      <c r="C232" t="s">
        <v>1315</v>
      </c>
      <c r="D232" t="s">
        <v>1185</v>
      </c>
      <c r="E232">
        <v>100</v>
      </c>
      <c r="F232" s="68"/>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c r="AD232" s="68"/>
      <c r="AE232" s="68"/>
      <c r="AF232" s="68"/>
      <c r="AG232" s="68"/>
      <c r="AH232" s="68"/>
      <c r="AI232" s="68"/>
      <c r="AJ232" s="68"/>
      <c r="AK232"/>
      <c r="AL232"/>
      <c r="AM232"/>
      <c r="AN232"/>
    </row>
    <row r="233" spans="1:40" ht="14.5" x14ac:dyDescent="0.35">
      <c r="A233" t="s">
        <v>505</v>
      </c>
      <c r="C233" t="s">
        <v>526</v>
      </c>
      <c r="D233" t="s">
        <v>549</v>
      </c>
      <c r="E233">
        <v>1</v>
      </c>
      <c r="F233" s="68"/>
      <c r="G233" s="68"/>
      <c r="H233" s="68"/>
      <c r="I233" s="68"/>
      <c r="J233" s="68"/>
      <c r="K233" s="68"/>
      <c r="L233" s="68"/>
      <c r="M233" s="68"/>
      <c r="N233" s="68"/>
      <c r="O233" s="68"/>
      <c r="P233" s="68"/>
      <c r="Q233" s="68"/>
      <c r="R233" s="68"/>
      <c r="S233" s="68"/>
      <c r="T233" s="68"/>
      <c r="U233" s="68"/>
      <c r="V233" s="68"/>
      <c r="W233" s="68"/>
      <c r="X233" s="68"/>
      <c r="Y233" s="68"/>
      <c r="Z233" s="68"/>
      <c r="AA233" s="68"/>
      <c r="AB233" s="68"/>
      <c r="AC233" s="68"/>
      <c r="AD233" s="68"/>
      <c r="AE233" s="68"/>
      <c r="AF233" s="68"/>
      <c r="AG233" s="68"/>
      <c r="AH233" s="68"/>
      <c r="AI233" s="68"/>
      <c r="AJ233" s="68"/>
      <c r="AK233"/>
      <c r="AL233"/>
      <c r="AM233"/>
      <c r="AN233"/>
    </row>
    <row r="234" spans="1:40" ht="14.5" x14ac:dyDescent="0.35">
      <c r="A234" t="s">
        <v>505</v>
      </c>
      <c r="B234" t="s">
        <v>522</v>
      </c>
      <c r="C234" t="s">
        <v>505</v>
      </c>
      <c r="D234" t="s">
        <v>150</v>
      </c>
      <c r="F234" s="68"/>
      <c r="G234" s="68"/>
      <c r="H234" s="68"/>
      <c r="I234" s="68"/>
      <c r="J234" s="68"/>
      <c r="K234" s="68"/>
      <c r="L234" s="68"/>
      <c r="M234" s="68"/>
      <c r="N234" s="68"/>
      <c r="O234" s="68"/>
      <c r="P234" s="68"/>
      <c r="Q234" s="68"/>
      <c r="R234" s="68"/>
      <c r="S234" s="68"/>
      <c r="T234" s="68"/>
      <c r="U234" s="68"/>
      <c r="V234" s="68"/>
      <c r="W234" s="68"/>
      <c r="X234" s="68"/>
      <c r="Y234" s="68"/>
      <c r="Z234" s="68"/>
      <c r="AA234" s="68"/>
      <c r="AB234" s="68"/>
      <c r="AC234" s="68"/>
      <c r="AD234" s="68"/>
      <c r="AE234" s="68"/>
      <c r="AF234" s="68"/>
      <c r="AG234" s="68"/>
      <c r="AH234" s="68"/>
      <c r="AI234" s="68"/>
      <c r="AJ234" s="68"/>
      <c r="AK234"/>
      <c r="AL234"/>
      <c r="AM234"/>
      <c r="AN234"/>
    </row>
    <row r="235" spans="1:40" ht="14.5" x14ac:dyDescent="0.35">
      <c r="A235" t="s">
        <v>23</v>
      </c>
      <c r="C235" t="s">
        <v>1060</v>
      </c>
      <c r="D235" t="s">
        <v>101</v>
      </c>
      <c r="E235">
        <v>1</v>
      </c>
      <c r="F235" s="68">
        <v>1</v>
      </c>
      <c r="G235" s="68"/>
      <c r="H235" s="68"/>
      <c r="I235" s="68"/>
      <c r="J235" s="68"/>
      <c r="K235" s="68"/>
      <c r="L235" s="68"/>
      <c r="M235" s="68">
        <v>12</v>
      </c>
      <c r="N235" s="68"/>
      <c r="O235" s="68"/>
      <c r="P235" s="68"/>
      <c r="Q235" s="68"/>
      <c r="R235" s="68"/>
      <c r="S235" s="68"/>
      <c r="T235" s="68"/>
      <c r="U235" s="68"/>
      <c r="V235" s="68"/>
      <c r="W235" s="68"/>
      <c r="X235" s="68"/>
      <c r="Y235" s="68"/>
      <c r="Z235" s="68"/>
      <c r="AA235" s="68"/>
      <c r="AB235" s="68"/>
      <c r="AC235" s="68"/>
      <c r="AD235" s="68"/>
      <c r="AE235" s="68"/>
      <c r="AF235" s="68"/>
      <c r="AG235" s="68"/>
      <c r="AH235" s="68"/>
      <c r="AI235" s="68"/>
      <c r="AJ235" s="68"/>
      <c r="AK235"/>
      <c r="AL235"/>
      <c r="AM235"/>
      <c r="AN235"/>
    </row>
    <row r="236" spans="1:40" ht="14.5" x14ac:dyDescent="0.35">
      <c r="A236" t="s">
        <v>23</v>
      </c>
      <c r="B236" t="s">
        <v>619</v>
      </c>
      <c r="C236" t="s">
        <v>23</v>
      </c>
      <c r="D236" t="s">
        <v>556</v>
      </c>
      <c r="F236" s="68"/>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c r="AD236" s="68"/>
      <c r="AE236" s="68"/>
      <c r="AF236" s="68"/>
      <c r="AG236" s="68"/>
      <c r="AH236" s="68"/>
      <c r="AI236" s="68"/>
      <c r="AJ236" s="68"/>
      <c r="AK236"/>
      <c r="AL236"/>
      <c r="AM236"/>
      <c r="AN236"/>
    </row>
    <row r="237" spans="1:40" ht="14.5" x14ac:dyDescent="0.35">
      <c r="A237" t="s">
        <v>24</v>
      </c>
      <c r="C237" t="s">
        <v>1061</v>
      </c>
      <c r="D237" t="s">
        <v>462</v>
      </c>
      <c r="E237">
        <v>1</v>
      </c>
      <c r="F237" s="68">
        <v>10</v>
      </c>
      <c r="G237" s="68"/>
      <c r="H237" s="68"/>
      <c r="I237" s="68"/>
      <c r="J237" s="68"/>
      <c r="K237" s="68"/>
      <c r="L237" s="68"/>
      <c r="M237" s="68">
        <v>35</v>
      </c>
      <c r="N237" s="68"/>
      <c r="O237" s="68"/>
      <c r="P237" s="68"/>
      <c r="Q237" s="68"/>
      <c r="R237" s="68"/>
      <c r="S237" s="68"/>
      <c r="T237" s="68"/>
      <c r="U237" s="68"/>
      <c r="V237" s="68"/>
      <c r="W237" s="68"/>
      <c r="X237" s="68"/>
      <c r="Y237" s="68"/>
      <c r="Z237" s="68"/>
      <c r="AA237" s="68"/>
      <c r="AB237" s="68"/>
      <c r="AC237" s="68"/>
      <c r="AD237" s="68"/>
      <c r="AE237" s="68"/>
      <c r="AF237" s="68"/>
      <c r="AG237" s="68"/>
      <c r="AH237" s="68"/>
      <c r="AI237" s="68"/>
      <c r="AJ237" s="68"/>
      <c r="AK237"/>
      <c r="AL237"/>
      <c r="AM237"/>
      <c r="AN237"/>
    </row>
    <row r="238" spans="1:40" ht="14.5" x14ac:dyDescent="0.35">
      <c r="A238" t="s">
        <v>24</v>
      </c>
      <c r="B238" t="s">
        <v>629</v>
      </c>
      <c r="C238" t="s">
        <v>24</v>
      </c>
      <c r="D238" t="s">
        <v>556</v>
      </c>
      <c r="F238" s="68"/>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c r="AD238" s="68"/>
      <c r="AE238" s="68"/>
      <c r="AF238" s="68"/>
      <c r="AG238" s="68"/>
      <c r="AH238" s="68"/>
      <c r="AI238" s="68"/>
      <c r="AJ238" s="68"/>
      <c r="AK238"/>
      <c r="AL238"/>
      <c r="AM238"/>
      <c r="AN238"/>
    </row>
    <row r="239" spans="1:40" ht="14.5" x14ac:dyDescent="0.35">
      <c r="A239" t="s">
        <v>351</v>
      </c>
      <c r="C239" t="s">
        <v>362</v>
      </c>
      <c r="D239" t="s">
        <v>103</v>
      </c>
      <c r="E239">
        <v>2208</v>
      </c>
      <c r="F239" s="68"/>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c r="AD239" s="68"/>
      <c r="AE239" s="68"/>
      <c r="AF239" s="68"/>
      <c r="AG239" s="68"/>
      <c r="AH239" s="68"/>
      <c r="AI239" s="68"/>
      <c r="AJ239" s="68"/>
      <c r="AK239"/>
      <c r="AL239"/>
      <c r="AM239"/>
      <c r="AN239"/>
    </row>
    <row r="240" spans="1:40" ht="14.5" x14ac:dyDescent="0.35">
      <c r="A240" t="s">
        <v>351</v>
      </c>
      <c r="C240" t="s">
        <v>363</v>
      </c>
      <c r="D240" t="s">
        <v>101</v>
      </c>
      <c r="E240">
        <v>92</v>
      </c>
      <c r="F240" s="68"/>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c r="AD240" s="68"/>
      <c r="AE240" s="68"/>
      <c r="AF240" s="68"/>
      <c r="AG240" s="68"/>
      <c r="AH240" s="68"/>
      <c r="AI240" s="68"/>
      <c r="AJ240" s="68"/>
      <c r="AK240"/>
      <c r="AL240"/>
      <c r="AM240"/>
      <c r="AN240"/>
    </row>
    <row r="241" spans="1:40" ht="14.5" x14ac:dyDescent="0.35">
      <c r="A241" t="s">
        <v>351</v>
      </c>
      <c r="C241" t="s">
        <v>364</v>
      </c>
      <c r="D241" t="s">
        <v>29</v>
      </c>
      <c r="E241">
        <v>1</v>
      </c>
      <c r="F241" s="68"/>
      <c r="G241" s="68"/>
      <c r="H241" s="68"/>
      <c r="I241" s="68"/>
      <c r="J241" s="68"/>
      <c r="K241" s="68"/>
      <c r="L241" s="68"/>
      <c r="M241" s="68"/>
      <c r="N241" s="68"/>
      <c r="O241" s="68"/>
      <c r="P241" s="68"/>
      <c r="Q241" s="68"/>
      <c r="R241" s="68"/>
      <c r="S241" s="68"/>
      <c r="T241" s="68"/>
      <c r="U241" s="68"/>
      <c r="V241" s="68"/>
      <c r="W241" s="68"/>
      <c r="X241" s="68"/>
      <c r="Y241" s="68"/>
      <c r="Z241" s="68"/>
      <c r="AA241" s="68"/>
      <c r="AB241" s="68"/>
      <c r="AC241" s="68"/>
      <c r="AD241" s="68"/>
      <c r="AE241" s="68"/>
      <c r="AF241" s="68"/>
      <c r="AG241" s="68"/>
      <c r="AH241" s="68"/>
      <c r="AI241" s="68"/>
      <c r="AJ241" s="68"/>
      <c r="AK241"/>
      <c r="AL241"/>
      <c r="AM241"/>
      <c r="AN241"/>
    </row>
    <row r="242" spans="1:40" ht="14.5" x14ac:dyDescent="0.35">
      <c r="A242" t="s">
        <v>351</v>
      </c>
      <c r="B242" t="s">
        <v>381</v>
      </c>
      <c r="C242" t="s">
        <v>351</v>
      </c>
      <c r="D242" t="s">
        <v>35</v>
      </c>
      <c r="F242" s="68"/>
      <c r="G242" s="68"/>
      <c r="H242" s="68"/>
      <c r="I242" s="68"/>
      <c r="J242" s="68"/>
      <c r="K242" s="68"/>
      <c r="L242" s="68"/>
      <c r="M242" s="68"/>
      <c r="N242" s="68"/>
      <c r="O242" s="68"/>
      <c r="P242" s="68"/>
      <c r="Q242" s="68"/>
      <c r="R242" s="68"/>
      <c r="S242" s="68"/>
      <c r="T242" s="68"/>
      <c r="U242" s="68"/>
      <c r="V242" s="68"/>
      <c r="W242" s="68"/>
      <c r="X242" s="68"/>
      <c r="Y242" s="68"/>
      <c r="Z242" s="68"/>
      <c r="AA242" s="68"/>
      <c r="AB242" s="68"/>
      <c r="AC242" s="68"/>
      <c r="AD242" s="68"/>
      <c r="AE242" s="68"/>
      <c r="AF242" s="68"/>
      <c r="AG242" s="68"/>
      <c r="AH242" s="68"/>
      <c r="AI242" s="68"/>
      <c r="AJ242" s="68"/>
      <c r="AK242"/>
      <c r="AL242"/>
      <c r="AM242"/>
      <c r="AN242"/>
    </row>
    <row r="243" spans="1:40" ht="14.5" x14ac:dyDescent="0.35">
      <c r="A243" t="s">
        <v>512</v>
      </c>
      <c r="C243" t="s">
        <v>1098</v>
      </c>
      <c r="D243" t="s">
        <v>101</v>
      </c>
      <c r="E243">
        <v>3000</v>
      </c>
      <c r="F243" s="68"/>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c r="AD243" s="68"/>
      <c r="AE243" s="68"/>
      <c r="AF243" s="68"/>
      <c r="AG243" s="68"/>
      <c r="AH243" s="68"/>
      <c r="AI243" s="68"/>
      <c r="AJ243" s="68"/>
      <c r="AK243"/>
      <c r="AL243"/>
      <c r="AM243"/>
      <c r="AN243"/>
    </row>
    <row r="244" spans="1:40" ht="14.5" x14ac:dyDescent="0.35">
      <c r="A244" t="s">
        <v>512</v>
      </c>
      <c r="C244" t="s">
        <v>1099</v>
      </c>
      <c r="D244" t="s">
        <v>101</v>
      </c>
      <c r="E244">
        <v>500</v>
      </c>
      <c r="F244" s="68"/>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c r="AD244" s="68"/>
      <c r="AE244" s="68"/>
      <c r="AF244" s="68"/>
      <c r="AG244" s="68"/>
      <c r="AH244" s="68"/>
      <c r="AI244" s="68"/>
      <c r="AJ244" s="68"/>
      <c r="AK244"/>
      <c r="AL244"/>
      <c r="AM244"/>
      <c r="AN244"/>
    </row>
    <row r="245" spans="1:40" ht="14.5" x14ac:dyDescent="0.35">
      <c r="A245" t="s">
        <v>512</v>
      </c>
      <c r="C245" t="s">
        <v>527</v>
      </c>
      <c r="D245" t="s">
        <v>549</v>
      </c>
      <c r="E245">
        <v>1</v>
      </c>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68"/>
      <c r="AG245" s="68"/>
      <c r="AH245" s="68"/>
      <c r="AI245" s="68"/>
      <c r="AJ245" s="68"/>
      <c r="AK245"/>
      <c r="AL245"/>
      <c r="AM245"/>
      <c r="AN245"/>
    </row>
    <row r="246" spans="1:40" ht="14.5" x14ac:dyDescent="0.35">
      <c r="A246" t="s">
        <v>512</v>
      </c>
      <c r="B246" t="s">
        <v>523</v>
      </c>
      <c r="C246" t="s">
        <v>512</v>
      </c>
      <c r="D246" t="s">
        <v>150</v>
      </c>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68"/>
      <c r="AG246" s="68"/>
      <c r="AH246" s="68"/>
      <c r="AI246" s="68"/>
      <c r="AJ246" s="68"/>
      <c r="AK246"/>
      <c r="AL246"/>
      <c r="AM246"/>
      <c r="AN246"/>
    </row>
    <row r="247" spans="1:40" ht="14.5" x14ac:dyDescent="0.35">
      <c r="A247" t="s">
        <v>25</v>
      </c>
      <c r="C247" t="s">
        <v>579</v>
      </c>
      <c r="D247" t="s">
        <v>580</v>
      </c>
      <c r="E247">
        <v>1</v>
      </c>
      <c r="F247" s="68">
        <v>25</v>
      </c>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c r="AF247" s="68"/>
      <c r="AG247" s="68"/>
      <c r="AH247" s="68"/>
      <c r="AI247" s="68"/>
      <c r="AJ247" s="68"/>
      <c r="AK247"/>
      <c r="AL247"/>
      <c r="AM247"/>
      <c r="AN247"/>
    </row>
    <row r="248" spans="1:40" ht="14.5" x14ac:dyDescent="0.35">
      <c r="A248" t="s">
        <v>25</v>
      </c>
      <c r="B248" t="s">
        <v>630</v>
      </c>
      <c r="C248" t="s">
        <v>25</v>
      </c>
      <c r="D248" t="s">
        <v>151</v>
      </c>
      <c r="F248" s="68"/>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c r="AD248" s="68"/>
      <c r="AE248" s="68"/>
      <c r="AF248" s="68"/>
      <c r="AG248" s="68"/>
      <c r="AH248" s="68"/>
      <c r="AI248" s="68"/>
      <c r="AJ248" s="68"/>
      <c r="AK248"/>
      <c r="AL248"/>
      <c r="AM248"/>
      <c r="AN248"/>
    </row>
    <row r="249" spans="1:40" ht="14.5" x14ac:dyDescent="0.35">
      <c r="A249" t="s">
        <v>583</v>
      </c>
      <c r="C249" t="s">
        <v>581</v>
      </c>
      <c r="D249" t="s">
        <v>580</v>
      </c>
      <c r="E249">
        <v>1</v>
      </c>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c r="AF249" s="68"/>
      <c r="AG249" s="68"/>
      <c r="AH249" s="68"/>
      <c r="AI249" s="68"/>
      <c r="AJ249" s="68"/>
      <c r="AK249"/>
      <c r="AL249"/>
      <c r="AM249"/>
      <c r="AN249"/>
    </row>
    <row r="250" spans="1:40" ht="14.5" x14ac:dyDescent="0.35">
      <c r="A250" t="s">
        <v>583</v>
      </c>
      <c r="B250" t="s">
        <v>582</v>
      </c>
      <c r="C250" t="s">
        <v>583</v>
      </c>
      <c r="D250" t="s">
        <v>151</v>
      </c>
      <c r="F250" s="68"/>
      <c r="G250" s="68"/>
      <c r="H250" s="68"/>
      <c r="I250" s="68"/>
      <c r="J250" s="68"/>
      <c r="K250" s="68"/>
      <c r="L250" s="68"/>
      <c r="M250" s="68"/>
      <c r="N250" s="68"/>
      <c r="O250" s="68"/>
      <c r="P250" s="68"/>
      <c r="Q250" s="68"/>
      <c r="R250" s="68"/>
      <c r="S250" s="68"/>
      <c r="T250" s="68"/>
      <c r="U250" s="68"/>
      <c r="V250" s="68"/>
      <c r="W250" s="68"/>
      <c r="X250" s="68"/>
      <c r="Y250" s="68"/>
      <c r="Z250" s="68"/>
      <c r="AA250" s="68"/>
      <c r="AB250" s="68"/>
      <c r="AC250" s="68"/>
      <c r="AD250" s="68"/>
      <c r="AE250" s="68"/>
      <c r="AF250" s="68"/>
      <c r="AG250" s="68"/>
      <c r="AH250" s="68"/>
      <c r="AI250" s="68"/>
      <c r="AJ250" s="68"/>
      <c r="AK250"/>
      <c r="AL250"/>
      <c r="AM250"/>
      <c r="AN250"/>
    </row>
    <row r="251" spans="1:40" ht="14.5" x14ac:dyDescent="0.35">
      <c r="A251" t="s">
        <v>500</v>
      </c>
      <c r="C251" t="s">
        <v>977</v>
      </c>
      <c r="D251" t="s">
        <v>557</v>
      </c>
      <c r="E251">
        <v>9000</v>
      </c>
      <c r="F251" s="68"/>
      <c r="G251" s="68"/>
      <c r="H251" s="68">
        <f>3</f>
        <v>3</v>
      </c>
      <c r="I251" s="68"/>
      <c r="J251" s="68"/>
      <c r="K251" s="68"/>
      <c r="L251" s="68">
        <v>20</v>
      </c>
      <c r="M251" s="68"/>
      <c r="N251" s="68"/>
      <c r="O251" s="68">
        <v>5</v>
      </c>
      <c r="P251" s="68"/>
      <c r="Q251" s="68"/>
      <c r="R251" s="68"/>
      <c r="S251" s="68">
        <v>7</v>
      </c>
      <c r="T251" s="68"/>
      <c r="U251" s="68"/>
      <c r="V251" s="68"/>
      <c r="W251" s="68"/>
      <c r="X251" s="68"/>
      <c r="Y251" s="68"/>
      <c r="Z251" s="68"/>
      <c r="AA251" s="68"/>
      <c r="AB251" s="68"/>
      <c r="AC251" s="68"/>
      <c r="AD251" s="68"/>
      <c r="AE251" s="68"/>
      <c r="AF251" s="68"/>
      <c r="AG251" s="68"/>
      <c r="AH251" s="68"/>
      <c r="AI251" s="68"/>
      <c r="AJ251" s="68"/>
      <c r="AK251"/>
      <c r="AL251"/>
      <c r="AM251"/>
      <c r="AN251"/>
    </row>
    <row r="252" spans="1:40" ht="14.5" x14ac:dyDescent="0.35">
      <c r="A252" t="s">
        <v>500</v>
      </c>
      <c r="C252" t="s">
        <v>1126</v>
      </c>
      <c r="D252" t="s">
        <v>101</v>
      </c>
      <c r="E252">
        <v>450</v>
      </c>
      <c r="F252" s="68"/>
      <c r="G252" s="68"/>
      <c r="H252" s="68"/>
      <c r="I252" s="68"/>
      <c r="J252" s="68"/>
      <c r="K252" s="68"/>
      <c r="L252" s="68"/>
      <c r="M252" s="68"/>
      <c r="N252" s="68"/>
      <c r="O252" s="68"/>
      <c r="P252" s="68"/>
      <c r="Q252" s="68"/>
      <c r="R252" s="68"/>
      <c r="S252" s="68"/>
      <c r="T252" s="68"/>
      <c r="U252" s="68"/>
      <c r="V252" s="68"/>
      <c r="W252" s="68"/>
      <c r="X252" s="68"/>
      <c r="Y252" s="68"/>
      <c r="Z252" s="68"/>
      <c r="AA252" s="68"/>
      <c r="AB252" s="68"/>
      <c r="AC252" s="68"/>
      <c r="AD252" s="68"/>
      <c r="AE252" s="68"/>
      <c r="AF252" s="68"/>
      <c r="AG252" s="68"/>
      <c r="AH252" s="68"/>
      <c r="AI252" s="68"/>
      <c r="AJ252" s="68"/>
      <c r="AK252"/>
      <c r="AL252"/>
      <c r="AM252"/>
      <c r="AN252"/>
    </row>
    <row r="253" spans="1:40" ht="14.5" x14ac:dyDescent="0.35">
      <c r="A253" t="s">
        <v>500</v>
      </c>
      <c r="C253" t="s">
        <v>976</v>
      </c>
      <c r="D253" t="s">
        <v>29</v>
      </c>
      <c r="E253">
        <v>1</v>
      </c>
      <c r="F253" s="68"/>
      <c r="G253" s="68"/>
      <c r="H253" s="68"/>
      <c r="I253" s="68"/>
      <c r="J253" s="68"/>
      <c r="K253" s="68"/>
      <c r="L253" s="68"/>
      <c r="M253" s="68"/>
      <c r="N253" s="68"/>
      <c r="O253" s="68"/>
      <c r="P253" s="68"/>
      <c r="Q253" s="68"/>
      <c r="R253" s="68"/>
      <c r="S253" s="68"/>
      <c r="T253" s="68"/>
      <c r="U253" s="68"/>
      <c r="V253" s="68"/>
      <c r="W253" s="68"/>
      <c r="X253" s="68"/>
      <c r="Y253" s="68"/>
      <c r="Z253" s="68"/>
      <c r="AA253" s="68"/>
      <c r="AB253" s="68"/>
      <c r="AC253" s="68"/>
      <c r="AD253" s="68"/>
      <c r="AE253" s="68"/>
      <c r="AF253" s="68"/>
      <c r="AG253" s="68"/>
      <c r="AH253" s="68"/>
      <c r="AI253" s="68"/>
      <c r="AJ253" s="68"/>
      <c r="AK253"/>
      <c r="AL253"/>
      <c r="AM253"/>
      <c r="AN253"/>
    </row>
    <row r="254" spans="1:40" ht="14.5" x14ac:dyDescent="0.35">
      <c r="A254" t="s">
        <v>500</v>
      </c>
      <c r="B254" t="s">
        <v>530</v>
      </c>
      <c r="C254" t="s">
        <v>500</v>
      </c>
      <c r="D254" t="s">
        <v>35</v>
      </c>
      <c r="F254" s="68"/>
      <c r="G254" s="68"/>
      <c r="H254" s="68"/>
      <c r="I254" s="68"/>
      <c r="J254" s="68"/>
      <c r="K254" s="68"/>
      <c r="L254" s="68"/>
      <c r="M254" s="68"/>
      <c r="N254" s="68"/>
      <c r="O254" s="68"/>
      <c r="P254" s="68"/>
      <c r="Q254" s="68"/>
      <c r="R254" s="68"/>
      <c r="S254" s="68"/>
      <c r="T254" s="68"/>
      <c r="U254" s="68"/>
      <c r="V254" s="68"/>
      <c r="W254" s="68"/>
      <c r="X254" s="68"/>
      <c r="Y254" s="68"/>
      <c r="Z254" s="68"/>
      <c r="AA254" s="68"/>
      <c r="AB254" s="68"/>
      <c r="AC254" s="68"/>
      <c r="AD254" s="68"/>
      <c r="AE254" s="68"/>
      <c r="AF254" s="68"/>
      <c r="AG254" s="68"/>
      <c r="AH254" s="68"/>
      <c r="AI254" s="68"/>
      <c r="AJ254" s="68"/>
      <c r="AK254"/>
      <c r="AL254"/>
      <c r="AM254"/>
      <c r="AN254"/>
    </row>
    <row r="255" spans="1:40" ht="14.5" x14ac:dyDescent="0.35">
      <c r="A255" t="s">
        <v>603</v>
      </c>
      <c r="C255" t="s">
        <v>1101</v>
      </c>
      <c r="D255" t="s">
        <v>580</v>
      </c>
      <c r="E255">
        <v>1</v>
      </c>
      <c r="F255" s="68"/>
      <c r="G255" s="68"/>
      <c r="H255" s="68"/>
      <c r="I255" s="68"/>
      <c r="J255" s="68"/>
      <c r="K255" s="68"/>
      <c r="L255" s="68"/>
      <c r="M255" s="68"/>
      <c r="N255" s="68"/>
      <c r="O255" s="68"/>
      <c r="P255" s="68"/>
      <c r="Q255" s="68"/>
      <c r="R255" s="68"/>
      <c r="S255" s="68"/>
      <c r="T255" s="68"/>
      <c r="U255" s="68"/>
      <c r="V255" s="68"/>
      <c r="W255" s="68"/>
      <c r="X255" s="68"/>
      <c r="Y255" s="68"/>
      <c r="Z255" s="68"/>
      <c r="AA255" s="68"/>
      <c r="AB255" s="68"/>
      <c r="AC255" s="68"/>
      <c r="AD255" s="68"/>
      <c r="AE255" s="68"/>
      <c r="AF255" s="68"/>
      <c r="AG255" s="68"/>
      <c r="AH255" s="68"/>
      <c r="AI255" s="68"/>
      <c r="AJ255" s="68"/>
      <c r="AK255"/>
      <c r="AL255"/>
      <c r="AM255"/>
      <c r="AN255"/>
    </row>
    <row r="256" spans="1:40" ht="14.5" x14ac:dyDescent="0.35">
      <c r="A256" t="s">
        <v>603</v>
      </c>
      <c r="B256" t="s">
        <v>602</v>
      </c>
      <c r="C256" t="s">
        <v>603</v>
      </c>
      <c r="D256" t="s">
        <v>151</v>
      </c>
      <c r="F256" s="68"/>
      <c r="G256" s="68"/>
      <c r="H256" s="68"/>
      <c r="I256" s="68"/>
      <c r="J256" s="68"/>
      <c r="K256" s="68"/>
      <c r="L256" s="68"/>
      <c r="M256" s="68"/>
      <c r="N256" s="68"/>
      <c r="O256" s="68"/>
      <c r="P256" s="68"/>
      <c r="Q256" s="68"/>
      <c r="R256" s="68"/>
      <c r="S256" s="68"/>
      <c r="T256" s="68"/>
      <c r="U256" s="68"/>
      <c r="V256" s="68"/>
      <c r="W256" s="68"/>
      <c r="X256" s="68"/>
      <c r="Y256" s="68"/>
      <c r="Z256" s="68"/>
      <c r="AA256" s="68"/>
      <c r="AB256" s="68"/>
      <c r="AC256" s="68"/>
      <c r="AD256" s="68"/>
      <c r="AE256" s="68"/>
      <c r="AF256" s="68"/>
      <c r="AG256" s="68"/>
      <c r="AH256" s="68"/>
      <c r="AI256" s="68"/>
      <c r="AJ256" s="68"/>
      <c r="AK256"/>
      <c r="AL256"/>
      <c r="AM256"/>
      <c r="AN256"/>
    </row>
    <row r="257" spans="1:40" ht="14.5" x14ac:dyDescent="0.35">
      <c r="A257" t="s">
        <v>26</v>
      </c>
      <c r="C257" t="s">
        <v>1062</v>
      </c>
      <c r="D257" t="s">
        <v>462</v>
      </c>
      <c r="E257">
        <v>420</v>
      </c>
      <c r="F257" s="68"/>
      <c r="G257" s="68"/>
      <c r="H257" s="68"/>
      <c r="I257" s="68"/>
      <c r="J257" s="68"/>
      <c r="K257" s="68"/>
      <c r="L257" s="68">
        <v>20</v>
      </c>
      <c r="M257" s="68"/>
      <c r="N257" s="68"/>
      <c r="O257" s="68">
        <v>20</v>
      </c>
      <c r="P257" s="68"/>
      <c r="Q257" s="68"/>
      <c r="R257" s="68"/>
      <c r="S257" s="68"/>
      <c r="T257" s="68"/>
      <c r="U257" s="68"/>
      <c r="V257" s="68"/>
      <c r="W257" s="68"/>
      <c r="X257" s="68"/>
      <c r="Y257" s="68"/>
      <c r="Z257" s="68"/>
      <c r="AA257" s="68"/>
      <c r="AB257" s="68"/>
      <c r="AC257" s="68"/>
      <c r="AD257" s="68"/>
      <c r="AE257" s="68"/>
      <c r="AF257" s="68"/>
      <c r="AG257" s="68"/>
      <c r="AH257" s="68"/>
      <c r="AI257" s="68"/>
      <c r="AJ257" s="68"/>
      <c r="AK257"/>
      <c r="AL257"/>
      <c r="AM257"/>
      <c r="AN257"/>
    </row>
    <row r="258" spans="1:40" ht="14.5" x14ac:dyDescent="0.35">
      <c r="A258" t="s">
        <v>26</v>
      </c>
      <c r="C258" t="s">
        <v>1083</v>
      </c>
      <c r="D258" t="s">
        <v>461</v>
      </c>
      <c r="E258">
        <v>1</v>
      </c>
      <c r="F258" s="68"/>
      <c r="G258" s="68"/>
      <c r="H258" s="68"/>
      <c r="I258" s="68"/>
      <c r="J258" s="68"/>
      <c r="K258" s="68"/>
      <c r="L258" s="68"/>
      <c r="M258" s="68"/>
      <c r="N258" s="68"/>
      <c r="O258" s="68"/>
      <c r="P258" s="68"/>
      <c r="Q258" s="68"/>
      <c r="R258" s="68"/>
      <c r="S258" s="68"/>
      <c r="T258" s="68"/>
      <c r="U258" s="68"/>
      <c r="V258" s="68"/>
      <c r="W258" s="68"/>
      <c r="X258" s="68"/>
      <c r="Y258" s="68"/>
      <c r="Z258" s="68"/>
      <c r="AA258" s="68"/>
      <c r="AB258" s="68"/>
      <c r="AC258" s="68"/>
      <c r="AD258" s="68"/>
      <c r="AE258" s="68"/>
      <c r="AF258" s="68"/>
      <c r="AG258" s="68"/>
      <c r="AH258" s="68"/>
      <c r="AI258" s="68"/>
      <c r="AJ258" s="68"/>
      <c r="AK258"/>
      <c r="AL258"/>
      <c r="AM258"/>
      <c r="AN258"/>
    </row>
    <row r="259" spans="1:40" ht="14.5" x14ac:dyDescent="0.35">
      <c r="A259" t="s">
        <v>26</v>
      </c>
      <c r="B259" t="s">
        <v>70</v>
      </c>
      <c r="C259" t="s">
        <v>26</v>
      </c>
      <c r="D259" t="s">
        <v>35</v>
      </c>
      <c r="F259" s="68"/>
      <c r="G259" s="68"/>
      <c r="H259" s="68"/>
      <c r="I259" s="68"/>
      <c r="J259" s="68"/>
      <c r="K259" s="68"/>
      <c r="L259" s="68"/>
      <c r="M259" s="68"/>
      <c r="N259" s="68"/>
      <c r="O259" s="68"/>
      <c r="P259" s="68"/>
      <c r="Q259" s="68"/>
      <c r="R259" s="68"/>
      <c r="S259" s="68"/>
      <c r="T259" s="68"/>
      <c r="U259" s="68"/>
      <c r="V259" s="68"/>
      <c r="W259" s="68"/>
      <c r="X259" s="68"/>
      <c r="Y259" s="68"/>
      <c r="Z259" s="68"/>
      <c r="AA259" s="68"/>
      <c r="AB259" s="68"/>
      <c r="AC259" s="68"/>
      <c r="AD259" s="68"/>
      <c r="AE259" s="68"/>
      <c r="AF259" s="68"/>
      <c r="AG259" s="68"/>
      <c r="AH259" s="68"/>
      <c r="AI259" s="68"/>
      <c r="AJ259" s="68"/>
      <c r="AK259"/>
      <c r="AL259"/>
      <c r="AM259"/>
      <c r="AN259"/>
    </row>
    <row r="260" spans="1:40" ht="14.5" x14ac:dyDescent="0.35">
      <c r="A260" t="s">
        <v>1299</v>
      </c>
      <c r="C260" t="s">
        <v>1296</v>
      </c>
      <c r="D260" t="s">
        <v>1185</v>
      </c>
      <c r="E260">
        <v>100</v>
      </c>
      <c r="F260" s="68"/>
      <c r="G260" s="68"/>
      <c r="H260" s="68"/>
      <c r="I260" s="68"/>
      <c r="J260" s="68"/>
      <c r="K260" s="68"/>
      <c r="L260" s="68"/>
      <c r="M260" s="68"/>
      <c r="N260" s="68"/>
      <c r="O260" s="68"/>
      <c r="P260" s="68"/>
      <c r="Q260" s="68"/>
      <c r="R260" s="68"/>
      <c r="S260" s="68"/>
      <c r="T260" s="68"/>
      <c r="U260" s="68"/>
      <c r="V260" s="68"/>
      <c r="W260" s="68"/>
      <c r="X260" s="68"/>
      <c r="Y260" s="68"/>
      <c r="Z260" s="68"/>
      <c r="AA260" s="68"/>
      <c r="AB260" s="68"/>
      <c r="AC260" s="68"/>
      <c r="AD260" s="68"/>
      <c r="AE260" s="68"/>
      <c r="AF260" s="68"/>
      <c r="AG260" s="68"/>
      <c r="AH260" s="68"/>
      <c r="AI260" s="68"/>
      <c r="AJ260" s="68"/>
      <c r="AK260"/>
      <c r="AL260"/>
      <c r="AM260"/>
      <c r="AN260"/>
    </row>
    <row r="261" spans="1:40" ht="14.5" x14ac:dyDescent="0.35">
      <c r="A261" t="s">
        <v>1299</v>
      </c>
      <c r="C261" t="s">
        <v>1297</v>
      </c>
      <c r="D261" t="s">
        <v>102</v>
      </c>
      <c r="E261">
        <v>1</v>
      </c>
      <c r="F261" s="68"/>
      <c r="G261" s="68"/>
      <c r="H261" s="68"/>
      <c r="I261" s="68"/>
      <c r="J261" s="68"/>
      <c r="K261" s="68"/>
      <c r="L261" s="68"/>
      <c r="M261" s="68"/>
      <c r="N261" s="68"/>
      <c r="O261" s="68"/>
      <c r="P261" s="68"/>
      <c r="Q261" s="68"/>
      <c r="R261" s="68"/>
      <c r="S261" s="68"/>
      <c r="T261" s="68"/>
      <c r="U261" s="68"/>
      <c r="V261" s="68"/>
      <c r="W261" s="68"/>
      <c r="X261" s="68"/>
      <c r="Y261" s="68"/>
      <c r="Z261" s="68"/>
      <c r="AA261" s="68"/>
      <c r="AB261" s="68"/>
      <c r="AC261" s="68"/>
      <c r="AD261" s="68"/>
      <c r="AE261" s="68"/>
      <c r="AF261" s="68"/>
      <c r="AG261" s="68"/>
      <c r="AH261" s="68"/>
      <c r="AI261" s="68"/>
      <c r="AJ261" s="68"/>
      <c r="AK261"/>
      <c r="AL261"/>
      <c r="AM261"/>
      <c r="AN261"/>
    </row>
    <row r="262" spans="1:40" ht="14.5" x14ac:dyDescent="0.35">
      <c r="A262" t="s">
        <v>1299</v>
      </c>
      <c r="B262" t="s">
        <v>1298</v>
      </c>
      <c r="C262" t="s">
        <v>1299</v>
      </c>
      <c r="D262" t="s">
        <v>67</v>
      </c>
      <c r="F262" s="68"/>
      <c r="G262" s="68"/>
      <c r="H262" s="68"/>
      <c r="I262" s="68"/>
      <c r="J262" s="68"/>
      <c r="K262" s="68"/>
      <c r="L262" s="68"/>
      <c r="M262" s="68"/>
      <c r="N262" s="68"/>
      <c r="O262" s="68"/>
      <c r="P262" s="68"/>
      <c r="Q262" s="68"/>
      <c r="R262" s="68"/>
      <c r="S262" s="68"/>
      <c r="T262" s="68"/>
      <c r="U262" s="68"/>
      <c r="V262" s="68"/>
      <c r="W262" s="68"/>
      <c r="X262" s="68"/>
      <c r="Y262" s="68"/>
      <c r="Z262" s="68"/>
      <c r="AA262" s="68"/>
      <c r="AB262" s="68"/>
      <c r="AC262" s="68"/>
      <c r="AD262" s="68"/>
      <c r="AE262" s="68"/>
      <c r="AF262" s="68"/>
      <c r="AG262" s="68"/>
      <c r="AH262" s="68"/>
      <c r="AI262" s="68"/>
      <c r="AJ262" s="68"/>
      <c r="AK262"/>
      <c r="AL262"/>
      <c r="AM262"/>
      <c r="AN262"/>
    </row>
    <row r="263" spans="1:40" ht="14.5" x14ac:dyDescent="0.35">
      <c r="A263" t="s">
        <v>1341</v>
      </c>
      <c r="C263" t="s">
        <v>1422</v>
      </c>
      <c r="D263" t="s">
        <v>103</v>
      </c>
      <c r="E263">
        <v>2000</v>
      </c>
      <c r="F263" s="68"/>
      <c r="G263" s="68"/>
      <c r="H263" s="68"/>
      <c r="I263" s="68"/>
      <c r="J263" s="68"/>
      <c r="K263" s="68"/>
      <c r="L263" s="68"/>
      <c r="M263" s="68"/>
      <c r="N263" s="68"/>
      <c r="O263" s="68"/>
      <c r="P263" s="68"/>
      <c r="Q263" s="68"/>
      <c r="R263" s="68"/>
      <c r="S263" s="68"/>
      <c r="T263" s="68"/>
      <c r="U263" s="68"/>
      <c r="V263" s="68"/>
      <c r="W263" s="68"/>
      <c r="X263" s="68"/>
      <c r="Y263" s="68"/>
      <c r="Z263" s="68"/>
      <c r="AA263" s="68"/>
      <c r="AB263" s="68"/>
      <c r="AC263" s="68"/>
      <c r="AD263" s="68"/>
      <c r="AE263" s="68"/>
      <c r="AF263" s="68"/>
      <c r="AG263" s="68"/>
      <c r="AH263" s="68"/>
      <c r="AI263" s="68"/>
      <c r="AJ263" s="68"/>
      <c r="AK263"/>
      <c r="AL263"/>
      <c r="AM263"/>
      <c r="AN263"/>
    </row>
    <row r="264" spans="1:40" ht="14.5" x14ac:dyDescent="0.35">
      <c r="A264" t="s">
        <v>1341</v>
      </c>
      <c r="C264" t="s">
        <v>1423</v>
      </c>
      <c r="D264" t="s">
        <v>101</v>
      </c>
      <c r="E264">
        <v>50</v>
      </c>
      <c r="F264" s="68"/>
      <c r="G264" s="68"/>
      <c r="H264" s="68"/>
      <c r="I264" s="68"/>
      <c r="J264" s="68"/>
      <c r="K264" s="68"/>
      <c r="L264" s="68"/>
      <c r="M264" s="68"/>
      <c r="N264" s="68"/>
      <c r="O264" s="68"/>
      <c r="P264" s="68"/>
      <c r="Q264" s="68"/>
      <c r="R264" s="68"/>
      <c r="S264" s="68"/>
      <c r="T264" s="68"/>
      <c r="U264" s="68"/>
      <c r="V264" s="68"/>
      <c r="W264" s="68"/>
      <c r="X264" s="68"/>
      <c r="Y264" s="68"/>
      <c r="Z264" s="68"/>
      <c r="AA264" s="68"/>
      <c r="AB264" s="68"/>
      <c r="AC264" s="68"/>
      <c r="AD264" s="68"/>
      <c r="AE264" s="68"/>
      <c r="AF264" s="68"/>
      <c r="AG264" s="68"/>
      <c r="AH264" s="68"/>
      <c r="AI264" s="68"/>
      <c r="AJ264" s="68"/>
      <c r="AK264"/>
      <c r="AL264"/>
      <c r="AM264"/>
      <c r="AN264"/>
    </row>
    <row r="265" spans="1:40" ht="14.5" x14ac:dyDescent="0.35">
      <c r="A265" t="s">
        <v>1341</v>
      </c>
      <c r="C265" t="s">
        <v>1424</v>
      </c>
      <c r="D265" t="s">
        <v>102</v>
      </c>
      <c r="E265">
        <v>1</v>
      </c>
      <c r="F265" s="68"/>
      <c r="G265" s="68"/>
      <c r="H265" s="68"/>
      <c r="I265" s="68"/>
      <c r="J265" s="68"/>
      <c r="K265" s="68"/>
      <c r="L265" s="68"/>
      <c r="M265" s="68"/>
      <c r="N265" s="68"/>
      <c r="O265" s="68"/>
      <c r="P265" s="68"/>
      <c r="Q265" s="68"/>
      <c r="R265" s="68"/>
      <c r="S265" s="68"/>
      <c r="T265" s="68"/>
      <c r="U265" s="68"/>
      <c r="V265" s="68"/>
      <c r="W265" s="68"/>
      <c r="X265" s="68"/>
      <c r="Y265" s="68"/>
      <c r="Z265" s="68"/>
      <c r="AA265" s="68"/>
      <c r="AB265" s="68"/>
      <c r="AC265" s="68"/>
      <c r="AD265" s="68"/>
      <c r="AE265" s="68"/>
      <c r="AF265" s="68"/>
      <c r="AG265" s="68"/>
      <c r="AH265" s="68"/>
      <c r="AI265" s="68"/>
      <c r="AJ265" s="68"/>
      <c r="AK265"/>
      <c r="AL265"/>
      <c r="AM265"/>
      <c r="AN265"/>
    </row>
    <row r="266" spans="1:40" ht="14.5" x14ac:dyDescent="0.35">
      <c r="A266" t="s">
        <v>1341</v>
      </c>
      <c r="B266" t="s">
        <v>1411</v>
      </c>
      <c r="C266" t="s">
        <v>1341</v>
      </c>
      <c r="D266" t="s">
        <v>67</v>
      </c>
      <c r="F266" s="68"/>
      <c r="G266" s="68"/>
      <c r="H266" s="68"/>
      <c r="I266" s="68"/>
      <c r="J266" s="68"/>
      <c r="K266" s="68"/>
      <c r="L266" s="68"/>
      <c r="M266" s="68"/>
      <c r="N266" s="68"/>
      <c r="O266" s="68"/>
      <c r="P266" s="68"/>
      <c r="Q266" s="68"/>
      <c r="R266" s="68"/>
      <c r="S266" s="68"/>
      <c r="T266" s="68"/>
      <c r="U266" s="68"/>
      <c r="V266" s="68"/>
      <c r="W266" s="68"/>
      <c r="X266" s="68"/>
      <c r="Y266" s="68"/>
      <c r="Z266" s="68"/>
      <c r="AA266" s="68"/>
      <c r="AB266" s="68"/>
      <c r="AC266" s="68"/>
      <c r="AD266" s="68"/>
      <c r="AE266" s="68"/>
      <c r="AF266" s="68"/>
      <c r="AG266" s="68"/>
      <c r="AH266" s="68"/>
      <c r="AI266" s="68"/>
      <c r="AJ266" s="68"/>
      <c r="AK266"/>
      <c r="AL266"/>
      <c r="AM266"/>
      <c r="AN266"/>
    </row>
    <row r="267" spans="1:40" ht="14.5" x14ac:dyDescent="0.35">
      <c r="A267" t="s">
        <v>27</v>
      </c>
      <c r="C267" t="s">
        <v>1038</v>
      </c>
      <c r="D267" t="s">
        <v>103</v>
      </c>
      <c r="E267">
        <v>3000</v>
      </c>
      <c r="F267" s="68"/>
      <c r="G267" s="68"/>
      <c r="H267" s="68"/>
      <c r="I267" s="68"/>
      <c r="J267" s="68"/>
      <c r="K267" s="68"/>
      <c r="L267" s="68">
        <v>1</v>
      </c>
      <c r="M267" s="68"/>
      <c r="N267" s="68"/>
      <c r="O267" s="68">
        <v>2</v>
      </c>
      <c r="P267" s="68"/>
      <c r="Q267" s="68"/>
      <c r="R267" s="68"/>
      <c r="S267" s="68"/>
      <c r="T267" s="68"/>
      <c r="U267" s="68"/>
      <c r="V267" s="68"/>
      <c r="W267" s="68"/>
      <c r="X267" s="68"/>
      <c r="Y267" s="68"/>
      <c r="Z267" s="68"/>
      <c r="AA267" s="68"/>
      <c r="AB267" s="68"/>
      <c r="AC267" s="68"/>
      <c r="AD267" s="68"/>
      <c r="AE267" s="68"/>
      <c r="AF267" s="68"/>
      <c r="AG267" s="68"/>
      <c r="AH267" s="68"/>
      <c r="AI267" s="68"/>
      <c r="AJ267" s="68"/>
      <c r="AK267"/>
      <c r="AL267"/>
      <c r="AM267"/>
      <c r="AN267"/>
    </row>
    <row r="268" spans="1:40" ht="14.5" x14ac:dyDescent="0.35">
      <c r="A268" t="s">
        <v>27</v>
      </c>
      <c r="C268" t="s">
        <v>1063</v>
      </c>
      <c r="D268" t="s">
        <v>101</v>
      </c>
      <c r="E268">
        <v>100</v>
      </c>
      <c r="F268" s="68"/>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c r="AD268" s="68"/>
      <c r="AE268" s="68"/>
      <c r="AF268" s="68"/>
      <c r="AG268" s="68"/>
      <c r="AH268" s="68"/>
      <c r="AI268" s="68"/>
      <c r="AJ268" s="68"/>
      <c r="AK268"/>
      <c r="AL268"/>
      <c r="AM268"/>
      <c r="AN268"/>
    </row>
    <row r="269" spans="1:40" ht="14.5" x14ac:dyDescent="0.35">
      <c r="A269" t="s">
        <v>27</v>
      </c>
      <c r="C269" t="s">
        <v>638</v>
      </c>
      <c r="D269" t="s">
        <v>102</v>
      </c>
      <c r="E269">
        <v>1</v>
      </c>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68"/>
      <c r="AG269" s="68"/>
      <c r="AH269" s="68"/>
      <c r="AI269" s="68"/>
      <c r="AJ269" s="68"/>
      <c r="AK269"/>
      <c r="AL269"/>
      <c r="AM269"/>
      <c r="AN269"/>
    </row>
    <row r="270" spans="1:40" ht="14.5" x14ac:dyDescent="0.35">
      <c r="A270" t="s">
        <v>27</v>
      </c>
      <c r="B270" t="s">
        <v>98</v>
      </c>
      <c r="C270" t="s">
        <v>27</v>
      </c>
      <c r="D270" t="s">
        <v>67</v>
      </c>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68"/>
      <c r="AG270" s="68"/>
      <c r="AH270" s="68"/>
      <c r="AI270" s="68"/>
      <c r="AJ270" s="68"/>
      <c r="AK270"/>
      <c r="AL270"/>
      <c r="AM270"/>
      <c r="AN270"/>
    </row>
    <row r="271" spans="1:40" ht="14.5" x14ac:dyDescent="0.35">
      <c r="A271" t="s">
        <v>501</v>
      </c>
      <c r="C271" t="s">
        <v>1097</v>
      </c>
      <c r="D271" t="s">
        <v>557</v>
      </c>
      <c r="E271">
        <v>24000</v>
      </c>
      <c r="F271" s="68"/>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68"/>
      <c r="AG271" s="68"/>
      <c r="AH271" s="68"/>
      <c r="AI271" s="68"/>
      <c r="AJ271" s="68"/>
      <c r="AK271"/>
      <c r="AL271"/>
      <c r="AM271"/>
      <c r="AN271"/>
    </row>
    <row r="272" spans="1:40" ht="14.5" x14ac:dyDescent="0.35">
      <c r="A272" t="s">
        <v>501</v>
      </c>
      <c r="C272" t="s">
        <v>978</v>
      </c>
      <c r="D272" t="s">
        <v>101</v>
      </c>
      <c r="E272">
        <v>300</v>
      </c>
      <c r="F272" s="68">
        <v>1600</v>
      </c>
      <c r="G272" s="68"/>
      <c r="H272" s="68"/>
      <c r="I272" s="68"/>
      <c r="J272" s="68"/>
      <c r="K272" s="68"/>
      <c r="L272" s="68"/>
      <c r="M272" s="68"/>
      <c r="N272" s="68"/>
      <c r="O272" s="68"/>
      <c r="P272" s="68"/>
      <c r="Q272" s="68"/>
      <c r="R272" s="68">
        <f>80*6</f>
        <v>480</v>
      </c>
      <c r="S272" s="68"/>
      <c r="T272" s="68"/>
      <c r="U272" s="68"/>
      <c r="V272" s="68"/>
      <c r="W272" s="68"/>
      <c r="X272" s="68"/>
      <c r="Y272" s="68"/>
      <c r="Z272" s="68"/>
      <c r="AA272" s="68"/>
      <c r="AB272" s="68"/>
      <c r="AC272" s="68"/>
      <c r="AD272" s="68"/>
      <c r="AE272" s="68"/>
      <c r="AF272" s="68"/>
      <c r="AG272" s="68"/>
      <c r="AH272" s="68"/>
      <c r="AI272" s="68"/>
      <c r="AJ272" s="68"/>
      <c r="AK272"/>
      <c r="AL272"/>
      <c r="AM272"/>
      <c r="AN272"/>
    </row>
    <row r="273" spans="1:40" ht="14.5" x14ac:dyDescent="0.35">
      <c r="A273" t="s">
        <v>501</v>
      </c>
      <c r="C273" t="s">
        <v>1122</v>
      </c>
      <c r="D273" t="s">
        <v>125</v>
      </c>
      <c r="E273">
        <v>1000</v>
      </c>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68"/>
      <c r="AG273" s="68"/>
      <c r="AH273" s="68"/>
      <c r="AI273" s="68"/>
      <c r="AJ273" s="68"/>
      <c r="AK273"/>
      <c r="AL273"/>
      <c r="AM273"/>
      <c r="AN273"/>
    </row>
    <row r="274" spans="1:40" ht="14.5" x14ac:dyDescent="0.35">
      <c r="A274" t="s">
        <v>501</v>
      </c>
      <c r="C274" t="s">
        <v>979</v>
      </c>
      <c r="D274" t="s">
        <v>29</v>
      </c>
      <c r="E274">
        <v>1</v>
      </c>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8"/>
      <c r="AJ274" s="68"/>
      <c r="AK274"/>
      <c r="AL274"/>
      <c r="AM274"/>
      <c r="AN274"/>
    </row>
    <row r="275" spans="1:40" ht="14.5" x14ac:dyDescent="0.35">
      <c r="A275" t="s">
        <v>501</v>
      </c>
      <c r="C275" t="s">
        <v>980</v>
      </c>
      <c r="D275" t="s">
        <v>29</v>
      </c>
      <c r="E275">
        <v>0.5</v>
      </c>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c r="AJ275" s="68"/>
      <c r="AK275"/>
      <c r="AL275"/>
      <c r="AM275"/>
      <c r="AN275"/>
    </row>
    <row r="276" spans="1:40" ht="14.5" x14ac:dyDescent="0.35">
      <c r="A276" t="s">
        <v>501</v>
      </c>
      <c r="B276" t="s">
        <v>529</v>
      </c>
      <c r="C276" t="s">
        <v>501</v>
      </c>
      <c r="D276" t="s">
        <v>35</v>
      </c>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c r="AJ276" s="68"/>
      <c r="AK276"/>
      <c r="AL276"/>
      <c r="AM276"/>
      <c r="AN276"/>
    </row>
    <row r="277" spans="1:40" ht="14.5" x14ac:dyDescent="0.35">
      <c r="A277" t="s">
        <v>916</v>
      </c>
      <c r="C277" t="s">
        <v>992</v>
      </c>
      <c r="D277" t="s">
        <v>103</v>
      </c>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c r="AG277" s="68"/>
      <c r="AH277" s="68"/>
      <c r="AI277" s="68"/>
      <c r="AJ277" s="68"/>
      <c r="AK277"/>
      <c r="AL277"/>
      <c r="AM277"/>
      <c r="AN277"/>
    </row>
    <row r="278" spans="1:40" ht="14.5" x14ac:dyDescent="0.35">
      <c r="A278" t="s">
        <v>916</v>
      </c>
      <c r="C278" t="s">
        <v>993</v>
      </c>
      <c r="D278" t="s">
        <v>101</v>
      </c>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68"/>
      <c r="AG278" s="68"/>
      <c r="AH278" s="68"/>
      <c r="AI278" s="68"/>
      <c r="AJ278" s="68"/>
      <c r="AK278"/>
      <c r="AL278"/>
      <c r="AM278"/>
      <c r="AN278"/>
    </row>
    <row r="279" spans="1:40" ht="14.5" x14ac:dyDescent="0.35">
      <c r="A279" t="s">
        <v>916</v>
      </c>
      <c r="C279" t="s">
        <v>994</v>
      </c>
      <c r="D279" t="s">
        <v>29</v>
      </c>
      <c r="E279">
        <v>1</v>
      </c>
      <c r="F279" s="68"/>
      <c r="G279" s="68"/>
      <c r="H279" s="68"/>
      <c r="I279" s="68"/>
      <c r="J279" s="68"/>
      <c r="K279" s="68"/>
      <c r="L279" s="68"/>
      <c r="M279" s="68"/>
      <c r="N279" s="68"/>
      <c r="O279" s="68"/>
      <c r="P279" s="68"/>
      <c r="Q279" s="68"/>
      <c r="R279" s="68"/>
      <c r="S279" s="68"/>
      <c r="T279" s="68"/>
      <c r="U279" s="68"/>
      <c r="V279" s="68"/>
      <c r="W279" s="68"/>
      <c r="X279" s="68"/>
      <c r="Y279" s="68"/>
      <c r="Z279" s="68"/>
      <c r="AA279" s="68"/>
      <c r="AB279" s="68"/>
      <c r="AC279" s="68"/>
      <c r="AD279" s="68"/>
      <c r="AE279" s="68"/>
      <c r="AF279" s="68"/>
      <c r="AG279" s="68"/>
      <c r="AH279" s="68"/>
      <c r="AI279" s="68"/>
      <c r="AJ279" s="68"/>
      <c r="AK279"/>
      <c r="AL279"/>
      <c r="AM279"/>
      <c r="AN279"/>
    </row>
    <row r="280" spans="1:40" ht="14.5" x14ac:dyDescent="0.35">
      <c r="A280" t="s">
        <v>916</v>
      </c>
      <c r="B280" t="s">
        <v>1019</v>
      </c>
      <c r="C280" t="s">
        <v>916</v>
      </c>
      <c r="D280" t="s">
        <v>35</v>
      </c>
      <c r="F280" s="68"/>
      <c r="G280" s="68"/>
      <c r="H280" s="68"/>
      <c r="I280" s="68"/>
      <c r="J280" s="68"/>
      <c r="K280" s="68"/>
      <c r="L280" s="68"/>
      <c r="M280" s="68"/>
      <c r="N280" s="68"/>
      <c r="O280" s="68"/>
      <c r="P280" s="68"/>
      <c r="Q280" s="68"/>
      <c r="R280" s="68"/>
      <c r="S280" s="68"/>
      <c r="T280" s="68"/>
      <c r="U280" s="68"/>
      <c r="V280" s="68"/>
      <c r="W280" s="68"/>
      <c r="X280" s="68"/>
      <c r="Y280" s="68"/>
      <c r="Z280" s="68"/>
      <c r="AA280" s="68"/>
      <c r="AB280" s="68"/>
      <c r="AC280" s="68"/>
      <c r="AD280" s="68"/>
      <c r="AE280" s="68"/>
      <c r="AF280" s="68"/>
      <c r="AG280" s="68"/>
      <c r="AH280" s="68"/>
      <c r="AI280" s="68"/>
      <c r="AJ280" s="68"/>
      <c r="AK280"/>
      <c r="AL280"/>
      <c r="AM280"/>
      <c r="AN280"/>
    </row>
    <row r="281" spans="1:40" ht="14.5" x14ac:dyDescent="0.35">
      <c r="A281" t="s">
        <v>486</v>
      </c>
      <c r="C281" t="s">
        <v>1039</v>
      </c>
      <c r="D281" t="s">
        <v>103</v>
      </c>
      <c r="E281">
        <v>2000</v>
      </c>
      <c r="F281" s="68"/>
      <c r="G281" s="68"/>
      <c r="H281" s="68"/>
      <c r="I281" s="68"/>
      <c r="J281" s="68"/>
      <c r="K281" s="68"/>
      <c r="L281" s="68"/>
      <c r="M281" s="68"/>
      <c r="N281" s="68"/>
      <c r="O281" s="68"/>
      <c r="P281" s="68"/>
      <c r="Q281" s="68"/>
      <c r="R281" s="68"/>
      <c r="S281" s="68"/>
      <c r="T281" s="68"/>
      <c r="U281" s="68"/>
      <c r="V281" s="68"/>
      <c r="W281" s="68"/>
      <c r="X281" s="68"/>
      <c r="Y281" s="68"/>
      <c r="Z281" s="68"/>
      <c r="AA281" s="68"/>
      <c r="AB281" s="68"/>
      <c r="AC281" s="68"/>
      <c r="AD281" s="68"/>
      <c r="AE281" s="68"/>
      <c r="AF281" s="68"/>
      <c r="AG281" s="68"/>
      <c r="AH281" s="68"/>
      <c r="AI281" s="68"/>
      <c r="AJ281" s="68"/>
      <c r="AK281"/>
      <c r="AL281"/>
      <c r="AM281"/>
      <c r="AN281"/>
    </row>
    <row r="282" spans="1:40" ht="14.5" x14ac:dyDescent="0.35">
      <c r="A282" t="s">
        <v>486</v>
      </c>
      <c r="C282" t="s">
        <v>981</v>
      </c>
      <c r="D282" t="s">
        <v>101</v>
      </c>
      <c r="E282">
        <v>50</v>
      </c>
      <c r="F282" s="68"/>
      <c r="G282" s="68"/>
      <c r="H282" s="68"/>
      <c r="I282" s="68"/>
      <c r="J282" s="68"/>
      <c r="K282" s="68"/>
      <c r="L282" s="68"/>
      <c r="M282" s="68"/>
      <c r="N282" s="68"/>
      <c r="O282" s="68"/>
      <c r="P282" s="68"/>
      <c r="Q282" s="68"/>
      <c r="R282" s="68"/>
      <c r="S282" s="68"/>
      <c r="T282" s="68"/>
      <c r="U282" s="68"/>
      <c r="V282" s="68"/>
      <c r="W282" s="68"/>
      <c r="X282" s="68"/>
      <c r="Y282" s="68"/>
      <c r="Z282" s="68"/>
      <c r="AA282" s="68"/>
      <c r="AB282" s="68"/>
      <c r="AC282" s="68"/>
      <c r="AD282" s="68"/>
      <c r="AE282" s="68"/>
      <c r="AF282" s="68"/>
      <c r="AG282" s="68"/>
      <c r="AH282" s="68"/>
      <c r="AI282" s="68"/>
      <c r="AJ282" s="68"/>
      <c r="AK282"/>
      <c r="AL282"/>
      <c r="AM282"/>
      <c r="AN282"/>
    </row>
    <row r="283" spans="1:40" ht="14.5" x14ac:dyDescent="0.35">
      <c r="A283" t="s">
        <v>486</v>
      </c>
      <c r="C283" t="s">
        <v>982</v>
      </c>
      <c r="D283" t="s">
        <v>102</v>
      </c>
      <c r="E283">
        <v>1</v>
      </c>
      <c r="F283" s="68"/>
      <c r="G283" s="68"/>
      <c r="H283" s="68"/>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c r="AF283" s="68"/>
      <c r="AG283" s="68"/>
      <c r="AH283" s="68"/>
      <c r="AI283" s="68"/>
      <c r="AJ283" s="68"/>
      <c r="AK283"/>
      <c r="AL283"/>
      <c r="AM283"/>
      <c r="AN283"/>
    </row>
    <row r="284" spans="1:40" ht="14.5" x14ac:dyDescent="0.35">
      <c r="A284" t="s">
        <v>486</v>
      </c>
      <c r="B284" t="s">
        <v>533</v>
      </c>
      <c r="C284" t="s">
        <v>486</v>
      </c>
      <c r="D284" t="s">
        <v>67</v>
      </c>
      <c r="F284" s="68"/>
      <c r="G284" s="68"/>
      <c r="H284" s="68"/>
      <c r="I284" s="68"/>
      <c r="J284" s="68"/>
      <c r="K284" s="68"/>
      <c r="L284" s="68"/>
      <c r="M284" s="68"/>
      <c r="N284" s="68"/>
      <c r="O284" s="68"/>
      <c r="P284" s="68"/>
      <c r="Q284" s="68"/>
      <c r="R284" s="68"/>
      <c r="S284" s="68"/>
      <c r="T284" s="68"/>
      <c r="U284" s="68"/>
      <c r="V284" s="68"/>
      <c r="W284" s="68"/>
      <c r="X284" s="68"/>
      <c r="Y284" s="68"/>
      <c r="Z284" s="68"/>
      <c r="AA284" s="68"/>
      <c r="AB284" s="68"/>
      <c r="AC284" s="68"/>
      <c r="AD284" s="68"/>
      <c r="AE284" s="68"/>
      <c r="AF284" s="68"/>
      <c r="AG284" s="68"/>
      <c r="AH284" s="68"/>
      <c r="AI284" s="68"/>
      <c r="AJ284" s="68"/>
      <c r="AK284"/>
      <c r="AL284"/>
      <c r="AM284"/>
      <c r="AN284"/>
    </row>
    <row r="285" spans="1:40" ht="14.5" x14ac:dyDescent="0.35">
      <c r="A285" t="s">
        <v>1191</v>
      </c>
      <c r="C285" t="s">
        <v>1187</v>
      </c>
      <c r="D285" t="s">
        <v>138</v>
      </c>
      <c r="E285">
        <v>500</v>
      </c>
      <c r="F285" s="68"/>
      <c r="G285" s="68"/>
      <c r="H285" s="68"/>
      <c r="I285" s="68"/>
      <c r="J285" s="68"/>
      <c r="K285" s="68"/>
      <c r="L285" s="68"/>
      <c r="M285" s="68"/>
      <c r="N285" s="68"/>
      <c r="O285" s="68"/>
      <c r="P285" s="68"/>
      <c r="Q285" s="68"/>
      <c r="R285" s="68"/>
      <c r="S285" s="68"/>
      <c r="T285" s="68"/>
      <c r="U285" s="68"/>
      <c r="V285" s="68"/>
      <c r="W285" s="68"/>
      <c r="X285" s="68"/>
      <c r="Y285" s="68"/>
      <c r="Z285" s="68"/>
      <c r="AA285" s="68"/>
      <c r="AB285" s="68"/>
      <c r="AC285" s="68"/>
      <c r="AD285" s="68"/>
      <c r="AE285" s="68"/>
      <c r="AF285" s="68"/>
      <c r="AG285" s="68"/>
      <c r="AH285" s="68"/>
      <c r="AI285" s="68"/>
      <c r="AJ285" s="68"/>
      <c r="AK285"/>
      <c r="AL285"/>
      <c r="AM285"/>
      <c r="AN285"/>
    </row>
    <row r="286" spans="1:40" ht="14.5" x14ac:dyDescent="0.35">
      <c r="A286" t="s">
        <v>1191</v>
      </c>
      <c r="C286" t="s">
        <v>1188</v>
      </c>
      <c r="D286" t="s">
        <v>969</v>
      </c>
      <c r="E286">
        <v>125</v>
      </c>
      <c r="F286" s="68"/>
      <c r="G286" s="68"/>
      <c r="H286" s="68"/>
      <c r="I286" s="68"/>
      <c r="J286" s="68"/>
      <c r="K286" s="68"/>
      <c r="L286" s="68"/>
      <c r="M286" s="68"/>
      <c r="N286" s="68"/>
      <c r="O286" s="68"/>
      <c r="P286" s="68"/>
      <c r="Q286" s="68"/>
      <c r="R286" s="68"/>
      <c r="S286" s="68"/>
      <c r="T286" s="68"/>
      <c r="U286" s="68"/>
      <c r="V286" s="68"/>
      <c r="W286" s="68"/>
      <c r="X286" s="68"/>
      <c r="Y286" s="68"/>
      <c r="Z286" s="68"/>
      <c r="AA286" s="68"/>
      <c r="AB286" s="68"/>
      <c r="AC286" s="68"/>
      <c r="AD286" s="68"/>
      <c r="AE286" s="68"/>
      <c r="AF286" s="68"/>
      <c r="AG286" s="68"/>
      <c r="AH286" s="68"/>
      <c r="AI286" s="68"/>
      <c r="AJ286" s="68"/>
      <c r="AK286"/>
      <c r="AL286"/>
      <c r="AM286"/>
      <c r="AN286"/>
    </row>
    <row r="287" spans="1:40" ht="14.5" x14ac:dyDescent="0.35">
      <c r="A287" t="s">
        <v>1191</v>
      </c>
      <c r="C287" t="s">
        <v>1189</v>
      </c>
      <c r="D287" t="s">
        <v>102</v>
      </c>
      <c r="E287">
        <v>1</v>
      </c>
      <c r="F287" s="68"/>
      <c r="G287" s="68"/>
      <c r="H287" s="68"/>
      <c r="I287" s="68"/>
      <c r="J287" s="68"/>
      <c r="K287" s="68"/>
      <c r="L287" s="68"/>
      <c r="M287" s="68"/>
      <c r="N287" s="68"/>
      <c r="O287" s="68"/>
      <c r="P287" s="68"/>
      <c r="Q287" s="68"/>
      <c r="R287" s="68"/>
      <c r="S287" s="68"/>
      <c r="T287" s="68"/>
      <c r="U287" s="68"/>
      <c r="V287" s="68"/>
      <c r="W287" s="68"/>
      <c r="X287" s="68"/>
      <c r="Y287" s="68"/>
      <c r="Z287" s="68"/>
      <c r="AA287" s="68"/>
      <c r="AB287" s="68"/>
      <c r="AC287" s="68"/>
      <c r="AD287" s="68"/>
      <c r="AE287" s="68"/>
      <c r="AF287" s="68"/>
      <c r="AG287" s="68"/>
      <c r="AH287" s="68"/>
      <c r="AI287" s="68"/>
      <c r="AJ287" s="68"/>
      <c r="AK287"/>
      <c r="AL287"/>
      <c r="AM287"/>
      <c r="AN287"/>
    </row>
    <row r="288" spans="1:40" ht="14.5" x14ac:dyDescent="0.35">
      <c r="A288" t="s">
        <v>1191</v>
      </c>
      <c r="B288" t="s">
        <v>1190</v>
      </c>
      <c r="C288" t="s">
        <v>1191</v>
      </c>
      <c r="D288" t="s">
        <v>67</v>
      </c>
      <c r="F288" s="68"/>
      <c r="G288" s="68"/>
      <c r="H288" s="68"/>
      <c r="I288" s="68"/>
      <c r="J288" s="68"/>
      <c r="K288" s="68"/>
      <c r="L288" s="68"/>
      <c r="M288" s="68"/>
      <c r="N288" s="68"/>
      <c r="O288" s="68"/>
      <c r="P288" s="68"/>
      <c r="Q288" s="68"/>
      <c r="R288" s="68"/>
      <c r="S288" s="68"/>
      <c r="T288" s="68"/>
      <c r="U288" s="68"/>
      <c r="V288" s="68"/>
      <c r="W288" s="68"/>
      <c r="X288" s="68"/>
      <c r="Y288" s="68"/>
      <c r="Z288" s="68"/>
      <c r="AA288" s="68"/>
      <c r="AB288" s="68"/>
      <c r="AC288" s="68"/>
      <c r="AD288" s="68"/>
      <c r="AE288" s="68"/>
      <c r="AF288" s="68"/>
      <c r="AG288" s="68"/>
      <c r="AH288" s="68"/>
      <c r="AI288" s="68"/>
      <c r="AJ288" s="68"/>
      <c r="AK288"/>
      <c r="AL288"/>
      <c r="AM288"/>
      <c r="AN288"/>
    </row>
    <row r="289" spans="1:40" ht="14.5" x14ac:dyDescent="0.35">
      <c r="A289" t="s">
        <v>28</v>
      </c>
      <c r="C289" t="s">
        <v>1040</v>
      </c>
      <c r="D289" t="s">
        <v>103</v>
      </c>
      <c r="E289">
        <v>13800</v>
      </c>
      <c r="F289" s="68"/>
      <c r="G289" s="68"/>
      <c r="H289" s="68"/>
      <c r="I289" s="68"/>
      <c r="J289" s="68"/>
      <c r="K289" s="68"/>
      <c r="L289" s="68"/>
      <c r="M289" s="68"/>
      <c r="N289" s="68"/>
      <c r="O289" s="68"/>
      <c r="P289" s="68"/>
      <c r="Q289" s="68"/>
      <c r="R289" s="68"/>
      <c r="S289" s="68"/>
      <c r="T289" s="68"/>
      <c r="U289" s="68"/>
      <c r="V289" s="68"/>
      <c r="W289" s="68"/>
      <c r="X289" s="68"/>
      <c r="Y289" s="68"/>
      <c r="Z289" s="68"/>
      <c r="AA289" s="68"/>
      <c r="AB289" s="68"/>
      <c r="AC289" s="68"/>
      <c r="AD289" s="68"/>
      <c r="AE289" s="68"/>
      <c r="AF289" s="68"/>
      <c r="AG289" s="68"/>
      <c r="AH289" s="68"/>
      <c r="AI289" s="68"/>
      <c r="AJ289" s="68"/>
      <c r="AK289"/>
      <c r="AL289"/>
      <c r="AM289"/>
      <c r="AN289"/>
    </row>
    <row r="290" spans="1:40" ht="14.5" x14ac:dyDescent="0.35">
      <c r="A290" t="s">
        <v>28</v>
      </c>
      <c r="C290" t="s">
        <v>1064</v>
      </c>
      <c r="D290" t="s">
        <v>101</v>
      </c>
      <c r="E290">
        <v>2300</v>
      </c>
      <c r="F290" s="68"/>
      <c r="G290" s="68"/>
      <c r="H290" s="68"/>
      <c r="I290" s="68"/>
      <c r="J290" s="68"/>
      <c r="K290" s="68"/>
      <c r="L290" s="68"/>
      <c r="M290" s="68"/>
      <c r="N290" s="68"/>
      <c r="O290" s="68"/>
      <c r="P290" s="68"/>
      <c r="Q290" s="68"/>
      <c r="R290" s="68"/>
      <c r="S290" s="68"/>
      <c r="T290" s="68"/>
      <c r="U290" s="68"/>
      <c r="V290" s="68"/>
      <c r="W290" s="68"/>
      <c r="X290" s="68"/>
      <c r="Y290" s="68"/>
      <c r="Z290" s="68"/>
      <c r="AA290" s="68"/>
      <c r="AB290" s="68"/>
      <c r="AC290" s="68"/>
      <c r="AD290" s="68"/>
      <c r="AE290" s="68"/>
      <c r="AF290" s="68"/>
      <c r="AG290" s="68"/>
      <c r="AH290" s="68"/>
      <c r="AI290" s="68"/>
      <c r="AJ290" s="68"/>
      <c r="AK290"/>
      <c r="AL290"/>
      <c r="AM290"/>
      <c r="AN290"/>
    </row>
    <row r="291" spans="1:40" ht="14.5" x14ac:dyDescent="0.35">
      <c r="A291" t="s">
        <v>28</v>
      </c>
      <c r="C291" t="s">
        <v>1084</v>
      </c>
      <c r="D291" t="s">
        <v>29</v>
      </c>
      <c r="E291">
        <v>1</v>
      </c>
      <c r="F291" s="68"/>
      <c r="G291" s="68"/>
      <c r="H291" s="68"/>
      <c r="I291" s="68"/>
      <c r="J291" s="68"/>
      <c r="K291" s="68"/>
      <c r="L291" s="68"/>
      <c r="M291" s="68"/>
      <c r="N291" s="68"/>
      <c r="O291" s="68"/>
      <c r="P291" s="68"/>
      <c r="Q291" s="68"/>
      <c r="R291" s="68"/>
      <c r="S291" s="68"/>
      <c r="T291" s="68"/>
      <c r="U291" s="68"/>
      <c r="V291" s="68"/>
      <c r="W291" s="68"/>
      <c r="X291" s="68"/>
      <c r="Y291" s="68"/>
      <c r="Z291" s="68"/>
      <c r="AA291" s="68"/>
      <c r="AB291" s="68"/>
      <c r="AC291" s="68"/>
      <c r="AD291" s="68"/>
      <c r="AE291" s="68"/>
      <c r="AF291" s="68"/>
      <c r="AG291" s="68"/>
      <c r="AH291" s="68"/>
      <c r="AI291" s="68"/>
      <c r="AJ291" s="68"/>
      <c r="AK291"/>
      <c r="AL291"/>
      <c r="AM291"/>
      <c r="AN291"/>
    </row>
    <row r="292" spans="1:40" ht="14.5" x14ac:dyDescent="0.35">
      <c r="A292" t="s">
        <v>28</v>
      </c>
      <c r="B292" t="s">
        <v>99</v>
      </c>
      <c r="C292" t="s">
        <v>28</v>
      </c>
      <c r="D292" t="s">
        <v>35</v>
      </c>
      <c r="F292" s="68"/>
      <c r="G292" s="68"/>
      <c r="H292" s="68"/>
      <c r="I292" s="68"/>
      <c r="J292" s="68"/>
      <c r="K292" s="68"/>
      <c r="L292" s="68"/>
      <c r="M292" s="68"/>
      <c r="N292" s="68"/>
      <c r="O292" s="68"/>
      <c r="P292" s="68"/>
      <c r="Q292" s="68"/>
      <c r="R292" s="68"/>
      <c r="S292" s="68"/>
      <c r="T292" s="68"/>
      <c r="U292" s="68"/>
      <c r="V292" s="68"/>
      <c r="W292" s="68"/>
      <c r="X292" s="68"/>
      <c r="Y292" s="68"/>
      <c r="Z292" s="68"/>
      <c r="AA292" s="68"/>
      <c r="AB292" s="68"/>
      <c r="AC292" s="68"/>
      <c r="AD292" s="68"/>
      <c r="AE292" s="68"/>
      <c r="AF292" s="68"/>
      <c r="AG292" s="68"/>
      <c r="AH292" s="68"/>
      <c r="AI292" s="68"/>
      <c r="AJ292" s="68"/>
      <c r="AK292"/>
      <c r="AL292"/>
      <c r="AM292"/>
      <c r="AN292"/>
    </row>
    <row r="293" spans="1:40" ht="14.5" x14ac:dyDescent="0.35">
      <c r="A293" t="s">
        <v>541</v>
      </c>
      <c r="C293" t="s">
        <v>983</v>
      </c>
      <c r="D293" t="s">
        <v>138</v>
      </c>
      <c r="E293">
        <v>3000</v>
      </c>
      <c r="F293" s="68"/>
      <c r="G293" s="68"/>
      <c r="H293" s="68"/>
      <c r="I293" s="68"/>
      <c r="J293" s="68"/>
      <c r="K293" s="68"/>
      <c r="L293" s="68"/>
      <c r="M293" s="68"/>
      <c r="N293" s="68"/>
      <c r="O293" s="68"/>
      <c r="P293" s="68"/>
      <c r="Q293" s="68"/>
      <c r="R293" s="68"/>
      <c r="S293" s="68"/>
      <c r="T293" s="68"/>
      <c r="U293" s="68"/>
      <c r="V293" s="68"/>
      <c r="W293" s="68"/>
      <c r="X293" s="68"/>
      <c r="Y293" s="68"/>
      <c r="Z293" s="68"/>
      <c r="AA293" s="68"/>
      <c r="AB293" s="68"/>
      <c r="AC293" s="68"/>
      <c r="AD293" s="68"/>
      <c r="AE293" s="68"/>
      <c r="AF293" s="68"/>
      <c r="AG293" s="68"/>
      <c r="AH293" s="68"/>
      <c r="AI293" s="68"/>
      <c r="AJ293" s="68"/>
      <c r="AK293"/>
      <c r="AL293"/>
      <c r="AM293"/>
      <c r="AN293"/>
    </row>
    <row r="294" spans="1:40" ht="14.5" x14ac:dyDescent="0.35">
      <c r="A294" t="s">
        <v>541</v>
      </c>
      <c r="C294" t="s">
        <v>984</v>
      </c>
      <c r="D294" t="s">
        <v>102</v>
      </c>
      <c r="E294">
        <v>1</v>
      </c>
      <c r="F294" s="68"/>
      <c r="G294" s="68"/>
      <c r="H294" s="68"/>
      <c r="I294" s="68"/>
      <c r="J294" s="68"/>
      <c r="K294" s="68"/>
      <c r="L294" s="68"/>
      <c r="M294" s="68"/>
      <c r="N294" s="68"/>
      <c r="O294" s="68">
        <v>3000</v>
      </c>
      <c r="P294" s="68"/>
      <c r="Q294" s="68"/>
      <c r="R294" s="68"/>
      <c r="S294" s="68"/>
      <c r="T294" s="68"/>
      <c r="U294" s="68"/>
      <c r="V294" s="68"/>
      <c r="W294" s="68"/>
      <c r="X294" s="68"/>
      <c r="Y294" s="68"/>
      <c r="Z294" s="68"/>
      <c r="AA294" s="68"/>
      <c r="AB294" s="68"/>
      <c r="AC294" s="68"/>
      <c r="AD294" s="68"/>
      <c r="AE294" s="68"/>
      <c r="AF294" s="68"/>
      <c r="AG294" s="68"/>
      <c r="AH294" s="68"/>
      <c r="AI294" s="68"/>
      <c r="AJ294" s="68"/>
      <c r="AK294"/>
      <c r="AL294"/>
      <c r="AM294"/>
      <c r="AN294"/>
    </row>
    <row r="295" spans="1:40" ht="14.5" x14ac:dyDescent="0.35">
      <c r="A295" t="s">
        <v>541</v>
      </c>
      <c r="B295" t="s">
        <v>545</v>
      </c>
      <c r="C295" t="s">
        <v>541</v>
      </c>
      <c r="D295" t="s">
        <v>67</v>
      </c>
      <c r="F295" s="68"/>
      <c r="G295" s="68"/>
      <c r="H295" s="68"/>
      <c r="I295" s="68"/>
      <c r="J295" s="68"/>
      <c r="K295" s="68"/>
      <c r="L295" s="68"/>
      <c r="M295" s="68"/>
      <c r="N295" s="68"/>
      <c r="O295" s="68"/>
      <c r="P295" s="68"/>
      <c r="Q295" s="68"/>
      <c r="R295" s="68"/>
      <c r="S295" s="68"/>
      <c r="T295" s="68"/>
      <c r="U295" s="68"/>
      <c r="V295" s="68"/>
      <c r="W295" s="68"/>
      <c r="X295" s="68"/>
      <c r="Y295" s="68"/>
      <c r="Z295" s="68"/>
      <c r="AA295" s="68"/>
      <c r="AB295" s="68"/>
      <c r="AC295" s="68"/>
      <c r="AD295" s="68"/>
      <c r="AE295" s="68"/>
      <c r="AF295" s="68"/>
      <c r="AG295" s="68"/>
      <c r="AH295" s="68"/>
      <c r="AI295" s="68"/>
      <c r="AJ295" s="68"/>
      <c r="AK295"/>
      <c r="AL295"/>
      <c r="AM295"/>
      <c r="AN295"/>
    </row>
    <row r="296" spans="1:40" ht="14.5" x14ac:dyDescent="0.35">
      <c r="A296" t="s">
        <v>920</v>
      </c>
      <c r="C296" t="s">
        <v>999</v>
      </c>
      <c r="D296" t="s">
        <v>557</v>
      </c>
      <c r="E296">
        <v>500</v>
      </c>
      <c r="F296" s="68"/>
      <c r="G296" s="68"/>
      <c r="H296" s="68">
        <f>5</f>
        <v>5</v>
      </c>
      <c r="I296" s="68"/>
      <c r="J296" s="68"/>
      <c r="K296" s="68"/>
      <c r="L296" s="68"/>
      <c r="M296" s="68"/>
      <c r="N296" s="68"/>
      <c r="O296" s="68"/>
      <c r="P296" s="68"/>
      <c r="Q296" s="68"/>
      <c r="R296" s="68"/>
      <c r="S296" s="68"/>
      <c r="T296" s="68"/>
      <c r="U296" s="68"/>
      <c r="V296" s="68"/>
      <c r="W296" s="68"/>
      <c r="X296" s="68"/>
      <c r="Y296" s="68"/>
      <c r="Z296" s="68"/>
      <c r="AA296" s="68"/>
      <c r="AB296" s="68"/>
      <c r="AC296" s="68"/>
      <c r="AD296" s="68"/>
      <c r="AE296" s="68"/>
      <c r="AF296" s="68"/>
      <c r="AG296" s="68"/>
      <c r="AH296" s="68"/>
      <c r="AI296" s="68"/>
      <c r="AJ296" s="68"/>
      <c r="AK296"/>
      <c r="AL296"/>
      <c r="AM296"/>
      <c r="AN296"/>
    </row>
    <row r="297" spans="1:40" ht="14.5" x14ac:dyDescent="0.35">
      <c r="A297" t="s">
        <v>920</v>
      </c>
      <c r="C297" t="s">
        <v>1000</v>
      </c>
      <c r="D297" t="s">
        <v>101</v>
      </c>
      <c r="E297">
        <v>25</v>
      </c>
      <c r="F297" s="68"/>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c r="AD297" s="68"/>
      <c r="AE297" s="68"/>
      <c r="AF297" s="68"/>
      <c r="AG297" s="68"/>
      <c r="AH297" s="68"/>
      <c r="AI297" s="68"/>
      <c r="AJ297" s="68"/>
      <c r="AK297"/>
      <c r="AL297"/>
      <c r="AM297"/>
      <c r="AN297"/>
    </row>
    <row r="298" spans="1:40" ht="14.5" x14ac:dyDescent="0.35">
      <c r="A298" t="s">
        <v>920</v>
      </c>
      <c r="C298" t="s">
        <v>1001</v>
      </c>
      <c r="D298" t="s">
        <v>102</v>
      </c>
      <c r="E298">
        <v>1</v>
      </c>
      <c r="F298" s="68"/>
      <c r="G298" s="68"/>
      <c r="H298" s="68"/>
      <c r="I298" s="68"/>
      <c r="J298" s="68"/>
      <c r="K298" s="68"/>
      <c r="L298" s="68">
        <v>2500</v>
      </c>
      <c r="M298" s="68"/>
      <c r="N298" s="68"/>
      <c r="O298" s="68">
        <v>3000</v>
      </c>
      <c r="P298" s="68"/>
      <c r="Q298" s="68"/>
      <c r="R298" s="68"/>
      <c r="S298" s="68">
        <v>1000</v>
      </c>
      <c r="T298" s="68"/>
      <c r="U298" s="68"/>
      <c r="V298" s="68"/>
      <c r="W298" s="68"/>
      <c r="X298" s="68"/>
      <c r="Y298" s="68"/>
      <c r="Z298" s="68"/>
      <c r="AA298" s="68"/>
      <c r="AB298" s="68"/>
      <c r="AC298" s="68"/>
      <c r="AD298" s="68"/>
      <c r="AE298" s="68"/>
      <c r="AF298" s="68"/>
      <c r="AG298" s="68"/>
      <c r="AH298" s="68"/>
      <c r="AI298" s="68"/>
      <c r="AJ298" s="68"/>
      <c r="AK298"/>
      <c r="AL298"/>
      <c r="AM298"/>
      <c r="AN298"/>
    </row>
    <row r="299" spans="1:40" ht="14.5" x14ac:dyDescent="0.35">
      <c r="A299" t="s">
        <v>920</v>
      </c>
      <c r="B299" t="s">
        <v>1021</v>
      </c>
      <c r="C299" t="s">
        <v>920</v>
      </c>
      <c r="D299" t="s">
        <v>67</v>
      </c>
      <c r="F299" s="68"/>
      <c r="G299" s="68"/>
      <c r="H299" s="68"/>
      <c r="I299" s="68"/>
      <c r="J299" s="68"/>
      <c r="K299" s="68"/>
      <c r="L299" s="68"/>
      <c r="M299" s="68"/>
      <c r="N299" s="68"/>
      <c r="O299" s="68"/>
      <c r="P299" s="68"/>
      <c r="Q299" s="68"/>
      <c r="R299" s="68"/>
      <c r="S299" s="68"/>
      <c r="T299" s="68"/>
      <c r="U299" s="68"/>
      <c r="V299" s="68"/>
      <c r="W299" s="68"/>
      <c r="X299" s="68"/>
      <c r="Y299" s="68"/>
      <c r="Z299" s="68"/>
      <c r="AA299" s="68"/>
      <c r="AB299" s="68"/>
      <c r="AC299" s="68"/>
      <c r="AD299" s="68"/>
      <c r="AE299" s="68"/>
      <c r="AF299" s="68"/>
      <c r="AG299" s="68"/>
      <c r="AH299" s="68"/>
      <c r="AI299" s="68"/>
      <c r="AJ299" s="68"/>
      <c r="AK299"/>
      <c r="AL299"/>
      <c r="AM299"/>
      <c r="AN299"/>
    </row>
    <row r="300" spans="1:40" ht="14.5" x14ac:dyDescent="0.35">
      <c r="A300" t="s">
        <v>1318</v>
      </c>
      <c r="C300" t="s">
        <v>1319</v>
      </c>
      <c r="D300" t="s">
        <v>103</v>
      </c>
      <c r="E300">
        <v>250</v>
      </c>
      <c r="F300" s="68"/>
      <c r="G300" s="68"/>
      <c r="H300" s="68">
        <f>26</f>
        <v>26</v>
      </c>
      <c r="I300" s="68"/>
      <c r="J300" s="68">
        <v>15</v>
      </c>
      <c r="K300" s="68"/>
      <c r="L300" s="68"/>
      <c r="M300" s="68"/>
      <c r="N300" s="68">
        <f>575/25</f>
        <v>23</v>
      </c>
      <c r="O300" s="68"/>
      <c r="P300" s="68"/>
      <c r="Q300" s="68">
        <f>18</f>
        <v>18</v>
      </c>
      <c r="R300" s="68"/>
      <c r="S300" s="68">
        <v>12</v>
      </c>
      <c r="T300" s="68"/>
      <c r="U300" s="68"/>
      <c r="V300" s="68"/>
      <c r="W300" s="68"/>
      <c r="X300" s="68"/>
      <c r="Y300" s="68"/>
      <c r="Z300" s="68"/>
      <c r="AA300" s="68"/>
      <c r="AB300" s="68"/>
      <c r="AC300" s="68"/>
      <c r="AD300" s="68"/>
      <c r="AE300" s="68"/>
      <c r="AF300" s="68"/>
      <c r="AG300" s="68"/>
      <c r="AH300" s="68"/>
      <c r="AI300" s="68"/>
      <c r="AJ300" s="68"/>
      <c r="AK300" s="68"/>
      <c r="AL300"/>
      <c r="AM300"/>
      <c r="AN300"/>
    </row>
    <row r="301" spans="1:40" ht="14.5" x14ac:dyDescent="0.35">
      <c r="A301" t="s">
        <v>1318</v>
      </c>
      <c r="C301" t="s">
        <v>1320</v>
      </c>
      <c r="D301" t="s">
        <v>101</v>
      </c>
      <c r="E301">
        <v>10</v>
      </c>
      <c r="F301" s="68"/>
      <c r="G301" s="68"/>
      <c r="H301" s="68"/>
      <c r="I301" s="68"/>
      <c r="J301" s="68"/>
      <c r="K301" s="68"/>
      <c r="L301" s="68"/>
      <c r="M301" s="68"/>
      <c r="N301" s="68"/>
      <c r="O301" s="68">
        <v>450</v>
      </c>
      <c r="P301" s="68"/>
      <c r="Q301" s="68"/>
      <c r="R301" s="68"/>
      <c r="S301" s="68"/>
      <c r="T301" s="68"/>
      <c r="U301" s="68"/>
      <c r="V301" s="68"/>
      <c r="W301" s="68"/>
      <c r="X301" s="68"/>
      <c r="Y301" s="68"/>
      <c r="Z301" s="68"/>
      <c r="AA301" s="68"/>
      <c r="AB301" s="68"/>
      <c r="AC301" s="68"/>
      <c r="AD301" s="68"/>
      <c r="AE301" s="68"/>
      <c r="AF301" s="68"/>
      <c r="AG301" s="68"/>
      <c r="AH301" s="68"/>
      <c r="AI301" s="68"/>
      <c r="AJ301" s="68"/>
      <c r="AK301" s="68"/>
      <c r="AL301"/>
      <c r="AM301"/>
      <c r="AN301"/>
    </row>
    <row r="302" spans="1:40" ht="14.5" x14ac:dyDescent="0.35">
      <c r="A302" t="s">
        <v>1318</v>
      </c>
      <c r="C302" t="s">
        <v>1321</v>
      </c>
      <c r="D302" t="s">
        <v>102</v>
      </c>
      <c r="E302">
        <v>1</v>
      </c>
      <c r="F302" s="68"/>
      <c r="G302" s="68"/>
      <c r="H302" s="68"/>
      <c r="I302" s="68"/>
      <c r="J302" s="68"/>
      <c r="K302" s="68"/>
      <c r="L302" s="68"/>
      <c r="M302" s="68"/>
      <c r="N302" s="68"/>
      <c r="O302" s="68"/>
      <c r="P302" s="68"/>
      <c r="Q302" s="68"/>
      <c r="R302" s="68"/>
      <c r="S302" s="68"/>
      <c r="T302" s="68"/>
      <c r="U302" s="68"/>
      <c r="V302" s="68"/>
      <c r="W302" s="68"/>
      <c r="X302" s="68"/>
      <c r="Y302" s="68"/>
      <c r="Z302" s="68"/>
      <c r="AA302" s="68"/>
      <c r="AB302" s="68"/>
      <c r="AC302" s="68"/>
      <c r="AD302" s="68"/>
      <c r="AE302" s="68"/>
      <c r="AF302" s="68"/>
      <c r="AG302" s="68"/>
      <c r="AH302" s="68"/>
      <c r="AI302" s="68"/>
      <c r="AJ302" s="68"/>
      <c r="AK302" s="68"/>
      <c r="AL302"/>
      <c r="AM302"/>
      <c r="AN302"/>
    </row>
    <row r="303" spans="1:40" ht="14.5" x14ac:dyDescent="0.35">
      <c r="A303" t="s">
        <v>1318</v>
      </c>
      <c r="B303" t="s">
        <v>1323</v>
      </c>
      <c r="C303" t="s">
        <v>1318</v>
      </c>
      <c r="D303" t="s">
        <v>67</v>
      </c>
      <c r="F303" s="68"/>
      <c r="G303" s="68"/>
      <c r="H303" s="68"/>
      <c r="I303" s="68"/>
      <c r="J303" s="68"/>
      <c r="K303" s="68"/>
      <c r="L303" s="68"/>
      <c r="M303" s="68"/>
      <c r="N303" s="68"/>
      <c r="O303" s="68"/>
      <c r="P303" s="68"/>
      <c r="Q303" s="68"/>
      <c r="R303" s="68"/>
      <c r="S303" s="68"/>
      <c r="T303" s="68"/>
      <c r="U303" s="68"/>
      <c r="V303" s="68"/>
      <c r="W303" s="68"/>
      <c r="X303" s="68"/>
      <c r="Y303" s="68"/>
      <c r="Z303" s="68"/>
      <c r="AA303" s="68"/>
      <c r="AB303" s="68"/>
      <c r="AC303" s="68"/>
      <c r="AD303" s="68"/>
      <c r="AE303" s="68"/>
      <c r="AF303" s="68"/>
      <c r="AG303" s="68"/>
      <c r="AH303" s="68"/>
      <c r="AI303" s="68"/>
      <c r="AJ303" s="68"/>
      <c r="AK303" s="68"/>
      <c r="AL303"/>
      <c r="AM303"/>
      <c r="AN303"/>
    </row>
    <row r="304" spans="1:40" ht="14.5" x14ac:dyDescent="0.35">
      <c r="A304" t="s">
        <v>30</v>
      </c>
      <c r="C304" t="s">
        <v>143</v>
      </c>
      <c r="D304" t="s">
        <v>138</v>
      </c>
      <c r="E304">
        <v>100</v>
      </c>
      <c r="F304" s="68"/>
      <c r="G304" s="68"/>
      <c r="H304" s="68"/>
      <c r="I304" s="68"/>
      <c r="J304" s="68"/>
      <c r="K304" s="68"/>
      <c r="L304" s="68"/>
      <c r="M304" s="68"/>
      <c r="N304" s="68"/>
      <c r="O304" s="68">
        <v>1</v>
      </c>
      <c r="P304" s="68"/>
      <c r="Q304" s="68"/>
      <c r="R304" s="68"/>
      <c r="S304" s="68">
        <v>1</v>
      </c>
      <c r="T304" s="68"/>
      <c r="U304" s="68"/>
      <c r="V304" s="68"/>
      <c r="W304" s="68"/>
      <c r="X304" s="68"/>
      <c r="Y304" s="68"/>
      <c r="Z304" s="68"/>
      <c r="AA304" s="68"/>
      <c r="AB304" s="68"/>
      <c r="AC304" s="68"/>
      <c r="AD304" s="68"/>
      <c r="AE304" s="68"/>
      <c r="AF304" s="68"/>
      <c r="AG304" s="68"/>
      <c r="AH304" s="68"/>
      <c r="AI304" s="68"/>
      <c r="AJ304" s="68"/>
      <c r="AK304" s="68"/>
      <c r="AL304"/>
      <c r="AM304"/>
      <c r="AN304"/>
    </row>
    <row r="305" spans="1:40" ht="14.5" x14ac:dyDescent="0.35">
      <c r="A305" t="s">
        <v>30</v>
      </c>
      <c r="C305" t="s">
        <v>144</v>
      </c>
      <c r="D305" t="s">
        <v>102</v>
      </c>
      <c r="E305">
        <v>1</v>
      </c>
      <c r="F305" s="68"/>
      <c r="G305" s="68"/>
      <c r="H305" s="68"/>
      <c r="I305" s="68"/>
      <c r="J305" s="68"/>
      <c r="K305" s="68"/>
      <c r="L305" s="68"/>
      <c r="M305" s="68"/>
      <c r="N305" s="68"/>
      <c r="O305" s="68"/>
      <c r="P305" s="68"/>
      <c r="Q305" s="68"/>
      <c r="R305" s="68"/>
      <c r="S305" s="68"/>
      <c r="T305" s="68"/>
      <c r="U305" s="68"/>
      <c r="V305" s="68"/>
      <c r="W305" s="68"/>
      <c r="X305" s="68"/>
      <c r="Y305" s="68"/>
      <c r="Z305" s="68"/>
      <c r="AA305" s="68"/>
      <c r="AB305" s="68"/>
      <c r="AC305" s="68"/>
      <c r="AD305" s="68"/>
      <c r="AE305" s="68"/>
      <c r="AF305" s="68"/>
      <c r="AG305" s="68"/>
      <c r="AH305" s="68"/>
      <c r="AI305" s="68"/>
      <c r="AJ305" s="68"/>
      <c r="AK305" s="68"/>
      <c r="AL305"/>
      <c r="AM305"/>
      <c r="AN305"/>
    </row>
    <row r="306" spans="1:40" ht="14.5" x14ac:dyDescent="0.35">
      <c r="A306" t="s">
        <v>30</v>
      </c>
      <c r="B306" t="s">
        <v>75</v>
      </c>
      <c r="C306" t="s">
        <v>30</v>
      </c>
      <c r="D306" t="s">
        <v>67</v>
      </c>
      <c r="F306" s="68"/>
      <c r="G306" s="68"/>
      <c r="H306" s="68"/>
      <c r="I306" s="68"/>
      <c r="J306" s="68"/>
      <c r="K306" s="68"/>
      <c r="L306" s="68"/>
      <c r="M306" s="68"/>
      <c r="N306" s="68"/>
      <c r="O306" s="68"/>
      <c r="P306" s="68"/>
      <c r="Q306" s="68"/>
      <c r="R306" s="68"/>
      <c r="S306" s="68"/>
      <c r="T306" s="68"/>
      <c r="U306" s="68"/>
      <c r="V306" s="68"/>
      <c r="W306" s="68"/>
      <c r="X306" s="68"/>
      <c r="Y306" s="68"/>
      <c r="Z306" s="68"/>
      <c r="AA306" s="68"/>
      <c r="AB306" s="68"/>
      <c r="AC306" s="68"/>
      <c r="AD306" s="68"/>
      <c r="AE306" s="68"/>
      <c r="AF306" s="68"/>
      <c r="AG306" s="68"/>
      <c r="AH306" s="68"/>
      <c r="AI306" s="68"/>
      <c r="AJ306" s="68"/>
      <c r="AK306" s="68"/>
      <c r="AL306"/>
      <c r="AM306"/>
      <c r="AN306"/>
    </row>
    <row r="307" spans="1:40" ht="14.5" x14ac:dyDescent="0.35">
      <c r="A307" t="s">
        <v>31</v>
      </c>
      <c r="C307" t="s">
        <v>139</v>
      </c>
      <c r="D307" t="s">
        <v>138</v>
      </c>
      <c r="E307">
        <v>750</v>
      </c>
      <c r="F307" s="68"/>
      <c r="G307" s="68"/>
      <c r="H307" s="68">
        <f>2</f>
        <v>2</v>
      </c>
      <c r="I307" s="68"/>
      <c r="J307" s="68"/>
      <c r="K307" s="68"/>
      <c r="L307" s="68">
        <v>2</v>
      </c>
      <c r="M307" s="68"/>
      <c r="N307" s="68"/>
      <c r="O307" s="68">
        <v>3</v>
      </c>
      <c r="P307" s="68"/>
      <c r="Q307" s="68"/>
      <c r="R307" s="68"/>
      <c r="S307" s="68">
        <v>2</v>
      </c>
      <c r="T307" s="68"/>
      <c r="U307" s="68"/>
      <c r="V307" s="68"/>
      <c r="W307" s="68"/>
      <c r="X307" s="68"/>
      <c r="Y307" s="68"/>
      <c r="Z307" s="68"/>
      <c r="AA307" s="68"/>
      <c r="AB307" s="68"/>
      <c r="AC307" s="68"/>
      <c r="AD307" s="68"/>
      <c r="AE307" s="68"/>
      <c r="AF307" s="68"/>
      <c r="AG307" s="68"/>
      <c r="AH307" s="68"/>
      <c r="AI307" s="68"/>
      <c r="AJ307" s="68"/>
      <c r="AK307" s="68"/>
      <c r="AL307"/>
      <c r="AM307"/>
      <c r="AN307"/>
    </row>
    <row r="308" spans="1:40" ht="14.5" x14ac:dyDescent="0.35">
      <c r="A308" t="s">
        <v>31</v>
      </c>
      <c r="C308" t="s">
        <v>140</v>
      </c>
      <c r="D308" t="s">
        <v>102</v>
      </c>
      <c r="E308">
        <v>15</v>
      </c>
      <c r="F308" s="68"/>
      <c r="G308" s="68"/>
      <c r="H308" s="68"/>
      <c r="I308" s="68"/>
      <c r="J308" s="68"/>
      <c r="K308" s="68"/>
      <c r="L308" s="68"/>
      <c r="M308" s="68"/>
      <c r="N308" s="68"/>
      <c r="O308" s="68"/>
      <c r="P308" s="68"/>
      <c r="Q308" s="68"/>
      <c r="R308" s="68"/>
      <c r="S308" s="68"/>
      <c r="T308" s="68"/>
      <c r="U308" s="68"/>
      <c r="V308" s="68"/>
      <c r="W308" s="68"/>
      <c r="X308" s="68"/>
      <c r="Y308" s="68"/>
      <c r="Z308" s="68"/>
      <c r="AA308" s="68"/>
      <c r="AB308" s="68"/>
      <c r="AC308" s="68"/>
      <c r="AD308" s="68"/>
      <c r="AE308" s="68"/>
      <c r="AF308" s="68"/>
      <c r="AG308" s="68"/>
      <c r="AH308" s="68"/>
      <c r="AI308" s="68"/>
      <c r="AJ308" s="68"/>
      <c r="AK308" s="68"/>
      <c r="AL308"/>
      <c r="AM308"/>
      <c r="AN308"/>
    </row>
    <row r="309" spans="1:40" ht="14.5" x14ac:dyDescent="0.35">
      <c r="A309" t="s">
        <v>31</v>
      </c>
      <c r="B309" t="s">
        <v>76</v>
      </c>
      <c r="C309" t="s">
        <v>31</v>
      </c>
      <c r="D309" t="s">
        <v>35</v>
      </c>
      <c r="F309" s="68"/>
      <c r="G309" s="68"/>
      <c r="H309" s="68"/>
      <c r="I309" s="68"/>
      <c r="J309" s="68"/>
      <c r="K309" s="68"/>
      <c r="L309" s="68"/>
      <c r="M309" s="68"/>
      <c r="N309" s="68"/>
      <c r="O309" s="68"/>
      <c r="P309" s="68"/>
      <c r="Q309" s="68"/>
      <c r="R309" s="68"/>
      <c r="S309" s="68"/>
      <c r="T309" s="68"/>
      <c r="U309" s="68"/>
      <c r="V309" s="68"/>
      <c r="W309" s="68"/>
      <c r="X309" s="68"/>
      <c r="Y309" s="68"/>
      <c r="Z309" s="68"/>
      <c r="AA309" s="68"/>
      <c r="AB309" s="68"/>
      <c r="AC309" s="68"/>
      <c r="AD309" s="68"/>
      <c r="AE309" s="68"/>
      <c r="AF309" s="68"/>
      <c r="AG309" s="68"/>
      <c r="AH309" s="68"/>
      <c r="AI309" s="68"/>
      <c r="AJ309" s="68"/>
      <c r="AK309" s="68"/>
      <c r="AL309" s="65"/>
      <c r="AM309" s="65"/>
      <c r="AN309"/>
    </row>
    <row r="310" spans="1:40" ht="14.5" x14ac:dyDescent="0.35">
      <c r="A310" t="s">
        <v>72</v>
      </c>
      <c r="C310" t="s">
        <v>163</v>
      </c>
      <c r="D310" t="s">
        <v>103</v>
      </c>
      <c r="E310">
        <v>7680</v>
      </c>
      <c r="F310" s="68"/>
      <c r="G310" s="68"/>
      <c r="H310" s="68">
        <f>5</f>
        <v>5</v>
      </c>
      <c r="I310" s="68"/>
      <c r="J310" s="68"/>
      <c r="K310" s="68"/>
      <c r="L310" s="68">
        <v>5</v>
      </c>
      <c r="M310" s="68"/>
      <c r="N310" s="68"/>
      <c r="O310" s="68">
        <v>4</v>
      </c>
      <c r="P310" s="68"/>
      <c r="Q310" s="68"/>
      <c r="R310" s="68"/>
      <c r="S310" s="68">
        <v>6</v>
      </c>
      <c r="T310" s="68"/>
      <c r="U310" s="68"/>
      <c r="V310" s="68"/>
      <c r="W310" s="68"/>
      <c r="X310" s="68"/>
      <c r="Y310" s="68"/>
      <c r="Z310" s="68"/>
      <c r="AA310" s="68"/>
      <c r="AB310" s="68"/>
      <c r="AC310" s="68"/>
      <c r="AD310" s="68"/>
      <c r="AE310" s="68"/>
      <c r="AF310" s="68"/>
      <c r="AG310" s="68"/>
      <c r="AH310" s="68"/>
      <c r="AI310" s="68"/>
      <c r="AJ310" s="68"/>
      <c r="AK310" s="68"/>
      <c r="AL310" s="65"/>
      <c r="AM310" s="65"/>
      <c r="AN310"/>
    </row>
    <row r="311" spans="1:40" ht="14.5" x14ac:dyDescent="0.35">
      <c r="A311" t="s">
        <v>72</v>
      </c>
      <c r="C311" t="s">
        <v>164</v>
      </c>
      <c r="D311" t="s">
        <v>101</v>
      </c>
      <c r="E311">
        <v>640</v>
      </c>
      <c r="F311" s="68"/>
      <c r="G311" s="68"/>
      <c r="H311" s="68"/>
      <c r="I311" s="68"/>
      <c r="J311" s="68"/>
      <c r="K311" s="68"/>
      <c r="L311" s="68"/>
      <c r="M311" s="68"/>
      <c r="N311" s="68"/>
      <c r="O311" s="68"/>
      <c r="P311" s="68"/>
      <c r="Q311" s="68"/>
      <c r="R311" s="68"/>
      <c r="S311" s="68"/>
      <c r="T311" s="68"/>
      <c r="U311" s="68"/>
      <c r="V311" s="68"/>
      <c r="W311" s="68"/>
      <c r="X311" s="68"/>
      <c r="Y311" s="68"/>
      <c r="Z311" s="68"/>
      <c r="AA311" s="68"/>
      <c r="AB311" s="68"/>
      <c r="AC311" s="68"/>
      <c r="AD311" s="68"/>
      <c r="AE311" s="68"/>
      <c r="AF311" s="68"/>
      <c r="AG311" s="68"/>
      <c r="AH311" s="68"/>
      <c r="AI311" s="68"/>
      <c r="AJ311" s="68"/>
      <c r="AK311" s="68"/>
      <c r="AL311" s="65"/>
      <c r="AM311" s="65"/>
      <c r="AN311"/>
    </row>
    <row r="312" spans="1:40" ht="14.5" x14ac:dyDescent="0.35">
      <c r="A312" t="s">
        <v>72</v>
      </c>
      <c r="B312" t="s">
        <v>71</v>
      </c>
      <c r="C312" t="s">
        <v>72</v>
      </c>
      <c r="D312" t="s">
        <v>35</v>
      </c>
      <c r="F312" s="68"/>
      <c r="G312" s="68"/>
      <c r="H312" s="68"/>
      <c r="I312" s="68"/>
      <c r="J312" s="68"/>
      <c r="K312" s="68"/>
      <c r="L312" s="68"/>
      <c r="M312" s="68"/>
      <c r="N312" s="68"/>
      <c r="O312" s="68"/>
      <c r="P312" s="68"/>
      <c r="Q312" s="68"/>
      <c r="R312" s="68"/>
      <c r="S312" s="68"/>
      <c r="T312" s="68"/>
      <c r="U312" s="68"/>
      <c r="V312" s="68"/>
      <c r="W312" s="68"/>
      <c r="X312" s="68"/>
      <c r="Y312" s="68"/>
      <c r="Z312" s="68"/>
      <c r="AA312" s="68"/>
      <c r="AB312" s="68"/>
      <c r="AC312" s="68"/>
      <c r="AD312" s="68"/>
      <c r="AE312" s="68"/>
      <c r="AF312" s="68"/>
      <c r="AG312" s="68"/>
      <c r="AH312" s="68"/>
      <c r="AI312" s="68"/>
      <c r="AJ312" s="68"/>
      <c r="AK312" s="68"/>
      <c r="AL312" s="65"/>
      <c r="AM312" s="65"/>
      <c r="AN312"/>
    </row>
    <row r="313" spans="1:40" ht="14.5" x14ac:dyDescent="0.35">
      <c r="A313" t="s">
        <v>542</v>
      </c>
      <c r="C313" t="s">
        <v>547</v>
      </c>
      <c r="D313" t="s">
        <v>103</v>
      </c>
      <c r="E313">
        <v>8000</v>
      </c>
      <c r="F313" s="68"/>
      <c r="G313" s="68"/>
      <c r="H313" s="68">
        <f>3</f>
        <v>3</v>
      </c>
      <c r="I313" s="68"/>
      <c r="J313" s="68"/>
      <c r="K313" s="68"/>
      <c r="L313" s="68">
        <v>2</v>
      </c>
      <c r="M313" s="68"/>
      <c r="N313" s="68"/>
      <c r="O313" s="68">
        <v>4</v>
      </c>
      <c r="P313" s="68"/>
      <c r="Q313" s="68"/>
      <c r="R313" s="68"/>
      <c r="S313" s="68">
        <v>2</v>
      </c>
      <c r="T313" s="68"/>
      <c r="U313" s="68"/>
      <c r="V313" s="68"/>
      <c r="W313" s="68"/>
      <c r="X313" s="68"/>
      <c r="Y313" s="68"/>
      <c r="Z313" s="68"/>
      <c r="AA313" s="68"/>
      <c r="AB313" s="68"/>
      <c r="AC313" s="68"/>
      <c r="AD313" s="68"/>
      <c r="AE313" s="68"/>
      <c r="AF313" s="68"/>
      <c r="AG313" s="68"/>
      <c r="AH313" s="68"/>
      <c r="AI313" s="68"/>
      <c r="AJ313" s="68"/>
      <c r="AK313" s="68"/>
      <c r="AL313" s="65"/>
      <c r="AM313" s="65"/>
      <c r="AN313"/>
    </row>
    <row r="314" spans="1:40" ht="14.5" x14ac:dyDescent="0.35">
      <c r="A314" t="s">
        <v>542</v>
      </c>
      <c r="C314" t="s">
        <v>1125</v>
      </c>
      <c r="D314" t="s">
        <v>101</v>
      </c>
      <c r="E314">
        <v>800</v>
      </c>
      <c r="F314" s="68"/>
      <c r="G314" s="68"/>
      <c r="H314" s="68"/>
      <c r="I314" s="68"/>
      <c r="J314" s="68"/>
      <c r="K314" s="68"/>
      <c r="L314" s="68"/>
      <c r="M314" s="68"/>
      <c r="N314" s="68"/>
      <c r="O314" s="68"/>
      <c r="P314" s="68"/>
      <c r="Q314" s="68"/>
      <c r="R314" s="68"/>
      <c r="S314" s="68"/>
      <c r="T314" s="68"/>
      <c r="U314" s="68"/>
      <c r="V314" s="68"/>
      <c r="W314" s="68"/>
      <c r="X314" s="68"/>
      <c r="Y314" s="68"/>
      <c r="Z314" s="68"/>
      <c r="AA314" s="68"/>
      <c r="AB314" s="68"/>
      <c r="AC314" s="68"/>
      <c r="AD314" s="68"/>
      <c r="AE314" s="68"/>
      <c r="AF314" s="68"/>
      <c r="AG314" s="68"/>
      <c r="AH314" s="68"/>
      <c r="AI314" s="68"/>
      <c r="AJ314" s="68"/>
      <c r="AK314" s="68"/>
      <c r="AL314" s="65"/>
      <c r="AM314" s="65"/>
      <c r="AN314"/>
    </row>
    <row r="315" spans="1:40" ht="14.5" x14ac:dyDescent="0.35">
      <c r="A315" t="s">
        <v>542</v>
      </c>
      <c r="C315" t="s">
        <v>559</v>
      </c>
      <c r="D315" t="s">
        <v>102</v>
      </c>
      <c r="E315">
        <v>10</v>
      </c>
      <c r="F315" s="68"/>
      <c r="G315" s="68"/>
      <c r="H315" s="68"/>
      <c r="I315" s="68"/>
      <c r="J315" s="68"/>
      <c r="K315" s="68"/>
      <c r="L315" s="68"/>
      <c r="M315" s="68"/>
      <c r="N315" s="68"/>
      <c r="O315" s="68"/>
      <c r="P315" s="68"/>
      <c r="Q315" s="68"/>
      <c r="R315" s="68"/>
      <c r="S315" s="68"/>
      <c r="T315" s="68"/>
      <c r="U315" s="68"/>
      <c r="V315" s="68"/>
      <c r="W315" s="68"/>
      <c r="X315" s="68"/>
      <c r="Y315" s="68"/>
      <c r="Z315" s="68"/>
      <c r="AA315" s="68"/>
      <c r="AB315" s="68"/>
      <c r="AC315" s="68"/>
      <c r="AD315" s="68"/>
      <c r="AE315" s="68"/>
      <c r="AF315" s="68"/>
      <c r="AG315" s="68"/>
      <c r="AH315" s="68"/>
      <c r="AI315" s="68"/>
      <c r="AJ315" s="68"/>
      <c r="AK315" s="65"/>
      <c r="AL315" s="65"/>
      <c r="AM315" s="65"/>
      <c r="AN315"/>
    </row>
    <row r="316" spans="1:40" ht="14.5" x14ac:dyDescent="0.35">
      <c r="A316" t="s">
        <v>542</v>
      </c>
      <c r="B316" t="s">
        <v>546</v>
      </c>
      <c r="C316" t="s">
        <v>542</v>
      </c>
      <c r="D316" t="s">
        <v>35</v>
      </c>
      <c r="F316" s="68"/>
      <c r="G316" s="68"/>
      <c r="H316" s="68"/>
      <c r="I316" s="68"/>
      <c r="J316" s="68"/>
      <c r="K316" s="68"/>
      <c r="L316" s="68"/>
      <c r="M316" s="68"/>
      <c r="N316" s="68"/>
      <c r="O316" s="68"/>
      <c r="P316" s="68"/>
      <c r="Q316" s="68"/>
      <c r="R316" s="68"/>
      <c r="S316" s="68"/>
      <c r="T316" s="68"/>
      <c r="U316" s="68"/>
      <c r="V316" s="68"/>
      <c r="W316" s="68"/>
      <c r="X316" s="68"/>
      <c r="Y316" s="68"/>
      <c r="Z316" s="68"/>
      <c r="AA316" s="68"/>
      <c r="AB316" s="68"/>
      <c r="AC316" s="68"/>
      <c r="AD316" s="68"/>
      <c r="AE316" s="68"/>
      <c r="AF316" s="68"/>
      <c r="AG316" s="68"/>
      <c r="AH316" s="68"/>
      <c r="AI316" s="68"/>
      <c r="AJ316" s="68"/>
      <c r="AK316" s="65"/>
      <c r="AL316" s="65"/>
      <c r="AM316" s="65"/>
      <c r="AN316"/>
    </row>
    <row r="317" spans="1:40" ht="14.5" x14ac:dyDescent="0.35">
      <c r="A317" t="s">
        <v>32</v>
      </c>
      <c r="C317" t="s">
        <v>577</v>
      </c>
      <c r="D317" t="s">
        <v>568</v>
      </c>
      <c r="E317">
        <v>1</v>
      </c>
      <c r="F317" s="68"/>
      <c r="G317" s="68"/>
      <c r="H317" s="68"/>
      <c r="I317" s="68"/>
      <c r="J317" s="68"/>
      <c r="K317" s="68"/>
      <c r="L317" s="68"/>
      <c r="M317" s="68"/>
      <c r="N317" s="68"/>
      <c r="O317" s="68"/>
      <c r="P317" s="68"/>
      <c r="Q317" s="68"/>
      <c r="R317" s="68"/>
      <c r="S317" s="68"/>
      <c r="T317" s="68"/>
      <c r="U317" s="68"/>
      <c r="V317" s="68"/>
      <c r="W317" s="68"/>
      <c r="X317" s="68"/>
      <c r="Y317" s="68"/>
      <c r="Z317" s="68"/>
      <c r="AA317" s="68"/>
      <c r="AB317" s="68"/>
      <c r="AC317" s="68"/>
      <c r="AD317" s="68"/>
      <c r="AE317" s="68"/>
      <c r="AF317" s="68"/>
      <c r="AG317" s="68"/>
      <c r="AH317" s="68"/>
      <c r="AI317" s="68"/>
      <c r="AJ317" s="68"/>
      <c r="AK317" s="65"/>
      <c r="AL317" s="65"/>
      <c r="AM317" s="65"/>
      <c r="AN317"/>
    </row>
    <row r="318" spans="1:40" ht="14.5" x14ac:dyDescent="0.35">
      <c r="A318" t="s">
        <v>32</v>
      </c>
      <c r="B318" t="s">
        <v>578</v>
      </c>
      <c r="C318" t="s">
        <v>32</v>
      </c>
      <c r="D318" t="s">
        <v>67</v>
      </c>
      <c r="F318" s="68"/>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c r="AD318" s="68"/>
      <c r="AE318" s="68"/>
      <c r="AF318" s="68"/>
      <c r="AG318" s="68"/>
      <c r="AH318" s="68"/>
      <c r="AI318" s="68"/>
      <c r="AJ318" s="68"/>
      <c r="AK318" s="65"/>
      <c r="AL318" s="65"/>
      <c r="AM318" s="65"/>
      <c r="AN318"/>
    </row>
    <row r="319" spans="1:40" ht="14.5" x14ac:dyDescent="0.35">
      <c r="A319" t="s">
        <v>33</v>
      </c>
      <c r="C319" t="s">
        <v>575</v>
      </c>
      <c r="D319" t="s">
        <v>568</v>
      </c>
      <c r="E319">
        <v>1</v>
      </c>
      <c r="F319" s="68"/>
      <c r="G319" s="68"/>
      <c r="H319" s="68"/>
      <c r="I319" s="68"/>
      <c r="J319" s="68"/>
      <c r="K319" s="68"/>
      <c r="L319" s="68">
        <f>24*7</f>
        <v>168</v>
      </c>
      <c r="M319" s="68"/>
      <c r="N319" s="68"/>
      <c r="O319" s="68"/>
      <c r="P319" s="68"/>
      <c r="Q319" s="68"/>
      <c r="R319" s="68"/>
      <c r="S319" s="68">
        <v>96</v>
      </c>
      <c r="T319" s="68"/>
      <c r="U319" s="68"/>
      <c r="V319" s="68"/>
      <c r="W319" s="68"/>
      <c r="X319" s="68"/>
      <c r="Y319" s="68"/>
      <c r="Z319" s="68"/>
      <c r="AA319" s="68"/>
      <c r="AB319" s="68"/>
      <c r="AC319" s="68"/>
      <c r="AD319" s="68"/>
      <c r="AE319" s="68"/>
      <c r="AF319" s="68"/>
      <c r="AG319" s="68"/>
      <c r="AH319" s="68"/>
      <c r="AI319" s="68"/>
      <c r="AJ319" s="68"/>
      <c r="AK319" s="65"/>
      <c r="AL319" s="65"/>
      <c r="AM319" s="65"/>
      <c r="AN319"/>
    </row>
    <row r="320" spans="1:40" ht="14.5" x14ac:dyDescent="0.35">
      <c r="A320" t="s">
        <v>33</v>
      </c>
      <c r="B320" t="s">
        <v>576</v>
      </c>
      <c r="C320" t="s">
        <v>33</v>
      </c>
      <c r="D320" t="s">
        <v>67</v>
      </c>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68"/>
      <c r="AG320" s="68"/>
      <c r="AH320" s="68"/>
      <c r="AI320" s="68"/>
      <c r="AJ320" s="68"/>
      <c r="AK320" s="65"/>
      <c r="AL320" s="65"/>
      <c r="AM320" s="65"/>
      <c r="AN320"/>
    </row>
    <row r="321" spans="1:40" ht="14.5" x14ac:dyDescent="0.35">
      <c r="A321" t="s">
        <v>555</v>
      </c>
      <c r="C321" t="s">
        <v>1041</v>
      </c>
      <c r="D321" t="s">
        <v>102</v>
      </c>
      <c r="E321">
        <v>324</v>
      </c>
      <c r="F321" s="68"/>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c r="AD321" s="68"/>
      <c r="AE321" s="68"/>
      <c r="AF321" s="68"/>
      <c r="AG321" s="68"/>
      <c r="AH321" s="68"/>
      <c r="AI321" s="68"/>
      <c r="AJ321" s="68"/>
      <c r="AK321" s="65"/>
      <c r="AL321" s="65"/>
      <c r="AM321" s="65"/>
      <c r="AN321"/>
    </row>
    <row r="322" spans="1:40" ht="14.5" x14ac:dyDescent="0.35">
      <c r="A322" t="s">
        <v>555</v>
      </c>
      <c r="C322" t="s">
        <v>561</v>
      </c>
      <c r="D322" t="s">
        <v>102</v>
      </c>
      <c r="E322">
        <v>27</v>
      </c>
      <c r="F322" s="68"/>
      <c r="G322" s="68"/>
      <c r="H322" s="68"/>
      <c r="I322" s="68"/>
      <c r="J322" s="68"/>
      <c r="K322" s="68"/>
      <c r="L322" s="68"/>
      <c r="M322" s="68"/>
      <c r="N322" s="68"/>
      <c r="O322" s="68"/>
      <c r="P322" s="68"/>
      <c r="Q322" s="68"/>
      <c r="R322" s="68"/>
      <c r="S322" s="68"/>
      <c r="T322" s="68"/>
      <c r="U322" s="68"/>
      <c r="V322" s="68"/>
      <c r="W322" s="68"/>
      <c r="X322" s="68"/>
      <c r="Y322" s="68"/>
      <c r="Z322" s="68"/>
      <c r="AA322" s="68"/>
      <c r="AB322" s="68"/>
      <c r="AC322" s="68"/>
      <c r="AD322" s="68"/>
      <c r="AE322" s="68"/>
      <c r="AF322" s="68"/>
      <c r="AG322" s="68"/>
      <c r="AH322" s="68"/>
      <c r="AI322" s="68"/>
      <c r="AJ322" s="68"/>
      <c r="AK322" s="65"/>
      <c r="AL322" s="65"/>
      <c r="AM322" s="65"/>
      <c r="AN322"/>
    </row>
    <row r="323" spans="1:40" ht="14.5" x14ac:dyDescent="0.35">
      <c r="A323" t="s">
        <v>555</v>
      </c>
      <c r="C323" t="s">
        <v>562</v>
      </c>
      <c r="D323" t="s">
        <v>102</v>
      </c>
      <c r="E323">
        <v>1</v>
      </c>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c r="AF323" s="68"/>
      <c r="AG323" s="68"/>
      <c r="AH323" s="68"/>
      <c r="AI323" s="68"/>
      <c r="AJ323" s="68"/>
      <c r="AK323" s="65"/>
      <c r="AL323" s="65"/>
      <c r="AM323" s="65"/>
      <c r="AN323"/>
    </row>
    <row r="324" spans="1:40" ht="14.5" x14ac:dyDescent="0.35">
      <c r="A324" t="s">
        <v>555</v>
      </c>
      <c r="B324" t="s">
        <v>563</v>
      </c>
      <c r="C324" t="s">
        <v>555</v>
      </c>
      <c r="D324" t="s">
        <v>67</v>
      </c>
      <c r="F324" s="68"/>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c r="AD324" s="68"/>
      <c r="AE324" s="68"/>
      <c r="AF324" s="68"/>
      <c r="AG324" s="68"/>
      <c r="AH324" s="68"/>
      <c r="AI324" s="68"/>
      <c r="AJ324" s="68"/>
      <c r="AK324" s="65"/>
      <c r="AL324" s="65"/>
      <c r="AM324" s="65"/>
      <c r="AN324"/>
    </row>
    <row r="325" spans="1:40" ht="14.5" x14ac:dyDescent="0.35">
      <c r="A325" t="s">
        <v>34</v>
      </c>
      <c r="C325" t="s">
        <v>1042</v>
      </c>
      <c r="D325" t="s">
        <v>103</v>
      </c>
      <c r="E325">
        <v>10000</v>
      </c>
      <c r="F325" s="68"/>
      <c r="G325" s="68"/>
      <c r="H325" s="68">
        <f>35</f>
        <v>35</v>
      </c>
      <c r="I325" s="68"/>
      <c r="J325" s="68"/>
      <c r="K325" s="68"/>
      <c r="L325" s="68">
        <v>30</v>
      </c>
      <c r="M325" s="68"/>
      <c r="N325" s="68"/>
      <c r="O325" s="68">
        <v>35</v>
      </c>
      <c r="P325" s="68"/>
      <c r="Q325" s="68"/>
      <c r="R325" s="68"/>
      <c r="S325" s="68">
        <v>25</v>
      </c>
      <c r="T325" s="68"/>
      <c r="U325" s="68"/>
      <c r="V325" s="68"/>
      <c r="W325" s="68"/>
      <c r="X325" s="68"/>
      <c r="Y325" s="68"/>
      <c r="Z325" s="68"/>
      <c r="AA325" s="68"/>
      <c r="AB325" s="68"/>
      <c r="AC325" s="68"/>
      <c r="AD325" s="68"/>
      <c r="AE325" s="68"/>
      <c r="AF325" s="68"/>
      <c r="AG325" s="68"/>
      <c r="AH325" s="68"/>
      <c r="AI325" s="68"/>
      <c r="AJ325" s="68"/>
      <c r="AK325" s="65"/>
      <c r="AL325" s="65"/>
      <c r="AM325" s="65"/>
      <c r="AN325"/>
    </row>
    <row r="326" spans="1:40" ht="14.5" x14ac:dyDescent="0.35">
      <c r="A326" t="s">
        <v>34</v>
      </c>
      <c r="C326" t="s">
        <v>1065</v>
      </c>
      <c r="D326" t="s">
        <v>101</v>
      </c>
      <c r="E326">
        <v>1000</v>
      </c>
      <c r="F326" s="68"/>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c r="AD326" s="68"/>
      <c r="AE326" s="68"/>
      <c r="AF326" s="68"/>
      <c r="AG326" s="68"/>
      <c r="AH326" s="68"/>
      <c r="AI326" s="68"/>
      <c r="AJ326" s="68"/>
      <c r="AK326" s="65"/>
      <c r="AL326" s="65"/>
      <c r="AM326" s="65"/>
      <c r="AN326"/>
    </row>
    <row r="327" spans="1:40" ht="14.5" x14ac:dyDescent="0.35">
      <c r="A327" t="s">
        <v>34</v>
      </c>
      <c r="C327" t="s">
        <v>639</v>
      </c>
      <c r="D327" t="s">
        <v>29</v>
      </c>
      <c r="E327">
        <v>0.93023255813953487</v>
      </c>
      <c r="F327" s="68"/>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c r="AD327" s="68"/>
      <c r="AE327" s="68"/>
      <c r="AF327" s="68"/>
      <c r="AG327" s="68"/>
      <c r="AH327" s="68"/>
      <c r="AI327" s="68"/>
      <c r="AJ327" s="68"/>
      <c r="AK327" s="65"/>
      <c r="AL327" s="65"/>
      <c r="AM327" s="65"/>
      <c r="AN327"/>
    </row>
    <row r="328" spans="1:40" ht="14.5" x14ac:dyDescent="0.35">
      <c r="A328" t="s">
        <v>34</v>
      </c>
      <c r="B328" t="s">
        <v>96</v>
      </c>
      <c r="C328" t="s">
        <v>34</v>
      </c>
      <c r="D328" t="s">
        <v>68</v>
      </c>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c r="AJ328" s="68"/>
      <c r="AK328" s="65"/>
      <c r="AL328" s="65"/>
      <c r="AM328" s="65"/>
      <c r="AN328"/>
    </row>
    <row r="329" spans="1:40" ht="14.5" x14ac:dyDescent="0.35">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68"/>
      <c r="AG329" s="68"/>
      <c r="AH329" s="68"/>
      <c r="AI329" s="68"/>
      <c r="AJ329" s="68"/>
      <c r="AK329" s="65"/>
      <c r="AL329" s="65"/>
      <c r="AM329" s="65"/>
      <c r="AN329"/>
    </row>
    <row r="330" spans="1:40" ht="14.5" x14ac:dyDescent="0.35">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68"/>
      <c r="AG330" s="68"/>
      <c r="AH330" s="68"/>
      <c r="AI330" s="68"/>
      <c r="AJ330" s="68"/>
      <c r="AK330" s="65"/>
      <c r="AL330" s="65"/>
      <c r="AM330" s="65"/>
      <c r="AN330"/>
    </row>
    <row r="331" spans="1:40" ht="14.5" x14ac:dyDescent="0.35">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c r="AD331" s="68"/>
      <c r="AE331" s="68"/>
      <c r="AF331" s="68"/>
      <c r="AG331" s="68"/>
      <c r="AH331" s="68"/>
      <c r="AI331" s="68"/>
      <c r="AJ331" s="68"/>
      <c r="AK331" s="65"/>
      <c r="AL331" s="65"/>
      <c r="AM331" s="65"/>
      <c r="AN331"/>
    </row>
    <row r="332" spans="1:40" ht="14.5" x14ac:dyDescent="0.35">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c r="AD332" s="68"/>
      <c r="AE332" s="68"/>
      <c r="AF332" s="68"/>
      <c r="AG332" s="68"/>
      <c r="AH332" s="68"/>
      <c r="AI332" s="68"/>
      <c r="AJ332" s="68"/>
      <c r="AK332" s="65"/>
      <c r="AL332" s="65"/>
      <c r="AM332" s="65"/>
      <c r="AN332"/>
    </row>
    <row r="333" spans="1:40" ht="14.5" x14ac:dyDescent="0.35">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c r="AF333" s="68"/>
      <c r="AG333" s="68"/>
      <c r="AH333" s="68"/>
      <c r="AI333" s="68"/>
      <c r="AJ333" s="68"/>
      <c r="AK333" s="65"/>
      <c r="AL333" s="65"/>
      <c r="AM333" s="65"/>
      <c r="AN333"/>
    </row>
    <row r="334" spans="1:40" ht="14.5" x14ac:dyDescent="0.35">
      <c r="G334" s="68"/>
      <c r="H334" s="68"/>
      <c r="I334" s="68"/>
      <c r="J334" s="68"/>
      <c r="K334" s="68"/>
      <c r="L334" s="68"/>
      <c r="M334" s="68"/>
      <c r="N334" s="68"/>
      <c r="O334" s="68"/>
      <c r="P334" s="68"/>
      <c r="Q334" s="68"/>
      <c r="R334" s="68"/>
      <c r="S334" s="68"/>
      <c r="T334" s="68"/>
      <c r="U334" s="68"/>
      <c r="V334" s="68"/>
      <c r="W334" s="68"/>
      <c r="X334" s="68"/>
      <c r="Y334" s="68"/>
      <c r="Z334" s="68"/>
      <c r="AA334" s="68"/>
      <c r="AB334" s="68"/>
      <c r="AC334" s="68"/>
      <c r="AD334" s="68"/>
      <c r="AE334" s="68"/>
      <c r="AF334" s="68"/>
      <c r="AG334" s="68"/>
      <c r="AH334" s="68"/>
      <c r="AI334" s="68"/>
      <c r="AJ334" s="68"/>
      <c r="AK334" s="65"/>
      <c r="AL334" s="65"/>
      <c r="AM334" s="65"/>
      <c r="AN334"/>
    </row>
    <row r="335" spans="1:40" ht="14.5" x14ac:dyDescent="0.35">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c r="AF335" s="68"/>
      <c r="AG335" s="68"/>
      <c r="AH335" s="68"/>
      <c r="AI335" s="68"/>
      <c r="AJ335" s="68"/>
      <c r="AK335" s="65"/>
      <c r="AL335" s="65"/>
      <c r="AM335" s="65"/>
      <c r="AN335" s="65"/>
    </row>
    <row r="336" spans="1:40" ht="14.5" x14ac:dyDescent="0.35">
      <c r="G336" s="68"/>
      <c r="H336" s="68"/>
      <c r="I336" s="68"/>
      <c r="J336" s="68"/>
      <c r="K336" s="68"/>
      <c r="L336" s="68"/>
      <c r="M336" s="68"/>
      <c r="N336" s="68"/>
      <c r="O336" s="68"/>
      <c r="P336" s="68"/>
      <c r="Q336" s="68"/>
      <c r="R336" s="68"/>
      <c r="S336" s="68"/>
      <c r="T336" s="68"/>
      <c r="U336" s="68"/>
      <c r="V336" s="68"/>
      <c r="W336" s="68"/>
      <c r="X336" s="68"/>
      <c r="Y336" s="68"/>
      <c r="Z336" s="68"/>
      <c r="AA336" s="68"/>
      <c r="AB336" s="68"/>
      <c r="AC336" s="68"/>
      <c r="AD336" s="68"/>
      <c r="AE336" s="68"/>
      <c r="AF336" s="68"/>
      <c r="AG336" s="68"/>
      <c r="AH336" s="68"/>
      <c r="AI336" s="68"/>
      <c r="AJ336" s="68"/>
      <c r="AK336" s="65"/>
      <c r="AL336" s="65"/>
      <c r="AM336" s="65"/>
      <c r="AN336" s="65"/>
    </row>
    <row r="337" spans="7:40" ht="14.5" x14ac:dyDescent="0.35">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68"/>
      <c r="AG337" s="68"/>
      <c r="AH337" s="68"/>
      <c r="AI337" s="68"/>
      <c r="AJ337" s="68"/>
      <c r="AK337" s="65"/>
      <c r="AL337" s="65"/>
      <c r="AM337" s="65"/>
      <c r="AN337" s="65"/>
    </row>
    <row r="338" spans="7:40" ht="14.5" x14ac:dyDescent="0.35">
      <c r="G338" s="68"/>
      <c r="H338" s="68"/>
      <c r="I338" s="68"/>
      <c r="J338" s="68"/>
      <c r="K338" s="68"/>
      <c r="L338" s="68"/>
      <c r="M338" s="68"/>
      <c r="N338" s="68"/>
      <c r="O338" s="68"/>
      <c r="P338" s="68"/>
      <c r="Q338" s="68"/>
      <c r="R338" s="68"/>
      <c r="S338" s="68"/>
      <c r="T338" s="68"/>
      <c r="U338" s="68"/>
      <c r="V338" s="68"/>
      <c r="W338" s="68"/>
      <c r="X338" s="68"/>
      <c r="Y338" s="68"/>
      <c r="Z338" s="68"/>
      <c r="AA338" s="68"/>
      <c r="AB338" s="68"/>
      <c r="AC338" s="68"/>
      <c r="AD338" s="68"/>
      <c r="AE338" s="68"/>
      <c r="AF338" s="68"/>
      <c r="AG338" s="68"/>
      <c r="AH338" s="68"/>
      <c r="AI338" s="68"/>
      <c r="AJ338" s="68"/>
      <c r="AK338" s="65"/>
      <c r="AL338" s="65"/>
      <c r="AM338" s="65"/>
      <c r="AN338" s="65"/>
    </row>
    <row r="339" spans="7:40" ht="14.5" x14ac:dyDescent="0.35">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c r="AF339" s="68"/>
      <c r="AG339" s="68"/>
      <c r="AH339" s="68"/>
      <c r="AI339" s="68"/>
      <c r="AJ339" s="68"/>
      <c r="AK339" s="65"/>
      <c r="AL339" s="65"/>
      <c r="AM339" s="65"/>
      <c r="AN339" s="65"/>
    </row>
    <row r="340" spans="7:40" ht="14.5" x14ac:dyDescent="0.35">
      <c r="G340" s="68"/>
      <c r="H340" s="68"/>
      <c r="I340" s="68"/>
      <c r="J340" s="68"/>
      <c r="K340" s="68"/>
      <c r="L340" s="68"/>
      <c r="M340" s="68"/>
      <c r="N340" s="68"/>
      <c r="O340" s="68"/>
      <c r="P340" s="68"/>
      <c r="Q340" s="68"/>
      <c r="R340" s="68"/>
      <c r="S340" s="68"/>
      <c r="T340" s="68"/>
      <c r="U340" s="68"/>
      <c r="V340" s="68"/>
      <c r="W340" s="68"/>
      <c r="X340" s="68"/>
      <c r="Y340" s="68"/>
      <c r="Z340" s="68"/>
      <c r="AA340" s="68"/>
      <c r="AB340" s="68"/>
      <c r="AC340" s="68"/>
      <c r="AD340" s="68"/>
      <c r="AE340" s="68"/>
      <c r="AF340" s="68"/>
      <c r="AG340" s="68"/>
      <c r="AH340" s="68"/>
      <c r="AI340" s="68"/>
      <c r="AJ340" s="68"/>
      <c r="AK340" s="65"/>
      <c r="AL340" s="65"/>
      <c r="AM340" s="65"/>
      <c r="AN340" s="65"/>
    </row>
    <row r="341" spans="7:40" ht="14.5" x14ac:dyDescent="0.35">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c r="AF341" s="68"/>
      <c r="AG341" s="68"/>
      <c r="AH341" s="68"/>
      <c r="AI341" s="68"/>
      <c r="AJ341" s="68"/>
      <c r="AK341" s="65"/>
      <c r="AL341" s="65"/>
      <c r="AM341" s="65"/>
      <c r="AN341" s="65"/>
    </row>
    <row r="342" spans="7:40" ht="14.5" x14ac:dyDescent="0.35">
      <c r="G342" s="68"/>
      <c r="H342" s="68"/>
      <c r="I342" s="68"/>
      <c r="J342" s="68"/>
      <c r="K342" s="68"/>
      <c r="L342" s="68"/>
      <c r="M342" s="68"/>
      <c r="N342" s="68"/>
      <c r="O342" s="68"/>
      <c r="P342" s="68"/>
      <c r="Q342" s="68"/>
      <c r="R342" s="68"/>
      <c r="S342" s="68"/>
      <c r="T342" s="68"/>
      <c r="U342" s="68"/>
      <c r="V342" s="68"/>
      <c r="W342" s="68"/>
      <c r="X342" s="68"/>
      <c r="Y342" s="68"/>
      <c r="Z342" s="68"/>
      <c r="AA342" s="68"/>
      <c r="AB342" s="68"/>
      <c r="AC342" s="68"/>
      <c r="AD342" s="68"/>
      <c r="AE342" s="68"/>
      <c r="AF342" s="68"/>
      <c r="AG342" s="68"/>
      <c r="AH342" s="68"/>
      <c r="AI342" s="68"/>
      <c r="AJ342" s="68"/>
      <c r="AK342" s="65"/>
      <c r="AL342" s="65"/>
      <c r="AM342" s="65"/>
      <c r="AN342" s="65"/>
    </row>
    <row r="343" spans="7:40" ht="14.5" x14ac:dyDescent="0.35">
      <c r="G343" s="68"/>
      <c r="H343" s="68"/>
      <c r="I343" s="68"/>
      <c r="J343" s="68"/>
      <c r="K343" s="68"/>
      <c r="L343" s="68"/>
      <c r="M343" s="68"/>
      <c r="N343" s="68"/>
      <c r="O343" s="68"/>
      <c r="P343" s="68"/>
      <c r="Q343" s="68"/>
      <c r="R343" s="68"/>
      <c r="S343" s="68"/>
      <c r="T343" s="68"/>
      <c r="U343" s="68"/>
      <c r="V343" s="68"/>
      <c r="W343" s="68"/>
      <c r="X343" s="68"/>
      <c r="Y343" s="68"/>
      <c r="Z343" s="68"/>
      <c r="AA343" s="68"/>
      <c r="AB343" s="68"/>
      <c r="AC343" s="68"/>
      <c r="AD343" s="68"/>
      <c r="AE343" s="68"/>
      <c r="AF343" s="68"/>
      <c r="AG343" s="68"/>
      <c r="AH343" s="68"/>
      <c r="AI343" s="68"/>
      <c r="AJ343" s="68"/>
      <c r="AK343" s="65"/>
      <c r="AL343" s="65"/>
      <c r="AM343" s="65"/>
      <c r="AN343" s="65"/>
    </row>
    <row r="344" spans="7:40" ht="14.5" x14ac:dyDescent="0.35">
      <c r="J344" s="65"/>
      <c r="K344" s="65"/>
      <c r="L344" s="65"/>
      <c r="M344" s="65"/>
      <c r="N344" s="65"/>
      <c r="O344" s="65"/>
      <c r="P344" s="65"/>
      <c r="Q344" s="65"/>
      <c r="R344" s="65"/>
      <c r="S344" s="65"/>
      <c r="T344" s="65"/>
      <c r="U344" s="65"/>
      <c r="V344" s="65"/>
      <c r="W344" s="65"/>
      <c r="X344" s="65"/>
      <c r="Y344" s="65"/>
      <c r="Z344" s="65"/>
      <c r="AA344" s="65"/>
      <c r="AB344" s="65"/>
      <c r="AC344" s="65"/>
      <c r="AD344" s="65"/>
      <c r="AE344" s="65"/>
      <c r="AF344" s="65"/>
      <c r="AG344" s="65"/>
      <c r="AH344" s="65"/>
      <c r="AI344" s="65"/>
      <c r="AJ344" s="65"/>
      <c r="AK344" s="65"/>
      <c r="AL344" s="65"/>
      <c r="AM344" s="65"/>
      <c r="AN344" s="65"/>
    </row>
    <row r="345" spans="7:40" ht="14.5" x14ac:dyDescent="0.35">
      <c r="J345" s="65"/>
      <c r="K345" s="65"/>
      <c r="L345" s="65"/>
      <c r="M345" s="65"/>
      <c r="N345" s="65"/>
      <c r="O345" s="65"/>
      <c r="P345" s="65"/>
      <c r="Q345" s="65"/>
      <c r="R345" s="65"/>
      <c r="S345" s="65"/>
      <c r="T345" s="65"/>
      <c r="U345" s="65"/>
      <c r="V345" s="65"/>
      <c r="W345" s="65"/>
      <c r="X345" s="65"/>
      <c r="Y345" s="65"/>
      <c r="Z345" s="65"/>
      <c r="AA345" s="65"/>
      <c r="AB345" s="65"/>
      <c r="AC345" s="65"/>
      <c r="AD345" s="65"/>
      <c r="AE345" s="65"/>
      <c r="AF345" s="65"/>
      <c r="AG345" s="65"/>
      <c r="AH345" s="65"/>
      <c r="AI345" s="65"/>
      <c r="AJ345" s="65"/>
      <c r="AK345" s="65"/>
      <c r="AL345" s="65"/>
      <c r="AM345" s="65"/>
      <c r="AN345" s="65"/>
    </row>
    <row r="346" spans="7:40" ht="14.5" x14ac:dyDescent="0.35">
      <c r="J346" s="65"/>
      <c r="K346" s="65"/>
      <c r="L346" s="65"/>
      <c r="M346" s="65"/>
      <c r="N346" s="65"/>
      <c r="O346" s="65"/>
      <c r="P346" s="65"/>
      <c r="Q346" s="65"/>
      <c r="R346" s="65"/>
      <c r="S346" s="65"/>
      <c r="T346" s="65"/>
      <c r="U346" s="65"/>
      <c r="V346" s="65"/>
      <c r="W346" s="65"/>
      <c r="X346" s="65"/>
      <c r="Y346" s="65"/>
      <c r="Z346" s="65"/>
      <c r="AA346" s="65"/>
      <c r="AB346" s="65"/>
      <c r="AC346" s="65"/>
      <c r="AD346" s="65"/>
      <c r="AE346" s="65"/>
      <c r="AF346" s="65"/>
      <c r="AG346" s="65"/>
      <c r="AH346" s="65"/>
      <c r="AI346" s="65"/>
      <c r="AJ346" s="65"/>
      <c r="AK346" s="65"/>
      <c r="AL346" s="65"/>
      <c r="AM346" s="65"/>
      <c r="AN346" s="65"/>
    </row>
    <row r="347" spans="7:40" ht="14.5" x14ac:dyDescent="0.35">
      <c r="J347" s="65"/>
      <c r="K347" s="65"/>
      <c r="L347" s="65"/>
      <c r="M347" s="65"/>
      <c r="N347" s="65"/>
      <c r="O347" s="65"/>
      <c r="P347" s="65"/>
      <c r="Q347" s="65"/>
      <c r="R347" s="65"/>
      <c r="S347" s="65"/>
      <c r="T347" s="65"/>
      <c r="U347" s="65"/>
      <c r="V347" s="65"/>
      <c r="W347" s="65"/>
      <c r="X347" s="65"/>
      <c r="Y347" s="65"/>
      <c r="Z347" s="65"/>
      <c r="AA347" s="65"/>
      <c r="AB347" s="65"/>
      <c r="AC347" s="65"/>
      <c r="AD347" s="65"/>
      <c r="AE347" s="65"/>
      <c r="AF347" s="65"/>
      <c r="AG347" s="65"/>
      <c r="AH347" s="65"/>
      <c r="AI347" s="65"/>
      <c r="AJ347" s="65"/>
      <c r="AK347" s="65"/>
      <c r="AL347" s="65"/>
      <c r="AM347" s="65"/>
      <c r="AN347" s="65"/>
    </row>
    <row r="348" spans="7:40" ht="14.5" x14ac:dyDescent="0.35">
      <c r="J348" s="65"/>
      <c r="K348" s="65"/>
      <c r="L348" s="65"/>
      <c r="M348" s="65"/>
      <c r="N348" s="65"/>
      <c r="O348" s="65"/>
      <c r="P348" s="65"/>
      <c r="Q348" s="65"/>
      <c r="R348" s="65"/>
      <c r="S348" s="65"/>
      <c r="T348" s="65"/>
      <c r="U348" s="65"/>
      <c r="V348" s="65"/>
      <c r="W348" s="65"/>
      <c r="X348" s="65"/>
      <c r="Y348" s="65"/>
      <c r="Z348" s="65"/>
      <c r="AA348" s="65"/>
      <c r="AB348" s="65"/>
      <c r="AC348" s="65"/>
      <c r="AD348" s="65"/>
      <c r="AE348" s="65"/>
      <c r="AF348" s="65"/>
      <c r="AG348" s="65"/>
      <c r="AH348" s="65"/>
      <c r="AI348" s="65"/>
      <c r="AJ348" s="65"/>
      <c r="AK348" s="65"/>
      <c r="AL348" s="65"/>
      <c r="AM348" s="65"/>
      <c r="AN348" s="65"/>
    </row>
    <row r="349" spans="7:40" ht="14.5" x14ac:dyDescent="0.35">
      <c r="J349" s="65"/>
      <c r="K349" s="65"/>
      <c r="L349" s="65"/>
      <c r="M349" s="65"/>
      <c r="N349" s="65"/>
      <c r="O349" s="65"/>
      <c r="P349" s="65"/>
      <c r="Q349" s="65"/>
      <c r="R349" s="65"/>
      <c r="S349" s="65"/>
      <c r="T349" s="65"/>
      <c r="U349" s="65"/>
      <c r="V349" s="65"/>
      <c r="W349" s="65"/>
      <c r="X349" s="65"/>
      <c r="Y349" s="65"/>
      <c r="Z349" s="65"/>
      <c r="AA349" s="65"/>
      <c r="AB349" s="65"/>
      <c r="AC349" s="65"/>
      <c r="AD349" s="65"/>
      <c r="AE349" s="65"/>
      <c r="AF349" s="65"/>
      <c r="AG349" s="65"/>
      <c r="AH349" s="65"/>
      <c r="AI349" s="65"/>
      <c r="AJ349" s="65"/>
      <c r="AK349" s="65"/>
      <c r="AL349" s="65"/>
      <c r="AM349" s="65"/>
      <c r="AN349" s="65"/>
    </row>
    <row r="350" spans="7:40" ht="14.5" x14ac:dyDescent="0.35">
      <c r="J350" s="65"/>
      <c r="K350" s="65"/>
      <c r="L350" s="65"/>
      <c r="M350" s="65"/>
      <c r="N350" s="65"/>
      <c r="O350" s="65"/>
      <c r="P350" s="65"/>
      <c r="Q350" s="65"/>
      <c r="R350" s="65"/>
      <c r="S350" s="65"/>
      <c r="T350" s="65"/>
      <c r="U350" s="65"/>
      <c r="V350" s="65"/>
      <c r="W350" s="65"/>
      <c r="X350" s="65"/>
      <c r="Y350" s="65"/>
      <c r="Z350" s="65"/>
      <c r="AA350" s="65"/>
      <c r="AB350" s="65"/>
      <c r="AC350" s="65"/>
      <c r="AD350" s="65"/>
      <c r="AE350" s="65"/>
      <c r="AF350" s="65"/>
      <c r="AG350" s="65"/>
      <c r="AH350" s="65"/>
      <c r="AI350" s="65"/>
      <c r="AJ350" s="65"/>
      <c r="AK350" s="65"/>
      <c r="AL350" s="65"/>
      <c r="AM350" s="65"/>
      <c r="AN350" s="65"/>
    </row>
    <row r="351" spans="7:40" ht="14.5" x14ac:dyDescent="0.35">
      <c r="J351" s="65"/>
      <c r="K351" s="65"/>
      <c r="L351" s="65"/>
      <c r="M351" s="65"/>
      <c r="N351" s="65"/>
      <c r="O351" s="65"/>
      <c r="P351" s="65"/>
      <c r="Q351" s="65"/>
      <c r="R351" s="65"/>
      <c r="S351" s="65"/>
      <c r="T351" s="65"/>
      <c r="U351" s="65"/>
      <c r="V351" s="65"/>
      <c r="W351" s="65"/>
      <c r="X351" s="65"/>
      <c r="Y351" s="65"/>
      <c r="Z351" s="65"/>
      <c r="AA351" s="65"/>
      <c r="AB351" s="65"/>
      <c r="AC351" s="65"/>
      <c r="AD351" s="65"/>
      <c r="AE351" s="65"/>
      <c r="AF351" s="65"/>
      <c r="AG351" s="65"/>
      <c r="AH351" s="65"/>
      <c r="AI351" s="65"/>
      <c r="AJ351" s="65"/>
      <c r="AK351" s="65"/>
      <c r="AL351" s="65"/>
      <c r="AM351" s="65"/>
      <c r="AN351" s="65"/>
    </row>
    <row r="352" spans="7:40" ht="14.5" x14ac:dyDescent="0.35">
      <c r="J352" s="65"/>
      <c r="K352" s="65"/>
      <c r="L352" s="65"/>
      <c r="M352" s="65"/>
      <c r="N352" s="65"/>
      <c r="O352" s="65"/>
      <c r="P352" s="65"/>
      <c r="Q352" s="65"/>
      <c r="R352" s="65"/>
      <c r="S352" s="65"/>
      <c r="T352" s="65"/>
      <c r="U352" s="65"/>
      <c r="V352" s="65"/>
      <c r="W352" s="65"/>
      <c r="X352" s="65"/>
      <c r="Y352" s="65"/>
      <c r="Z352" s="65"/>
      <c r="AA352" s="65"/>
      <c r="AB352" s="65"/>
      <c r="AC352" s="65"/>
      <c r="AD352" s="65"/>
      <c r="AE352" s="65"/>
      <c r="AF352" s="65"/>
      <c r="AG352" s="65"/>
      <c r="AH352" s="65"/>
      <c r="AI352" s="65"/>
      <c r="AJ352" s="65"/>
      <c r="AK352" s="65"/>
      <c r="AL352" s="65"/>
      <c r="AM352" s="65"/>
      <c r="AN352" s="65"/>
    </row>
    <row r="353" spans="10:40" ht="14.5" x14ac:dyDescent="0.35">
      <c r="J353" s="65"/>
      <c r="K353" s="65"/>
      <c r="L353" s="65"/>
      <c r="M353" s="65"/>
      <c r="N353" s="65"/>
      <c r="O353" s="65"/>
      <c r="P353" s="65"/>
      <c r="Q353" s="65"/>
      <c r="R353" s="65"/>
      <c r="S353" s="65"/>
      <c r="T353" s="65"/>
      <c r="U353" s="65"/>
      <c r="V353" s="65"/>
      <c r="W353" s="65"/>
      <c r="X353" s="65"/>
      <c r="Y353" s="65"/>
      <c r="Z353" s="65"/>
      <c r="AA353" s="65"/>
      <c r="AB353" s="65"/>
      <c r="AC353" s="65"/>
      <c r="AD353" s="65"/>
      <c r="AE353" s="65"/>
      <c r="AF353" s="65"/>
      <c r="AG353" s="65"/>
      <c r="AH353" s="65"/>
      <c r="AI353" s="65"/>
      <c r="AJ353" s="65"/>
      <c r="AK353" s="65"/>
      <c r="AL353" s="65"/>
      <c r="AM353" s="65"/>
      <c r="AN353" s="65"/>
    </row>
    <row r="354" spans="10:40" ht="14.5" x14ac:dyDescent="0.35">
      <c r="J354" s="65"/>
      <c r="K354" s="65"/>
      <c r="L354" s="65"/>
      <c r="M354" s="65"/>
      <c r="N354" s="65"/>
      <c r="O354" s="65"/>
      <c r="P354" s="65"/>
      <c r="Q354" s="65"/>
      <c r="R354" s="65"/>
      <c r="S354" s="65"/>
      <c r="T354" s="65"/>
      <c r="U354" s="65"/>
      <c r="V354" s="65"/>
      <c r="W354" s="65"/>
      <c r="X354" s="65"/>
      <c r="Y354" s="65"/>
      <c r="Z354" s="65"/>
      <c r="AA354" s="65"/>
      <c r="AB354" s="65"/>
      <c r="AC354" s="65"/>
      <c r="AD354" s="65"/>
      <c r="AE354" s="65"/>
      <c r="AF354" s="65"/>
      <c r="AG354" s="65"/>
      <c r="AH354" s="65"/>
      <c r="AI354" s="65"/>
      <c r="AJ354" s="65"/>
      <c r="AK354" s="65"/>
      <c r="AL354" s="65"/>
      <c r="AM354" s="65"/>
      <c r="AN354" s="65"/>
    </row>
    <row r="355" spans="10:40" ht="14.5" x14ac:dyDescent="0.35">
      <c r="J355" s="65"/>
      <c r="K355" s="65"/>
      <c r="L355" s="65"/>
      <c r="M355" s="65"/>
      <c r="N355" s="65"/>
      <c r="O355" s="65"/>
      <c r="P355" s="65"/>
      <c r="Q355" s="65"/>
      <c r="R355" s="65"/>
      <c r="S355" s="65"/>
      <c r="T355" s="65"/>
      <c r="U355" s="65"/>
      <c r="V355" s="65"/>
      <c r="W355" s="65"/>
      <c r="X355" s="65"/>
      <c r="Y355" s="65"/>
      <c r="Z355" s="65"/>
      <c r="AA355" s="65"/>
      <c r="AB355" s="65"/>
      <c r="AC355" s="65"/>
      <c r="AD355" s="65"/>
      <c r="AE355" s="65"/>
      <c r="AF355" s="65"/>
      <c r="AG355" s="65"/>
      <c r="AH355" s="65"/>
      <c r="AI355" s="65"/>
      <c r="AJ355" s="65"/>
      <c r="AK355" s="65"/>
      <c r="AL355" s="65"/>
      <c r="AM355" s="65"/>
      <c r="AN355" s="65"/>
    </row>
    <row r="356" spans="10:40" ht="14.5" x14ac:dyDescent="0.35">
      <c r="J356" s="65"/>
      <c r="K356" s="65"/>
      <c r="L356" s="65"/>
      <c r="M356" s="65"/>
      <c r="N356" s="65"/>
      <c r="O356" s="65"/>
      <c r="P356" s="65"/>
      <c r="Q356" s="65"/>
      <c r="R356" s="65"/>
      <c r="S356" s="65"/>
      <c r="T356" s="65"/>
      <c r="U356" s="65"/>
      <c r="V356" s="65"/>
      <c r="W356" s="65"/>
      <c r="X356" s="65"/>
      <c r="Y356" s="65"/>
      <c r="Z356" s="65"/>
      <c r="AA356" s="65"/>
      <c r="AB356" s="65"/>
      <c r="AC356" s="65"/>
      <c r="AD356" s="65"/>
      <c r="AE356" s="65"/>
      <c r="AF356" s="65"/>
      <c r="AG356" s="65"/>
      <c r="AH356" s="65"/>
      <c r="AI356" s="65"/>
      <c r="AJ356" s="65"/>
      <c r="AK356" s="65"/>
      <c r="AL356" s="65"/>
      <c r="AM356" s="65"/>
      <c r="AN356" s="65"/>
    </row>
    <row r="357" spans="10:40" ht="14.5" x14ac:dyDescent="0.35">
      <c r="J357" s="65"/>
      <c r="K357" s="65"/>
      <c r="L357" s="65"/>
      <c r="M357" s="65"/>
      <c r="N357" s="65"/>
      <c r="O357" s="65"/>
      <c r="P357" s="65"/>
      <c r="Q357" s="65"/>
      <c r="R357" s="65"/>
      <c r="S357" s="65"/>
      <c r="T357" s="65"/>
      <c r="U357" s="65"/>
      <c r="V357" s="65"/>
      <c r="W357" s="65"/>
      <c r="X357" s="65"/>
      <c r="Y357" s="65"/>
      <c r="Z357" s="65"/>
      <c r="AA357" s="65"/>
      <c r="AB357" s="65"/>
      <c r="AC357" s="65"/>
      <c r="AD357" s="65"/>
      <c r="AE357" s="65"/>
      <c r="AF357" s="65"/>
      <c r="AG357" s="65"/>
      <c r="AH357" s="65"/>
      <c r="AI357" s="65"/>
      <c r="AJ357" s="65"/>
      <c r="AK357" s="65"/>
      <c r="AL357" s="65"/>
      <c r="AM357" s="65"/>
      <c r="AN357" s="65"/>
    </row>
    <row r="358" spans="10:40" ht="14.5" x14ac:dyDescent="0.35">
      <c r="J358" s="65"/>
      <c r="K358" s="65"/>
      <c r="L358" s="65"/>
      <c r="M358" s="65"/>
      <c r="N358" s="65"/>
      <c r="O358" s="65"/>
      <c r="P358" s="65"/>
      <c r="Q358" s="65"/>
      <c r="R358" s="65"/>
      <c r="S358" s="65"/>
      <c r="T358" s="65"/>
      <c r="U358" s="65"/>
      <c r="V358" s="65"/>
      <c r="W358" s="65"/>
      <c r="X358" s="65"/>
      <c r="Y358" s="65"/>
      <c r="Z358" s="65"/>
      <c r="AA358" s="65"/>
      <c r="AB358" s="65"/>
      <c r="AC358" s="65"/>
      <c r="AD358" s="65"/>
      <c r="AE358" s="65"/>
      <c r="AF358" s="65"/>
      <c r="AG358" s="65"/>
      <c r="AH358" s="65"/>
      <c r="AI358" s="65"/>
      <c r="AJ358" s="65"/>
      <c r="AK358" s="65"/>
      <c r="AL358" s="65"/>
      <c r="AM358" s="65"/>
      <c r="AN358" s="65"/>
    </row>
    <row r="359" spans="10:40" ht="14.5" x14ac:dyDescent="0.35">
      <c r="J359" s="65"/>
      <c r="K359" s="65"/>
      <c r="L359" s="65"/>
      <c r="M359" s="65"/>
      <c r="N359" s="65"/>
      <c r="O359" s="65"/>
      <c r="P359" s="65"/>
      <c r="Q359" s="65"/>
      <c r="R359" s="65"/>
      <c r="S359" s="65"/>
      <c r="T359" s="65"/>
      <c r="U359" s="65"/>
      <c r="V359" s="65"/>
      <c r="W359" s="65"/>
      <c r="X359" s="65"/>
      <c r="Y359" s="65"/>
      <c r="Z359" s="65"/>
      <c r="AA359" s="65"/>
      <c r="AB359" s="65"/>
      <c r="AC359" s="65"/>
      <c r="AD359" s="65"/>
      <c r="AE359" s="65"/>
      <c r="AF359" s="65"/>
      <c r="AG359" s="65"/>
      <c r="AH359" s="65"/>
      <c r="AI359" s="65"/>
      <c r="AJ359" s="65"/>
      <c r="AK359" s="65"/>
      <c r="AL359" s="65"/>
      <c r="AM359" s="65"/>
      <c r="AN359" s="65"/>
    </row>
    <row r="360" spans="10:40" ht="14.5" x14ac:dyDescent="0.35">
      <c r="J360" s="65"/>
      <c r="K360" s="65"/>
      <c r="L360" s="65"/>
      <c r="M360" s="65"/>
      <c r="N360" s="65"/>
      <c r="O360" s="65"/>
      <c r="P360" s="65"/>
      <c r="Q360" s="65"/>
      <c r="R360" s="65"/>
      <c r="S360" s="65"/>
      <c r="T360" s="65"/>
      <c r="U360" s="65"/>
      <c r="V360" s="65"/>
      <c r="W360" s="65"/>
      <c r="X360" s="65"/>
      <c r="Y360" s="65"/>
      <c r="Z360" s="65"/>
      <c r="AA360" s="65"/>
      <c r="AB360" s="65"/>
      <c r="AC360" s="65"/>
      <c r="AD360" s="65"/>
      <c r="AE360" s="65"/>
      <c r="AF360" s="65"/>
      <c r="AG360" s="65"/>
      <c r="AH360" s="65"/>
      <c r="AI360" s="65"/>
      <c r="AJ360" s="65"/>
      <c r="AK360" s="65"/>
      <c r="AL360" s="65"/>
      <c r="AM360" s="65"/>
      <c r="AN360" s="65"/>
    </row>
    <row r="361" spans="10:40" ht="14.5" x14ac:dyDescent="0.35">
      <c r="J361" s="65"/>
      <c r="K361" s="65"/>
      <c r="L361" s="65"/>
      <c r="M361" s="65"/>
      <c r="N361" s="65"/>
      <c r="O361" s="65"/>
      <c r="P361" s="65"/>
      <c r="Q361" s="65"/>
      <c r="R361" s="65"/>
      <c r="S361" s="65"/>
      <c r="T361" s="65"/>
      <c r="U361" s="65"/>
      <c r="V361" s="65"/>
      <c r="W361" s="65"/>
      <c r="X361" s="65"/>
      <c r="Y361" s="65"/>
      <c r="Z361" s="65"/>
      <c r="AA361" s="65"/>
      <c r="AB361" s="65"/>
      <c r="AC361" s="65"/>
      <c r="AD361" s="65"/>
      <c r="AE361" s="65"/>
      <c r="AF361" s="65"/>
      <c r="AG361" s="65"/>
      <c r="AH361" s="65"/>
      <c r="AI361" s="65"/>
      <c r="AJ361" s="65"/>
      <c r="AK361" s="65"/>
      <c r="AL361" s="65"/>
      <c r="AM361" s="65"/>
      <c r="AN361" s="65"/>
    </row>
    <row r="362" spans="10:40" ht="14.5" x14ac:dyDescent="0.35">
      <c r="J362" s="65"/>
      <c r="K362" s="65"/>
      <c r="L362" s="65"/>
      <c r="M362" s="65"/>
      <c r="N362" s="65"/>
      <c r="O362" s="65"/>
      <c r="P362" s="65"/>
      <c r="Q362" s="65"/>
      <c r="R362" s="65"/>
      <c r="S362" s="65"/>
      <c r="T362" s="65"/>
      <c r="U362" s="65"/>
      <c r="V362" s="65"/>
      <c r="W362" s="65"/>
      <c r="X362" s="65"/>
      <c r="Y362" s="65"/>
      <c r="Z362" s="65"/>
      <c r="AA362" s="65"/>
      <c r="AB362" s="65"/>
      <c r="AC362" s="65"/>
      <c r="AD362" s="65"/>
      <c r="AE362" s="65"/>
      <c r="AF362" s="65"/>
      <c r="AG362" s="65"/>
      <c r="AH362" s="65"/>
      <c r="AI362" s="65"/>
      <c r="AJ362" s="65"/>
      <c r="AK362" s="65"/>
      <c r="AL362" s="65"/>
      <c r="AM362" s="65"/>
      <c r="AN362" s="65"/>
    </row>
    <row r="363" spans="10:40" ht="14.5" x14ac:dyDescent="0.35">
      <c r="J363" s="65"/>
      <c r="K363" s="65"/>
      <c r="L363" s="65"/>
      <c r="M363" s="65"/>
      <c r="N363" s="65"/>
      <c r="O363" s="65"/>
      <c r="P363" s="65"/>
      <c r="Q363" s="65"/>
      <c r="R363" s="65"/>
      <c r="S363" s="65"/>
      <c r="T363" s="65"/>
      <c r="U363" s="65"/>
      <c r="V363" s="65"/>
      <c r="W363" s="65"/>
      <c r="X363" s="65"/>
      <c r="Y363" s="65"/>
      <c r="Z363" s="65"/>
      <c r="AA363" s="65"/>
      <c r="AB363" s="65"/>
      <c r="AC363" s="65"/>
      <c r="AD363" s="65"/>
      <c r="AE363" s="65"/>
      <c r="AF363" s="65"/>
      <c r="AG363" s="65"/>
      <c r="AH363" s="65"/>
      <c r="AI363" s="65"/>
      <c r="AJ363" s="65"/>
      <c r="AK363" s="65"/>
      <c r="AL363" s="65"/>
      <c r="AM363" s="65"/>
      <c r="AN363" s="65"/>
    </row>
    <row r="364" spans="10:40" ht="14.5" x14ac:dyDescent="0.35">
      <c r="J364" s="65"/>
      <c r="K364" s="65"/>
      <c r="L364" s="65"/>
      <c r="M364" s="65"/>
      <c r="N364" s="65"/>
      <c r="O364" s="65"/>
      <c r="P364" s="65"/>
      <c r="Q364" s="65"/>
      <c r="R364" s="65"/>
      <c r="S364" s="65"/>
      <c r="T364" s="65"/>
      <c r="U364" s="65"/>
      <c r="V364" s="65"/>
      <c r="W364" s="65"/>
      <c r="X364" s="65"/>
      <c r="Y364" s="65"/>
      <c r="Z364" s="65"/>
      <c r="AA364" s="65"/>
      <c r="AB364" s="65"/>
      <c r="AC364" s="65"/>
      <c r="AD364" s="65"/>
      <c r="AE364" s="65"/>
      <c r="AF364" s="65"/>
      <c r="AG364" s="65"/>
      <c r="AH364" s="65"/>
      <c r="AI364" s="65"/>
      <c r="AJ364" s="65"/>
      <c r="AK364" s="65"/>
      <c r="AL364" s="65"/>
      <c r="AM364" s="65"/>
      <c r="AN364" s="65"/>
    </row>
    <row r="365" spans="10:40" ht="14.5" x14ac:dyDescent="0.35">
      <c r="J365" s="65"/>
      <c r="K365" s="65"/>
      <c r="L365" s="65"/>
      <c r="M365" s="65"/>
      <c r="N365" s="65"/>
      <c r="O365" s="65"/>
      <c r="P365" s="65"/>
      <c r="Q365" s="65"/>
      <c r="R365" s="65"/>
      <c r="S365" s="65"/>
      <c r="T365" s="65"/>
      <c r="U365" s="65"/>
      <c r="V365" s="65"/>
      <c r="W365" s="65"/>
      <c r="X365" s="65"/>
      <c r="Y365" s="65"/>
      <c r="Z365" s="65"/>
      <c r="AA365" s="65"/>
      <c r="AB365" s="65"/>
      <c r="AC365" s="65"/>
      <c r="AD365" s="65"/>
      <c r="AE365" s="65"/>
      <c r="AF365" s="65"/>
      <c r="AG365" s="65"/>
      <c r="AH365" s="65"/>
      <c r="AI365" s="65"/>
      <c r="AJ365" s="65"/>
      <c r="AK365" s="65"/>
      <c r="AL365" s="65"/>
      <c r="AM365" s="65"/>
      <c r="AN365" s="65"/>
    </row>
    <row r="366" spans="10:40" ht="14.5" x14ac:dyDescent="0.35">
      <c r="J366" s="65"/>
      <c r="K366" s="65"/>
      <c r="L366" s="65"/>
      <c r="M366" s="65"/>
      <c r="N366" s="65"/>
      <c r="O366" s="65"/>
      <c r="P366" s="65"/>
      <c r="Q366" s="65"/>
      <c r="R366" s="65"/>
      <c r="S366" s="65"/>
      <c r="T366" s="65"/>
      <c r="U366" s="65"/>
      <c r="V366" s="65"/>
      <c r="W366" s="65"/>
      <c r="X366" s="65"/>
      <c r="Y366" s="65"/>
      <c r="Z366" s="65"/>
      <c r="AA366" s="65"/>
      <c r="AB366" s="65"/>
      <c r="AC366" s="65"/>
      <c r="AD366" s="65"/>
      <c r="AE366" s="65"/>
      <c r="AF366" s="65"/>
      <c r="AG366" s="65"/>
      <c r="AH366" s="65"/>
      <c r="AI366" s="65"/>
      <c r="AJ366" s="65"/>
      <c r="AK366" s="65"/>
      <c r="AL366" s="65"/>
      <c r="AM366" s="65"/>
      <c r="AN366" s="65"/>
    </row>
    <row r="367" spans="10:40" ht="14.5" x14ac:dyDescent="0.35">
      <c r="J367" s="65"/>
      <c r="K367" s="65"/>
      <c r="L367" s="65"/>
      <c r="M367" s="65"/>
      <c r="N367" s="65"/>
      <c r="O367" s="65"/>
      <c r="P367" s="65"/>
      <c r="Q367" s="65"/>
      <c r="R367" s="65"/>
      <c r="S367" s="65"/>
      <c r="T367" s="65"/>
      <c r="U367" s="65"/>
      <c r="V367" s="65"/>
      <c r="W367" s="65"/>
      <c r="X367" s="65"/>
      <c r="Y367" s="65"/>
      <c r="Z367" s="65"/>
      <c r="AA367" s="65"/>
      <c r="AB367" s="65"/>
      <c r="AC367" s="65"/>
      <c r="AD367" s="65"/>
      <c r="AE367" s="65"/>
      <c r="AF367" s="65"/>
      <c r="AG367" s="65"/>
      <c r="AH367" s="65"/>
      <c r="AI367" s="65"/>
      <c r="AJ367" s="65"/>
      <c r="AK367" s="65"/>
      <c r="AL367" s="65"/>
      <c r="AM367" s="65"/>
      <c r="AN367" s="65"/>
    </row>
    <row r="368" spans="10:40" ht="14.5" x14ac:dyDescent="0.35">
      <c r="J368" s="65"/>
      <c r="K368" s="65"/>
      <c r="L368" s="65"/>
      <c r="M368" s="65"/>
      <c r="N368" s="65"/>
      <c r="O368" s="65"/>
      <c r="P368" s="65"/>
      <c r="Q368" s="65"/>
      <c r="R368" s="65"/>
      <c r="S368" s="65"/>
      <c r="T368" s="65"/>
      <c r="U368" s="65"/>
      <c r="V368" s="65"/>
      <c r="W368" s="65"/>
      <c r="X368" s="65"/>
      <c r="Y368" s="65"/>
      <c r="Z368" s="65"/>
      <c r="AA368" s="65"/>
      <c r="AB368" s="65"/>
      <c r="AC368" s="65"/>
      <c r="AD368" s="65"/>
      <c r="AE368" s="65"/>
      <c r="AF368" s="65"/>
      <c r="AG368" s="65"/>
      <c r="AH368" s="65"/>
      <c r="AI368" s="65"/>
      <c r="AJ368" s="65"/>
      <c r="AK368" s="65"/>
      <c r="AL368" s="65"/>
      <c r="AM368" s="65"/>
      <c r="AN368" s="65"/>
    </row>
    <row r="369" spans="10:40" ht="14.5" x14ac:dyDescent="0.35">
      <c r="J369" s="65"/>
      <c r="K369" s="65"/>
      <c r="L369" s="65"/>
      <c r="M369" s="65"/>
      <c r="N369" s="65"/>
      <c r="O369" s="65"/>
      <c r="P369" s="65"/>
      <c r="Q369" s="65"/>
      <c r="R369" s="65"/>
      <c r="S369" s="65"/>
      <c r="T369" s="65"/>
      <c r="U369" s="65"/>
      <c r="V369" s="65"/>
      <c r="W369" s="65"/>
      <c r="X369" s="65"/>
      <c r="Y369" s="65"/>
      <c r="Z369" s="65"/>
      <c r="AA369" s="65"/>
      <c r="AB369" s="65"/>
      <c r="AC369" s="65"/>
      <c r="AD369" s="65"/>
      <c r="AE369" s="65"/>
      <c r="AF369" s="65"/>
      <c r="AG369" s="65"/>
      <c r="AH369" s="65"/>
      <c r="AI369" s="65"/>
      <c r="AJ369" s="65"/>
      <c r="AK369" s="65"/>
      <c r="AL369" s="65"/>
      <c r="AM369" s="65"/>
      <c r="AN369" s="65"/>
    </row>
    <row r="370" spans="10:40" ht="14.5" x14ac:dyDescent="0.35">
      <c r="J370" s="65"/>
      <c r="K370" s="65"/>
      <c r="L370" s="65"/>
      <c r="M370" s="65"/>
      <c r="N370" s="65"/>
      <c r="O370" s="65"/>
      <c r="P370" s="65"/>
      <c r="Q370" s="65"/>
      <c r="R370" s="65"/>
      <c r="S370" s="65"/>
      <c r="T370" s="65"/>
      <c r="U370" s="65"/>
      <c r="V370" s="65"/>
      <c r="W370" s="65"/>
      <c r="X370" s="65"/>
      <c r="Y370" s="65"/>
      <c r="Z370" s="65"/>
      <c r="AA370" s="65"/>
      <c r="AB370" s="65"/>
      <c r="AC370" s="65"/>
      <c r="AD370" s="65"/>
      <c r="AE370" s="65"/>
      <c r="AF370" s="65"/>
      <c r="AG370" s="65"/>
      <c r="AH370" s="65"/>
      <c r="AI370" s="65"/>
      <c r="AJ370" s="65"/>
      <c r="AK370" s="65"/>
      <c r="AL370" s="65"/>
      <c r="AM370" s="65"/>
      <c r="AN370" s="65"/>
    </row>
    <row r="371" spans="10:40" ht="14.5" x14ac:dyDescent="0.35">
      <c r="J371" s="65"/>
      <c r="K371" s="65"/>
      <c r="L371" s="65"/>
      <c r="M371" s="65"/>
      <c r="N371" s="65"/>
      <c r="O371" s="65"/>
      <c r="P371" s="65"/>
      <c r="Q371" s="65"/>
      <c r="R371" s="65"/>
      <c r="S371" s="65"/>
      <c r="T371" s="65"/>
      <c r="U371" s="65"/>
      <c r="V371" s="65"/>
      <c r="W371" s="65"/>
      <c r="X371" s="65"/>
      <c r="Y371" s="65"/>
      <c r="Z371" s="65"/>
      <c r="AA371" s="65"/>
      <c r="AB371" s="65"/>
      <c r="AC371" s="65"/>
      <c r="AD371" s="65"/>
      <c r="AE371" s="65"/>
      <c r="AF371" s="65"/>
      <c r="AG371" s="65"/>
      <c r="AH371" s="65"/>
      <c r="AI371" s="65"/>
      <c r="AJ371" s="65"/>
      <c r="AK371" s="65"/>
      <c r="AL371" s="65"/>
      <c r="AM371" s="65"/>
      <c r="AN371" s="65"/>
    </row>
    <row r="372" spans="10:40" ht="14.5" x14ac:dyDescent="0.35">
      <c r="J372" s="65"/>
      <c r="K372" s="65"/>
      <c r="L372" s="65"/>
      <c r="M372" s="65"/>
      <c r="N372" s="65"/>
      <c r="O372" s="65"/>
      <c r="P372" s="65"/>
      <c r="Q372" s="65"/>
      <c r="R372" s="65"/>
      <c r="S372" s="65"/>
      <c r="T372" s="65"/>
      <c r="U372" s="65"/>
      <c r="V372" s="65"/>
      <c r="W372" s="65"/>
      <c r="X372" s="65"/>
      <c r="Y372" s="65"/>
      <c r="Z372" s="65"/>
      <c r="AA372" s="65"/>
      <c r="AB372" s="65"/>
      <c r="AC372" s="65"/>
      <c r="AD372" s="65"/>
      <c r="AE372" s="65"/>
      <c r="AF372" s="65"/>
      <c r="AG372" s="65"/>
      <c r="AH372" s="65"/>
      <c r="AI372" s="65"/>
      <c r="AJ372" s="65"/>
      <c r="AK372" s="65"/>
      <c r="AL372" s="65"/>
      <c r="AM372" s="65"/>
      <c r="AN372" s="65"/>
    </row>
    <row r="373" spans="10:40" ht="14.5" x14ac:dyDescent="0.35">
      <c r="J373" s="65"/>
      <c r="K373" s="65"/>
      <c r="L373" s="65"/>
      <c r="M373" s="65"/>
      <c r="N373" s="65"/>
      <c r="O373" s="65"/>
      <c r="P373" s="65"/>
      <c r="Q373" s="65"/>
      <c r="R373" s="65"/>
      <c r="S373" s="65"/>
      <c r="T373" s="65"/>
      <c r="U373" s="65"/>
      <c r="V373" s="65"/>
      <c r="W373" s="65"/>
      <c r="X373" s="65"/>
      <c r="Y373" s="65"/>
      <c r="Z373" s="65"/>
      <c r="AA373" s="65"/>
      <c r="AB373" s="65"/>
      <c r="AC373" s="65"/>
      <c r="AD373" s="65"/>
      <c r="AE373" s="65"/>
      <c r="AF373" s="65"/>
      <c r="AG373" s="65"/>
      <c r="AH373" s="65"/>
      <c r="AI373" s="65"/>
      <c r="AJ373" s="65"/>
      <c r="AK373" s="65"/>
      <c r="AL373" s="65"/>
      <c r="AM373" s="65"/>
      <c r="AN373" s="65"/>
    </row>
    <row r="374" spans="10:40" ht="14.5" x14ac:dyDescent="0.35">
      <c r="J374" s="65"/>
      <c r="K374" s="65"/>
      <c r="L374" s="65"/>
      <c r="M374" s="65"/>
      <c r="N374" s="65"/>
      <c r="O374" s="65"/>
      <c r="P374" s="65"/>
      <c r="Q374" s="65"/>
      <c r="R374" s="65"/>
      <c r="S374" s="65"/>
      <c r="T374" s="65"/>
      <c r="U374" s="65"/>
      <c r="V374" s="65"/>
      <c r="W374" s="65"/>
      <c r="X374" s="65"/>
      <c r="Y374" s="65"/>
      <c r="Z374" s="65"/>
      <c r="AA374" s="65"/>
      <c r="AB374" s="65"/>
      <c r="AC374" s="65"/>
      <c r="AD374" s="65"/>
      <c r="AE374" s="65"/>
      <c r="AF374" s="65"/>
      <c r="AG374" s="65"/>
      <c r="AH374" s="65"/>
      <c r="AI374" s="65"/>
      <c r="AJ374" s="65"/>
      <c r="AK374" s="65"/>
      <c r="AL374" s="65"/>
      <c r="AM374" s="65"/>
      <c r="AN374" s="65"/>
    </row>
    <row r="375" spans="10:40" ht="14.5" x14ac:dyDescent="0.35">
      <c r="J375" s="65"/>
      <c r="K375" s="65"/>
      <c r="L375" s="65"/>
      <c r="M375" s="65"/>
      <c r="N375" s="65"/>
      <c r="O375" s="65"/>
      <c r="P375" s="65"/>
      <c r="Q375" s="65"/>
      <c r="R375" s="65"/>
      <c r="S375" s="65"/>
      <c r="T375" s="65"/>
      <c r="U375" s="65"/>
      <c r="V375" s="65"/>
      <c r="W375" s="65"/>
      <c r="X375" s="65"/>
      <c r="Y375" s="65"/>
      <c r="Z375" s="65"/>
      <c r="AA375" s="65"/>
      <c r="AB375" s="65"/>
      <c r="AC375" s="65"/>
      <c r="AD375" s="65"/>
      <c r="AE375" s="65"/>
      <c r="AF375" s="65"/>
      <c r="AG375" s="65"/>
      <c r="AH375" s="65"/>
      <c r="AI375" s="65"/>
      <c r="AJ375" s="65"/>
      <c r="AK375" s="65"/>
      <c r="AL375" s="65"/>
      <c r="AM375" s="65"/>
      <c r="AN375" s="65"/>
    </row>
    <row r="376" spans="10:40" ht="14.5" x14ac:dyDescent="0.35">
      <c r="J376" s="65"/>
      <c r="K376" s="65"/>
      <c r="L376" s="65"/>
      <c r="M376" s="65"/>
      <c r="N376" s="65"/>
      <c r="O376" s="65"/>
      <c r="P376" s="65"/>
      <c r="Q376" s="65"/>
      <c r="R376" s="65"/>
      <c r="S376" s="65"/>
      <c r="T376" s="65"/>
      <c r="U376" s="65"/>
      <c r="V376" s="65"/>
      <c r="W376" s="65"/>
      <c r="X376" s="65"/>
      <c r="Y376" s="65"/>
      <c r="Z376" s="65"/>
      <c r="AA376" s="65"/>
      <c r="AB376" s="65"/>
      <c r="AC376" s="65"/>
      <c r="AD376" s="65"/>
      <c r="AE376" s="65"/>
      <c r="AF376" s="65"/>
      <c r="AG376" s="65"/>
      <c r="AH376" s="65"/>
      <c r="AI376" s="65"/>
      <c r="AJ376" s="65"/>
      <c r="AK376" s="65"/>
      <c r="AL376" s="65"/>
      <c r="AM376" s="65"/>
      <c r="AN376" s="65"/>
    </row>
    <row r="377" spans="10:40" ht="14.5" x14ac:dyDescent="0.35">
      <c r="J377" s="65"/>
      <c r="K377" s="65"/>
      <c r="L377" s="65"/>
      <c r="M377" s="65"/>
      <c r="N377" s="65"/>
      <c r="O377" s="65"/>
      <c r="P377" s="65"/>
      <c r="Q377" s="65"/>
      <c r="R377" s="65"/>
      <c r="S377" s="65"/>
      <c r="T377" s="65"/>
      <c r="U377" s="65"/>
      <c r="V377" s="65"/>
      <c r="W377" s="65"/>
      <c r="X377" s="65"/>
      <c r="Y377" s="65"/>
      <c r="Z377" s="65"/>
      <c r="AA377" s="65"/>
      <c r="AB377" s="65"/>
      <c r="AC377" s="65"/>
      <c r="AD377" s="65"/>
      <c r="AE377" s="65"/>
      <c r="AF377" s="65"/>
      <c r="AG377" s="65"/>
      <c r="AH377" s="65"/>
      <c r="AI377" s="65"/>
      <c r="AJ377" s="65"/>
      <c r="AK377" s="65"/>
      <c r="AL377" s="65"/>
      <c r="AM377" s="65"/>
      <c r="AN377" s="65"/>
    </row>
    <row r="378" spans="10:40" ht="14.5" x14ac:dyDescent="0.35">
      <c r="J378" s="65"/>
      <c r="K378" s="65"/>
      <c r="L378" s="65"/>
      <c r="M378" s="65"/>
      <c r="N378" s="65"/>
      <c r="O378" s="65"/>
      <c r="P378" s="65"/>
      <c r="Q378" s="65"/>
      <c r="R378" s="65"/>
      <c r="S378" s="65"/>
      <c r="T378" s="65"/>
      <c r="U378" s="65"/>
      <c r="V378" s="65"/>
      <c r="W378" s="65"/>
      <c r="X378" s="65"/>
      <c r="Y378" s="65"/>
      <c r="Z378" s="65"/>
      <c r="AA378" s="65"/>
      <c r="AB378" s="65"/>
      <c r="AC378" s="65"/>
      <c r="AD378" s="65"/>
      <c r="AE378" s="65"/>
      <c r="AF378" s="65"/>
      <c r="AG378" s="65"/>
      <c r="AH378" s="65"/>
      <c r="AI378" s="65"/>
      <c r="AJ378" s="65"/>
      <c r="AK378" s="65"/>
      <c r="AL378" s="65"/>
      <c r="AM378" s="65"/>
      <c r="AN378" s="65"/>
    </row>
    <row r="379" spans="10:40" ht="14.5" x14ac:dyDescent="0.35">
      <c r="J379" s="65"/>
      <c r="K379" s="65"/>
      <c r="L379" s="65"/>
      <c r="M379" s="65"/>
      <c r="N379" s="65"/>
      <c r="O379" s="65"/>
      <c r="P379" s="65"/>
      <c r="Q379" s="65"/>
      <c r="R379" s="65"/>
      <c r="S379" s="65"/>
      <c r="T379" s="65"/>
      <c r="U379" s="65"/>
      <c r="V379" s="65"/>
      <c r="W379" s="65"/>
      <c r="X379" s="65"/>
      <c r="Y379" s="65"/>
      <c r="Z379" s="65"/>
      <c r="AA379" s="65"/>
      <c r="AB379" s="65"/>
      <c r="AC379" s="65"/>
      <c r="AD379" s="65"/>
      <c r="AE379" s="65"/>
      <c r="AF379" s="65"/>
      <c r="AG379" s="65"/>
      <c r="AH379" s="65"/>
      <c r="AI379" s="65"/>
      <c r="AJ379" s="65"/>
      <c r="AK379" s="65"/>
      <c r="AL379" s="65"/>
      <c r="AM379" s="65"/>
      <c r="AN379" s="65"/>
    </row>
    <row r="380" spans="10:40" ht="14.5" x14ac:dyDescent="0.35">
      <c r="J380" s="65"/>
      <c r="K380" s="65"/>
      <c r="L380" s="65"/>
      <c r="M380" s="65"/>
      <c r="N380" s="65"/>
      <c r="O380" s="65"/>
      <c r="P380" s="65"/>
      <c r="Q380" s="65"/>
      <c r="R380" s="65"/>
      <c r="S380" s="65"/>
      <c r="T380" s="65"/>
      <c r="U380" s="65"/>
      <c r="V380" s="65"/>
      <c r="W380" s="65"/>
      <c r="X380" s="65"/>
      <c r="Y380" s="65"/>
      <c r="Z380" s="65"/>
      <c r="AA380" s="65"/>
      <c r="AB380" s="65"/>
      <c r="AC380" s="65"/>
      <c r="AD380" s="65"/>
      <c r="AE380" s="65"/>
      <c r="AF380" s="65"/>
      <c r="AG380" s="65"/>
      <c r="AH380" s="65"/>
      <c r="AI380" s="65"/>
      <c r="AJ380" s="65"/>
      <c r="AK380" s="65"/>
      <c r="AL380" s="65"/>
      <c r="AM380" s="65"/>
      <c r="AN380" s="65"/>
    </row>
    <row r="381" spans="10:40" ht="14.5" x14ac:dyDescent="0.35">
      <c r="J381" s="65"/>
      <c r="K381" s="65"/>
      <c r="L381" s="65"/>
      <c r="M381" s="65"/>
      <c r="N381" s="65"/>
      <c r="O381" s="65"/>
      <c r="P381" s="65"/>
      <c r="Q381" s="65"/>
      <c r="R381" s="65"/>
      <c r="S381" s="65"/>
      <c r="T381" s="65"/>
      <c r="U381" s="65"/>
      <c r="V381" s="65"/>
      <c r="W381" s="65"/>
      <c r="X381" s="65"/>
      <c r="Y381" s="65"/>
      <c r="Z381" s="65"/>
      <c r="AA381" s="65"/>
      <c r="AB381" s="65"/>
      <c r="AC381" s="65"/>
      <c r="AD381" s="65"/>
      <c r="AE381" s="65"/>
      <c r="AF381" s="65"/>
      <c r="AG381" s="65"/>
      <c r="AH381" s="65"/>
      <c r="AI381" s="65"/>
      <c r="AJ381" s="65"/>
      <c r="AK381" s="65"/>
      <c r="AL381" s="65"/>
      <c r="AM381" s="65"/>
      <c r="AN381" s="65"/>
    </row>
    <row r="382" spans="10:40" ht="14.5" x14ac:dyDescent="0.35">
      <c r="J382" s="65"/>
      <c r="K382" s="65"/>
      <c r="L382" s="65"/>
      <c r="M382" s="65"/>
      <c r="N382" s="65"/>
      <c r="O382" s="65"/>
      <c r="P382" s="65"/>
      <c r="Q382" s="65"/>
      <c r="R382" s="65"/>
      <c r="S382" s="65"/>
      <c r="T382" s="65"/>
      <c r="U382" s="65"/>
      <c r="V382" s="65"/>
      <c r="W382" s="65"/>
      <c r="X382" s="65"/>
      <c r="Y382" s="65"/>
      <c r="Z382" s="65"/>
      <c r="AA382" s="65"/>
      <c r="AB382" s="65"/>
      <c r="AC382" s="65"/>
      <c r="AD382" s="65"/>
      <c r="AE382" s="65"/>
      <c r="AF382" s="65"/>
      <c r="AG382" s="65"/>
      <c r="AH382" s="65"/>
      <c r="AI382" s="65"/>
      <c r="AJ382" s="65"/>
      <c r="AK382" s="65"/>
      <c r="AL382" s="65"/>
      <c r="AM382" s="65"/>
      <c r="AN382" s="65"/>
    </row>
    <row r="383" spans="10:40" ht="14.5" x14ac:dyDescent="0.35">
      <c r="J383" s="65"/>
      <c r="K383" s="65"/>
      <c r="L383" s="65"/>
      <c r="M383" s="65"/>
      <c r="N383" s="65"/>
      <c r="O383" s="65"/>
      <c r="P383" s="65"/>
      <c r="Q383" s="65"/>
      <c r="R383" s="65"/>
      <c r="S383" s="65"/>
      <c r="T383" s="65"/>
      <c r="U383" s="65"/>
      <c r="V383" s="65"/>
      <c r="W383" s="65"/>
      <c r="X383" s="65"/>
      <c r="Y383" s="65"/>
      <c r="Z383" s="65"/>
      <c r="AA383" s="65"/>
      <c r="AB383" s="65"/>
      <c r="AC383" s="65"/>
      <c r="AD383" s="65"/>
      <c r="AE383" s="65"/>
      <c r="AF383" s="65"/>
      <c r="AG383" s="65"/>
      <c r="AH383" s="65"/>
      <c r="AI383" s="65"/>
      <c r="AJ383" s="65"/>
      <c r="AK383" s="65"/>
      <c r="AL383" s="65"/>
      <c r="AM383" s="65"/>
      <c r="AN383" s="65"/>
    </row>
    <row r="384" spans="10:40" ht="14.5" x14ac:dyDescent="0.35">
      <c r="J384" s="65"/>
      <c r="K384" s="65"/>
      <c r="L384" s="65"/>
      <c r="M384" s="65"/>
      <c r="N384" s="65"/>
      <c r="O384" s="65"/>
      <c r="P384" s="65"/>
      <c r="Q384" s="65"/>
      <c r="R384" s="65"/>
      <c r="S384" s="65"/>
      <c r="T384" s="65"/>
      <c r="U384" s="65"/>
      <c r="V384" s="65"/>
      <c r="W384" s="65"/>
      <c r="X384" s="65"/>
      <c r="Y384" s="65"/>
      <c r="Z384" s="65"/>
      <c r="AA384" s="65"/>
      <c r="AB384" s="65"/>
      <c r="AC384" s="65"/>
      <c r="AD384" s="65"/>
      <c r="AE384" s="65"/>
      <c r="AF384" s="65"/>
      <c r="AG384" s="65"/>
      <c r="AH384" s="65"/>
      <c r="AI384" s="65"/>
      <c r="AJ384" s="65"/>
      <c r="AK384" s="65"/>
      <c r="AL384" s="65"/>
      <c r="AM384" s="65"/>
      <c r="AN384" s="65"/>
    </row>
    <row r="385" spans="10:40" ht="14.5" x14ac:dyDescent="0.35">
      <c r="J385" s="65"/>
      <c r="K385" s="65"/>
      <c r="L385" s="65"/>
      <c r="M385" s="65"/>
      <c r="N385" s="65"/>
      <c r="O385" s="65"/>
      <c r="P385" s="65"/>
      <c r="Q385" s="65"/>
      <c r="R385" s="65"/>
      <c r="S385" s="65"/>
      <c r="T385" s="65"/>
      <c r="U385" s="65"/>
      <c r="V385" s="65"/>
      <c r="W385" s="65"/>
      <c r="X385" s="65"/>
      <c r="Y385" s="65"/>
      <c r="Z385" s="65"/>
      <c r="AA385" s="65"/>
      <c r="AB385" s="65"/>
      <c r="AC385" s="65"/>
      <c r="AD385" s="65"/>
      <c r="AE385" s="65"/>
      <c r="AF385" s="65"/>
      <c r="AG385" s="65"/>
      <c r="AH385" s="65"/>
      <c r="AI385" s="65"/>
      <c r="AJ385" s="65"/>
      <c r="AK385" s="65"/>
      <c r="AL385" s="65"/>
      <c r="AM385" s="65"/>
      <c r="AN385" s="65"/>
    </row>
    <row r="386" spans="10:40" ht="14.5" x14ac:dyDescent="0.35">
      <c r="J386" s="65"/>
      <c r="K386" s="65"/>
      <c r="L386" s="65"/>
      <c r="M386" s="65"/>
      <c r="N386" s="65"/>
      <c r="O386" s="65"/>
      <c r="P386" s="65"/>
      <c r="Q386" s="65"/>
      <c r="R386" s="65"/>
      <c r="S386" s="65"/>
      <c r="T386" s="65"/>
      <c r="U386" s="65"/>
      <c r="V386" s="65"/>
      <c r="W386" s="65"/>
      <c r="X386" s="65"/>
      <c r="Y386" s="65"/>
      <c r="Z386" s="65"/>
      <c r="AA386" s="65"/>
      <c r="AB386" s="65"/>
      <c r="AC386" s="65"/>
      <c r="AD386" s="65"/>
      <c r="AE386" s="65"/>
      <c r="AF386" s="65"/>
      <c r="AG386" s="65"/>
      <c r="AH386" s="65"/>
      <c r="AI386" s="65"/>
      <c r="AJ386" s="65"/>
      <c r="AK386" s="65"/>
      <c r="AL386" s="65"/>
      <c r="AM386" s="65"/>
      <c r="AN386" s="65"/>
    </row>
    <row r="387" spans="10:40" ht="14.5" x14ac:dyDescent="0.35">
      <c r="J387" s="65"/>
      <c r="K387" s="65"/>
      <c r="L387" s="65"/>
      <c r="M387" s="65"/>
      <c r="N387" s="65"/>
      <c r="O387" s="65"/>
      <c r="P387" s="65"/>
      <c r="Q387" s="65"/>
      <c r="R387" s="65"/>
      <c r="S387" s="65"/>
      <c r="T387" s="65"/>
      <c r="U387" s="65"/>
      <c r="V387" s="65"/>
      <c r="W387" s="65"/>
      <c r="X387" s="65"/>
      <c r="Y387" s="65"/>
      <c r="Z387" s="65"/>
      <c r="AA387" s="65"/>
      <c r="AB387" s="65"/>
      <c r="AC387" s="65"/>
      <c r="AD387" s="65"/>
      <c r="AE387" s="65"/>
      <c r="AF387" s="65"/>
      <c r="AG387" s="65"/>
      <c r="AH387" s="65"/>
      <c r="AI387" s="65"/>
      <c r="AJ387" s="65"/>
      <c r="AK387" s="65"/>
      <c r="AL387" s="65"/>
      <c r="AM387" s="65"/>
      <c r="AN387" s="65"/>
    </row>
    <row r="388" spans="10:40" ht="14.5" x14ac:dyDescent="0.35">
      <c r="J388" s="65"/>
      <c r="K388" s="65"/>
      <c r="L388" s="65"/>
      <c r="M388" s="65"/>
      <c r="N388" s="65"/>
      <c r="O388" s="65"/>
      <c r="P388" s="65"/>
      <c r="Q388" s="65"/>
      <c r="R388" s="65"/>
      <c r="S388" s="65"/>
      <c r="T388" s="65"/>
      <c r="U388" s="65"/>
      <c r="V388" s="65"/>
      <c r="W388" s="65"/>
      <c r="X388" s="65"/>
      <c r="Y388" s="65"/>
      <c r="Z388" s="65"/>
      <c r="AA388" s="65"/>
      <c r="AB388" s="65"/>
      <c r="AC388" s="65"/>
      <c r="AD388" s="65"/>
      <c r="AE388" s="65"/>
      <c r="AF388" s="65"/>
      <c r="AG388" s="65"/>
      <c r="AH388" s="65"/>
      <c r="AI388" s="65"/>
      <c r="AJ388" s="65"/>
      <c r="AK388" s="65"/>
      <c r="AL388" s="65"/>
      <c r="AM388" s="65"/>
      <c r="AN388" s="65"/>
    </row>
    <row r="389" spans="10:40" ht="14.5" x14ac:dyDescent="0.35">
      <c r="J389" s="65"/>
      <c r="K389" s="65"/>
      <c r="L389" s="65"/>
      <c r="M389" s="65"/>
      <c r="N389" s="65"/>
      <c r="O389" s="65"/>
      <c r="P389" s="65"/>
      <c r="Q389" s="65"/>
      <c r="R389" s="65"/>
      <c r="S389" s="65"/>
      <c r="T389" s="65"/>
      <c r="U389" s="65"/>
      <c r="V389" s="65"/>
      <c r="W389" s="65"/>
      <c r="X389" s="65"/>
      <c r="Y389" s="65"/>
      <c r="Z389" s="65"/>
      <c r="AA389" s="65"/>
      <c r="AB389" s="65"/>
      <c r="AC389" s="65"/>
      <c r="AD389" s="65"/>
      <c r="AE389" s="65"/>
      <c r="AF389" s="65"/>
      <c r="AG389" s="65"/>
      <c r="AH389" s="65"/>
      <c r="AI389" s="65"/>
      <c r="AJ389" s="65"/>
      <c r="AK389" s="65"/>
      <c r="AL389" s="65"/>
      <c r="AM389" s="65"/>
      <c r="AN389" s="65"/>
    </row>
    <row r="390" spans="10:40" ht="14.5" x14ac:dyDescent="0.35">
      <c r="J390" s="65"/>
      <c r="K390" s="65"/>
      <c r="L390" s="65"/>
      <c r="M390" s="65"/>
      <c r="N390" s="65"/>
      <c r="O390" s="65"/>
      <c r="P390" s="65"/>
      <c r="Q390" s="65"/>
      <c r="R390" s="65"/>
      <c r="S390" s="65"/>
      <c r="T390" s="65"/>
      <c r="U390" s="65"/>
      <c r="V390" s="65"/>
      <c r="W390" s="65"/>
      <c r="X390" s="65"/>
      <c r="Y390" s="65"/>
      <c r="Z390" s="65"/>
      <c r="AA390" s="65"/>
      <c r="AB390" s="65"/>
      <c r="AC390" s="65"/>
      <c r="AD390" s="65"/>
      <c r="AE390" s="65"/>
      <c r="AF390" s="65"/>
      <c r="AG390" s="65"/>
      <c r="AH390" s="65"/>
      <c r="AI390" s="65"/>
      <c r="AJ390" s="65"/>
      <c r="AK390" s="65"/>
      <c r="AL390" s="65"/>
      <c r="AM390" s="65"/>
      <c r="AN390" s="65"/>
    </row>
    <row r="391" spans="10:40" ht="14.5" x14ac:dyDescent="0.35">
      <c r="J391" s="65"/>
      <c r="K391" s="65"/>
      <c r="L391" s="65"/>
      <c r="M391" s="65"/>
      <c r="N391" s="65"/>
      <c r="O391" s="65"/>
      <c r="P391" s="65"/>
      <c r="Q391" s="65"/>
      <c r="R391" s="65"/>
      <c r="S391" s="65"/>
      <c r="T391" s="65"/>
      <c r="U391" s="65"/>
      <c r="V391" s="65"/>
      <c r="W391" s="65"/>
      <c r="X391" s="65"/>
      <c r="Y391" s="65"/>
      <c r="Z391" s="65"/>
      <c r="AA391" s="65"/>
      <c r="AB391" s="65"/>
      <c r="AC391" s="65"/>
      <c r="AD391" s="65"/>
      <c r="AE391" s="65"/>
      <c r="AF391" s="65"/>
      <c r="AG391" s="65"/>
      <c r="AH391" s="65"/>
      <c r="AI391" s="65"/>
      <c r="AJ391" s="65"/>
      <c r="AK391" s="65"/>
      <c r="AL391" s="65"/>
      <c r="AM391" s="65"/>
      <c r="AN391" s="65"/>
    </row>
    <row r="392" spans="10:40" ht="14.5" x14ac:dyDescent="0.35">
      <c r="J392" s="65"/>
      <c r="K392" s="65"/>
      <c r="L392" s="65"/>
      <c r="M392" s="65"/>
      <c r="N392" s="65"/>
      <c r="O392" s="65"/>
      <c r="P392" s="65"/>
      <c r="Q392" s="65"/>
      <c r="R392" s="65"/>
      <c r="S392" s="65"/>
      <c r="T392" s="65"/>
      <c r="U392" s="65"/>
      <c r="V392" s="65"/>
      <c r="W392" s="65"/>
      <c r="X392" s="65"/>
      <c r="Y392" s="65"/>
      <c r="Z392" s="65"/>
      <c r="AA392" s="65"/>
      <c r="AB392" s="65"/>
      <c r="AC392" s="65"/>
      <c r="AD392" s="65"/>
      <c r="AE392" s="65"/>
      <c r="AF392" s="65"/>
      <c r="AG392" s="65"/>
      <c r="AH392" s="65"/>
      <c r="AI392" s="65"/>
      <c r="AJ392" s="65"/>
      <c r="AK392" s="65"/>
      <c r="AL392" s="65"/>
      <c r="AM392" s="65"/>
      <c r="AN392" s="65"/>
    </row>
    <row r="393" spans="10:40" ht="14.5" x14ac:dyDescent="0.35">
      <c r="J393" s="65"/>
      <c r="K393" s="65"/>
      <c r="L393" s="65"/>
      <c r="M393" s="65"/>
      <c r="N393" s="65"/>
      <c r="O393" s="65"/>
      <c r="P393" s="65"/>
      <c r="Q393" s="65"/>
      <c r="R393" s="65"/>
      <c r="S393" s="65"/>
      <c r="T393" s="65"/>
      <c r="U393" s="65"/>
      <c r="V393" s="65"/>
      <c r="W393" s="65"/>
      <c r="X393" s="65"/>
      <c r="Y393" s="65"/>
      <c r="Z393" s="65"/>
      <c r="AA393" s="65"/>
      <c r="AB393" s="65"/>
      <c r="AC393" s="65"/>
      <c r="AD393" s="65"/>
      <c r="AE393" s="65"/>
      <c r="AF393" s="65"/>
      <c r="AG393" s="65"/>
      <c r="AH393" s="65"/>
      <c r="AI393" s="65"/>
      <c r="AJ393" s="65"/>
      <c r="AK393" s="65"/>
      <c r="AL393" s="65"/>
      <c r="AM393" s="65"/>
      <c r="AN393" s="65"/>
    </row>
    <row r="394" spans="10:40" ht="14.5" x14ac:dyDescent="0.35">
      <c r="J394" s="65"/>
      <c r="K394" s="65"/>
      <c r="L394" s="65"/>
      <c r="M394" s="65"/>
      <c r="N394" s="65"/>
      <c r="O394" s="65"/>
      <c r="P394" s="65"/>
      <c r="Q394" s="65"/>
      <c r="R394" s="65"/>
      <c r="S394" s="65"/>
      <c r="T394" s="65"/>
      <c r="U394" s="65"/>
      <c r="V394" s="65"/>
      <c r="W394" s="65"/>
      <c r="X394" s="65"/>
      <c r="Y394" s="65"/>
      <c r="Z394" s="65"/>
      <c r="AA394" s="65"/>
      <c r="AB394" s="65"/>
      <c r="AC394" s="65"/>
      <c r="AD394" s="65"/>
      <c r="AE394" s="65"/>
      <c r="AF394" s="65"/>
      <c r="AG394" s="65"/>
      <c r="AH394" s="65"/>
      <c r="AI394" s="65"/>
      <c r="AJ394" s="65"/>
      <c r="AK394" s="65"/>
      <c r="AL394" s="65"/>
      <c r="AM394" s="65"/>
      <c r="AN394" s="65"/>
    </row>
    <row r="395" spans="10:40" ht="14.5" x14ac:dyDescent="0.35">
      <c r="J395" s="65"/>
      <c r="K395" s="65"/>
      <c r="L395" s="65"/>
      <c r="M395" s="65"/>
      <c r="N395" s="65"/>
      <c r="O395" s="65"/>
      <c r="P395" s="65"/>
      <c r="Q395" s="65"/>
      <c r="R395" s="65"/>
      <c r="S395" s="65"/>
      <c r="T395" s="65"/>
      <c r="U395" s="65"/>
      <c r="V395" s="65"/>
      <c r="W395" s="65"/>
      <c r="X395" s="65"/>
      <c r="Y395" s="65"/>
      <c r="Z395" s="65"/>
      <c r="AA395" s="65"/>
      <c r="AB395" s="65"/>
      <c r="AC395" s="65"/>
      <c r="AD395" s="65"/>
      <c r="AE395" s="65"/>
      <c r="AF395" s="65"/>
      <c r="AG395" s="65"/>
      <c r="AH395" s="65"/>
      <c r="AI395" s="65"/>
      <c r="AJ395" s="65"/>
      <c r="AK395" s="65"/>
      <c r="AL395" s="65"/>
      <c r="AM395" s="65"/>
      <c r="AN395" s="65"/>
    </row>
    <row r="396" spans="10:40" ht="14.5" x14ac:dyDescent="0.35">
      <c r="J396" s="65"/>
      <c r="K396" s="65"/>
      <c r="L396" s="65"/>
      <c r="M396" s="65"/>
      <c r="N396" s="65"/>
      <c r="O396" s="65"/>
      <c r="P396" s="65"/>
      <c r="Q396" s="65"/>
      <c r="R396" s="65"/>
      <c r="S396" s="65"/>
      <c r="T396" s="65"/>
      <c r="U396" s="65"/>
      <c r="V396" s="65"/>
      <c r="W396" s="65"/>
      <c r="X396" s="65"/>
      <c r="Y396" s="65"/>
      <c r="Z396" s="65"/>
      <c r="AA396" s="65"/>
      <c r="AB396" s="65"/>
      <c r="AC396" s="65"/>
      <c r="AD396" s="65"/>
      <c r="AE396" s="65"/>
      <c r="AF396" s="65"/>
      <c r="AG396" s="65"/>
      <c r="AH396" s="65"/>
      <c r="AI396" s="65"/>
      <c r="AJ396" s="65"/>
      <c r="AK396" s="65"/>
      <c r="AL396" s="65"/>
      <c r="AM396" s="65"/>
      <c r="AN396" s="65"/>
    </row>
    <row r="397" spans="10:40" ht="14.5" x14ac:dyDescent="0.35">
      <c r="J397" s="65"/>
      <c r="K397" s="65"/>
      <c r="L397" s="65"/>
      <c r="M397" s="65"/>
      <c r="N397" s="65"/>
      <c r="O397" s="65"/>
      <c r="P397" s="65"/>
      <c r="Q397" s="65"/>
      <c r="R397" s="65"/>
      <c r="S397" s="65"/>
      <c r="T397" s="65"/>
      <c r="U397" s="65"/>
      <c r="V397" s="65"/>
      <c r="W397" s="65"/>
      <c r="X397" s="65"/>
      <c r="Y397" s="65"/>
      <c r="Z397" s="65"/>
      <c r="AA397" s="65"/>
      <c r="AB397" s="65"/>
      <c r="AC397" s="65"/>
      <c r="AD397" s="65"/>
      <c r="AE397" s="65"/>
      <c r="AF397" s="65"/>
      <c r="AG397" s="65"/>
      <c r="AH397" s="65"/>
      <c r="AI397" s="65"/>
      <c r="AJ397" s="65"/>
      <c r="AK397" s="65"/>
      <c r="AL397" s="65"/>
      <c r="AM397" s="65"/>
      <c r="AN397" s="65"/>
    </row>
    <row r="398" spans="10:40" ht="14.5" x14ac:dyDescent="0.35">
      <c r="J398" s="65"/>
      <c r="K398" s="65"/>
      <c r="L398" s="65"/>
      <c r="M398" s="65"/>
      <c r="N398" s="65"/>
      <c r="O398" s="65"/>
      <c r="P398" s="65"/>
      <c r="Q398" s="65"/>
      <c r="R398" s="65"/>
      <c r="S398" s="65"/>
      <c r="T398" s="65"/>
      <c r="U398" s="65"/>
      <c r="V398" s="65"/>
      <c r="W398" s="65"/>
      <c r="X398" s="65"/>
      <c r="Y398" s="65"/>
      <c r="Z398" s="65"/>
      <c r="AA398" s="65"/>
      <c r="AB398" s="65"/>
      <c r="AC398" s="65"/>
      <c r="AD398" s="65"/>
      <c r="AE398" s="65"/>
      <c r="AF398" s="65"/>
      <c r="AG398" s="65"/>
      <c r="AH398" s="65"/>
      <c r="AI398" s="65"/>
      <c r="AJ398" s="65"/>
      <c r="AK398" s="65"/>
      <c r="AL398" s="65"/>
      <c r="AM398" s="65"/>
      <c r="AN398" s="65"/>
    </row>
    <row r="399" spans="10:40" ht="14.5" x14ac:dyDescent="0.35">
      <c r="J399" s="65"/>
      <c r="K399" s="65"/>
      <c r="L399" s="65"/>
      <c r="M399" s="65"/>
      <c r="N399" s="65"/>
      <c r="O399" s="65"/>
      <c r="P399" s="65"/>
      <c r="Q399" s="65"/>
      <c r="R399" s="65"/>
      <c r="S399" s="65"/>
      <c r="T399" s="65"/>
      <c r="U399" s="65"/>
      <c r="V399" s="65"/>
      <c r="W399" s="65"/>
      <c r="X399" s="65"/>
      <c r="Y399" s="65"/>
      <c r="Z399" s="65"/>
      <c r="AA399" s="65"/>
      <c r="AB399" s="65"/>
      <c r="AC399" s="65"/>
      <c r="AD399" s="65"/>
      <c r="AE399" s="65"/>
      <c r="AF399" s="65"/>
      <c r="AG399" s="65"/>
      <c r="AH399" s="65"/>
      <c r="AI399" s="65"/>
      <c r="AJ399" s="65"/>
      <c r="AK399" s="65"/>
      <c r="AL399" s="65"/>
      <c r="AM399" s="65"/>
      <c r="AN399" s="65"/>
    </row>
    <row r="400" spans="10:40" ht="14.5" x14ac:dyDescent="0.35">
      <c r="J400" s="65"/>
      <c r="K400" s="65"/>
      <c r="L400" s="65"/>
      <c r="M400" s="65"/>
      <c r="N400" s="65"/>
      <c r="O400" s="65"/>
      <c r="P400" s="65"/>
      <c r="Q400" s="65"/>
      <c r="R400" s="65"/>
      <c r="S400" s="65"/>
      <c r="T400" s="65"/>
      <c r="U400" s="65"/>
      <c r="V400" s="65"/>
      <c r="W400" s="65"/>
      <c r="X400" s="65"/>
      <c r="Y400" s="65"/>
      <c r="Z400" s="65"/>
      <c r="AA400" s="65"/>
      <c r="AB400" s="65"/>
      <c r="AC400" s="65"/>
      <c r="AD400" s="65"/>
      <c r="AE400" s="65"/>
      <c r="AF400" s="65"/>
      <c r="AG400" s="65"/>
      <c r="AH400" s="65"/>
      <c r="AI400" s="65"/>
      <c r="AJ400" s="65"/>
      <c r="AK400" s="65"/>
      <c r="AL400" s="65"/>
      <c r="AM400" s="65"/>
      <c r="AN400" s="65"/>
    </row>
    <row r="401" spans="10:40" ht="14.5" x14ac:dyDescent="0.35">
      <c r="J401" s="65"/>
      <c r="K401" s="65"/>
      <c r="L401" s="65"/>
      <c r="M401" s="65"/>
      <c r="N401" s="65"/>
      <c r="O401" s="65"/>
      <c r="P401" s="65"/>
      <c r="Q401" s="65"/>
      <c r="R401" s="65"/>
      <c r="S401" s="65"/>
      <c r="T401" s="65"/>
      <c r="U401" s="65"/>
      <c r="V401" s="65"/>
      <c r="W401" s="65"/>
      <c r="X401" s="65"/>
      <c r="Y401" s="65"/>
      <c r="Z401" s="65"/>
      <c r="AA401" s="65"/>
      <c r="AB401" s="65"/>
      <c r="AC401" s="65"/>
      <c r="AD401" s="65"/>
      <c r="AE401" s="65"/>
      <c r="AF401" s="65"/>
      <c r="AG401" s="65"/>
      <c r="AH401" s="65"/>
      <c r="AI401" s="65"/>
      <c r="AJ401" s="65"/>
      <c r="AK401" s="65"/>
      <c r="AL401" s="65"/>
      <c r="AM401" s="65"/>
      <c r="AN401" s="65"/>
    </row>
    <row r="402" spans="10:40" ht="14.5" x14ac:dyDescent="0.35">
      <c r="J402" s="65"/>
      <c r="K402" s="65"/>
      <c r="L402" s="65"/>
      <c r="M402" s="65"/>
      <c r="N402" s="65"/>
      <c r="O402" s="65"/>
      <c r="P402" s="65"/>
      <c r="Q402" s="65"/>
      <c r="R402" s="65"/>
      <c r="S402" s="65"/>
      <c r="T402" s="65"/>
      <c r="U402" s="65"/>
      <c r="V402" s="65"/>
      <c r="W402" s="65"/>
      <c r="X402" s="65"/>
      <c r="Y402" s="65"/>
      <c r="Z402" s="65"/>
      <c r="AA402" s="65"/>
      <c r="AB402" s="65"/>
      <c r="AC402" s="65"/>
      <c r="AD402" s="65"/>
      <c r="AE402" s="65"/>
      <c r="AF402" s="65"/>
      <c r="AG402" s="65"/>
      <c r="AH402" s="65"/>
      <c r="AI402" s="65"/>
      <c r="AJ402" s="65"/>
      <c r="AK402" s="65"/>
      <c r="AL402" s="65"/>
      <c r="AM402" s="65"/>
      <c r="AN402" s="65"/>
    </row>
    <row r="403" spans="10:40" ht="14.5" x14ac:dyDescent="0.35">
      <c r="J403" s="65"/>
      <c r="K403" s="65"/>
      <c r="L403" s="65"/>
      <c r="M403" s="65"/>
      <c r="N403" s="65"/>
      <c r="O403" s="65"/>
      <c r="P403" s="65"/>
      <c r="Q403" s="65"/>
      <c r="R403" s="65"/>
      <c r="S403" s="65"/>
      <c r="T403" s="65"/>
      <c r="U403" s="65"/>
      <c r="V403" s="65"/>
      <c r="W403" s="65"/>
      <c r="X403" s="65"/>
      <c r="Y403" s="65"/>
      <c r="Z403" s="65"/>
      <c r="AA403" s="65"/>
      <c r="AB403" s="65"/>
      <c r="AC403" s="65"/>
      <c r="AD403" s="65"/>
      <c r="AE403" s="65"/>
      <c r="AF403" s="65"/>
      <c r="AG403" s="65"/>
      <c r="AH403" s="65"/>
      <c r="AI403" s="65"/>
      <c r="AJ403" s="65"/>
      <c r="AK403" s="65"/>
      <c r="AL403" s="65"/>
      <c r="AM403" s="65"/>
      <c r="AN403" s="65"/>
    </row>
    <row r="404" spans="10:40" ht="14.5" x14ac:dyDescent="0.35">
      <c r="J404" s="65"/>
      <c r="K404" s="65"/>
      <c r="L404" s="65"/>
      <c r="M404" s="65"/>
      <c r="N404" s="65"/>
      <c r="O404" s="65"/>
      <c r="P404" s="65"/>
      <c r="Q404" s="65"/>
      <c r="R404" s="65"/>
      <c r="S404" s="65"/>
      <c r="T404" s="65"/>
      <c r="U404" s="65"/>
      <c r="V404" s="65"/>
      <c r="W404" s="65"/>
      <c r="X404" s="65"/>
      <c r="Y404" s="65"/>
      <c r="Z404" s="65"/>
      <c r="AA404" s="65"/>
      <c r="AB404" s="65"/>
      <c r="AC404" s="65"/>
      <c r="AD404" s="65"/>
      <c r="AE404" s="65"/>
      <c r="AF404" s="65"/>
      <c r="AG404" s="65"/>
      <c r="AH404" s="65"/>
      <c r="AI404" s="65"/>
      <c r="AJ404" s="65"/>
      <c r="AK404" s="65"/>
      <c r="AL404" s="65"/>
      <c r="AM404" s="65"/>
      <c r="AN404" s="65"/>
    </row>
    <row r="405" spans="10:40" ht="14.5" x14ac:dyDescent="0.35">
      <c r="J405" s="65"/>
      <c r="K405" s="65"/>
      <c r="L405" s="65"/>
      <c r="M405" s="65"/>
      <c r="N405" s="65"/>
      <c r="O405" s="65"/>
      <c r="P405" s="65"/>
      <c r="Q405" s="65"/>
      <c r="R405" s="65"/>
      <c r="S405" s="65"/>
      <c r="T405" s="65"/>
      <c r="U405" s="65"/>
      <c r="V405" s="65"/>
      <c r="W405" s="65"/>
      <c r="X405" s="65"/>
      <c r="Y405" s="65"/>
      <c r="Z405" s="65"/>
      <c r="AA405" s="65"/>
      <c r="AB405" s="65"/>
      <c r="AC405" s="65"/>
      <c r="AD405" s="65"/>
      <c r="AE405" s="65"/>
      <c r="AF405" s="65"/>
      <c r="AG405" s="65"/>
      <c r="AH405" s="65"/>
      <c r="AI405" s="65"/>
      <c r="AJ405" s="65"/>
      <c r="AK405" s="65"/>
      <c r="AL405" s="65"/>
      <c r="AM405" s="65"/>
      <c r="AN405" s="65"/>
    </row>
    <row r="406" spans="10:40" ht="14.5" x14ac:dyDescent="0.35">
      <c r="J406" s="65"/>
      <c r="K406" s="65"/>
      <c r="L406" s="65"/>
      <c r="M406" s="65"/>
      <c r="N406" s="65"/>
      <c r="O406" s="65"/>
      <c r="P406" s="65"/>
      <c r="Q406" s="65"/>
      <c r="R406" s="65"/>
      <c r="S406" s="65"/>
      <c r="T406" s="65"/>
      <c r="U406" s="65"/>
      <c r="V406" s="65"/>
      <c r="W406" s="65"/>
      <c r="X406" s="65"/>
      <c r="Y406" s="65"/>
      <c r="Z406" s="65"/>
      <c r="AA406" s="65"/>
      <c r="AB406" s="65"/>
      <c r="AC406" s="65"/>
      <c r="AD406" s="65"/>
      <c r="AE406" s="65"/>
      <c r="AF406" s="65"/>
      <c r="AG406" s="65"/>
      <c r="AH406" s="65"/>
      <c r="AI406" s="65"/>
      <c r="AJ406" s="65"/>
      <c r="AK406" s="65"/>
      <c r="AL406" s="65"/>
      <c r="AM406" s="65"/>
      <c r="AN406" s="65"/>
    </row>
    <row r="407" spans="10:40" ht="14.5" x14ac:dyDescent="0.35">
      <c r="J407" s="65"/>
      <c r="K407" s="65"/>
      <c r="L407" s="65"/>
      <c r="M407" s="65"/>
      <c r="N407" s="65"/>
      <c r="O407" s="65"/>
      <c r="P407" s="65"/>
      <c r="Q407" s="65"/>
      <c r="R407" s="65"/>
      <c r="S407" s="65"/>
      <c r="T407" s="65"/>
      <c r="U407" s="65"/>
      <c r="V407" s="65"/>
      <c r="W407" s="65"/>
      <c r="X407" s="65"/>
      <c r="Y407" s="65"/>
      <c r="Z407" s="65"/>
      <c r="AA407" s="65"/>
      <c r="AB407" s="65"/>
      <c r="AC407" s="65"/>
      <c r="AD407" s="65"/>
      <c r="AE407" s="65"/>
      <c r="AF407" s="65"/>
      <c r="AG407" s="65"/>
      <c r="AH407" s="65"/>
      <c r="AI407" s="65"/>
      <c r="AJ407" s="65"/>
      <c r="AK407" s="65"/>
      <c r="AL407" s="65"/>
      <c r="AM407" s="65"/>
      <c r="AN407" s="65"/>
    </row>
    <row r="408" spans="10:40" ht="14.5" x14ac:dyDescent="0.35">
      <c r="J408" s="65"/>
      <c r="K408" s="65"/>
      <c r="L408" s="65"/>
      <c r="M408" s="65"/>
      <c r="N408" s="65"/>
      <c r="O408" s="65"/>
      <c r="P408" s="65"/>
      <c r="Q408" s="65"/>
      <c r="R408" s="65"/>
      <c r="S408" s="65"/>
      <c r="T408" s="65"/>
      <c r="U408" s="65"/>
      <c r="V408" s="65"/>
      <c r="W408" s="65"/>
      <c r="X408" s="65"/>
      <c r="Y408" s="65"/>
      <c r="Z408" s="65"/>
      <c r="AA408" s="65"/>
      <c r="AB408" s="65"/>
      <c r="AC408" s="65"/>
      <c r="AD408" s="65"/>
      <c r="AE408" s="65"/>
      <c r="AF408" s="65"/>
      <c r="AG408" s="65"/>
      <c r="AH408" s="65"/>
      <c r="AI408" s="65"/>
      <c r="AJ408" s="65"/>
      <c r="AK408" s="65"/>
      <c r="AL408" s="65"/>
      <c r="AM408" s="65"/>
      <c r="AN408" s="65"/>
    </row>
    <row r="409" spans="10:40" ht="14.5" x14ac:dyDescent="0.35">
      <c r="J409" s="65"/>
      <c r="K409" s="65"/>
      <c r="L409" s="65"/>
      <c r="M409" s="65"/>
      <c r="N409" s="65"/>
      <c r="O409" s="65"/>
      <c r="P409" s="65"/>
      <c r="Q409" s="65"/>
      <c r="R409" s="65"/>
      <c r="S409" s="65"/>
      <c r="T409" s="65"/>
      <c r="U409" s="65"/>
      <c r="V409" s="65"/>
      <c r="W409" s="65"/>
      <c r="X409" s="65"/>
      <c r="Y409" s="65"/>
      <c r="Z409" s="65"/>
      <c r="AA409" s="65"/>
      <c r="AB409" s="65"/>
      <c r="AC409" s="65"/>
      <c r="AD409" s="65"/>
      <c r="AE409" s="65"/>
      <c r="AF409" s="65"/>
      <c r="AG409" s="65"/>
      <c r="AH409" s="65"/>
      <c r="AI409" s="65"/>
      <c r="AJ409" s="65"/>
      <c r="AK409" s="65"/>
      <c r="AL409" s="65"/>
      <c r="AM409" s="65"/>
      <c r="AN409" s="65"/>
    </row>
    <row r="410" spans="10:40" ht="14.5" x14ac:dyDescent="0.35">
      <c r="J410" s="65"/>
      <c r="K410" s="65"/>
      <c r="L410" s="65"/>
      <c r="M410" s="65"/>
      <c r="N410" s="65"/>
      <c r="O410" s="65"/>
      <c r="P410" s="65"/>
      <c r="Q410" s="65"/>
      <c r="R410" s="65"/>
      <c r="S410" s="65"/>
      <c r="T410" s="65"/>
      <c r="U410" s="65"/>
      <c r="V410" s="65"/>
      <c r="W410" s="65"/>
      <c r="X410" s="65"/>
      <c r="Y410" s="65"/>
      <c r="Z410" s="65"/>
      <c r="AA410" s="65"/>
      <c r="AB410" s="65"/>
      <c r="AC410" s="65"/>
      <c r="AD410" s="65"/>
      <c r="AE410" s="65"/>
      <c r="AF410" s="65"/>
      <c r="AG410" s="65"/>
      <c r="AH410" s="65"/>
      <c r="AI410" s="65"/>
      <c r="AJ410" s="65"/>
      <c r="AK410" s="65"/>
      <c r="AL410" s="65"/>
      <c r="AM410" s="65"/>
      <c r="AN410" s="65"/>
    </row>
    <row r="411" spans="10:40" ht="14.5" x14ac:dyDescent="0.35">
      <c r="J411" s="65"/>
      <c r="K411" s="65"/>
      <c r="L411" s="65"/>
      <c r="M411" s="65"/>
      <c r="N411" s="65"/>
      <c r="O411" s="65"/>
      <c r="P411" s="65"/>
      <c r="Q411" s="65"/>
      <c r="R411" s="65"/>
      <c r="S411" s="65"/>
      <c r="T411" s="65"/>
      <c r="U411" s="65"/>
      <c r="V411" s="65"/>
      <c r="W411" s="65"/>
      <c r="X411" s="65"/>
      <c r="Y411" s="65"/>
      <c r="Z411" s="65"/>
      <c r="AA411" s="65"/>
      <c r="AB411" s="65"/>
      <c r="AC411" s="65"/>
      <c r="AD411" s="65"/>
      <c r="AE411" s="65"/>
      <c r="AF411" s="65"/>
      <c r="AG411" s="65"/>
      <c r="AH411" s="65"/>
      <c r="AI411" s="65"/>
      <c r="AJ411" s="65"/>
      <c r="AK411" s="65"/>
      <c r="AL411" s="65"/>
      <c r="AM411" s="65"/>
      <c r="AN411" s="65"/>
    </row>
    <row r="412" spans="10:40" ht="14.5" x14ac:dyDescent="0.35">
      <c r="J412" s="65"/>
      <c r="K412" s="65"/>
      <c r="L412" s="65"/>
      <c r="M412" s="65"/>
      <c r="N412" s="65"/>
      <c r="O412" s="65"/>
      <c r="P412" s="65"/>
      <c r="Q412" s="65"/>
      <c r="R412" s="65"/>
      <c r="S412" s="65"/>
      <c r="T412" s="65"/>
      <c r="U412" s="65"/>
      <c r="V412" s="65"/>
      <c r="W412" s="65"/>
      <c r="X412" s="65"/>
      <c r="Y412" s="65"/>
      <c r="Z412" s="65"/>
      <c r="AA412" s="65"/>
      <c r="AB412" s="65"/>
      <c r="AC412" s="65"/>
      <c r="AD412" s="65"/>
      <c r="AE412" s="65"/>
      <c r="AF412" s="65"/>
      <c r="AG412" s="65"/>
      <c r="AH412" s="65"/>
      <c r="AI412" s="65"/>
      <c r="AJ412" s="65"/>
      <c r="AK412" s="65"/>
      <c r="AL412" s="65"/>
      <c r="AM412" s="65"/>
      <c r="AN412" s="65"/>
    </row>
    <row r="413" spans="10:40" ht="14.5" x14ac:dyDescent="0.35">
      <c r="J413" s="65"/>
      <c r="K413" s="65"/>
      <c r="L413" s="65"/>
      <c r="M413" s="65"/>
      <c r="N413" s="65"/>
      <c r="O413" s="65"/>
      <c r="P413" s="65"/>
      <c r="Q413" s="65"/>
      <c r="R413" s="65"/>
      <c r="S413" s="65"/>
      <c r="T413" s="65"/>
      <c r="U413" s="65"/>
      <c r="V413" s="65"/>
      <c r="W413" s="65"/>
      <c r="X413" s="65"/>
      <c r="Y413" s="65"/>
      <c r="Z413" s="65"/>
      <c r="AA413" s="65"/>
      <c r="AB413" s="65"/>
      <c r="AC413" s="65"/>
      <c r="AD413" s="65"/>
      <c r="AE413" s="65"/>
      <c r="AF413" s="65"/>
      <c r="AG413" s="65"/>
      <c r="AH413" s="65"/>
      <c r="AI413" s="65"/>
      <c r="AJ413" s="65"/>
      <c r="AK413" s="65"/>
      <c r="AL413" s="65"/>
      <c r="AM413" s="65"/>
      <c r="AN413" s="65"/>
    </row>
    <row r="414" spans="10:40" ht="14.5" x14ac:dyDescent="0.35">
      <c r="J414" s="65"/>
      <c r="K414" s="65"/>
      <c r="L414" s="65"/>
      <c r="M414" s="65"/>
      <c r="N414" s="65"/>
      <c r="O414" s="65"/>
      <c r="P414" s="65"/>
      <c r="Q414" s="65"/>
      <c r="R414" s="65"/>
      <c r="S414" s="65"/>
      <c r="T414" s="65"/>
      <c r="U414" s="65"/>
      <c r="V414" s="65"/>
      <c r="W414" s="65"/>
      <c r="X414" s="65"/>
      <c r="Y414" s="65"/>
      <c r="Z414" s="65"/>
      <c r="AA414" s="65"/>
      <c r="AB414" s="65"/>
      <c r="AC414" s="65"/>
      <c r="AD414" s="65"/>
      <c r="AE414" s="65"/>
      <c r="AF414" s="65"/>
      <c r="AG414" s="65"/>
      <c r="AH414" s="65"/>
      <c r="AI414" s="65"/>
      <c r="AJ414" s="65"/>
      <c r="AK414" s="65"/>
      <c r="AL414" s="65"/>
      <c r="AM414" s="65"/>
      <c r="AN414" s="65"/>
    </row>
    <row r="415" spans="10:40" ht="14.5" x14ac:dyDescent="0.35">
      <c r="J415" s="65"/>
      <c r="K415" s="65"/>
      <c r="L415" s="65"/>
      <c r="M415" s="65"/>
      <c r="N415" s="65"/>
      <c r="O415" s="65"/>
      <c r="P415" s="65"/>
      <c r="Q415" s="65"/>
      <c r="R415" s="65"/>
      <c r="S415" s="65"/>
      <c r="T415" s="65"/>
      <c r="U415" s="65"/>
      <c r="V415" s="65"/>
      <c r="W415" s="65"/>
      <c r="X415" s="65"/>
      <c r="Y415" s="65"/>
      <c r="Z415" s="65"/>
      <c r="AA415" s="65"/>
      <c r="AB415" s="65"/>
      <c r="AC415" s="65"/>
      <c r="AD415" s="65"/>
      <c r="AE415" s="65"/>
      <c r="AF415" s="65"/>
      <c r="AG415" s="65"/>
      <c r="AH415" s="65"/>
      <c r="AI415" s="65"/>
      <c r="AJ415" s="65"/>
      <c r="AK415" s="65"/>
      <c r="AL415" s="65"/>
      <c r="AM415" s="65"/>
      <c r="AN415" s="65"/>
    </row>
    <row r="416" spans="10:40" ht="14.5" x14ac:dyDescent="0.35">
      <c r="J416" s="65"/>
      <c r="K416" s="65"/>
      <c r="L416" s="65"/>
      <c r="M416" s="65"/>
      <c r="N416" s="65"/>
      <c r="O416" s="65"/>
      <c r="P416" s="65"/>
      <c r="Q416" s="65"/>
      <c r="R416" s="65"/>
      <c r="S416" s="65"/>
      <c r="T416" s="65"/>
      <c r="U416" s="65"/>
      <c r="V416" s="65"/>
      <c r="W416" s="65"/>
      <c r="X416" s="65"/>
      <c r="Y416" s="65"/>
      <c r="Z416" s="65"/>
      <c r="AA416" s="65"/>
      <c r="AB416" s="65"/>
      <c r="AC416" s="65"/>
      <c r="AD416" s="65"/>
      <c r="AE416" s="65"/>
      <c r="AF416" s="65"/>
      <c r="AG416" s="65"/>
      <c r="AH416" s="65"/>
      <c r="AI416" s="65"/>
      <c r="AJ416" s="65"/>
      <c r="AK416" s="65"/>
      <c r="AL416" s="65"/>
      <c r="AM416" s="65"/>
      <c r="AN416" s="65"/>
    </row>
    <row r="417" spans="10:40" ht="14.5" x14ac:dyDescent="0.35">
      <c r="J417" s="65"/>
      <c r="K417" s="65"/>
      <c r="L417" s="65"/>
      <c r="M417" s="65"/>
      <c r="N417" s="65"/>
      <c r="O417" s="65"/>
      <c r="P417" s="65"/>
      <c r="Q417" s="65"/>
      <c r="R417" s="65"/>
      <c r="S417" s="65"/>
      <c r="T417" s="65"/>
      <c r="U417" s="65"/>
      <c r="V417" s="65"/>
      <c r="W417" s="65"/>
      <c r="X417" s="65"/>
      <c r="Y417" s="65"/>
      <c r="Z417" s="65"/>
      <c r="AA417" s="65"/>
      <c r="AB417" s="65"/>
      <c r="AC417" s="65"/>
      <c r="AD417" s="65"/>
      <c r="AE417" s="65"/>
      <c r="AF417" s="65"/>
      <c r="AG417" s="65"/>
      <c r="AH417" s="65"/>
      <c r="AI417" s="65"/>
      <c r="AJ417" s="65"/>
      <c r="AK417" s="65"/>
      <c r="AL417" s="65"/>
      <c r="AM417" s="65"/>
      <c r="AN417" s="65"/>
    </row>
    <row r="418" spans="10:40" ht="14.5" x14ac:dyDescent="0.35">
      <c r="J418" s="65"/>
      <c r="K418" s="65"/>
      <c r="L418" s="65"/>
      <c r="M418" s="65"/>
      <c r="N418" s="65"/>
      <c r="O418" s="65"/>
      <c r="P418" s="65"/>
      <c r="Q418" s="65"/>
      <c r="R418" s="65"/>
      <c r="S418" s="65"/>
      <c r="T418" s="65"/>
      <c r="U418" s="65"/>
      <c r="V418" s="65"/>
      <c r="W418" s="65"/>
      <c r="X418" s="65"/>
      <c r="Y418" s="65"/>
      <c r="Z418" s="65"/>
      <c r="AA418" s="65"/>
      <c r="AB418" s="65"/>
      <c r="AC418" s="65"/>
      <c r="AD418" s="65"/>
      <c r="AE418" s="65"/>
      <c r="AF418" s="65"/>
      <c r="AG418" s="65"/>
      <c r="AH418" s="65"/>
      <c r="AI418" s="65"/>
      <c r="AJ418" s="65"/>
      <c r="AK418" s="65"/>
      <c r="AL418" s="65"/>
      <c r="AM418" s="65"/>
      <c r="AN418" s="65"/>
    </row>
    <row r="419" spans="10:40" ht="14.5" x14ac:dyDescent="0.35">
      <c r="J419" s="65"/>
      <c r="K419" s="65"/>
      <c r="L419" s="65"/>
      <c r="M419" s="65"/>
      <c r="N419" s="65"/>
      <c r="O419" s="65"/>
      <c r="P419" s="65"/>
      <c r="Q419" s="65"/>
      <c r="R419" s="65"/>
      <c r="S419" s="65"/>
      <c r="T419" s="65"/>
      <c r="U419" s="65"/>
      <c r="V419" s="65"/>
      <c r="W419" s="65"/>
      <c r="X419" s="65"/>
      <c r="Y419" s="65"/>
      <c r="Z419" s="65"/>
      <c r="AA419" s="65"/>
      <c r="AB419" s="65"/>
      <c r="AC419" s="65"/>
      <c r="AD419" s="65"/>
      <c r="AE419" s="65"/>
      <c r="AF419" s="65"/>
      <c r="AG419" s="65"/>
      <c r="AH419" s="65"/>
      <c r="AI419" s="65"/>
      <c r="AJ419" s="65"/>
      <c r="AK419" s="65"/>
      <c r="AL419" s="65"/>
      <c r="AM419" s="65"/>
      <c r="AN419" s="65"/>
    </row>
    <row r="420" spans="10:40" ht="14.5" x14ac:dyDescent="0.35">
      <c r="J420" s="65"/>
      <c r="K420" s="65"/>
      <c r="L420" s="65"/>
      <c r="M420" s="65"/>
      <c r="N420" s="65"/>
      <c r="O420" s="65"/>
      <c r="P420" s="65"/>
      <c r="Q420" s="65"/>
      <c r="R420" s="65"/>
      <c r="S420" s="65"/>
      <c r="T420" s="65"/>
      <c r="U420" s="65"/>
      <c r="V420" s="65"/>
      <c r="W420" s="65"/>
      <c r="X420" s="65"/>
      <c r="Y420" s="65"/>
      <c r="Z420" s="65"/>
      <c r="AA420" s="65"/>
      <c r="AB420" s="65"/>
      <c r="AC420" s="65"/>
      <c r="AD420" s="65"/>
      <c r="AE420" s="65"/>
      <c r="AF420" s="65"/>
      <c r="AG420" s="65"/>
      <c r="AH420" s="65"/>
      <c r="AI420" s="65"/>
      <c r="AJ420" s="65"/>
      <c r="AK420" s="65"/>
      <c r="AL420" s="65"/>
      <c r="AM420" s="65"/>
      <c r="AN420" s="65"/>
    </row>
    <row r="421" spans="10:40" ht="14.5" x14ac:dyDescent="0.35">
      <c r="J421" s="65"/>
      <c r="K421" s="65"/>
      <c r="L421" s="65"/>
      <c r="M421" s="65"/>
      <c r="N421" s="65"/>
      <c r="O421" s="65"/>
      <c r="P421" s="65"/>
      <c r="Q421" s="65"/>
      <c r="R421" s="65"/>
      <c r="S421" s="65"/>
      <c r="T421" s="65"/>
      <c r="U421" s="65"/>
      <c r="V421" s="65"/>
      <c r="W421" s="65"/>
      <c r="X421" s="65"/>
      <c r="Y421" s="65"/>
      <c r="Z421" s="65"/>
      <c r="AA421" s="65"/>
      <c r="AB421" s="65"/>
      <c r="AC421" s="65"/>
      <c r="AD421" s="65"/>
      <c r="AE421" s="65"/>
      <c r="AF421" s="65"/>
      <c r="AG421" s="65"/>
      <c r="AH421" s="65"/>
      <c r="AI421" s="65"/>
      <c r="AJ421" s="65"/>
      <c r="AK421" s="65"/>
      <c r="AL421" s="65"/>
      <c r="AM421" s="65"/>
      <c r="AN421" s="65"/>
    </row>
    <row r="422" spans="10:40" ht="14.5" x14ac:dyDescent="0.35">
      <c r="J422" s="65"/>
      <c r="K422" s="65"/>
      <c r="L422" s="65"/>
      <c r="M422" s="65"/>
      <c r="N422" s="65"/>
      <c r="O422" s="65"/>
      <c r="P422" s="65"/>
      <c r="Q422" s="65"/>
      <c r="R422" s="65"/>
      <c r="S422" s="65"/>
      <c r="T422" s="65"/>
      <c r="U422" s="65"/>
      <c r="V422" s="65"/>
      <c r="W422" s="65"/>
      <c r="X422" s="65"/>
      <c r="Y422" s="65"/>
      <c r="Z422" s="65"/>
      <c r="AA422" s="65"/>
      <c r="AB422" s="65"/>
      <c r="AC422" s="65"/>
      <c r="AD422" s="65"/>
      <c r="AE422" s="65"/>
      <c r="AF422" s="65"/>
      <c r="AG422" s="65"/>
      <c r="AH422" s="65"/>
      <c r="AI422" s="65"/>
      <c r="AJ422" s="65"/>
      <c r="AK422" s="65"/>
      <c r="AL422" s="65"/>
      <c r="AM422" s="65"/>
      <c r="AN422" s="65"/>
    </row>
    <row r="423" spans="10:40" ht="14.5" x14ac:dyDescent="0.35">
      <c r="J423" s="65"/>
      <c r="K423" s="65"/>
      <c r="L423" s="65"/>
      <c r="M423" s="65"/>
      <c r="N423" s="65"/>
      <c r="O423" s="65"/>
      <c r="P423" s="65"/>
      <c r="Q423" s="65"/>
      <c r="R423" s="65"/>
      <c r="S423" s="65"/>
      <c r="T423" s="65"/>
      <c r="U423" s="65"/>
      <c r="V423" s="65"/>
      <c r="W423" s="65"/>
      <c r="X423" s="65"/>
      <c r="Y423" s="65"/>
      <c r="Z423" s="65"/>
      <c r="AA423" s="65"/>
      <c r="AB423" s="65"/>
      <c r="AC423" s="65"/>
      <c r="AD423" s="65"/>
      <c r="AE423" s="65"/>
      <c r="AF423" s="65"/>
      <c r="AG423" s="65"/>
      <c r="AH423" s="65"/>
      <c r="AI423" s="65"/>
      <c r="AJ423" s="65"/>
      <c r="AK423" s="65"/>
      <c r="AL423" s="65"/>
      <c r="AM423" s="65"/>
      <c r="AN423" s="65"/>
    </row>
    <row r="424" spans="10:40" ht="14.5" x14ac:dyDescent="0.35">
      <c r="J424" s="65"/>
      <c r="K424" s="65"/>
      <c r="L424" s="65"/>
      <c r="M424" s="65"/>
      <c r="N424" s="65"/>
      <c r="O424" s="65"/>
      <c r="P424" s="65"/>
      <c r="Q424" s="65"/>
      <c r="R424" s="65"/>
      <c r="S424" s="65"/>
      <c r="T424" s="65"/>
      <c r="U424" s="65"/>
      <c r="V424" s="65"/>
      <c r="W424" s="65"/>
      <c r="X424" s="65"/>
      <c r="Y424" s="65"/>
      <c r="Z424" s="65"/>
      <c r="AA424" s="65"/>
      <c r="AB424" s="65"/>
      <c r="AC424" s="65"/>
      <c r="AD424" s="65"/>
      <c r="AE424" s="65"/>
      <c r="AF424" s="65"/>
      <c r="AG424" s="65"/>
      <c r="AH424" s="65"/>
      <c r="AI424" s="65"/>
      <c r="AJ424" s="65"/>
      <c r="AK424" s="65"/>
      <c r="AL424" s="65"/>
      <c r="AM424" s="65"/>
      <c r="AN424" s="65"/>
    </row>
    <row r="425" spans="10:40" ht="14.5" x14ac:dyDescent="0.35">
      <c r="J425" s="65"/>
      <c r="K425" s="65"/>
      <c r="L425" s="65"/>
      <c r="M425" s="65"/>
      <c r="N425" s="65"/>
      <c r="O425" s="65"/>
      <c r="P425" s="65"/>
      <c r="Q425" s="65"/>
      <c r="R425" s="65"/>
      <c r="S425" s="65"/>
      <c r="T425" s="65"/>
      <c r="U425" s="65"/>
      <c r="V425" s="65"/>
      <c r="W425" s="65"/>
      <c r="X425" s="65"/>
      <c r="Y425" s="65"/>
      <c r="Z425" s="65"/>
      <c r="AA425" s="65"/>
      <c r="AB425" s="65"/>
      <c r="AC425" s="65"/>
      <c r="AD425" s="65"/>
      <c r="AE425" s="65"/>
      <c r="AF425" s="65"/>
      <c r="AG425" s="65"/>
      <c r="AH425" s="65"/>
      <c r="AI425" s="65"/>
      <c r="AJ425" s="65"/>
      <c r="AK425" s="65"/>
      <c r="AL425" s="65"/>
      <c r="AM425" s="65"/>
      <c r="AN425" s="65"/>
    </row>
    <row r="426" spans="10:40" ht="14.5" x14ac:dyDescent="0.35">
      <c r="J426" s="65"/>
      <c r="K426" s="65"/>
      <c r="L426" s="65"/>
      <c r="M426" s="65"/>
      <c r="N426" s="65"/>
      <c r="O426" s="65"/>
      <c r="P426" s="65"/>
      <c r="Q426" s="65"/>
      <c r="R426" s="65"/>
      <c r="S426" s="65"/>
      <c r="T426" s="65"/>
      <c r="U426" s="65"/>
      <c r="V426" s="65"/>
      <c r="W426" s="65"/>
      <c r="X426" s="65"/>
      <c r="Y426" s="65"/>
      <c r="Z426" s="65"/>
      <c r="AA426" s="65"/>
      <c r="AB426" s="65"/>
      <c r="AC426" s="65"/>
      <c r="AD426" s="65"/>
      <c r="AE426" s="65"/>
      <c r="AF426" s="65"/>
      <c r="AG426" s="65"/>
      <c r="AH426" s="65"/>
      <c r="AI426" s="65"/>
      <c r="AJ426" s="65"/>
      <c r="AK426" s="65"/>
      <c r="AL426" s="65"/>
      <c r="AM426" s="65"/>
      <c r="AN426" s="65"/>
    </row>
    <row r="427" spans="10:40" ht="14.5" x14ac:dyDescent="0.35">
      <c r="J427" s="65"/>
      <c r="K427" s="65"/>
      <c r="L427" s="65"/>
      <c r="M427" s="65"/>
      <c r="N427" s="65"/>
      <c r="O427" s="65"/>
      <c r="P427" s="65"/>
      <c r="Q427" s="65"/>
      <c r="R427" s="65"/>
      <c r="S427" s="65"/>
      <c r="T427" s="65"/>
      <c r="U427" s="65"/>
      <c r="V427" s="65"/>
      <c r="W427" s="65"/>
      <c r="X427" s="65"/>
      <c r="Y427" s="65"/>
      <c r="Z427" s="65"/>
      <c r="AA427" s="65"/>
      <c r="AB427" s="65"/>
      <c r="AC427" s="65"/>
      <c r="AD427" s="65"/>
      <c r="AE427" s="65"/>
      <c r="AF427" s="65"/>
      <c r="AG427" s="65"/>
      <c r="AH427" s="65"/>
      <c r="AI427" s="65"/>
      <c r="AJ427" s="65"/>
      <c r="AK427" s="65"/>
      <c r="AL427" s="65"/>
      <c r="AM427" s="65"/>
      <c r="AN427" s="65"/>
    </row>
    <row r="428" spans="10:40" ht="14.5" x14ac:dyDescent="0.35">
      <c r="J428" s="65"/>
      <c r="K428" s="65"/>
      <c r="L428" s="65"/>
      <c r="M428" s="65"/>
      <c r="N428" s="65"/>
      <c r="O428" s="65"/>
      <c r="P428" s="65"/>
      <c r="Q428" s="65"/>
      <c r="R428" s="65"/>
      <c r="S428" s="65"/>
      <c r="T428" s="65"/>
      <c r="U428" s="65"/>
      <c r="V428" s="65"/>
      <c r="W428" s="65"/>
      <c r="X428" s="65"/>
      <c r="Y428" s="65"/>
      <c r="Z428" s="65"/>
      <c r="AA428" s="65"/>
      <c r="AB428" s="65"/>
      <c r="AC428" s="65"/>
      <c r="AD428" s="65"/>
      <c r="AE428" s="65"/>
      <c r="AF428" s="65"/>
      <c r="AG428" s="65"/>
      <c r="AH428" s="65"/>
      <c r="AI428" s="65"/>
      <c r="AJ428" s="65"/>
      <c r="AK428" s="65"/>
      <c r="AL428" s="65"/>
      <c r="AM428" s="65"/>
      <c r="AN428" s="65"/>
    </row>
    <row r="429" spans="10:40" ht="14.5" x14ac:dyDescent="0.35">
      <c r="J429" s="65"/>
      <c r="K429" s="65"/>
      <c r="L429" s="65"/>
      <c r="M429" s="65"/>
      <c r="N429" s="65"/>
      <c r="O429" s="65"/>
      <c r="P429" s="65"/>
      <c r="Q429" s="65"/>
      <c r="R429" s="65"/>
      <c r="S429" s="65"/>
      <c r="T429" s="65"/>
      <c r="U429" s="65"/>
      <c r="V429" s="65"/>
      <c r="W429" s="65"/>
      <c r="X429" s="65"/>
      <c r="Y429" s="65"/>
      <c r="Z429" s="65"/>
      <c r="AA429" s="65"/>
      <c r="AB429" s="65"/>
      <c r="AC429" s="65"/>
      <c r="AD429" s="65"/>
      <c r="AE429" s="65"/>
      <c r="AF429" s="65"/>
      <c r="AG429" s="65"/>
      <c r="AH429" s="65"/>
      <c r="AI429" s="65"/>
      <c r="AJ429" s="65"/>
      <c r="AK429" s="65"/>
      <c r="AL429" s="65"/>
      <c r="AM429" s="65"/>
      <c r="AN429" s="65"/>
    </row>
    <row r="430" spans="10:40" ht="14.5" x14ac:dyDescent="0.35">
      <c r="J430" s="65"/>
      <c r="K430" s="65"/>
      <c r="L430" s="65"/>
      <c r="M430" s="65"/>
      <c r="N430" s="65"/>
      <c r="O430" s="65"/>
      <c r="P430" s="65"/>
      <c r="Q430" s="65"/>
      <c r="R430" s="65"/>
      <c r="S430" s="65"/>
      <c r="T430" s="65"/>
      <c r="U430" s="65"/>
      <c r="V430" s="65"/>
      <c r="W430" s="65"/>
      <c r="X430" s="65"/>
      <c r="Y430" s="65"/>
      <c r="Z430" s="65"/>
      <c r="AA430" s="65"/>
      <c r="AB430" s="65"/>
      <c r="AC430" s="65"/>
      <c r="AD430" s="65"/>
      <c r="AE430" s="65"/>
      <c r="AF430" s="65"/>
      <c r="AG430" s="65"/>
      <c r="AH430" s="65"/>
      <c r="AI430" s="65"/>
      <c r="AJ430" s="65"/>
      <c r="AK430" s="65"/>
      <c r="AL430" s="65"/>
      <c r="AM430" s="65"/>
      <c r="AN430" s="65"/>
    </row>
    <row r="431" spans="10:40" ht="14.5" x14ac:dyDescent="0.35">
      <c r="J431" s="65"/>
      <c r="K431" s="65"/>
      <c r="L431" s="65"/>
      <c r="M431" s="65"/>
      <c r="N431" s="65"/>
      <c r="O431" s="65"/>
      <c r="P431" s="65"/>
      <c r="Q431" s="65"/>
      <c r="R431" s="65"/>
      <c r="S431" s="65"/>
      <c r="T431" s="65"/>
      <c r="U431" s="65"/>
      <c r="V431" s="65"/>
      <c r="W431" s="65"/>
      <c r="X431" s="65"/>
      <c r="Y431" s="65"/>
      <c r="Z431" s="65"/>
      <c r="AA431" s="65"/>
      <c r="AB431" s="65"/>
      <c r="AC431" s="65"/>
      <c r="AD431" s="65"/>
      <c r="AE431" s="65"/>
      <c r="AF431" s="65"/>
      <c r="AG431" s="65"/>
      <c r="AH431" s="65"/>
      <c r="AI431" s="65"/>
      <c r="AJ431" s="65"/>
      <c r="AK431" s="65"/>
      <c r="AL431" s="65"/>
      <c r="AM431" s="65"/>
      <c r="AN431" s="65"/>
    </row>
    <row r="432" spans="10:40" ht="14.5" x14ac:dyDescent="0.35">
      <c r="J432" s="65"/>
      <c r="K432" s="65"/>
      <c r="L432" s="65"/>
      <c r="M432" s="65"/>
      <c r="N432" s="65"/>
      <c r="O432" s="65"/>
      <c r="P432" s="65"/>
      <c r="Q432" s="65"/>
      <c r="R432" s="65"/>
      <c r="S432" s="65"/>
      <c r="T432" s="65"/>
      <c r="U432" s="65"/>
      <c r="V432" s="65"/>
      <c r="W432" s="65"/>
      <c r="X432" s="65"/>
      <c r="Y432" s="65"/>
      <c r="Z432" s="65"/>
      <c r="AA432" s="65"/>
      <c r="AB432" s="65"/>
      <c r="AC432" s="65"/>
      <c r="AD432" s="65"/>
      <c r="AE432" s="65"/>
      <c r="AF432" s="65"/>
      <c r="AG432" s="65"/>
      <c r="AH432" s="65"/>
      <c r="AI432" s="65"/>
      <c r="AJ432" s="65"/>
      <c r="AK432" s="65"/>
      <c r="AL432" s="65"/>
      <c r="AM432" s="65"/>
      <c r="AN432" s="65"/>
    </row>
    <row r="433" spans="10:40" ht="14.5" x14ac:dyDescent="0.35">
      <c r="J433" s="65"/>
      <c r="K433" s="65"/>
      <c r="L433" s="65"/>
      <c r="M433" s="65"/>
      <c r="N433" s="65"/>
      <c r="O433" s="65"/>
      <c r="P433" s="65"/>
      <c r="Q433" s="65"/>
      <c r="R433" s="65"/>
      <c r="S433" s="65"/>
      <c r="T433" s="65"/>
      <c r="U433" s="65"/>
      <c r="V433" s="65"/>
      <c r="W433" s="65"/>
      <c r="X433" s="65"/>
      <c r="Y433" s="65"/>
      <c r="Z433" s="65"/>
      <c r="AA433" s="65"/>
      <c r="AB433" s="65"/>
      <c r="AC433" s="65"/>
      <c r="AD433" s="65"/>
      <c r="AE433" s="65"/>
      <c r="AF433" s="65"/>
      <c r="AG433" s="65"/>
      <c r="AH433" s="65"/>
      <c r="AI433" s="65"/>
      <c r="AJ433" s="65"/>
      <c r="AK433" s="65"/>
      <c r="AL433" s="65"/>
      <c r="AM433" s="65"/>
      <c r="AN433" s="65"/>
    </row>
    <row r="434" spans="10:40" ht="14.5" x14ac:dyDescent="0.35">
      <c r="J434" s="65"/>
      <c r="K434" s="65"/>
      <c r="L434" s="65"/>
      <c r="M434" s="65"/>
      <c r="N434" s="65"/>
      <c r="O434" s="65"/>
      <c r="P434" s="65"/>
      <c r="Q434" s="65"/>
      <c r="R434" s="65"/>
      <c r="S434" s="65"/>
      <c r="T434" s="65"/>
      <c r="U434" s="65"/>
      <c r="V434" s="65"/>
      <c r="W434" s="65"/>
      <c r="X434" s="65"/>
      <c r="Y434" s="65"/>
      <c r="Z434" s="65"/>
      <c r="AA434" s="65"/>
      <c r="AB434" s="65"/>
      <c r="AC434" s="65"/>
      <c r="AD434" s="65"/>
      <c r="AE434" s="65"/>
      <c r="AF434" s="65"/>
      <c r="AG434" s="65"/>
      <c r="AH434" s="65"/>
      <c r="AI434" s="65"/>
      <c r="AJ434" s="65"/>
      <c r="AK434" s="65"/>
      <c r="AL434" s="65"/>
      <c r="AM434" s="65"/>
      <c r="AN434" s="65"/>
    </row>
    <row r="435" spans="10:40" ht="14.5" x14ac:dyDescent="0.35">
      <c r="J435" s="65"/>
      <c r="K435" s="65"/>
      <c r="L435" s="65"/>
      <c r="M435" s="65"/>
      <c r="N435" s="65"/>
      <c r="O435" s="65"/>
      <c r="P435" s="65"/>
      <c r="Q435" s="65"/>
      <c r="R435" s="65"/>
      <c r="S435" s="65"/>
      <c r="T435" s="65"/>
      <c r="U435" s="65"/>
      <c r="V435" s="65"/>
      <c r="W435" s="65"/>
      <c r="X435" s="65"/>
      <c r="Y435" s="65"/>
      <c r="Z435" s="65"/>
      <c r="AA435" s="65"/>
      <c r="AB435" s="65"/>
      <c r="AC435" s="65"/>
      <c r="AD435" s="65"/>
      <c r="AE435" s="65"/>
      <c r="AF435" s="65"/>
      <c r="AG435" s="65"/>
      <c r="AH435" s="65"/>
      <c r="AI435" s="65"/>
      <c r="AJ435" s="65"/>
      <c r="AK435" s="65"/>
      <c r="AL435" s="65"/>
      <c r="AM435" s="65"/>
      <c r="AN435" s="65"/>
    </row>
    <row r="436" spans="10:40" ht="14.5" x14ac:dyDescent="0.35">
      <c r="J436" s="65"/>
      <c r="K436" s="65"/>
      <c r="L436" s="65"/>
      <c r="M436" s="65"/>
      <c r="N436" s="65"/>
      <c r="O436" s="65"/>
      <c r="P436" s="65"/>
      <c r="Q436" s="65"/>
      <c r="R436" s="65"/>
      <c r="S436" s="65"/>
      <c r="T436" s="65"/>
      <c r="U436" s="65"/>
      <c r="V436" s="65"/>
      <c r="W436" s="65"/>
      <c r="X436" s="65"/>
      <c r="Y436" s="65"/>
      <c r="Z436" s="65"/>
      <c r="AA436" s="65"/>
      <c r="AB436" s="65"/>
      <c r="AC436" s="65"/>
      <c r="AD436" s="65"/>
      <c r="AE436" s="65"/>
      <c r="AF436" s="65"/>
      <c r="AG436" s="65"/>
      <c r="AH436" s="65"/>
      <c r="AI436" s="65"/>
      <c r="AJ436" s="65"/>
      <c r="AK436" s="65"/>
      <c r="AL436" s="65"/>
      <c r="AM436" s="65"/>
      <c r="AN436" s="65"/>
    </row>
    <row r="437" spans="10:40" ht="14.5" x14ac:dyDescent="0.35">
      <c r="J437" s="65"/>
      <c r="K437" s="65"/>
      <c r="L437" s="65"/>
      <c r="M437" s="65"/>
      <c r="N437" s="65"/>
      <c r="O437" s="65"/>
      <c r="P437" s="65"/>
      <c r="Q437" s="65"/>
      <c r="R437" s="65"/>
      <c r="S437" s="65"/>
      <c r="T437" s="65"/>
      <c r="U437" s="65"/>
      <c r="V437" s="65"/>
      <c r="W437" s="65"/>
      <c r="X437" s="65"/>
      <c r="Y437" s="65"/>
      <c r="Z437" s="65"/>
      <c r="AA437" s="65"/>
      <c r="AB437" s="65"/>
      <c r="AC437" s="65"/>
      <c r="AD437" s="65"/>
      <c r="AE437" s="65"/>
      <c r="AF437" s="65"/>
      <c r="AG437" s="65"/>
      <c r="AH437" s="65"/>
      <c r="AI437" s="65"/>
      <c r="AJ437" s="65"/>
      <c r="AK437" s="65"/>
      <c r="AL437" s="65"/>
      <c r="AM437" s="65"/>
      <c r="AN437" s="65"/>
    </row>
    <row r="438" spans="10:40" ht="14.5" x14ac:dyDescent="0.35">
      <c r="J438" s="65"/>
      <c r="K438" s="65"/>
      <c r="L438" s="65"/>
      <c r="M438" s="65"/>
      <c r="N438" s="65"/>
      <c r="O438" s="65"/>
      <c r="P438" s="65"/>
      <c r="Q438" s="65"/>
      <c r="R438" s="65"/>
      <c r="S438" s="65"/>
      <c r="T438" s="65"/>
      <c r="U438" s="65"/>
      <c r="V438" s="65"/>
      <c r="W438" s="65"/>
      <c r="X438" s="65"/>
      <c r="Y438" s="65"/>
      <c r="Z438" s="65"/>
      <c r="AA438" s="65"/>
      <c r="AB438" s="65"/>
      <c r="AC438" s="65"/>
      <c r="AD438" s="65"/>
      <c r="AE438" s="65"/>
      <c r="AF438" s="65"/>
      <c r="AG438" s="65"/>
      <c r="AH438" s="65"/>
      <c r="AI438" s="65"/>
      <c r="AJ438" s="65"/>
      <c r="AK438" s="65"/>
      <c r="AL438" s="65"/>
      <c r="AM438" s="65"/>
      <c r="AN438" s="65"/>
    </row>
    <row r="439" spans="10:40" ht="14.5" x14ac:dyDescent="0.35">
      <c r="J439" s="65"/>
      <c r="K439" s="65"/>
      <c r="L439" s="65"/>
      <c r="M439" s="65"/>
      <c r="N439" s="65"/>
      <c r="O439" s="65"/>
      <c r="P439" s="65"/>
      <c r="Q439" s="65"/>
      <c r="R439" s="65"/>
      <c r="S439" s="65"/>
      <c r="T439" s="65"/>
      <c r="U439" s="65"/>
      <c r="V439" s="65"/>
      <c r="W439" s="65"/>
      <c r="X439" s="65"/>
      <c r="Y439" s="65"/>
      <c r="Z439" s="65"/>
      <c r="AA439" s="65"/>
      <c r="AB439" s="65"/>
      <c r="AC439" s="65"/>
      <c r="AD439" s="65"/>
      <c r="AE439" s="65"/>
      <c r="AF439" s="65"/>
      <c r="AG439" s="65"/>
      <c r="AH439" s="65"/>
      <c r="AI439" s="65"/>
      <c r="AJ439" s="65"/>
      <c r="AK439" s="65"/>
      <c r="AL439" s="65"/>
      <c r="AM439" s="65"/>
      <c r="AN439" s="65"/>
    </row>
    <row r="440" spans="10:40" ht="14.5" x14ac:dyDescent="0.35">
      <c r="J440" s="65"/>
      <c r="K440" s="65"/>
      <c r="L440" s="65"/>
      <c r="M440" s="65"/>
      <c r="N440" s="65"/>
      <c r="O440" s="65"/>
      <c r="P440" s="65"/>
      <c r="Q440" s="65"/>
      <c r="R440" s="65"/>
      <c r="S440" s="65"/>
      <c r="T440" s="65"/>
      <c r="U440" s="65"/>
      <c r="V440" s="65"/>
      <c r="W440" s="65"/>
      <c r="X440" s="65"/>
      <c r="Y440" s="65"/>
      <c r="Z440" s="65"/>
      <c r="AA440" s="65"/>
      <c r="AB440" s="65"/>
      <c r="AC440" s="65"/>
      <c r="AD440" s="65"/>
      <c r="AE440" s="65"/>
      <c r="AF440" s="65"/>
      <c r="AG440" s="65"/>
      <c r="AH440" s="65"/>
      <c r="AI440" s="65"/>
      <c r="AJ440" s="65"/>
      <c r="AK440" s="65"/>
      <c r="AL440" s="65"/>
      <c r="AM440" s="65"/>
      <c r="AN440" s="65"/>
    </row>
    <row r="441" spans="10:40" ht="14.5" x14ac:dyDescent="0.35">
      <c r="J441" s="65"/>
      <c r="K441" s="65"/>
      <c r="L441" s="65"/>
      <c r="M441" s="65"/>
      <c r="N441" s="65"/>
      <c r="O441" s="65"/>
      <c r="P441" s="65"/>
      <c r="Q441" s="65"/>
      <c r="R441" s="65"/>
      <c r="S441" s="65"/>
      <c r="T441" s="65"/>
      <c r="U441" s="65"/>
      <c r="V441" s="65"/>
      <c r="W441" s="65"/>
      <c r="X441" s="65"/>
      <c r="Y441" s="65"/>
      <c r="Z441" s="65"/>
      <c r="AA441" s="65"/>
      <c r="AB441" s="65"/>
      <c r="AC441" s="65"/>
      <c r="AD441" s="65"/>
      <c r="AE441" s="65"/>
      <c r="AF441" s="65"/>
      <c r="AG441" s="65"/>
      <c r="AH441" s="65"/>
      <c r="AI441" s="65"/>
      <c r="AJ441" s="65"/>
      <c r="AK441" s="65"/>
      <c r="AL441" s="65"/>
      <c r="AM441" s="65"/>
      <c r="AN441" s="65"/>
    </row>
    <row r="442" spans="10:40" ht="14.5" x14ac:dyDescent="0.35">
      <c r="J442" s="65"/>
      <c r="K442" s="65"/>
      <c r="L442" s="65"/>
      <c r="M442" s="65"/>
      <c r="N442" s="65"/>
      <c r="O442" s="65"/>
      <c r="P442" s="65"/>
      <c r="Q442" s="65"/>
      <c r="R442" s="65"/>
      <c r="S442" s="65"/>
      <c r="T442" s="65"/>
      <c r="U442" s="65"/>
      <c r="V442" s="65"/>
      <c r="W442" s="65"/>
      <c r="X442" s="65"/>
      <c r="Y442" s="65"/>
      <c r="Z442" s="65"/>
      <c r="AA442" s="65"/>
      <c r="AB442" s="65"/>
      <c r="AC442" s="65"/>
      <c r="AD442" s="65"/>
      <c r="AE442" s="65"/>
      <c r="AF442" s="65"/>
      <c r="AG442" s="65"/>
      <c r="AH442" s="65"/>
      <c r="AI442" s="65"/>
      <c r="AJ442" s="65"/>
      <c r="AK442" s="65"/>
      <c r="AL442" s="65"/>
      <c r="AM442" s="65"/>
      <c r="AN442" s="65"/>
    </row>
    <row r="443" spans="10:40" ht="14.5" x14ac:dyDescent="0.35">
      <c r="J443" s="65"/>
      <c r="K443" s="65"/>
      <c r="L443" s="65"/>
      <c r="M443" s="65"/>
      <c r="N443" s="65"/>
      <c r="O443" s="65"/>
      <c r="P443" s="65"/>
      <c r="Q443" s="65"/>
      <c r="R443" s="65"/>
      <c r="S443" s="65"/>
      <c r="T443" s="65"/>
      <c r="U443" s="65"/>
      <c r="V443" s="65"/>
      <c r="W443" s="65"/>
      <c r="X443" s="65"/>
      <c r="Y443" s="65"/>
      <c r="Z443" s="65"/>
      <c r="AA443" s="65"/>
      <c r="AB443" s="65"/>
      <c r="AC443" s="65"/>
      <c r="AD443" s="65"/>
      <c r="AE443" s="65"/>
      <c r="AF443" s="65"/>
      <c r="AG443" s="65"/>
      <c r="AH443" s="65"/>
      <c r="AI443" s="65"/>
      <c r="AJ443" s="65"/>
      <c r="AK443" s="65"/>
      <c r="AL443" s="65"/>
      <c r="AM443" s="65"/>
      <c r="AN443" s="65"/>
    </row>
    <row r="444" spans="10:40" ht="14.5" x14ac:dyDescent="0.35">
      <c r="J444" s="65"/>
      <c r="K444" s="65"/>
      <c r="L444" s="65"/>
      <c r="M444" s="65"/>
      <c r="N444" s="65"/>
      <c r="O444" s="65"/>
      <c r="P444" s="65"/>
      <c r="Q444" s="65"/>
      <c r="R444" s="65"/>
      <c r="S444" s="65"/>
      <c r="T444" s="65"/>
      <c r="U444" s="65"/>
      <c r="V444" s="65"/>
      <c r="W444" s="65"/>
      <c r="X444" s="65"/>
      <c r="Y444" s="65"/>
      <c r="Z444" s="65"/>
      <c r="AA444" s="65"/>
      <c r="AB444" s="65"/>
      <c r="AC444" s="65"/>
      <c r="AD444" s="65"/>
      <c r="AE444" s="65"/>
      <c r="AF444" s="65"/>
      <c r="AG444" s="65"/>
      <c r="AH444" s="65"/>
      <c r="AI444" s="65"/>
      <c r="AJ444" s="65"/>
      <c r="AK444" s="65"/>
      <c r="AL444" s="65"/>
      <c r="AM444" s="65"/>
      <c r="AN444" s="65"/>
    </row>
    <row r="445" spans="10:40" ht="14.5" x14ac:dyDescent="0.35">
      <c r="J445" s="65"/>
      <c r="K445" s="65"/>
      <c r="L445" s="65"/>
      <c r="M445" s="65"/>
      <c r="N445" s="65"/>
      <c r="O445" s="65"/>
      <c r="P445" s="65"/>
      <c r="Q445" s="65"/>
      <c r="R445" s="65"/>
      <c r="S445" s="65"/>
      <c r="T445" s="65"/>
      <c r="U445" s="65"/>
      <c r="V445" s="65"/>
      <c r="W445" s="65"/>
      <c r="X445" s="65"/>
      <c r="Y445" s="65"/>
      <c r="Z445" s="65"/>
      <c r="AA445" s="65"/>
      <c r="AB445" s="65"/>
      <c r="AC445" s="65"/>
      <c r="AD445" s="65"/>
      <c r="AE445" s="65"/>
      <c r="AF445" s="65"/>
      <c r="AG445" s="65"/>
      <c r="AH445" s="65"/>
      <c r="AI445" s="65"/>
      <c r="AJ445" s="65"/>
      <c r="AK445" s="65"/>
      <c r="AL445" s="65"/>
      <c r="AM445" s="65"/>
      <c r="AN445" s="65"/>
    </row>
    <row r="446" spans="10:40" ht="14.5" x14ac:dyDescent="0.35">
      <c r="J446" s="65"/>
      <c r="K446" s="65"/>
      <c r="L446" s="65"/>
      <c r="M446" s="65"/>
      <c r="N446" s="65"/>
      <c r="O446" s="65"/>
      <c r="P446" s="65"/>
      <c r="Q446" s="65"/>
      <c r="R446" s="65"/>
      <c r="S446" s="65"/>
      <c r="T446" s="65"/>
      <c r="U446" s="65"/>
      <c r="V446" s="65"/>
      <c r="W446" s="65"/>
      <c r="X446" s="65"/>
      <c r="Y446" s="65"/>
      <c r="Z446" s="65"/>
      <c r="AA446" s="65"/>
      <c r="AB446" s="65"/>
      <c r="AC446" s="65"/>
      <c r="AD446" s="65"/>
      <c r="AE446" s="65"/>
      <c r="AF446" s="65"/>
      <c r="AG446" s="65"/>
      <c r="AH446" s="65"/>
      <c r="AI446" s="65"/>
      <c r="AJ446" s="65"/>
      <c r="AK446" s="65"/>
      <c r="AL446" s="65"/>
      <c r="AM446" s="65"/>
      <c r="AN446" s="65"/>
    </row>
    <row r="447" spans="10:40" ht="14.5" x14ac:dyDescent="0.35">
      <c r="J447" s="65"/>
      <c r="K447" s="65"/>
      <c r="L447" s="65"/>
      <c r="M447" s="65"/>
      <c r="N447" s="65"/>
      <c r="O447" s="65"/>
      <c r="P447" s="65"/>
      <c r="Q447" s="65"/>
      <c r="R447" s="65"/>
      <c r="S447" s="65"/>
      <c r="T447" s="65"/>
      <c r="U447" s="65"/>
      <c r="V447" s="65"/>
      <c r="W447" s="65"/>
      <c r="X447" s="65"/>
      <c r="Y447" s="65"/>
      <c r="Z447" s="65"/>
      <c r="AA447" s="65"/>
      <c r="AB447" s="65"/>
      <c r="AC447" s="65"/>
      <c r="AD447" s="65"/>
      <c r="AE447" s="65"/>
      <c r="AF447" s="65"/>
      <c r="AG447" s="65"/>
      <c r="AH447" s="65"/>
      <c r="AI447" s="65"/>
      <c r="AJ447" s="65"/>
      <c r="AK447" s="65"/>
      <c r="AL447" s="65"/>
      <c r="AM447" s="65"/>
      <c r="AN447" s="65"/>
    </row>
    <row r="448" spans="10:40" ht="14.5" x14ac:dyDescent="0.35">
      <c r="J448" s="65"/>
      <c r="K448" s="65"/>
      <c r="L448" s="65"/>
      <c r="M448" s="65"/>
      <c r="N448" s="65"/>
      <c r="O448" s="65"/>
      <c r="P448" s="65"/>
      <c r="Q448" s="65"/>
      <c r="R448" s="65"/>
      <c r="S448" s="65"/>
      <c r="T448" s="65"/>
      <c r="U448" s="65"/>
      <c r="V448" s="65"/>
      <c r="W448" s="65"/>
      <c r="X448" s="65"/>
      <c r="Y448" s="65"/>
      <c r="Z448" s="65"/>
      <c r="AA448" s="65"/>
      <c r="AB448" s="65"/>
      <c r="AC448" s="65"/>
      <c r="AD448" s="65"/>
      <c r="AE448" s="65"/>
      <c r="AF448" s="65"/>
      <c r="AG448" s="65"/>
      <c r="AH448" s="65"/>
      <c r="AI448" s="65"/>
      <c r="AJ448" s="65"/>
      <c r="AK448" s="65"/>
      <c r="AL448" s="65"/>
      <c r="AM448" s="65"/>
      <c r="AN448" s="65"/>
    </row>
    <row r="449" spans="10:40" ht="14.5" x14ac:dyDescent="0.35">
      <c r="J449" s="65"/>
      <c r="K449" s="65"/>
      <c r="L449" s="65"/>
      <c r="M449" s="65"/>
      <c r="N449" s="65"/>
      <c r="O449" s="65"/>
      <c r="P449" s="65"/>
      <c r="Q449" s="65"/>
      <c r="R449" s="65"/>
      <c r="S449" s="65"/>
      <c r="T449" s="65"/>
      <c r="U449" s="65"/>
      <c r="V449" s="65"/>
      <c r="W449" s="65"/>
      <c r="X449" s="65"/>
      <c r="Y449" s="65"/>
      <c r="Z449" s="65"/>
      <c r="AA449" s="65"/>
      <c r="AB449" s="65"/>
      <c r="AC449" s="65"/>
      <c r="AD449" s="65"/>
      <c r="AE449" s="65"/>
      <c r="AF449" s="65"/>
      <c r="AG449" s="65"/>
      <c r="AH449" s="65"/>
      <c r="AI449" s="65"/>
      <c r="AJ449" s="65"/>
      <c r="AK449" s="65"/>
      <c r="AL449" s="65"/>
      <c r="AM449" s="65"/>
      <c r="AN449" s="65"/>
    </row>
    <row r="450" spans="10:40" ht="14.5" x14ac:dyDescent="0.35">
      <c r="J450" s="65"/>
      <c r="K450" s="65"/>
      <c r="L450" s="65"/>
      <c r="M450" s="65"/>
      <c r="N450" s="65"/>
      <c r="O450" s="65"/>
      <c r="P450" s="65"/>
      <c r="Q450" s="65"/>
      <c r="R450" s="65"/>
      <c r="S450" s="65"/>
      <c r="T450" s="65"/>
      <c r="U450" s="65"/>
      <c r="V450" s="65"/>
      <c r="W450" s="65"/>
      <c r="X450" s="65"/>
      <c r="Y450" s="65"/>
      <c r="Z450" s="65"/>
      <c r="AA450" s="65"/>
      <c r="AB450" s="65"/>
      <c r="AC450" s="65"/>
      <c r="AD450" s="65"/>
      <c r="AE450" s="65"/>
      <c r="AF450" s="65"/>
      <c r="AG450" s="65"/>
      <c r="AH450" s="65"/>
      <c r="AI450" s="65"/>
      <c r="AJ450" s="65"/>
      <c r="AK450" s="65"/>
      <c r="AL450" s="65"/>
      <c r="AM450" s="65"/>
      <c r="AN450" s="65"/>
    </row>
    <row r="451" spans="10:40" ht="14.5" x14ac:dyDescent="0.35">
      <c r="J451" s="65"/>
      <c r="K451" s="65"/>
      <c r="L451" s="65"/>
      <c r="M451" s="65"/>
      <c r="N451" s="65"/>
      <c r="O451" s="65"/>
      <c r="P451" s="65"/>
      <c r="Q451" s="65"/>
      <c r="R451" s="65"/>
      <c r="S451" s="65"/>
      <c r="T451" s="65"/>
      <c r="U451" s="65"/>
      <c r="V451" s="65"/>
      <c r="W451" s="65"/>
      <c r="X451" s="65"/>
      <c r="Y451" s="65"/>
      <c r="Z451" s="65"/>
      <c r="AA451" s="65"/>
      <c r="AB451" s="65"/>
      <c r="AC451" s="65"/>
      <c r="AD451" s="65"/>
      <c r="AE451" s="65"/>
      <c r="AF451" s="65"/>
      <c r="AG451" s="65"/>
      <c r="AH451" s="65"/>
      <c r="AI451" s="65"/>
      <c r="AJ451" s="65"/>
      <c r="AK451" s="65"/>
      <c r="AL451" s="65"/>
      <c r="AM451" s="65"/>
      <c r="AN451" s="65"/>
    </row>
    <row r="452" spans="10:40" ht="14.5" x14ac:dyDescent="0.35">
      <c r="J452" s="65"/>
      <c r="K452" s="65"/>
      <c r="L452" s="65"/>
      <c r="M452" s="65"/>
      <c r="N452" s="65"/>
      <c r="O452" s="65"/>
      <c r="P452" s="65"/>
      <c r="Q452" s="65"/>
      <c r="R452" s="65"/>
      <c r="S452" s="65"/>
      <c r="T452" s="65"/>
      <c r="U452" s="65"/>
      <c r="V452" s="65"/>
      <c r="W452" s="65"/>
      <c r="X452" s="65"/>
      <c r="Y452" s="65"/>
      <c r="Z452" s="65"/>
      <c r="AA452" s="65"/>
      <c r="AB452" s="65"/>
      <c r="AC452" s="65"/>
      <c r="AD452" s="65"/>
      <c r="AE452" s="65"/>
      <c r="AF452" s="65"/>
      <c r="AG452" s="65"/>
      <c r="AH452" s="65"/>
      <c r="AI452" s="65"/>
      <c r="AJ452" s="65"/>
      <c r="AK452" s="65"/>
      <c r="AL452" s="65"/>
      <c r="AM452" s="65"/>
      <c r="AN452" s="65"/>
    </row>
    <row r="453" spans="10:40" ht="14.5" x14ac:dyDescent="0.35">
      <c r="J453" s="65"/>
      <c r="K453" s="65"/>
      <c r="L453" s="65"/>
      <c r="M453" s="65"/>
      <c r="N453" s="65"/>
      <c r="O453" s="65"/>
      <c r="P453" s="65"/>
      <c r="Q453" s="65"/>
      <c r="R453" s="65"/>
      <c r="S453" s="65"/>
      <c r="T453" s="65"/>
      <c r="U453" s="65"/>
      <c r="V453" s="65"/>
      <c r="W453" s="65"/>
      <c r="X453" s="65"/>
      <c r="Y453" s="65"/>
      <c r="Z453" s="65"/>
      <c r="AA453" s="65"/>
      <c r="AB453" s="65"/>
      <c r="AC453" s="65"/>
      <c r="AD453" s="65"/>
      <c r="AE453" s="65"/>
      <c r="AF453" s="65"/>
      <c r="AG453" s="65"/>
      <c r="AH453" s="65"/>
      <c r="AI453" s="65"/>
      <c r="AJ453" s="65"/>
      <c r="AK453" s="65"/>
      <c r="AL453" s="65"/>
      <c r="AM453" s="65"/>
      <c r="AN453" s="65"/>
    </row>
    <row r="454" spans="10:40" ht="14.5" x14ac:dyDescent="0.35">
      <c r="J454" s="65"/>
      <c r="K454" s="65"/>
      <c r="L454" s="65"/>
      <c r="M454" s="65"/>
      <c r="N454" s="65"/>
      <c r="O454" s="65"/>
      <c r="P454" s="65"/>
      <c r="Q454" s="65"/>
      <c r="R454" s="65"/>
      <c r="S454" s="65"/>
      <c r="T454" s="65"/>
      <c r="U454" s="65"/>
      <c r="V454" s="65"/>
      <c r="W454" s="65"/>
      <c r="X454" s="65"/>
      <c r="Y454" s="65"/>
      <c r="Z454" s="65"/>
      <c r="AA454" s="65"/>
      <c r="AB454" s="65"/>
      <c r="AC454" s="65"/>
      <c r="AD454" s="65"/>
      <c r="AE454" s="65"/>
      <c r="AF454" s="65"/>
      <c r="AG454" s="65"/>
      <c r="AH454" s="65"/>
      <c r="AI454" s="65"/>
      <c r="AJ454" s="65"/>
      <c r="AK454" s="65"/>
      <c r="AL454" s="65"/>
      <c r="AM454" s="65"/>
      <c r="AN454" s="65"/>
    </row>
    <row r="455" spans="10:40" ht="14.5" x14ac:dyDescent="0.35">
      <c r="J455" s="65"/>
      <c r="K455" s="65"/>
      <c r="L455" s="65"/>
      <c r="M455" s="65"/>
      <c r="N455" s="65"/>
      <c r="O455" s="65"/>
      <c r="P455" s="65"/>
      <c r="Q455" s="65"/>
      <c r="R455" s="65"/>
      <c r="S455" s="65"/>
      <c r="T455" s="65"/>
      <c r="U455" s="65"/>
      <c r="V455" s="65"/>
      <c r="W455" s="65"/>
      <c r="X455" s="65"/>
      <c r="Y455" s="65"/>
      <c r="Z455" s="65"/>
      <c r="AA455" s="65"/>
      <c r="AB455" s="65"/>
      <c r="AC455" s="65"/>
      <c r="AD455" s="65"/>
      <c r="AE455" s="65"/>
      <c r="AF455" s="65"/>
      <c r="AG455" s="65"/>
      <c r="AH455" s="65"/>
      <c r="AI455" s="65"/>
      <c r="AJ455" s="65"/>
      <c r="AK455" s="65"/>
      <c r="AL455" s="65"/>
      <c r="AM455" s="65"/>
      <c r="AN455" s="65"/>
    </row>
    <row r="456" spans="10:40" ht="14.5" x14ac:dyDescent="0.35">
      <c r="J456" s="65"/>
      <c r="K456" s="65"/>
      <c r="L456" s="65"/>
      <c r="M456" s="65"/>
      <c r="N456" s="65"/>
      <c r="O456" s="65"/>
      <c r="P456" s="65"/>
      <c r="Q456" s="65"/>
      <c r="R456" s="65"/>
      <c r="S456" s="65"/>
      <c r="T456" s="65"/>
      <c r="U456" s="65"/>
      <c r="V456" s="65"/>
      <c r="W456" s="65"/>
      <c r="X456" s="65"/>
      <c r="Y456" s="65"/>
      <c r="Z456" s="65"/>
      <c r="AA456" s="65"/>
      <c r="AB456" s="65"/>
      <c r="AC456" s="65"/>
      <c r="AD456" s="65"/>
      <c r="AE456" s="65"/>
      <c r="AF456" s="65"/>
      <c r="AG456" s="65"/>
      <c r="AH456" s="65"/>
      <c r="AI456" s="65"/>
      <c r="AJ456" s="65"/>
      <c r="AK456" s="65"/>
      <c r="AL456" s="65"/>
      <c r="AM456" s="65"/>
      <c r="AN456" s="65"/>
    </row>
    <row r="457" spans="10:40" ht="14.5" x14ac:dyDescent="0.35">
      <c r="J457" s="65"/>
      <c r="K457" s="65"/>
      <c r="L457" s="65"/>
      <c r="M457" s="65"/>
      <c r="N457" s="65"/>
      <c r="O457" s="65"/>
      <c r="P457" s="65"/>
      <c r="Q457" s="65"/>
      <c r="R457" s="65"/>
      <c r="S457" s="65"/>
      <c r="T457" s="65"/>
      <c r="U457" s="65"/>
      <c r="V457" s="65"/>
      <c r="W457" s="65"/>
      <c r="X457" s="65"/>
      <c r="Y457" s="65"/>
      <c r="Z457" s="65"/>
      <c r="AA457" s="65"/>
      <c r="AB457" s="65"/>
      <c r="AC457" s="65"/>
      <c r="AD457" s="65"/>
      <c r="AE457" s="65"/>
      <c r="AF457" s="65"/>
      <c r="AG457" s="65"/>
      <c r="AH457" s="65"/>
      <c r="AI457" s="65"/>
      <c r="AJ457" s="65"/>
      <c r="AK457" s="65"/>
      <c r="AL457" s="65"/>
      <c r="AM457" s="65"/>
      <c r="AN457" s="65"/>
    </row>
    <row r="458" spans="10:40" ht="14.5" x14ac:dyDescent="0.35">
      <c r="J458" s="65"/>
      <c r="K458" s="65"/>
      <c r="L458" s="65"/>
      <c r="M458" s="65"/>
      <c r="N458" s="65"/>
      <c r="O458" s="65"/>
      <c r="P458" s="65"/>
      <c r="Q458" s="65"/>
      <c r="R458" s="65"/>
      <c r="S458" s="65"/>
      <c r="T458" s="65"/>
      <c r="U458" s="65"/>
      <c r="V458" s="65"/>
      <c r="W458" s="65"/>
      <c r="X458" s="65"/>
      <c r="Y458" s="65"/>
      <c r="Z458" s="65"/>
      <c r="AA458" s="65"/>
      <c r="AB458" s="65"/>
      <c r="AC458" s="65"/>
      <c r="AD458" s="65"/>
      <c r="AE458" s="65"/>
      <c r="AF458" s="65"/>
      <c r="AG458" s="65"/>
      <c r="AH458" s="65"/>
      <c r="AI458" s="65"/>
      <c r="AJ458" s="65"/>
      <c r="AK458" s="65"/>
      <c r="AL458" s="65"/>
      <c r="AM458" s="65"/>
      <c r="AN458" s="65"/>
    </row>
    <row r="459" spans="10:40" ht="14.5" x14ac:dyDescent="0.35">
      <c r="J459" s="65"/>
      <c r="K459" s="65"/>
      <c r="L459" s="65"/>
      <c r="M459" s="65"/>
      <c r="N459" s="65"/>
      <c r="O459" s="65"/>
      <c r="P459" s="65"/>
      <c r="Q459" s="65"/>
      <c r="R459" s="65"/>
      <c r="S459" s="65"/>
      <c r="T459" s="65"/>
      <c r="U459" s="65"/>
      <c r="V459" s="65"/>
      <c r="W459" s="65"/>
      <c r="X459" s="65"/>
      <c r="Y459" s="65"/>
      <c r="Z459" s="65"/>
      <c r="AA459" s="65"/>
      <c r="AB459" s="65"/>
      <c r="AC459" s="65"/>
      <c r="AD459" s="65"/>
      <c r="AE459" s="65"/>
      <c r="AF459" s="65"/>
      <c r="AG459" s="65"/>
      <c r="AH459" s="65"/>
      <c r="AI459" s="65"/>
      <c r="AJ459" s="65"/>
      <c r="AK459" s="65"/>
      <c r="AL459" s="65"/>
      <c r="AM459" s="65"/>
      <c r="AN459" s="65"/>
    </row>
    <row r="460" spans="10:40" ht="14.5" x14ac:dyDescent="0.35">
      <c r="J460" s="65"/>
      <c r="K460" s="65"/>
      <c r="L460" s="65"/>
      <c r="M460" s="65"/>
      <c r="N460" s="65"/>
      <c r="O460" s="65"/>
      <c r="P460" s="65"/>
      <c r="Q460" s="65"/>
      <c r="R460" s="65"/>
      <c r="S460" s="65"/>
      <c r="T460" s="65"/>
      <c r="U460" s="65"/>
      <c r="V460" s="65"/>
      <c r="W460" s="65"/>
      <c r="X460" s="65"/>
      <c r="Y460" s="65"/>
      <c r="Z460" s="65"/>
      <c r="AA460" s="65"/>
      <c r="AB460" s="65"/>
      <c r="AC460" s="65"/>
      <c r="AD460" s="65"/>
      <c r="AE460" s="65"/>
      <c r="AF460" s="65"/>
      <c r="AG460" s="65"/>
      <c r="AH460" s="65"/>
      <c r="AI460" s="65"/>
      <c r="AJ460" s="65"/>
      <c r="AK460" s="65"/>
      <c r="AL460" s="65"/>
      <c r="AM460" s="65"/>
      <c r="AN460" s="65"/>
    </row>
    <row r="461" spans="10:40" ht="14.5" x14ac:dyDescent="0.35">
      <c r="J461" s="65"/>
      <c r="K461" s="65"/>
      <c r="L461" s="65"/>
      <c r="M461" s="65"/>
      <c r="N461" s="65"/>
      <c r="O461" s="65"/>
      <c r="P461" s="65"/>
      <c r="Q461" s="65"/>
      <c r="R461" s="65"/>
      <c r="S461" s="65"/>
      <c r="T461" s="65"/>
      <c r="U461" s="65"/>
      <c r="V461" s="65"/>
      <c r="W461" s="65"/>
      <c r="X461" s="65"/>
      <c r="Y461" s="65"/>
      <c r="Z461" s="65"/>
      <c r="AA461" s="65"/>
      <c r="AB461" s="65"/>
      <c r="AC461" s="65"/>
      <c r="AD461" s="65"/>
      <c r="AE461" s="65"/>
      <c r="AF461" s="65"/>
      <c r="AG461" s="65"/>
      <c r="AH461" s="65"/>
      <c r="AI461" s="65"/>
      <c r="AJ461" s="65"/>
      <c r="AK461" s="65"/>
      <c r="AL461" s="65"/>
      <c r="AM461" s="65"/>
      <c r="AN461" s="65"/>
    </row>
    <row r="462" spans="10:40" ht="14.5" x14ac:dyDescent="0.35">
      <c r="J462" s="65"/>
      <c r="K462" s="65"/>
      <c r="L462" s="65"/>
      <c r="M462" s="65"/>
      <c r="N462" s="65"/>
      <c r="O462" s="65"/>
      <c r="P462" s="65"/>
      <c r="Q462" s="65"/>
      <c r="R462" s="65"/>
      <c r="S462" s="65"/>
      <c r="T462" s="65"/>
      <c r="U462" s="65"/>
      <c r="V462" s="65"/>
      <c r="W462" s="65"/>
      <c r="X462" s="65"/>
      <c r="Y462" s="65"/>
      <c r="Z462" s="65"/>
      <c r="AA462" s="65"/>
      <c r="AB462" s="65"/>
      <c r="AC462" s="65"/>
      <c r="AD462" s="65"/>
      <c r="AE462" s="65"/>
      <c r="AF462" s="65"/>
      <c r="AG462" s="65"/>
      <c r="AH462" s="65"/>
      <c r="AI462" s="65"/>
      <c r="AJ462" s="65"/>
      <c r="AK462" s="65"/>
      <c r="AL462" s="65"/>
      <c r="AM462" s="65"/>
      <c r="AN462" s="65"/>
    </row>
    <row r="463" spans="10:40" ht="14.5" x14ac:dyDescent="0.35">
      <c r="J463" s="65"/>
      <c r="K463" s="65"/>
      <c r="L463" s="65"/>
      <c r="M463" s="65"/>
      <c r="N463" s="65"/>
      <c r="O463" s="65"/>
      <c r="P463" s="65"/>
      <c r="Q463" s="65"/>
      <c r="R463" s="65"/>
      <c r="S463" s="65"/>
      <c r="T463" s="65"/>
      <c r="U463" s="65"/>
      <c r="V463" s="65"/>
      <c r="W463" s="65"/>
      <c r="X463" s="65"/>
      <c r="Y463" s="65"/>
      <c r="Z463" s="65"/>
      <c r="AA463" s="65"/>
      <c r="AB463" s="65"/>
      <c r="AC463" s="65"/>
      <c r="AD463" s="65"/>
      <c r="AE463" s="65"/>
      <c r="AF463" s="65"/>
      <c r="AG463" s="65"/>
      <c r="AH463" s="65"/>
      <c r="AI463" s="65"/>
      <c r="AJ463" s="65"/>
      <c r="AK463" s="65"/>
      <c r="AL463" s="65"/>
      <c r="AM463" s="65"/>
      <c r="AN463" s="65"/>
    </row>
    <row r="464" spans="10:40" ht="14.5" x14ac:dyDescent="0.35">
      <c r="J464" s="65"/>
      <c r="K464" s="65"/>
      <c r="L464" s="65"/>
      <c r="M464" s="65"/>
      <c r="N464" s="65"/>
      <c r="O464" s="65"/>
      <c r="P464" s="65"/>
      <c r="Q464" s="65"/>
      <c r="R464" s="65"/>
      <c r="S464" s="65"/>
      <c r="T464" s="65"/>
      <c r="U464" s="65"/>
      <c r="V464" s="65"/>
      <c r="W464" s="65"/>
      <c r="X464" s="65"/>
      <c r="Y464" s="65"/>
      <c r="Z464" s="65"/>
      <c r="AA464" s="65"/>
      <c r="AB464" s="65"/>
      <c r="AC464" s="65"/>
      <c r="AD464" s="65"/>
      <c r="AE464" s="65"/>
      <c r="AF464" s="65"/>
      <c r="AG464" s="65"/>
      <c r="AH464" s="65"/>
      <c r="AI464" s="65"/>
      <c r="AJ464" s="65"/>
      <c r="AK464" s="65"/>
      <c r="AL464" s="65"/>
      <c r="AM464" s="65"/>
      <c r="AN464" s="65"/>
    </row>
    <row r="465" spans="10:40" ht="14.5" x14ac:dyDescent="0.35">
      <c r="J465" s="65"/>
      <c r="K465" s="65"/>
      <c r="L465" s="65"/>
      <c r="M465" s="65"/>
      <c r="N465" s="65"/>
      <c r="O465" s="65"/>
      <c r="P465" s="65"/>
      <c r="Q465" s="65"/>
      <c r="R465" s="65"/>
      <c r="S465" s="65"/>
      <c r="T465" s="65"/>
      <c r="U465" s="65"/>
      <c r="V465" s="65"/>
      <c r="W465" s="65"/>
      <c r="X465" s="65"/>
      <c r="Y465" s="65"/>
      <c r="Z465" s="65"/>
      <c r="AA465" s="65"/>
      <c r="AB465" s="65"/>
      <c r="AC465" s="65"/>
      <c r="AD465" s="65"/>
      <c r="AE465" s="65"/>
      <c r="AF465" s="65"/>
      <c r="AG465" s="65"/>
      <c r="AH465" s="65"/>
      <c r="AI465" s="65"/>
      <c r="AJ465" s="65"/>
      <c r="AK465" s="65"/>
      <c r="AL465" s="65"/>
      <c r="AM465" s="65"/>
      <c r="AN465" s="65"/>
    </row>
    <row r="466" spans="10:40" ht="14.5" x14ac:dyDescent="0.35">
      <c r="J466" s="65"/>
      <c r="K466" s="65"/>
      <c r="L466" s="65"/>
      <c r="M466" s="65"/>
      <c r="N466" s="65"/>
      <c r="O466" s="65"/>
      <c r="P466" s="65"/>
      <c r="Q466" s="65"/>
      <c r="R466" s="65"/>
      <c r="S466" s="65"/>
      <c r="T466" s="65"/>
      <c r="U466" s="65"/>
      <c r="V466" s="65"/>
      <c r="W466" s="65"/>
      <c r="X466" s="65"/>
      <c r="Y466" s="65"/>
      <c r="Z466" s="65"/>
      <c r="AA466" s="65"/>
      <c r="AB466" s="65"/>
      <c r="AC466" s="65"/>
      <c r="AD466" s="65"/>
      <c r="AE466" s="65"/>
      <c r="AF466" s="65"/>
      <c r="AG466" s="65"/>
      <c r="AH466" s="65"/>
      <c r="AI466" s="65"/>
      <c r="AJ466" s="65"/>
      <c r="AK466" s="65"/>
      <c r="AL466" s="65"/>
      <c r="AM466" s="65"/>
      <c r="AN466" s="65"/>
    </row>
    <row r="467" spans="10:40" ht="14.5" x14ac:dyDescent="0.35">
      <c r="J467" s="65"/>
      <c r="K467" s="65"/>
      <c r="L467" s="65"/>
      <c r="M467" s="65"/>
      <c r="N467" s="65"/>
      <c r="O467" s="65"/>
      <c r="P467" s="65"/>
      <c r="Q467" s="65"/>
      <c r="R467" s="65"/>
      <c r="S467" s="65"/>
      <c r="T467" s="65"/>
      <c r="U467" s="65"/>
      <c r="V467" s="65"/>
      <c r="W467" s="65"/>
      <c r="X467" s="65"/>
      <c r="Y467" s="65"/>
      <c r="Z467" s="65"/>
      <c r="AA467" s="65"/>
      <c r="AB467" s="65"/>
      <c r="AC467" s="65"/>
      <c r="AD467" s="65"/>
      <c r="AE467" s="65"/>
      <c r="AF467" s="65"/>
      <c r="AG467" s="65"/>
      <c r="AH467" s="65"/>
      <c r="AI467" s="65"/>
      <c r="AJ467" s="65"/>
      <c r="AK467" s="65"/>
      <c r="AL467" s="65"/>
      <c r="AM467" s="65"/>
      <c r="AN467" s="65"/>
    </row>
    <row r="468" spans="10:40" ht="14.5" x14ac:dyDescent="0.35">
      <c r="J468" s="65"/>
      <c r="K468" s="65"/>
      <c r="L468" s="65"/>
      <c r="M468" s="65"/>
      <c r="N468" s="65"/>
      <c r="O468" s="65"/>
      <c r="P468" s="65"/>
      <c r="Q468" s="65"/>
      <c r="R468" s="65"/>
      <c r="S468" s="65"/>
      <c r="T468" s="65"/>
      <c r="U468" s="65"/>
      <c r="V468" s="65"/>
      <c r="W468" s="65"/>
      <c r="X468" s="65"/>
      <c r="Y468" s="65"/>
      <c r="Z468" s="65"/>
      <c r="AA468" s="65"/>
      <c r="AB468" s="65"/>
      <c r="AC468" s="65"/>
      <c r="AD468" s="65"/>
      <c r="AE468" s="65"/>
      <c r="AF468" s="65"/>
      <c r="AG468" s="65"/>
      <c r="AH468" s="65"/>
      <c r="AI468" s="65"/>
      <c r="AJ468" s="65"/>
      <c r="AK468" s="65"/>
      <c r="AL468" s="65"/>
      <c r="AM468" s="65"/>
      <c r="AN468" s="65"/>
    </row>
    <row r="469" spans="10:40" ht="14.5" x14ac:dyDescent="0.35">
      <c r="J469" s="65"/>
      <c r="K469" s="65"/>
      <c r="L469" s="65"/>
      <c r="M469" s="65"/>
      <c r="N469" s="65"/>
      <c r="O469" s="65"/>
      <c r="P469" s="65"/>
      <c r="Q469" s="65"/>
      <c r="R469" s="65"/>
      <c r="S469" s="65"/>
      <c r="T469" s="65"/>
      <c r="U469" s="65"/>
      <c r="V469" s="65"/>
      <c r="W469" s="65"/>
      <c r="X469" s="65"/>
      <c r="Y469" s="65"/>
      <c r="Z469" s="65"/>
      <c r="AA469" s="65"/>
      <c r="AB469" s="65"/>
      <c r="AC469" s="65"/>
      <c r="AD469" s="65"/>
      <c r="AE469" s="65"/>
      <c r="AF469" s="65"/>
      <c r="AG469" s="65"/>
      <c r="AH469" s="65"/>
      <c r="AI469" s="65"/>
      <c r="AJ469" s="65"/>
      <c r="AK469" s="65"/>
      <c r="AL469" s="65"/>
      <c r="AM469" s="65"/>
      <c r="AN469" s="65"/>
    </row>
    <row r="470" spans="10:40" ht="14.5" x14ac:dyDescent="0.35">
      <c r="J470" s="65"/>
      <c r="K470" s="65"/>
      <c r="L470" s="65"/>
      <c r="M470" s="65"/>
      <c r="N470" s="65"/>
      <c r="O470" s="65"/>
      <c r="P470" s="65"/>
      <c r="Q470" s="65"/>
      <c r="R470" s="65"/>
      <c r="S470" s="65"/>
      <c r="T470" s="65"/>
      <c r="U470" s="65"/>
      <c r="V470" s="65"/>
      <c r="W470" s="65"/>
      <c r="X470" s="65"/>
      <c r="Y470" s="65"/>
      <c r="Z470" s="65"/>
      <c r="AA470" s="65"/>
      <c r="AB470" s="65"/>
      <c r="AC470" s="65"/>
      <c r="AD470" s="65"/>
      <c r="AE470" s="65"/>
      <c r="AF470" s="65"/>
      <c r="AG470" s="65"/>
      <c r="AH470" s="65"/>
      <c r="AI470" s="65"/>
      <c r="AJ470" s="65"/>
      <c r="AK470" s="65"/>
      <c r="AL470" s="65"/>
      <c r="AM470" s="65"/>
      <c r="AN470" s="65"/>
    </row>
    <row r="471" spans="10:40" ht="14.5" x14ac:dyDescent="0.35">
      <c r="J471" s="65"/>
      <c r="K471" s="65"/>
      <c r="L471" s="65"/>
      <c r="M471" s="65"/>
      <c r="N471" s="65"/>
      <c r="O471" s="65"/>
      <c r="P471" s="65"/>
      <c r="Q471" s="65"/>
      <c r="R471" s="65"/>
      <c r="S471" s="65"/>
      <c r="T471" s="65"/>
      <c r="U471" s="65"/>
      <c r="V471" s="65"/>
      <c r="W471" s="65"/>
      <c r="X471" s="65"/>
      <c r="Y471" s="65"/>
      <c r="Z471" s="65"/>
      <c r="AA471" s="65"/>
      <c r="AB471" s="65"/>
      <c r="AC471" s="65"/>
      <c r="AD471" s="65"/>
      <c r="AE471" s="65"/>
      <c r="AF471" s="65"/>
      <c r="AG471" s="65"/>
      <c r="AH471" s="65"/>
      <c r="AI471" s="65"/>
      <c r="AJ471" s="65"/>
      <c r="AK471" s="65"/>
      <c r="AL471" s="65"/>
      <c r="AM471" s="65"/>
      <c r="AN471" s="65"/>
    </row>
    <row r="472" spans="10:40" ht="14.5" x14ac:dyDescent="0.35">
      <c r="J472" s="65"/>
      <c r="K472" s="65"/>
      <c r="L472" s="65"/>
      <c r="M472" s="65"/>
      <c r="N472" s="65"/>
      <c r="O472" s="65"/>
      <c r="P472" s="65"/>
      <c r="Q472" s="65"/>
      <c r="R472" s="65"/>
      <c r="S472" s="65"/>
      <c r="T472" s="65"/>
      <c r="U472" s="65"/>
      <c r="V472" s="65"/>
      <c r="W472" s="65"/>
      <c r="X472" s="65"/>
      <c r="Y472" s="65"/>
      <c r="Z472" s="65"/>
      <c r="AA472" s="65"/>
      <c r="AB472" s="65"/>
      <c r="AC472" s="65"/>
      <c r="AD472" s="65"/>
      <c r="AE472" s="65"/>
      <c r="AF472" s="65"/>
      <c r="AG472" s="65"/>
      <c r="AH472" s="65"/>
      <c r="AI472" s="65"/>
      <c r="AJ472" s="65"/>
      <c r="AK472" s="65"/>
      <c r="AL472" s="65"/>
      <c r="AM472" s="65"/>
      <c r="AN472" s="65"/>
    </row>
    <row r="473" spans="10:40" ht="14.5" x14ac:dyDescent="0.35">
      <c r="J473" s="65"/>
      <c r="K473" s="65"/>
      <c r="L473" s="65"/>
      <c r="M473" s="65"/>
      <c r="N473" s="65"/>
      <c r="O473" s="65"/>
      <c r="P473" s="65"/>
      <c r="Q473" s="65"/>
      <c r="R473" s="65"/>
      <c r="S473" s="65"/>
      <c r="T473" s="65"/>
      <c r="U473" s="65"/>
      <c r="V473" s="65"/>
      <c r="W473" s="65"/>
      <c r="X473" s="65"/>
      <c r="Y473" s="65"/>
      <c r="Z473" s="65"/>
      <c r="AA473" s="65"/>
      <c r="AB473" s="65"/>
      <c r="AC473" s="65"/>
      <c r="AD473" s="65"/>
      <c r="AE473" s="65"/>
      <c r="AF473" s="65"/>
      <c r="AG473" s="65"/>
      <c r="AH473" s="65"/>
      <c r="AI473" s="65"/>
      <c r="AJ473" s="65"/>
      <c r="AK473" s="65"/>
      <c r="AL473" s="65"/>
      <c r="AM473" s="65"/>
      <c r="AN473" s="65"/>
    </row>
    <row r="474" spans="10:40" ht="14.5" x14ac:dyDescent="0.35">
      <c r="J474" s="65"/>
      <c r="K474" s="65"/>
      <c r="L474" s="65"/>
      <c r="M474" s="65"/>
      <c r="N474" s="65"/>
      <c r="O474" s="65"/>
      <c r="P474" s="65"/>
      <c r="Q474" s="65"/>
      <c r="R474" s="65"/>
      <c r="S474" s="65"/>
      <c r="T474" s="65"/>
      <c r="U474" s="65"/>
      <c r="V474" s="65"/>
      <c r="W474" s="65"/>
      <c r="X474" s="65"/>
      <c r="Y474" s="65"/>
      <c r="Z474" s="65"/>
      <c r="AA474" s="65"/>
      <c r="AB474" s="65"/>
      <c r="AC474" s="65"/>
      <c r="AD474" s="65"/>
      <c r="AE474" s="65"/>
      <c r="AF474" s="65"/>
      <c r="AG474" s="65"/>
      <c r="AH474" s="65"/>
      <c r="AI474" s="65"/>
      <c r="AJ474" s="65"/>
      <c r="AK474" s="65"/>
      <c r="AL474" s="65"/>
      <c r="AM474" s="65"/>
      <c r="AN474" s="65"/>
    </row>
    <row r="475" spans="10:40" ht="14.5" x14ac:dyDescent="0.35">
      <c r="J475" s="65"/>
      <c r="K475" s="65"/>
      <c r="L475" s="65"/>
      <c r="M475" s="65"/>
      <c r="N475" s="65"/>
      <c r="O475" s="65"/>
      <c r="P475" s="65"/>
      <c r="Q475" s="65"/>
      <c r="R475" s="65"/>
      <c r="S475" s="65"/>
      <c r="T475" s="65"/>
      <c r="U475" s="65"/>
      <c r="V475" s="65"/>
      <c r="W475" s="65"/>
      <c r="X475" s="65"/>
      <c r="Y475" s="65"/>
      <c r="Z475" s="65"/>
      <c r="AA475" s="65"/>
      <c r="AB475" s="65"/>
      <c r="AC475" s="65"/>
      <c r="AD475" s="65"/>
      <c r="AE475" s="65"/>
      <c r="AF475" s="65"/>
      <c r="AG475" s="65"/>
      <c r="AH475" s="65"/>
      <c r="AI475" s="65"/>
      <c r="AJ475" s="65"/>
      <c r="AK475" s="65"/>
      <c r="AL475" s="65"/>
      <c r="AM475" s="65"/>
      <c r="AN475" s="65"/>
    </row>
    <row r="476" spans="10:40" ht="14.5" x14ac:dyDescent="0.35">
      <c r="J476" s="65"/>
      <c r="K476" s="65"/>
      <c r="L476" s="65"/>
      <c r="M476" s="65"/>
      <c r="N476" s="65"/>
      <c r="O476" s="65"/>
      <c r="P476" s="65"/>
      <c r="Q476" s="65"/>
      <c r="R476" s="65"/>
      <c r="S476" s="65"/>
      <c r="T476" s="65"/>
      <c r="U476" s="65"/>
      <c r="V476" s="65"/>
      <c r="W476" s="65"/>
      <c r="X476" s="65"/>
      <c r="Y476" s="65"/>
      <c r="Z476" s="65"/>
      <c r="AA476" s="65"/>
      <c r="AB476" s="65"/>
      <c r="AC476" s="65"/>
      <c r="AD476" s="65"/>
      <c r="AE476" s="65"/>
      <c r="AF476" s="65"/>
      <c r="AG476" s="65"/>
      <c r="AH476" s="65"/>
      <c r="AI476" s="65"/>
      <c r="AJ476" s="65"/>
      <c r="AK476" s="65"/>
      <c r="AL476" s="65"/>
      <c r="AM476" s="65"/>
      <c r="AN476" s="65"/>
    </row>
    <row r="477" spans="10:40" ht="14.5" x14ac:dyDescent="0.35">
      <c r="J477" s="65"/>
      <c r="K477" s="65"/>
      <c r="L477" s="65"/>
      <c r="M477" s="65"/>
      <c r="N477" s="65"/>
      <c r="O477" s="65"/>
      <c r="P477" s="65"/>
      <c r="Q477" s="65"/>
      <c r="R477" s="65"/>
      <c r="S477" s="65"/>
      <c r="T477" s="65"/>
      <c r="U477" s="65"/>
      <c r="V477" s="65"/>
      <c r="W477" s="65"/>
      <c r="X477" s="65"/>
      <c r="Y477" s="65"/>
      <c r="Z477" s="65"/>
      <c r="AA477" s="65"/>
      <c r="AB477" s="65"/>
      <c r="AC477" s="65"/>
      <c r="AD477" s="65"/>
      <c r="AE477" s="65"/>
      <c r="AF477" s="65"/>
      <c r="AG477" s="65"/>
      <c r="AH477" s="65"/>
      <c r="AI477" s="65"/>
      <c r="AJ477" s="65"/>
      <c r="AK477" s="65"/>
      <c r="AL477" s="65"/>
      <c r="AM477" s="65"/>
      <c r="AN477" s="65"/>
    </row>
    <row r="478" spans="10:40" ht="14.5" x14ac:dyDescent="0.35">
      <c r="J478" s="65"/>
      <c r="K478" s="65"/>
      <c r="L478" s="65"/>
      <c r="M478" s="65"/>
      <c r="N478" s="65"/>
      <c r="O478" s="65"/>
      <c r="P478" s="65"/>
      <c r="Q478" s="65"/>
      <c r="R478" s="65"/>
      <c r="S478" s="65"/>
      <c r="T478" s="65"/>
      <c r="U478" s="65"/>
      <c r="V478" s="65"/>
      <c r="W478" s="65"/>
      <c r="X478" s="65"/>
      <c r="Y478" s="65"/>
      <c r="Z478" s="65"/>
      <c r="AA478" s="65"/>
      <c r="AB478" s="65"/>
      <c r="AC478" s="65"/>
      <c r="AD478" s="65"/>
      <c r="AE478" s="65"/>
      <c r="AF478" s="65"/>
      <c r="AG478" s="65"/>
      <c r="AH478" s="65"/>
      <c r="AI478" s="65"/>
      <c r="AJ478" s="65"/>
      <c r="AK478" s="65"/>
      <c r="AL478" s="65"/>
      <c r="AM478" s="65"/>
      <c r="AN478" s="65"/>
    </row>
    <row r="479" spans="10:40" ht="14.5" x14ac:dyDescent="0.35">
      <c r="J479" s="65"/>
      <c r="K479" s="65"/>
      <c r="L479" s="65"/>
      <c r="M479" s="65"/>
      <c r="N479" s="65"/>
      <c r="O479" s="65"/>
      <c r="P479" s="65"/>
      <c r="Q479" s="65"/>
      <c r="R479" s="65"/>
      <c r="S479" s="65"/>
      <c r="T479" s="65"/>
      <c r="U479" s="65"/>
      <c r="V479" s="65"/>
      <c r="W479" s="65"/>
      <c r="X479" s="65"/>
      <c r="Y479" s="65"/>
      <c r="Z479" s="65"/>
      <c r="AA479" s="65"/>
      <c r="AB479" s="65"/>
      <c r="AC479" s="65"/>
      <c r="AD479" s="65"/>
      <c r="AE479" s="65"/>
      <c r="AF479" s="65"/>
      <c r="AG479" s="65"/>
      <c r="AH479" s="65"/>
      <c r="AI479" s="65"/>
      <c r="AJ479" s="65"/>
      <c r="AK479" s="65"/>
      <c r="AL479" s="65"/>
      <c r="AM479" s="65"/>
      <c r="AN479" s="65"/>
    </row>
    <row r="480" spans="10:40" ht="14.5" x14ac:dyDescent="0.35">
      <c r="J480" s="65"/>
      <c r="K480" s="65"/>
      <c r="L480" s="65"/>
      <c r="M480" s="65"/>
      <c r="N480" s="65"/>
      <c r="O480" s="65"/>
      <c r="P480" s="65"/>
      <c r="Q480" s="65"/>
      <c r="R480" s="65"/>
      <c r="S480" s="65"/>
      <c r="T480" s="65"/>
      <c r="U480" s="65"/>
      <c r="V480" s="65"/>
      <c r="W480" s="65"/>
      <c r="X480" s="65"/>
      <c r="Y480" s="65"/>
      <c r="Z480" s="65"/>
      <c r="AA480" s="65"/>
      <c r="AB480" s="65"/>
      <c r="AC480" s="65"/>
      <c r="AD480" s="65"/>
      <c r="AE480" s="65"/>
      <c r="AF480" s="65"/>
      <c r="AG480" s="65"/>
      <c r="AH480" s="65"/>
      <c r="AI480" s="65"/>
      <c r="AJ480" s="65"/>
      <c r="AK480" s="65"/>
      <c r="AL480" s="65"/>
      <c r="AM480" s="65"/>
      <c r="AN480" s="65"/>
    </row>
    <row r="481" spans="10:40" ht="14.5" x14ac:dyDescent="0.35">
      <c r="J481" s="65"/>
      <c r="K481" s="65"/>
      <c r="L481" s="65"/>
      <c r="M481" s="65"/>
      <c r="N481" s="65"/>
      <c r="O481" s="65"/>
      <c r="P481" s="65"/>
      <c r="Q481" s="65"/>
      <c r="R481" s="65"/>
      <c r="S481" s="65"/>
      <c r="T481" s="65"/>
      <c r="U481" s="65"/>
      <c r="V481" s="65"/>
      <c r="W481" s="65"/>
      <c r="X481" s="65"/>
      <c r="Y481" s="65"/>
      <c r="Z481" s="65"/>
      <c r="AA481" s="65"/>
      <c r="AB481" s="65"/>
      <c r="AC481" s="65"/>
      <c r="AD481" s="65"/>
      <c r="AE481" s="65"/>
      <c r="AF481" s="65"/>
      <c r="AG481" s="65"/>
      <c r="AH481" s="65"/>
      <c r="AI481" s="65"/>
      <c r="AJ481" s="65"/>
      <c r="AK481" s="65"/>
      <c r="AL481" s="65"/>
      <c r="AM481" s="65"/>
      <c r="AN481" s="65"/>
    </row>
    <row r="482" spans="10:40" ht="14.5" x14ac:dyDescent="0.35">
      <c r="J482" s="65"/>
      <c r="K482" s="65"/>
      <c r="L482" s="65"/>
      <c r="M482" s="65"/>
      <c r="N482" s="65"/>
      <c r="O482" s="65"/>
      <c r="P482" s="65"/>
      <c r="Q482" s="65"/>
      <c r="R482" s="65"/>
      <c r="S482" s="65"/>
      <c r="T482" s="65"/>
      <c r="U482" s="65"/>
      <c r="V482" s="65"/>
      <c r="W482" s="65"/>
      <c r="X482" s="65"/>
      <c r="Y482" s="65"/>
      <c r="Z482" s="65"/>
      <c r="AA482" s="65"/>
      <c r="AB482" s="65"/>
      <c r="AC482" s="65"/>
      <c r="AD482" s="65"/>
      <c r="AE482" s="65"/>
      <c r="AF482" s="65"/>
      <c r="AG482" s="65"/>
      <c r="AH482" s="65"/>
      <c r="AI482" s="65"/>
      <c r="AJ482" s="65"/>
      <c r="AK482" s="65"/>
      <c r="AL482" s="65"/>
      <c r="AM482" s="65"/>
      <c r="AN482" s="65"/>
    </row>
    <row r="483" spans="10:40" ht="14.5" x14ac:dyDescent="0.35">
      <c r="J483" s="65"/>
      <c r="K483" s="65"/>
      <c r="L483" s="65"/>
      <c r="M483" s="65"/>
      <c r="N483" s="65"/>
      <c r="O483" s="65"/>
      <c r="P483" s="65"/>
      <c r="Q483" s="65"/>
      <c r="R483" s="65"/>
      <c r="S483" s="65"/>
      <c r="T483" s="65"/>
      <c r="U483" s="65"/>
      <c r="V483" s="65"/>
      <c r="W483" s="65"/>
      <c r="X483" s="65"/>
      <c r="Y483" s="65"/>
      <c r="Z483" s="65"/>
      <c r="AA483" s="65"/>
      <c r="AB483" s="65"/>
      <c r="AC483" s="65"/>
      <c r="AD483" s="65"/>
      <c r="AE483" s="65"/>
      <c r="AF483" s="65"/>
      <c r="AG483" s="65"/>
      <c r="AH483" s="65"/>
      <c r="AI483" s="65"/>
      <c r="AJ483" s="65"/>
      <c r="AK483" s="65"/>
      <c r="AL483" s="65"/>
      <c r="AM483" s="65"/>
      <c r="AN483" s="65"/>
    </row>
    <row r="484" spans="10:40" ht="14.5" x14ac:dyDescent="0.35">
      <c r="J484" s="65"/>
      <c r="K484" s="65"/>
      <c r="L484" s="65"/>
      <c r="M484" s="65"/>
      <c r="N484" s="65"/>
      <c r="O484" s="65"/>
      <c r="P484" s="65"/>
      <c r="Q484" s="65"/>
      <c r="R484" s="65"/>
      <c r="S484" s="65"/>
      <c r="T484" s="65"/>
      <c r="U484" s="65"/>
      <c r="V484" s="65"/>
      <c r="W484" s="65"/>
      <c r="X484" s="65"/>
      <c r="Y484" s="65"/>
      <c r="Z484" s="65"/>
      <c r="AA484" s="65"/>
      <c r="AB484" s="65"/>
      <c r="AC484" s="65"/>
      <c r="AD484" s="65"/>
      <c r="AE484" s="65"/>
      <c r="AF484" s="65"/>
      <c r="AG484" s="65"/>
      <c r="AH484" s="65"/>
      <c r="AI484" s="65"/>
      <c r="AJ484" s="65"/>
      <c r="AK484" s="65"/>
      <c r="AL484" s="65"/>
      <c r="AM484" s="65"/>
      <c r="AN484" s="65"/>
    </row>
    <row r="485" spans="10:40" ht="14.5" x14ac:dyDescent="0.35">
      <c r="J485" s="65"/>
      <c r="K485" s="65"/>
      <c r="L485" s="65"/>
      <c r="M485" s="65"/>
      <c r="N485" s="65"/>
      <c r="O485" s="65"/>
      <c r="P485" s="65"/>
      <c r="Q485" s="65"/>
      <c r="R485" s="65"/>
      <c r="S485" s="65"/>
      <c r="T485" s="65"/>
      <c r="U485" s="65"/>
      <c r="V485" s="65"/>
      <c r="W485" s="65"/>
      <c r="X485" s="65"/>
      <c r="Y485" s="65"/>
      <c r="Z485" s="65"/>
      <c r="AA485" s="65"/>
      <c r="AB485" s="65"/>
      <c r="AC485" s="65"/>
      <c r="AD485" s="65"/>
      <c r="AE485" s="65"/>
      <c r="AF485" s="65"/>
      <c r="AG485" s="65"/>
      <c r="AH485" s="65"/>
      <c r="AI485" s="65"/>
      <c r="AJ485" s="65"/>
      <c r="AK485" s="65"/>
      <c r="AL485" s="65"/>
      <c r="AM485" s="65"/>
      <c r="AN485" s="65"/>
    </row>
    <row r="486" spans="10:40" ht="14.5" x14ac:dyDescent="0.35">
      <c r="J486" s="65"/>
      <c r="K486" s="65"/>
      <c r="L486" s="65"/>
      <c r="M486" s="65"/>
      <c r="N486" s="65"/>
      <c r="O486" s="65"/>
      <c r="P486" s="65"/>
      <c r="Q486" s="65"/>
      <c r="R486" s="65"/>
      <c r="S486" s="65"/>
      <c r="T486" s="65"/>
      <c r="U486" s="65"/>
      <c r="V486" s="65"/>
      <c r="W486" s="65"/>
      <c r="X486" s="65"/>
      <c r="Y486" s="65"/>
      <c r="Z486" s="65"/>
      <c r="AA486" s="65"/>
      <c r="AB486" s="65"/>
      <c r="AC486" s="65"/>
      <c r="AD486" s="65"/>
      <c r="AE486" s="65"/>
      <c r="AF486" s="65"/>
      <c r="AG486" s="65"/>
      <c r="AH486" s="65"/>
      <c r="AI486" s="65"/>
      <c r="AJ486" s="65"/>
      <c r="AK486" s="65"/>
      <c r="AL486" s="65"/>
      <c r="AM486" s="65"/>
      <c r="AN486" s="65"/>
    </row>
    <row r="487" spans="10:40" ht="14.5" x14ac:dyDescent="0.35">
      <c r="J487" s="65"/>
      <c r="K487" s="65"/>
      <c r="L487" s="65"/>
      <c r="M487" s="65"/>
      <c r="N487" s="65"/>
      <c r="O487" s="65"/>
      <c r="P487" s="65"/>
      <c r="Q487" s="65"/>
      <c r="R487" s="65"/>
      <c r="S487" s="65"/>
      <c r="T487" s="65"/>
      <c r="U487" s="65"/>
      <c r="V487" s="65"/>
      <c r="W487" s="65"/>
      <c r="X487" s="65"/>
      <c r="Y487" s="65"/>
      <c r="Z487" s="65"/>
      <c r="AA487" s="65"/>
      <c r="AB487" s="65"/>
      <c r="AC487" s="65"/>
      <c r="AD487" s="65"/>
      <c r="AE487" s="65"/>
      <c r="AF487" s="65"/>
      <c r="AG487" s="65"/>
      <c r="AH487" s="65"/>
      <c r="AI487" s="65"/>
      <c r="AJ487" s="65"/>
      <c r="AK487" s="65"/>
      <c r="AL487" s="65"/>
      <c r="AM487" s="65"/>
      <c r="AN487" s="65"/>
    </row>
    <row r="488" spans="10:40" ht="14.5" x14ac:dyDescent="0.35">
      <c r="J488" s="65"/>
      <c r="K488" s="65"/>
      <c r="L488" s="65"/>
      <c r="M488" s="65"/>
      <c r="N488" s="65"/>
      <c r="O488" s="65"/>
      <c r="P488" s="65"/>
      <c r="Q488" s="65"/>
      <c r="R488" s="65"/>
      <c r="S488" s="65"/>
      <c r="T488" s="65"/>
      <c r="U488" s="65"/>
      <c r="V488" s="65"/>
      <c r="W488" s="65"/>
      <c r="X488" s="65"/>
      <c r="Y488" s="65"/>
      <c r="Z488" s="65"/>
      <c r="AA488" s="65"/>
      <c r="AB488" s="65"/>
      <c r="AC488" s="65"/>
      <c r="AD488" s="65"/>
      <c r="AE488" s="65"/>
      <c r="AF488" s="65"/>
      <c r="AG488" s="65"/>
      <c r="AH488" s="65"/>
      <c r="AI488" s="65"/>
      <c r="AJ488" s="65"/>
      <c r="AK488" s="65"/>
      <c r="AL488" s="65"/>
      <c r="AM488" s="65"/>
      <c r="AN488" s="65"/>
    </row>
    <row r="489" spans="10:40" ht="14.5" x14ac:dyDescent="0.35">
      <c r="J489" s="65"/>
      <c r="K489" s="65"/>
      <c r="L489" s="65"/>
      <c r="M489" s="65"/>
      <c r="N489" s="65"/>
      <c r="O489" s="65"/>
      <c r="P489" s="65"/>
      <c r="Q489" s="65"/>
      <c r="R489" s="65"/>
      <c r="S489" s="65"/>
      <c r="T489" s="65"/>
      <c r="U489" s="65"/>
      <c r="V489" s="65"/>
      <c r="W489" s="65"/>
      <c r="X489" s="65"/>
      <c r="Y489" s="65"/>
      <c r="Z489" s="65"/>
      <c r="AA489" s="65"/>
      <c r="AB489" s="65"/>
      <c r="AC489" s="65"/>
      <c r="AD489" s="65"/>
      <c r="AE489" s="65"/>
      <c r="AF489" s="65"/>
      <c r="AG489" s="65"/>
      <c r="AH489" s="65"/>
      <c r="AI489" s="65"/>
      <c r="AJ489" s="65"/>
      <c r="AK489" s="65"/>
      <c r="AL489" s="65"/>
      <c r="AM489" s="65"/>
      <c r="AN489" s="65"/>
    </row>
    <row r="490" spans="10:40" ht="14.5" x14ac:dyDescent="0.35">
      <c r="J490" s="65"/>
      <c r="K490" s="65"/>
      <c r="L490" s="65"/>
      <c r="M490" s="65"/>
      <c r="N490" s="65"/>
      <c r="O490" s="65"/>
      <c r="P490" s="65"/>
      <c r="Q490" s="65"/>
      <c r="R490" s="65"/>
      <c r="S490" s="65"/>
      <c r="T490" s="65"/>
      <c r="U490" s="65"/>
      <c r="V490" s="65"/>
      <c r="W490" s="65"/>
      <c r="X490" s="65"/>
      <c r="Y490" s="65"/>
      <c r="Z490" s="65"/>
      <c r="AA490" s="65"/>
      <c r="AB490" s="65"/>
      <c r="AC490" s="65"/>
      <c r="AD490" s="65"/>
      <c r="AE490" s="65"/>
      <c r="AF490" s="65"/>
      <c r="AG490" s="65"/>
      <c r="AH490" s="65"/>
      <c r="AI490" s="65"/>
      <c r="AJ490" s="65"/>
      <c r="AK490" s="65"/>
      <c r="AL490" s="65"/>
      <c r="AM490" s="65"/>
      <c r="AN490" s="65"/>
    </row>
    <row r="491" spans="10:40" ht="14.5" x14ac:dyDescent="0.35">
      <c r="J491" s="65"/>
      <c r="K491" s="65"/>
      <c r="L491" s="65"/>
      <c r="M491" s="65"/>
      <c r="N491" s="65"/>
      <c r="O491" s="65"/>
      <c r="P491" s="65"/>
      <c r="Q491" s="65"/>
      <c r="R491" s="65"/>
      <c r="S491" s="65"/>
      <c r="T491" s="65"/>
      <c r="U491" s="65"/>
      <c r="V491" s="65"/>
      <c r="W491" s="65"/>
      <c r="X491" s="65"/>
      <c r="Y491" s="65"/>
      <c r="Z491" s="65"/>
      <c r="AA491" s="65"/>
      <c r="AB491" s="65"/>
      <c r="AC491" s="65"/>
      <c r="AD491" s="65"/>
      <c r="AE491" s="65"/>
      <c r="AF491" s="65"/>
      <c r="AG491" s="65"/>
      <c r="AH491" s="65"/>
      <c r="AI491" s="65"/>
      <c r="AJ491" s="65"/>
      <c r="AK491" s="65"/>
      <c r="AL491" s="65"/>
      <c r="AM491" s="65"/>
      <c r="AN491" s="65"/>
    </row>
    <row r="492" spans="10:40" ht="14.5" x14ac:dyDescent="0.35">
      <c r="J492" s="65"/>
      <c r="K492" s="65"/>
      <c r="L492" s="65"/>
      <c r="M492" s="65"/>
      <c r="N492" s="65"/>
      <c r="O492" s="65"/>
      <c r="P492" s="65"/>
      <c r="Q492" s="65"/>
      <c r="R492" s="65"/>
      <c r="S492" s="65"/>
      <c r="T492" s="65"/>
      <c r="U492" s="65"/>
      <c r="V492" s="65"/>
      <c r="W492" s="65"/>
      <c r="X492" s="65"/>
      <c r="Y492" s="65"/>
      <c r="Z492" s="65"/>
      <c r="AA492" s="65"/>
      <c r="AB492" s="65"/>
      <c r="AC492" s="65"/>
      <c r="AD492" s="65"/>
      <c r="AE492" s="65"/>
      <c r="AF492" s="65"/>
      <c r="AG492" s="65"/>
      <c r="AH492" s="65"/>
      <c r="AI492" s="65"/>
      <c r="AJ492" s="65"/>
      <c r="AK492" s="65"/>
      <c r="AL492" s="65"/>
      <c r="AM492" s="65"/>
      <c r="AN492" s="65"/>
    </row>
    <row r="493" spans="10:40" ht="14.5" x14ac:dyDescent="0.35">
      <c r="J493" s="65"/>
      <c r="K493" s="65"/>
      <c r="L493" s="65"/>
      <c r="M493" s="65"/>
      <c r="N493" s="65"/>
      <c r="O493" s="65"/>
      <c r="P493" s="65"/>
      <c r="Q493" s="65"/>
      <c r="R493" s="65"/>
      <c r="S493" s="65"/>
      <c r="T493" s="65"/>
      <c r="U493" s="65"/>
      <c r="V493" s="65"/>
      <c r="W493" s="65"/>
      <c r="X493" s="65"/>
      <c r="Y493" s="65"/>
      <c r="Z493" s="65"/>
      <c r="AA493" s="65"/>
      <c r="AB493" s="65"/>
      <c r="AC493" s="65"/>
      <c r="AD493" s="65"/>
      <c r="AE493" s="65"/>
      <c r="AF493" s="65"/>
      <c r="AG493" s="65"/>
      <c r="AH493" s="65"/>
      <c r="AI493" s="65"/>
      <c r="AJ493" s="65"/>
      <c r="AK493" s="65"/>
      <c r="AL493" s="65"/>
      <c r="AM493" s="65"/>
      <c r="AN493" s="65"/>
    </row>
    <row r="494" spans="10:40" ht="14.5" x14ac:dyDescent="0.35">
      <c r="J494" s="65"/>
      <c r="K494" s="65"/>
      <c r="L494" s="65"/>
      <c r="M494" s="65"/>
      <c r="N494" s="65"/>
      <c r="O494" s="65"/>
      <c r="P494" s="65"/>
      <c r="Q494" s="65"/>
      <c r="R494" s="65"/>
      <c r="S494" s="65"/>
      <c r="T494" s="65"/>
      <c r="U494" s="65"/>
      <c r="V494" s="65"/>
      <c r="W494" s="65"/>
      <c r="X494" s="65"/>
      <c r="Y494" s="65"/>
      <c r="Z494" s="65"/>
      <c r="AA494" s="65"/>
      <c r="AB494" s="65"/>
      <c r="AC494" s="65"/>
      <c r="AD494" s="65"/>
      <c r="AE494" s="65"/>
      <c r="AF494" s="65"/>
      <c r="AG494" s="65"/>
      <c r="AH494" s="65"/>
      <c r="AI494" s="65"/>
      <c r="AJ494" s="65"/>
      <c r="AK494" s="65"/>
      <c r="AL494" s="65"/>
      <c r="AM494" s="65"/>
      <c r="AN494" s="65"/>
    </row>
    <row r="495" spans="10:40" ht="14.5" x14ac:dyDescent="0.35">
      <c r="J495" s="65"/>
      <c r="K495" s="65"/>
      <c r="L495" s="65"/>
      <c r="M495" s="65"/>
      <c r="N495" s="65"/>
      <c r="O495" s="65"/>
      <c r="P495" s="65"/>
      <c r="Q495" s="65"/>
      <c r="R495" s="65"/>
      <c r="S495" s="65"/>
      <c r="T495" s="65"/>
      <c r="U495" s="65"/>
      <c r="V495" s="65"/>
      <c r="W495" s="65"/>
      <c r="X495" s="65"/>
      <c r="Y495" s="65"/>
      <c r="Z495" s="65"/>
      <c r="AA495" s="65"/>
      <c r="AB495" s="65"/>
      <c r="AC495" s="65"/>
      <c r="AD495" s="65"/>
      <c r="AE495" s="65"/>
      <c r="AF495" s="65"/>
      <c r="AG495" s="65"/>
      <c r="AH495" s="65"/>
      <c r="AI495" s="65"/>
      <c r="AJ495" s="65"/>
      <c r="AK495" s="65"/>
      <c r="AL495" s="65"/>
      <c r="AM495" s="65"/>
      <c r="AN495" s="65"/>
    </row>
    <row r="496" spans="10:40" ht="14.5" x14ac:dyDescent="0.35">
      <c r="J496" s="65"/>
      <c r="K496" s="65"/>
      <c r="L496" s="65"/>
      <c r="M496" s="65"/>
      <c r="N496" s="65"/>
      <c r="O496" s="65"/>
      <c r="P496" s="65"/>
      <c r="Q496" s="65"/>
      <c r="R496" s="65"/>
      <c r="S496" s="65"/>
      <c r="T496" s="65"/>
      <c r="U496" s="65"/>
      <c r="V496" s="65"/>
      <c r="W496" s="65"/>
      <c r="X496" s="65"/>
      <c r="Y496" s="65"/>
      <c r="Z496" s="65"/>
      <c r="AA496" s="65"/>
      <c r="AB496" s="65"/>
      <c r="AC496" s="65"/>
      <c r="AD496" s="65"/>
      <c r="AE496" s="65"/>
      <c r="AF496" s="65"/>
      <c r="AG496" s="65"/>
      <c r="AH496" s="65"/>
      <c r="AI496" s="65"/>
      <c r="AJ496" s="65"/>
      <c r="AK496" s="65"/>
      <c r="AL496" s="65"/>
      <c r="AM496" s="65"/>
      <c r="AN496" s="65"/>
    </row>
    <row r="497" spans="10:40" ht="14.5" x14ac:dyDescent="0.35">
      <c r="J497" s="65"/>
      <c r="K497" s="65"/>
      <c r="L497" s="65"/>
      <c r="M497" s="65"/>
      <c r="N497" s="65"/>
      <c r="O497" s="65"/>
      <c r="P497" s="65"/>
      <c r="Q497" s="65"/>
      <c r="R497" s="65"/>
      <c r="S497" s="65"/>
      <c r="T497" s="65"/>
      <c r="U497" s="65"/>
      <c r="V497" s="65"/>
      <c r="W497" s="65"/>
      <c r="X497" s="65"/>
      <c r="Y497" s="65"/>
      <c r="Z497" s="65"/>
      <c r="AA497" s="65"/>
      <c r="AB497" s="65"/>
      <c r="AC497" s="65"/>
      <c r="AD497" s="65"/>
      <c r="AE497" s="65"/>
      <c r="AF497" s="65"/>
      <c r="AG497" s="65"/>
      <c r="AH497" s="65"/>
      <c r="AI497" s="65"/>
      <c r="AJ497" s="65"/>
      <c r="AK497" s="65"/>
      <c r="AL497" s="65"/>
      <c r="AM497" s="65"/>
      <c r="AN497" s="65"/>
    </row>
    <row r="498" spans="10:40" ht="14.5" x14ac:dyDescent="0.35">
      <c r="J498" s="65"/>
      <c r="K498" s="65"/>
      <c r="L498" s="65"/>
      <c r="M498" s="65"/>
      <c r="N498" s="65"/>
      <c r="O498" s="65"/>
      <c r="P498" s="65"/>
      <c r="Q498" s="65"/>
      <c r="R498" s="65"/>
      <c r="S498" s="65"/>
      <c r="T498" s="65"/>
      <c r="U498" s="65"/>
      <c r="V498" s="65"/>
      <c r="W498" s="65"/>
      <c r="X498" s="65"/>
      <c r="Y498" s="65"/>
      <c r="Z498" s="65"/>
      <c r="AA498" s="65"/>
      <c r="AB498" s="65"/>
      <c r="AC498" s="65"/>
      <c r="AD498" s="65"/>
      <c r="AE498" s="65"/>
      <c r="AF498" s="65"/>
      <c r="AG498" s="65"/>
      <c r="AH498" s="65"/>
      <c r="AI498" s="65"/>
      <c r="AJ498" s="65"/>
      <c r="AK498" s="65"/>
      <c r="AL498" s="65"/>
      <c r="AM498" s="65"/>
      <c r="AN498" s="65"/>
    </row>
    <row r="499" spans="10:40" ht="14.5" x14ac:dyDescent="0.35">
      <c r="J499" s="65"/>
      <c r="K499" s="65"/>
      <c r="L499" s="65"/>
      <c r="M499" s="65"/>
      <c r="N499" s="65"/>
      <c r="O499" s="65"/>
      <c r="P499" s="65"/>
      <c r="Q499" s="65"/>
      <c r="R499" s="65"/>
      <c r="S499" s="65"/>
      <c r="T499" s="65"/>
      <c r="U499" s="65"/>
      <c r="V499" s="65"/>
      <c r="W499" s="65"/>
      <c r="X499" s="65"/>
      <c r="Y499" s="65"/>
      <c r="Z499" s="65"/>
      <c r="AA499" s="65"/>
      <c r="AB499" s="65"/>
      <c r="AC499" s="65"/>
      <c r="AD499" s="65"/>
      <c r="AE499" s="65"/>
      <c r="AF499" s="65"/>
      <c r="AG499" s="65"/>
      <c r="AH499" s="65"/>
      <c r="AI499" s="65"/>
      <c r="AJ499" s="65"/>
      <c r="AK499" s="65"/>
      <c r="AL499" s="65"/>
      <c r="AM499" s="65"/>
      <c r="AN499" s="65"/>
    </row>
    <row r="500" spans="10:40" ht="14.5" x14ac:dyDescent="0.35">
      <c r="J500" s="65"/>
      <c r="K500" s="65"/>
      <c r="L500" s="65"/>
      <c r="M500" s="65"/>
      <c r="N500" s="65"/>
      <c r="O500" s="65"/>
      <c r="P500" s="65"/>
      <c r="Q500" s="65"/>
      <c r="R500" s="65"/>
      <c r="S500" s="65"/>
      <c r="T500" s="65"/>
      <c r="U500" s="65"/>
      <c r="V500" s="65"/>
      <c r="W500" s="65"/>
      <c r="X500" s="65"/>
      <c r="Y500" s="65"/>
      <c r="Z500" s="65"/>
      <c r="AA500" s="65"/>
      <c r="AB500" s="65"/>
      <c r="AC500" s="65"/>
      <c r="AD500" s="65"/>
      <c r="AE500" s="65"/>
      <c r="AF500" s="65"/>
      <c r="AG500" s="65"/>
      <c r="AH500" s="65"/>
      <c r="AI500" s="65"/>
      <c r="AJ500" s="65"/>
      <c r="AK500" s="65"/>
      <c r="AL500" s="65"/>
      <c r="AM500" s="65"/>
      <c r="AN500" s="65"/>
    </row>
    <row r="501" spans="10:40" ht="14.5" x14ac:dyDescent="0.35">
      <c r="J501" s="65"/>
      <c r="K501" s="65"/>
      <c r="L501" s="65"/>
      <c r="M501" s="65"/>
      <c r="N501" s="65"/>
      <c r="O501" s="65"/>
      <c r="P501" s="65"/>
      <c r="Q501" s="65"/>
      <c r="R501" s="65"/>
      <c r="S501" s="65"/>
      <c r="T501" s="65"/>
      <c r="U501" s="65"/>
      <c r="V501" s="65"/>
      <c r="W501" s="65"/>
      <c r="X501" s="65"/>
      <c r="Y501" s="65"/>
      <c r="Z501" s="65"/>
      <c r="AA501" s="65"/>
      <c r="AB501" s="65"/>
      <c r="AC501" s="65"/>
      <c r="AD501" s="65"/>
      <c r="AE501" s="65"/>
      <c r="AF501" s="65"/>
      <c r="AG501" s="65"/>
      <c r="AH501" s="65"/>
      <c r="AI501" s="65"/>
      <c r="AJ501" s="65"/>
      <c r="AK501" s="65"/>
      <c r="AL501" s="65"/>
      <c r="AM501" s="65"/>
      <c r="AN501" s="65"/>
    </row>
    <row r="502" spans="10:40" ht="14.5" x14ac:dyDescent="0.35">
      <c r="J502" s="65"/>
      <c r="K502" s="65"/>
      <c r="L502" s="65"/>
      <c r="M502" s="65"/>
      <c r="N502" s="65"/>
      <c r="O502" s="65"/>
      <c r="P502" s="65"/>
      <c r="Q502" s="65"/>
      <c r="R502" s="65"/>
      <c r="S502" s="65"/>
      <c r="T502" s="65"/>
      <c r="U502" s="65"/>
      <c r="V502" s="65"/>
      <c r="W502" s="65"/>
      <c r="X502" s="65"/>
      <c r="Y502" s="65"/>
      <c r="Z502" s="65"/>
      <c r="AA502" s="65"/>
      <c r="AB502" s="65"/>
      <c r="AC502" s="65"/>
      <c r="AD502" s="65"/>
      <c r="AE502" s="65"/>
      <c r="AF502" s="65"/>
      <c r="AG502" s="65"/>
      <c r="AH502" s="65"/>
      <c r="AI502" s="65"/>
      <c r="AJ502" s="65"/>
      <c r="AK502" s="65"/>
      <c r="AL502" s="65"/>
      <c r="AM502" s="65"/>
      <c r="AN502" s="65"/>
    </row>
    <row r="503" spans="10:40" ht="14.5" x14ac:dyDescent="0.35">
      <c r="J503" s="65"/>
      <c r="K503" s="65"/>
      <c r="L503" s="65"/>
      <c r="M503" s="65"/>
      <c r="N503" s="65"/>
      <c r="O503" s="65"/>
      <c r="P503" s="65"/>
      <c r="Q503" s="65"/>
      <c r="R503" s="65"/>
      <c r="S503" s="65"/>
      <c r="T503" s="65"/>
      <c r="U503" s="65"/>
      <c r="V503" s="65"/>
      <c r="W503" s="65"/>
      <c r="X503" s="65"/>
      <c r="Y503" s="65"/>
      <c r="Z503" s="65"/>
      <c r="AA503" s="65"/>
      <c r="AB503" s="65"/>
      <c r="AC503" s="65"/>
      <c r="AD503" s="65"/>
      <c r="AE503" s="65"/>
      <c r="AF503" s="65"/>
      <c r="AG503" s="65"/>
      <c r="AH503" s="65"/>
      <c r="AI503" s="65"/>
      <c r="AJ503" s="65"/>
      <c r="AK503" s="65"/>
      <c r="AL503" s="65"/>
      <c r="AM503" s="65"/>
      <c r="AN503" s="65"/>
    </row>
    <row r="504" spans="10:40" ht="14.5" x14ac:dyDescent="0.35">
      <c r="J504" s="65"/>
      <c r="K504" s="65"/>
      <c r="L504" s="65"/>
      <c r="M504" s="65"/>
      <c r="N504" s="65"/>
      <c r="O504" s="65"/>
      <c r="P504" s="65"/>
      <c r="Q504" s="65"/>
      <c r="R504" s="65"/>
      <c r="S504" s="65"/>
      <c r="T504" s="65"/>
      <c r="U504" s="65"/>
      <c r="V504" s="65"/>
      <c r="W504" s="65"/>
      <c r="X504" s="65"/>
      <c r="Y504" s="65"/>
      <c r="Z504" s="65"/>
      <c r="AA504" s="65"/>
      <c r="AB504" s="65"/>
      <c r="AC504" s="65"/>
      <c r="AD504" s="65"/>
      <c r="AE504" s="65"/>
      <c r="AF504" s="65"/>
      <c r="AG504" s="65"/>
      <c r="AH504" s="65"/>
      <c r="AI504" s="65"/>
      <c r="AJ504" s="65"/>
      <c r="AK504" s="65"/>
      <c r="AL504" s="65"/>
      <c r="AM504" s="65"/>
      <c r="AN504" s="65"/>
    </row>
    <row r="505" spans="10:40" ht="14.5" x14ac:dyDescent="0.35">
      <c r="J505" s="65"/>
      <c r="K505" s="65"/>
      <c r="L505" s="65"/>
      <c r="M505" s="65"/>
      <c r="N505" s="65"/>
      <c r="O505" s="65"/>
      <c r="P505" s="65"/>
      <c r="Q505" s="65"/>
      <c r="R505" s="65"/>
      <c r="S505" s="65"/>
      <c r="T505" s="65"/>
      <c r="U505" s="65"/>
      <c r="V505" s="65"/>
      <c r="W505" s="65"/>
      <c r="X505" s="65"/>
      <c r="Y505" s="65"/>
      <c r="Z505" s="65"/>
      <c r="AA505" s="65"/>
      <c r="AB505" s="65"/>
      <c r="AC505" s="65"/>
      <c r="AD505" s="65"/>
      <c r="AE505" s="65"/>
      <c r="AF505" s="65"/>
      <c r="AG505" s="65"/>
      <c r="AH505" s="65"/>
      <c r="AI505" s="65"/>
      <c r="AJ505" s="65"/>
      <c r="AK505" s="65"/>
      <c r="AL505" s="65"/>
      <c r="AM505" s="65"/>
      <c r="AN505" s="65"/>
    </row>
    <row r="506" spans="10:40" ht="14.5" x14ac:dyDescent="0.35">
      <c r="J506" s="65"/>
      <c r="K506" s="65"/>
      <c r="L506" s="65"/>
      <c r="M506" s="65"/>
      <c r="N506" s="65"/>
      <c r="O506" s="65"/>
      <c r="P506" s="65"/>
      <c r="Q506" s="65"/>
      <c r="R506" s="65"/>
      <c r="S506" s="65"/>
      <c r="T506" s="65"/>
      <c r="U506" s="65"/>
      <c r="V506" s="65"/>
      <c r="W506" s="65"/>
      <c r="X506" s="65"/>
      <c r="Y506" s="65"/>
      <c r="Z506" s="65"/>
      <c r="AA506" s="65"/>
      <c r="AB506" s="65"/>
      <c r="AC506" s="65"/>
      <c r="AD506" s="65"/>
      <c r="AE506" s="65"/>
      <c r="AF506" s="65"/>
      <c r="AG506" s="65"/>
      <c r="AH506" s="65"/>
      <c r="AI506" s="65"/>
      <c r="AJ506" s="65"/>
      <c r="AK506" s="65"/>
      <c r="AL506" s="65"/>
      <c r="AM506" s="65"/>
      <c r="AN506" s="65"/>
    </row>
    <row r="507" spans="10:40" ht="14.5" x14ac:dyDescent="0.35">
      <c r="J507" s="65"/>
      <c r="K507" s="65"/>
      <c r="L507" s="65"/>
      <c r="M507" s="65"/>
      <c r="N507" s="65"/>
      <c r="O507" s="65"/>
      <c r="P507" s="65"/>
      <c r="Q507" s="65"/>
      <c r="R507" s="65"/>
      <c r="S507" s="65"/>
      <c r="T507" s="65"/>
      <c r="U507" s="65"/>
      <c r="V507" s="65"/>
      <c r="W507" s="65"/>
      <c r="X507" s="65"/>
      <c r="Y507" s="65"/>
      <c r="Z507" s="65"/>
      <c r="AA507" s="65"/>
      <c r="AB507" s="65"/>
      <c r="AC507" s="65"/>
      <c r="AD507" s="65"/>
      <c r="AE507" s="65"/>
      <c r="AF507" s="65"/>
      <c r="AG507" s="65"/>
      <c r="AH507" s="65"/>
      <c r="AI507" s="65"/>
      <c r="AJ507" s="65"/>
      <c r="AK507" s="65"/>
      <c r="AL507" s="65"/>
      <c r="AM507" s="65"/>
      <c r="AN507" s="65"/>
    </row>
    <row r="508" spans="10:40" ht="14.5" x14ac:dyDescent="0.35">
      <c r="J508" s="65"/>
      <c r="K508" s="65"/>
      <c r="L508" s="65"/>
      <c r="M508" s="65"/>
      <c r="N508" s="65"/>
      <c r="O508" s="65"/>
      <c r="P508" s="65"/>
      <c r="Q508" s="65"/>
      <c r="R508" s="65"/>
      <c r="S508" s="65"/>
      <c r="T508" s="65"/>
      <c r="U508" s="65"/>
      <c r="V508" s="65"/>
      <c r="W508" s="65"/>
      <c r="X508" s="65"/>
      <c r="Y508" s="65"/>
      <c r="Z508" s="65"/>
      <c r="AA508" s="65"/>
      <c r="AB508" s="65"/>
      <c r="AC508" s="65"/>
      <c r="AD508" s="65"/>
      <c r="AE508" s="65"/>
      <c r="AF508" s="65"/>
      <c r="AG508" s="65"/>
      <c r="AH508" s="65"/>
      <c r="AI508" s="65"/>
      <c r="AJ508" s="65"/>
      <c r="AK508" s="65"/>
      <c r="AL508" s="65"/>
      <c r="AM508" s="65"/>
      <c r="AN508" s="65"/>
    </row>
    <row r="509" spans="10:40" ht="14.5" x14ac:dyDescent="0.35">
      <c r="J509" s="65"/>
      <c r="K509" s="65"/>
      <c r="L509" s="65"/>
      <c r="M509" s="65"/>
      <c r="N509" s="65"/>
      <c r="O509" s="65"/>
      <c r="P509" s="65"/>
      <c r="Q509" s="65"/>
      <c r="R509" s="65"/>
      <c r="S509" s="65"/>
      <c r="T509" s="65"/>
      <c r="U509" s="65"/>
      <c r="V509" s="65"/>
      <c r="W509" s="65"/>
      <c r="X509" s="65"/>
      <c r="Y509" s="65"/>
      <c r="Z509" s="65"/>
      <c r="AA509" s="65"/>
      <c r="AB509" s="65"/>
      <c r="AC509" s="65"/>
      <c r="AD509" s="65"/>
      <c r="AE509" s="65"/>
      <c r="AF509" s="65"/>
      <c r="AG509" s="65"/>
      <c r="AH509" s="65"/>
      <c r="AI509" s="65"/>
      <c r="AJ509" s="65"/>
      <c r="AK509" s="65"/>
      <c r="AL509" s="65"/>
      <c r="AM509" s="65"/>
      <c r="AN509" s="65"/>
    </row>
    <row r="510" spans="10:40" ht="14.5" x14ac:dyDescent="0.35">
      <c r="J510" s="65"/>
      <c r="K510" s="65"/>
      <c r="L510" s="65"/>
      <c r="M510" s="65"/>
      <c r="N510" s="65"/>
      <c r="O510" s="65"/>
      <c r="P510" s="65"/>
      <c r="Q510" s="65"/>
      <c r="R510" s="65"/>
      <c r="S510" s="65"/>
      <c r="T510" s="65"/>
      <c r="U510" s="65"/>
      <c r="V510" s="65"/>
      <c r="W510" s="65"/>
      <c r="X510" s="65"/>
      <c r="Y510" s="65"/>
      <c r="Z510" s="65"/>
      <c r="AA510" s="65"/>
      <c r="AB510" s="65"/>
      <c r="AC510" s="65"/>
      <c r="AD510" s="65"/>
      <c r="AE510" s="65"/>
      <c r="AF510" s="65"/>
      <c r="AG510" s="65"/>
      <c r="AH510" s="65"/>
      <c r="AI510" s="65"/>
      <c r="AJ510" s="65"/>
      <c r="AK510" s="65"/>
      <c r="AL510" s="65"/>
      <c r="AM510" s="65"/>
      <c r="AN510" s="65"/>
    </row>
    <row r="511" spans="10:40" ht="14.5" x14ac:dyDescent="0.35">
      <c r="J511" s="65"/>
      <c r="K511" s="65"/>
      <c r="L511" s="65"/>
      <c r="M511" s="65"/>
      <c r="N511" s="65"/>
      <c r="O511" s="65"/>
      <c r="P511" s="65"/>
      <c r="Q511" s="65"/>
      <c r="R511" s="65"/>
      <c r="S511" s="65"/>
      <c r="T511" s="65"/>
      <c r="U511" s="65"/>
      <c r="V511" s="65"/>
      <c r="W511" s="65"/>
      <c r="X511" s="65"/>
      <c r="Y511" s="65"/>
      <c r="Z511" s="65"/>
      <c r="AA511" s="65"/>
      <c r="AB511" s="65"/>
      <c r="AC511" s="65"/>
      <c r="AD511" s="65"/>
      <c r="AE511" s="65"/>
      <c r="AF511" s="65"/>
      <c r="AG511" s="65"/>
      <c r="AH511" s="65"/>
      <c r="AI511" s="65"/>
      <c r="AJ511" s="65"/>
      <c r="AK511" s="65"/>
      <c r="AL511" s="65"/>
      <c r="AM511" s="65"/>
      <c r="AN511" s="65"/>
    </row>
    <row r="512" spans="10:40" ht="14.5" x14ac:dyDescent="0.35">
      <c r="J512" s="65"/>
      <c r="K512" s="65"/>
      <c r="L512" s="65"/>
      <c r="M512" s="65"/>
      <c r="N512" s="65"/>
      <c r="O512" s="65"/>
      <c r="P512" s="65"/>
      <c r="Q512" s="65"/>
      <c r="R512" s="65"/>
      <c r="S512" s="65"/>
      <c r="T512" s="65"/>
      <c r="U512" s="65"/>
      <c r="V512" s="65"/>
      <c r="W512" s="65"/>
      <c r="X512" s="65"/>
      <c r="Y512" s="65"/>
      <c r="Z512" s="65"/>
      <c r="AA512" s="65"/>
      <c r="AB512" s="65"/>
      <c r="AC512" s="65"/>
      <c r="AD512" s="65"/>
      <c r="AE512" s="65"/>
      <c r="AF512" s="65"/>
      <c r="AG512" s="65"/>
      <c r="AH512" s="65"/>
      <c r="AI512" s="65"/>
      <c r="AJ512" s="65"/>
      <c r="AK512" s="65"/>
      <c r="AL512" s="65"/>
      <c r="AM512" s="65"/>
      <c r="AN512" s="65"/>
    </row>
    <row r="513" spans="10:40" ht="14.5" x14ac:dyDescent="0.35">
      <c r="J513" s="65"/>
      <c r="K513" s="65"/>
      <c r="L513" s="65"/>
      <c r="M513" s="65"/>
      <c r="N513" s="65"/>
      <c r="O513" s="65"/>
      <c r="P513" s="65"/>
      <c r="Q513" s="65"/>
      <c r="R513" s="65"/>
      <c r="S513" s="65"/>
      <c r="T513" s="65"/>
      <c r="U513" s="65"/>
      <c r="V513" s="65"/>
      <c r="W513" s="65"/>
      <c r="X513" s="65"/>
      <c r="Y513" s="65"/>
      <c r="Z513" s="65"/>
      <c r="AA513" s="65"/>
      <c r="AB513" s="65"/>
      <c r="AC513" s="65"/>
      <c r="AD513" s="65"/>
      <c r="AE513" s="65"/>
      <c r="AF513" s="65"/>
      <c r="AG513" s="65"/>
      <c r="AH513" s="65"/>
      <c r="AI513" s="65"/>
      <c r="AJ513" s="65"/>
      <c r="AK513" s="65"/>
      <c r="AL513" s="65"/>
      <c r="AM513" s="65"/>
      <c r="AN513" s="65"/>
    </row>
    <row r="514" spans="10:40" ht="14.5" x14ac:dyDescent="0.35">
      <c r="J514" s="65"/>
      <c r="K514" s="65"/>
      <c r="L514" s="65"/>
      <c r="M514" s="65"/>
      <c r="N514" s="65"/>
      <c r="O514" s="65"/>
      <c r="P514" s="65"/>
      <c r="Q514" s="65"/>
      <c r="R514" s="65"/>
      <c r="S514" s="65"/>
      <c r="T514" s="65"/>
      <c r="U514" s="65"/>
      <c r="V514" s="65"/>
      <c r="W514" s="65"/>
      <c r="X514" s="65"/>
      <c r="Y514" s="65"/>
      <c r="Z514" s="65"/>
      <c r="AA514" s="65"/>
      <c r="AB514" s="65"/>
      <c r="AC514" s="65"/>
      <c r="AD514" s="65"/>
      <c r="AE514" s="65"/>
      <c r="AF514" s="65"/>
      <c r="AG514" s="65"/>
      <c r="AH514" s="65"/>
      <c r="AI514" s="65"/>
      <c r="AJ514" s="65"/>
      <c r="AK514" s="65"/>
      <c r="AL514" s="65"/>
      <c r="AM514" s="65"/>
      <c r="AN514" s="65"/>
    </row>
    <row r="515" spans="10:40" ht="14.5" x14ac:dyDescent="0.35">
      <c r="J515" s="65"/>
      <c r="K515" s="65"/>
      <c r="L515" s="65"/>
      <c r="M515" s="65"/>
      <c r="N515" s="65"/>
      <c r="O515" s="65"/>
      <c r="P515" s="65"/>
      <c r="Q515" s="65"/>
      <c r="R515" s="65"/>
      <c r="S515" s="65"/>
      <c r="T515" s="65"/>
      <c r="U515" s="65"/>
      <c r="V515" s="65"/>
      <c r="W515" s="65"/>
      <c r="X515" s="65"/>
      <c r="Y515" s="65"/>
      <c r="Z515" s="65"/>
      <c r="AA515" s="65"/>
      <c r="AB515" s="65"/>
      <c r="AC515" s="65"/>
      <c r="AD515" s="65"/>
      <c r="AE515" s="65"/>
      <c r="AF515" s="65"/>
      <c r="AG515" s="65"/>
      <c r="AH515" s="65"/>
      <c r="AI515" s="65"/>
      <c r="AJ515" s="65"/>
      <c r="AK515" s="65"/>
      <c r="AL515" s="65"/>
      <c r="AM515" s="65"/>
      <c r="AN515" s="65"/>
    </row>
    <row r="516" spans="10:40" ht="14.5" x14ac:dyDescent="0.35">
      <c r="J516" s="65"/>
      <c r="K516" s="65"/>
      <c r="L516" s="65"/>
      <c r="M516" s="65"/>
      <c r="N516" s="65"/>
      <c r="O516" s="65"/>
      <c r="P516" s="65"/>
      <c r="Q516" s="65"/>
      <c r="R516" s="65"/>
      <c r="S516" s="65"/>
      <c r="T516" s="65"/>
      <c r="U516" s="65"/>
      <c r="V516" s="65"/>
      <c r="W516" s="65"/>
      <c r="X516" s="65"/>
      <c r="Y516" s="65"/>
      <c r="Z516" s="65"/>
      <c r="AA516" s="65"/>
      <c r="AB516" s="65"/>
      <c r="AC516" s="65"/>
      <c r="AD516" s="65"/>
      <c r="AE516" s="65"/>
      <c r="AF516" s="65"/>
      <c r="AG516" s="65"/>
      <c r="AH516" s="65"/>
      <c r="AI516" s="65"/>
      <c r="AJ516" s="65"/>
      <c r="AK516" s="65"/>
      <c r="AL516" s="65"/>
      <c r="AM516" s="65"/>
      <c r="AN516" s="65"/>
    </row>
    <row r="517" spans="10:40" ht="14.5" x14ac:dyDescent="0.35">
      <c r="J517" s="65"/>
      <c r="K517" s="65"/>
      <c r="L517" s="65"/>
      <c r="M517" s="65"/>
      <c r="N517" s="65"/>
      <c r="O517" s="65"/>
      <c r="P517" s="65"/>
      <c r="Q517" s="65"/>
      <c r="R517" s="65"/>
      <c r="S517" s="65"/>
      <c r="T517" s="65"/>
      <c r="U517" s="65"/>
      <c r="V517" s="65"/>
      <c r="W517" s="65"/>
      <c r="X517" s="65"/>
      <c r="Y517" s="65"/>
      <c r="Z517" s="65"/>
      <c r="AA517" s="65"/>
      <c r="AB517" s="65"/>
      <c r="AC517" s="65"/>
      <c r="AD517" s="65"/>
      <c r="AE517" s="65"/>
      <c r="AF517" s="65"/>
      <c r="AG517" s="65"/>
      <c r="AH517" s="65"/>
      <c r="AI517" s="65"/>
      <c r="AJ517" s="65"/>
      <c r="AK517" s="65"/>
      <c r="AL517" s="65"/>
      <c r="AM517" s="65"/>
      <c r="AN517" s="65"/>
    </row>
    <row r="518" spans="10:40" ht="14.5" x14ac:dyDescent="0.35">
      <c r="J518" s="65"/>
      <c r="K518" s="65"/>
      <c r="L518" s="65"/>
      <c r="M518" s="65"/>
      <c r="N518" s="65"/>
      <c r="O518" s="65"/>
      <c r="P518" s="65"/>
      <c r="Q518" s="65"/>
      <c r="R518" s="65"/>
      <c r="S518" s="65"/>
      <c r="T518" s="65"/>
      <c r="U518" s="65"/>
      <c r="V518" s="65"/>
      <c r="W518" s="65"/>
      <c r="X518" s="65"/>
      <c r="Y518" s="65"/>
      <c r="Z518" s="65"/>
      <c r="AA518" s="65"/>
      <c r="AB518" s="65"/>
      <c r="AC518" s="65"/>
      <c r="AD518" s="65"/>
      <c r="AE518" s="65"/>
      <c r="AF518" s="65"/>
      <c r="AG518" s="65"/>
      <c r="AH518" s="65"/>
      <c r="AI518" s="65"/>
      <c r="AJ518" s="65"/>
      <c r="AK518" s="65"/>
      <c r="AL518" s="65"/>
      <c r="AM518" s="65"/>
      <c r="AN518" s="65"/>
    </row>
    <row r="519" spans="10:40" ht="14.5" x14ac:dyDescent="0.35">
      <c r="J519" s="65"/>
      <c r="K519" s="65"/>
      <c r="L519" s="65"/>
      <c r="M519" s="65"/>
      <c r="N519" s="65"/>
      <c r="O519" s="65"/>
      <c r="P519" s="65"/>
      <c r="Q519" s="65"/>
      <c r="R519" s="65"/>
      <c r="S519" s="65"/>
      <c r="T519" s="65"/>
      <c r="U519" s="65"/>
      <c r="V519" s="65"/>
      <c r="W519" s="65"/>
      <c r="X519" s="65"/>
      <c r="Y519" s="65"/>
      <c r="Z519" s="65"/>
      <c r="AA519" s="65"/>
      <c r="AB519" s="65"/>
      <c r="AC519" s="65"/>
      <c r="AD519" s="65"/>
      <c r="AE519" s="65"/>
      <c r="AF519" s="65"/>
      <c r="AG519" s="65"/>
      <c r="AH519" s="65"/>
      <c r="AI519" s="65"/>
      <c r="AJ519" s="65"/>
      <c r="AK519" s="65"/>
      <c r="AL519" s="65"/>
      <c r="AM519" s="65"/>
      <c r="AN519" s="65"/>
    </row>
    <row r="520" spans="10:40" ht="14.5" x14ac:dyDescent="0.35">
      <c r="J520" s="65"/>
      <c r="K520" s="65"/>
      <c r="L520" s="65"/>
      <c r="M520" s="65"/>
      <c r="N520" s="65"/>
      <c r="O520" s="65"/>
      <c r="P520" s="65"/>
      <c r="Q520" s="65"/>
      <c r="R520" s="65"/>
      <c r="S520" s="65"/>
      <c r="T520" s="65"/>
      <c r="U520" s="65"/>
      <c r="V520" s="65"/>
      <c r="W520" s="65"/>
      <c r="X520" s="65"/>
      <c r="Y520" s="65"/>
      <c r="Z520" s="65"/>
      <c r="AA520" s="65"/>
      <c r="AB520" s="65"/>
      <c r="AC520" s="65"/>
      <c r="AD520" s="65"/>
      <c r="AE520" s="65"/>
      <c r="AF520" s="65"/>
      <c r="AG520" s="65"/>
      <c r="AH520" s="65"/>
      <c r="AI520" s="65"/>
      <c r="AJ520" s="65"/>
      <c r="AK520" s="65"/>
      <c r="AL520" s="65"/>
      <c r="AM520" s="65"/>
      <c r="AN520" s="65"/>
    </row>
    <row r="521" spans="10:40" ht="14.5" x14ac:dyDescent="0.35">
      <c r="J521" s="65"/>
      <c r="K521" s="65"/>
      <c r="L521" s="65"/>
      <c r="M521" s="65"/>
      <c r="N521" s="65"/>
      <c r="O521" s="65"/>
      <c r="P521" s="65"/>
      <c r="Q521" s="65"/>
      <c r="R521" s="65"/>
      <c r="S521" s="65"/>
      <c r="T521" s="65"/>
      <c r="U521" s="65"/>
      <c r="V521" s="65"/>
      <c r="W521" s="65"/>
      <c r="X521" s="65"/>
      <c r="Y521" s="65"/>
      <c r="Z521" s="65"/>
      <c r="AA521" s="65"/>
      <c r="AB521" s="65"/>
      <c r="AC521" s="65"/>
      <c r="AD521" s="65"/>
      <c r="AE521" s="65"/>
      <c r="AF521" s="65"/>
      <c r="AG521" s="65"/>
      <c r="AH521" s="65"/>
      <c r="AI521" s="65"/>
      <c r="AJ521" s="65"/>
      <c r="AK521" s="65"/>
      <c r="AL521" s="65"/>
      <c r="AM521" s="65"/>
      <c r="AN521" s="65"/>
    </row>
    <row r="522" spans="10:40" ht="14.5" x14ac:dyDescent="0.35">
      <c r="J522" s="65"/>
      <c r="K522" s="65"/>
      <c r="L522" s="65"/>
      <c r="M522" s="65"/>
      <c r="N522" s="65"/>
      <c r="O522" s="65"/>
      <c r="P522" s="65"/>
      <c r="Q522" s="65"/>
      <c r="R522" s="65"/>
      <c r="S522" s="65"/>
      <c r="T522" s="65"/>
      <c r="U522" s="65"/>
      <c r="V522" s="65"/>
      <c r="W522" s="65"/>
      <c r="X522" s="65"/>
      <c r="Y522" s="65"/>
      <c r="Z522" s="65"/>
      <c r="AA522" s="65"/>
      <c r="AB522" s="65"/>
      <c r="AC522" s="65"/>
      <c r="AD522" s="65"/>
      <c r="AE522" s="65"/>
      <c r="AF522" s="65"/>
      <c r="AG522" s="65"/>
      <c r="AH522" s="65"/>
      <c r="AI522" s="65"/>
      <c r="AJ522" s="65"/>
      <c r="AK522" s="65"/>
      <c r="AL522" s="65"/>
      <c r="AM522" s="65"/>
      <c r="AN522" s="65"/>
    </row>
    <row r="523" spans="10:40" ht="14.5" x14ac:dyDescent="0.35">
      <c r="J523" s="65"/>
      <c r="K523" s="65"/>
      <c r="L523" s="65"/>
      <c r="M523" s="65"/>
      <c r="N523" s="65"/>
      <c r="O523" s="65"/>
      <c r="P523" s="65"/>
      <c r="Q523" s="65"/>
      <c r="R523" s="65"/>
      <c r="S523" s="65"/>
      <c r="T523" s="65"/>
      <c r="U523" s="65"/>
      <c r="V523" s="65"/>
      <c r="W523" s="65"/>
      <c r="X523" s="65"/>
      <c r="Y523" s="65"/>
      <c r="Z523" s="65"/>
      <c r="AA523" s="65"/>
      <c r="AB523" s="65"/>
      <c r="AC523" s="65"/>
      <c r="AD523" s="65"/>
      <c r="AE523" s="65"/>
      <c r="AF523" s="65"/>
      <c r="AG523" s="65"/>
      <c r="AH523" s="65"/>
      <c r="AI523" s="65"/>
      <c r="AJ523" s="65"/>
      <c r="AK523" s="65"/>
      <c r="AL523" s="65"/>
      <c r="AM523" s="65"/>
      <c r="AN523" s="65"/>
    </row>
    <row r="524" spans="10:40" ht="14.5" x14ac:dyDescent="0.35">
      <c r="J524" s="65"/>
      <c r="K524" s="65"/>
      <c r="L524" s="65"/>
      <c r="M524" s="65"/>
      <c r="N524" s="65"/>
      <c r="O524" s="65"/>
      <c r="P524" s="65"/>
      <c r="Q524" s="65"/>
      <c r="R524" s="65"/>
      <c r="S524" s="65"/>
      <c r="T524" s="65"/>
      <c r="U524" s="65"/>
      <c r="V524" s="65"/>
      <c r="W524" s="65"/>
      <c r="X524" s="65"/>
      <c r="Y524" s="65"/>
      <c r="Z524" s="65"/>
      <c r="AA524" s="65"/>
      <c r="AB524" s="65"/>
      <c r="AC524" s="65"/>
      <c r="AD524" s="65"/>
      <c r="AE524" s="65"/>
      <c r="AF524" s="65"/>
      <c r="AG524" s="65"/>
      <c r="AH524" s="65"/>
      <c r="AI524" s="65"/>
      <c r="AJ524" s="65"/>
      <c r="AK524" s="65"/>
      <c r="AL524" s="65"/>
      <c r="AM524" s="65"/>
      <c r="AN524" s="65"/>
    </row>
    <row r="525" spans="10:40" ht="14.5" x14ac:dyDescent="0.35">
      <c r="J525" s="65"/>
      <c r="K525" s="65"/>
      <c r="L525" s="65"/>
      <c r="M525" s="65"/>
      <c r="N525" s="65"/>
      <c r="O525" s="65"/>
      <c r="P525" s="65"/>
      <c r="Q525" s="65"/>
      <c r="R525" s="65"/>
      <c r="S525" s="65"/>
      <c r="T525" s="65"/>
      <c r="U525" s="65"/>
      <c r="V525" s="65"/>
      <c r="W525" s="65"/>
      <c r="X525" s="65"/>
      <c r="Y525" s="65"/>
      <c r="Z525" s="65"/>
      <c r="AA525" s="65"/>
      <c r="AB525" s="65"/>
      <c r="AC525" s="65"/>
      <c r="AD525" s="65"/>
      <c r="AE525" s="65"/>
      <c r="AF525" s="65"/>
      <c r="AG525" s="65"/>
      <c r="AH525" s="65"/>
      <c r="AI525" s="65"/>
      <c r="AJ525" s="65"/>
      <c r="AK525" s="65"/>
      <c r="AL525" s="65"/>
      <c r="AM525" s="65"/>
      <c r="AN525" s="65"/>
    </row>
    <row r="526" spans="10:40" ht="14.5" x14ac:dyDescent="0.35">
      <c r="J526" s="65"/>
      <c r="K526" s="65"/>
      <c r="L526" s="65"/>
      <c r="M526" s="65"/>
      <c r="N526" s="65"/>
      <c r="O526" s="65"/>
      <c r="P526" s="65"/>
      <c r="Q526" s="65"/>
      <c r="R526" s="65"/>
      <c r="S526" s="65"/>
      <c r="T526" s="65"/>
      <c r="U526" s="65"/>
      <c r="V526" s="65"/>
      <c r="W526" s="65"/>
      <c r="X526" s="65"/>
      <c r="Y526" s="65"/>
      <c r="Z526" s="65"/>
      <c r="AA526" s="65"/>
      <c r="AB526" s="65"/>
      <c r="AC526" s="65"/>
      <c r="AD526" s="65"/>
      <c r="AE526" s="65"/>
      <c r="AF526" s="65"/>
      <c r="AG526" s="65"/>
      <c r="AH526" s="65"/>
      <c r="AI526" s="65"/>
      <c r="AJ526" s="65"/>
      <c r="AK526" s="65"/>
      <c r="AL526" s="65"/>
      <c r="AM526" s="65"/>
      <c r="AN526" s="65"/>
    </row>
    <row r="527" spans="10:40" ht="14.5" x14ac:dyDescent="0.35">
      <c r="J527" s="65"/>
      <c r="K527" s="65"/>
      <c r="L527" s="65"/>
      <c r="M527" s="65"/>
      <c r="N527" s="65"/>
      <c r="O527" s="65"/>
      <c r="P527" s="65"/>
      <c r="Q527" s="65"/>
      <c r="R527" s="65"/>
      <c r="S527" s="65"/>
      <c r="T527" s="65"/>
      <c r="U527" s="65"/>
      <c r="V527" s="65"/>
      <c r="W527" s="65"/>
      <c r="X527" s="65"/>
      <c r="Y527" s="65"/>
      <c r="Z527" s="65"/>
      <c r="AA527" s="65"/>
      <c r="AB527" s="65"/>
      <c r="AC527" s="65"/>
      <c r="AD527" s="65"/>
      <c r="AE527" s="65"/>
      <c r="AF527" s="65"/>
      <c r="AG527" s="65"/>
      <c r="AH527" s="65"/>
      <c r="AI527" s="65"/>
      <c r="AJ527" s="65"/>
      <c r="AK527" s="65"/>
      <c r="AL527" s="65"/>
      <c r="AM527" s="65"/>
      <c r="AN527" s="65"/>
    </row>
    <row r="528" spans="10:40" ht="14.5" x14ac:dyDescent="0.35">
      <c r="J528" s="65"/>
      <c r="K528" s="65"/>
      <c r="L528" s="65"/>
      <c r="M528" s="65"/>
      <c r="N528" s="65"/>
      <c r="O528" s="65"/>
      <c r="P528" s="65"/>
      <c r="Q528" s="65"/>
      <c r="R528" s="65"/>
      <c r="S528" s="65"/>
      <c r="T528" s="65"/>
      <c r="U528" s="65"/>
      <c r="V528" s="65"/>
      <c r="W528" s="65"/>
      <c r="X528" s="65"/>
      <c r="Y528" s="65"/>
      <c r="Z528" s="65"/>
      <c r="AA528" s="65"/>
      <c r="AB528" s="65"/>
      <c r="AC528" s="65"/>
      <c r="AD528" s="65"/>
      <c r="AE528" s="65"/>
      <c r="AF528" s="65"/>
      <c r="AG528" s="65"/>
      <c r="AH528" s="65"/>
      <c r="AI528" s="65"/>
      <c r="AJ528" s="65"/>
      <c r="AK528" s="65"/>
      <c r="AL528" s="65"/>
      <c r="AM528" s="65"/>
      <c r="AN528" s="65"/>
    </row>
    <row r="529" spans="10:40" ht="14.5" x14ac:dyDescent="0.35">
      <c r="J529" s="65"/>
      <c r="K529" s="65"/>
      <c r="L529" s="65"/>
      <c r="M529" s="65"/>
      <c r="N529" s="65"/>
      <c r="O529" s="65"/>
      <c r="P529" s="65"/>
      <c r="Q529" s="65"/>
      <c r="R529" s="65"/>
      <c r="S529" s="65"/>
      <c r="T529" s="65"/>
      <c r="U529" s="65"/>
      <c r="V529" s="65"/>
      <c r="W529" s="65"/>
      <c r="X529" s="65"/>
      <c r="Y529" s="65"/>
      <c r="Z529" s="65"/>
      <c r="AA529" s="65"/>
      <c r="AB529" s="65"/>
      <c r="AC529" s="65"/>
      <c r="AD529" s="65"/>
      <c r="AE529" s="65"/>
      <c r="AF529" s="65"/>
      <c r="AG529" s="65"/>
      <c r="AH529" s="65"/>
      <c r="AI529" s="65"/>
      <c r="AJ529" s="65"/>
      <c r="AK529" s="65"/>
      <c r="AL529" s="65"/>
      <c r="AM529" s="65"/>
      <c r="AN529" s="65"/>
    </row>
    <row r="530" spans="10:40" ht="14.5" x14ac:dyDescent="0.35">
      <c r="J530" s="65"/>
      <c r="K530" s="65"/>
      <c r="L530" s="65"/>
      <c r="M530" s="65"/>
      <c r="N530" s="65"/>
      <c r="O530" s="65"/>
      <c r="P530" s="65"/>
      <c r="Q530" s="65"/>
      <c r="R530" s="65"/>
      <c r="S530" s="65"/>
      <c r="T530" s="65"/>
      <c r="U530" s="65"/>
      <c r="V530" s="65"/>
      <c r="W530" s="65"/>
      <c r="X530" s="65"/>
      <c r="Y530" s="65"/>
      <c r="Z530" s="65"/>
      <c r="AA530" s="65"/>
      <c r="AB530" s="65"/>
      <c r="AC530" s="65"/>
      <c r="AD530" s="65"/>
      <c r="AE530" s="65"/>
      <c r="AF530" s="65"/>
      <c r="AG530" s="65"/>
      <c r="AH530" s="65"/>
      <c r="AI530" s="65"/>
      <c r="AJ530" s="65"/>
      <c r="AK530" s="65"/>
      <c r="AL530" s="65"/>
      <c r="AM530" s="65"/>
      <c r="AN530" s="65"/>
    </row>
    <row r="531" spans="10:40" ht="14.5" x14ac:dyDescent="0.35">
      <c r="J531" s="65"/>
      <c r="K531" s="65"/>
      <c r="L531" s="65"/>
      <c r="M531" s="65"/>
      <c r="N531" s="65"/>
      <c r="O531" s="65"/>
      <c r="P531" s="65"/>
      <c r="Q531" s="65"/>
      <c r="R531" s="65"/>
      <c r="S531" s="65"/>
      <c r="T531" s="65"/>
      <c r="U531" s="65"/>
      <c r="V531" s="65"/>
      <c r="W531" s="65"/>
      <c r="X531" s="65"/>
      <c r="Y531" s="65"/>
      <c r="Z531" s="65"/>
      <c r="AA531" s="65"/>
      <c r="AB531" s="65"/>
      <c r="AC531" s="65"/>
      <c r="AD531" s="65"/>
      <c r="AE531" s="65"/>
      <c r="AF531" s="65"/>
      <c r="AG531" s="65"/>
      <c r="AH531" s="65"/>
      <c r="AI531" s="65"/>
      <c r="AJ531" s="65"/>
      <c r="AK531" s="65"/>
      <c r="AL531" s="65"/>
      <c r="AM531" s="65"/>
      <c r="AN531" s="65"/>
    </row>
    <row r="532" spans="10:40" ht="14.5" x14ac:dyDescent="0.35">
      <c r="J532" s="65"/>
      <c r="K532" s="65"/>
      <c r="L532" s="65"/>
      <c r="M532" s="65"/>
      <c r="N532" s="65"/>
      <c r="O532" s="65"/>
      <c r="P532" s="65"/>
      <c r="Q532" s="65"/>
      <c r="R532" s="65"/>
      <c r="S532" s="65"/>
      <c r="T532" s="65"/>
      <c r="U532" s="65"/>
      <c r="V532" s="65"/>
      <c r="W532" s="65"/>
      <c r="X532" s="65"/>
      <c r="Y532" s="65"/>
      <c r="Z532" s="65"/>
      <c r="AA532" s="65"/>
      <c r="AB532" s="65"/>
      <c r="AC532" s="65"/>
      <c r="AD532" s="65"/>
      <c r="AE532" s="65"/>
      <c r="AF532" s="65"/>
      <c r="AG532" s="65"/>
      <c r="AH532" s="65"/>
      <c r="AI532" s="65"/>
      <c r="AJ532" s="65"/>
      <c r="AK532" s="65"/>
      <c r="AL532" s="65"/>
      <c r="AM532" s="65"/>
      <c r="AN532" s="65"/>
    </row>
    <row r="533" spans="10:40" ht="14.5" x14ac:dyDescent="0.35">
      <c r="J533" s="65"/>
      <c r="K533" s="65"/>
      <c r="L533" s="65"/>
      <c r="M533" s="65"/>
      <c r="N533" s="65"/>
      <c r="O533" s="65"/>
      <c r="P533" s="65"/>
      <c r="Q533" s="65"/>
      <c r="R533" s="65"/>
      <c r="S533" s="65"/>
      <c r="T533" s="65"/>
      <c r="U533" s="65"/>
      <c r="V533" s="65"/>
      <c r="W533" s="65"/>
      <c r="X533" s="65"/>
      <c r="Y533" s="65"/>
      <c r="Z533" s="65"/>
      <c r="AA533" s="65"/>
      <c r="AB533" s="65"/>
      <c r="AC533" s="65"/>
      <c r="AD533" s="65"/>
      <c r="AE533" s="65"/>
      <c r="AF533" s="65"/>
      <c r="AG533" s="65"/>
      <c r="AH533" s="65"/>
      <c r="AI533" s="65"/>
      <c r="AJ533" s="65"/>
      <c r="AK533" s="65"/>
      <c r="AL533" s="65"/>
      <c r="AM533" s="65"/>
      <c r="AN533" s="65"/>
    </row>
    <row r="534" spans="10:40" ht="14.5" x14ac:dyDescent="0.35">
      <c r="J534" s="65"/>
      <c r="K534" s="65"/>
      <c r="L534" s="65"/>
      <c r="M534" s="65"/>
      <c r="N534" s="65"/>
      <c r="O534" s="65"/>
      <c r="P534" s="65"/>
      <c r="Q534" s="65"/>
      <c r="R534" s="65"/>
      <c r="S534" s="65"/>
      <c r="T534" s="65"/>
      <c r="U534" s="65"/>
      <c r="V534" s="65"/>
      <c r="W534" s="65"/>
      <c r="X534" s="65"/>
      <c r="Y534" s="65"/>
      <c r="Z534" s="65"/>
      <c r="AA534" s="65"/>
      <c r="AB534" s="65"/>
      <c r="AC534" s="65"/>
      <c r="AD534" s="65"/>
      <c r="AE534" s="65"/>
      <c r="AF534" s="65"/>
      <c r="AG534" s="65"/>
      <c r="AH534" s="65"/>
      <c r="AI534" s="65"/>
      <c r="AJ534" s="65"/>
      <c r="AK534" s="65"/>
      <c r="AL534" s="65"/>
      <c r="AM534" s="65"/>
      <c r="AN534" s="65"/>
    </row>
    <row r="535" spans="10:40" ht="14.5" x14ac:dyDescent="0.35">
      <c r="J535" s="65"/>
      <c r="K535" s="65"/>
      <c r="L535" s="65"/>
      <c r="M535" s="65"/>
      <c r="N535" s="65"/>
      <c r="O535" s="65"/>
      <c r="P535" s="65"/>
      <c r="Q535" s="65"/>
      <c r="R535" s="65"/>
      <c r="S535" s="65"/>
      <c r="T535" s="65"/>
      <c r="U535" s="65"/>
      <c r="V535" s="65"/>
      <c r="W535" s="65"/>
      <c r="X535" s="65"/>
      <c r="Y535" s="65"/>
      <c r="Z535" s="65"/>
      <c r="AA535" s="65"/>
      <c r="AB535" s="65"/>
      <c r="AC535" s="65"/>
      <c r="AD535" s="65"/>
      <c r="AE535" s="65"/>
      <c r="AF535" s="65"/>
      <c r="AG535" s="65"/>
      <c r="AH535" s="65"/>
      <c r="AI535" s="65"/>
      <c r="AJ535" s="65"/>
      <c r="AK535" s="65"/>
      <c r="AL535" s="65"/>
      <c r="AM535" s="65"/>
      <c r="AN535" s="65"/>
    </row>
    <row r="536" spans="10:40" ht="14.5" x14ac:dyDescent="0.35">
      <c r="J536" s="65"/>
      <c r="K536" s="65"/>
      <c r="L536" s="65"/>
      <c r="M536" s="65"/>
      <c r="N536" s="65"/>
      <c r="O536" s="65"/>
      <c r="P536" s="65"/>
      <c r="Q536" s="65"/>
      <c r="R536" s="65"/>
      <c r="S536" s="65"/>
      <c r="T536" s="65"/>
      <c r="U536" s="65"/>
      <c r="V536" s="65"/>
      <c r="W536" s="65"/>
      <c r="X536" s="65"/>
      <c r="Y536" s="65"/>
      <c r="Z536" s="65"/>
      <c r="AA536" s="65"/>
      <c r="AB536" s="65"/>
      <c r="AC536" s="65"/>
      <c r="AD536" s="65"/>
      <c r="AE536" s="65"/>
      <c r="AF536" s="65"/>
      <c r="AG536" s="65"/>
      <c r="AH536" s="65"/>
      <c r="AI536" s="65"/>
      <c r="AJ536" s="65"/>
      <c r="AK536" s="65"/>
      <c r="AL536" s="65"/>
      <c r="AM536" s="65"/>
      <c r="AN536" s="65"/>
    </row>
    <row r="537" spans="10:40" ht="14.5" x14ac:dyDescent="0.35">
      <c r="J537" s="65"/>
      <c r="K537" s="65"/>
      <c r="L537" s="65"/>
      <c r="M537" s="65"/>
      <c r="N537" s="65"/>
      <c r="O537" s="65"/>
      <c r="P537" s="65"/>
      <c r="Q537" s="65"/>
      <c r="R537" s="65"/>
      <c r="S537" s="65"/>
      <c r="T537" s="65"/>
      <c r="U537" s="65"/>
      <c r="V537" s="65"/>
      <c r="W537" s="65"/>
      <c r="X537" s="65"/>
      <c r="Y537" s="65"/>
      <c r="Z537" s="65"/>
      <c r="AA537" s="65"/>
      <c r="AB537" s="65"/>
      <c r="AC537" s="65"/>
      <c r="AD537" s="65"/>
      <c r="AE537" s="65"/>
      <c r="AF537" s="65"/>
      <c r="AG537" s="65"/>
      <c r="AH537" s="65"/>
      <c r="AI537" s="65"/>
      <c r="AJ537" s="65"/>
      <c r="AK537" s="65"/>
      <c r="AL537" s="65"/>
      <c r="AM537" s="65"/>
      <c r="AN537" s="65"/>
    </row>
    <row r="538" spans="10:40" ht="14.5" x14ac:dyDescent="0.35">
      <c r="J538" s="65"/>
      <c r="K538" s="65"/>
      <c r="L538" s="65"/>
      <c r="M538" s="65"/>
      <c r="N538" s="65"/>
      <c r="O538" s="65"/>
      <c r="P538" s="65"/>
      <c r="Q538" s="65"/>
      <c r="R538" s="65"/>
      <c r="S538" s="65"/>
      <c r="T538" s="65"/>
      <c r="U538" s="65"/>
      <c r="V538" s="65"/>
      <c r="W538" s="65"/>
      <c r="X538" s="65"/>
      <c r="Y538" s="65"/>
      <c r="Z538" s="65"/>
      <c r="AA538" s="65"/>
      <c r="AB538" s="65"/>
      <c r="AC538" s="65"/>
      <c r="AD538" s="65"/>
      <c r="AE538" s="65"/>
      <c r="AF538" s="65"/>
      <c r="AG538" s="65"/>
      <c r="AH538" s="65"/>
      <c r="AI538" s="65"/>
      <c r="AJ538" s="65"/>
      <c r="AK538" s="65"/>
      <c r="AL538" s="65"/>
      <c r="AM538" s="65"/>
      <c r="AN538" s="65"/>
    </row>
    <row r="539" spans="10:40" ht="14.5" x14ac:dyDescent="0.35">
      <c r="J539" s="65"/>
      <c r="K539" s="65"/>
      <c r="L539" s="65"/>
      <c r="M539" s="65"/>
      <c r="N539" s="65"/>
      <c r="O539" s="65"/>
      <c r="P539" s="65"/>
      <c r="Q539" s="65"/>
      <c r="R539" s="65"/>
      <c r="S539" s="65"/>
      <c r="T539" s="65"/>
      <c r="U539" s="65"/>
      <c r="V539" s="65"/>
      <c r="W539" s="65"/>
      <c r="X539" s="65"/>
      <c r="Y539" s="65"/>
      <c r="Z539" s="65"/>
      <c r="AA539" s="65"/>
      <c r="AB539" s="65"/>
      <c r="AC539" s="65"/>
      <c r="AD539" s="65"/>
      <c r="AE539" s="65"/>
      <c r="AF539" s="65"/>
      <c r="AG539" s="65"/>
      <c r="AH539" s="65"/>
      <c r="AI539" s="65"/>
      <c r="AJ539" s="65"/>
      <c r="AK539" s="65"/>
      <c r="AL539" s="65"/>
      <c r="AM539" s="65"/>
      <c r="AN539" s="65"/>
    </row>
    <row r="540" spans="10:40" ht="14.5" x14ac:dyDescent="0.35">
      <c r="J540" s="65"/>
      <c r="K540" s="65"/>
      <c r="L540" s="65"/>
      <c r="M540" s="65"/>
      <c r="N540" s="65"/>
      <c r="O540" s="65"/>
      <c r="P540" s="65"/>
      <c r="Q540" s="65"/>
      <c r="R540" s="65"/>
      <c r="S540" s="65"/>
      <c r="T540" s="65"/>
      <c r="U540" s="65"/>
      <c r="V540" s="65"/>
      <c r="W540" s="65"/>
      <c r="X540" s="65"/>
      <c r="Y540" s="65"/>
      <c r="Z540" s="65"/>
      <c r="AA540" s="65"/>
      <c r="AB540" s="65"/>
      <c r="AC540" s="65"/>
      <c r="AD540" s="65"/>
      <c r="AE540" s="65"/>
      <c r="AF540" s="65"/>
      <c r="AG540" s="65"/>
      <c r="AH540" s="65"/>
      <c r="AI540" s="65"/>
      <c r="AJ540" s="65"/>
      <c r="AK540" s="65"/>
      <c r="AL540" s="65"/>
      <c r="AM540" s="65"/>
      <c r="AN540" s="65"/>
    </row>
    <row r="541" spans="10:40" ht="14.5" x14ac:dyDescent="0.35">
      <c r="J541" s="65"/>
      <c r="K541" s="65"/>
      <c r="L541" s="65"/>
      <c r="M541" s="65"/>
      <c r="N541" s="65"/>
      <c r="O541" s="65"/>
      <c r="P541" s="65"/>
      <c r="Q541" s="65"/>
      <c r="R541" s="65"/>
      <c r="S541" s="65"/>
      <c r="T541" s="65"/>
      <c r="U541" s="65"/>
      <c r="V541" s="65"/>
      <c r="W541" s="65"/>
      <c r="X541" s="65"/>
      <c r="Y541" s="65"/>
      <c r="Z541" s="65"/>
      <c r="AA541" s="65"/>
      <c r="AB541" s="65"/>
      <c r="AC541" s="65"/>
      <c r="AD541" s="65"/>
      <c r="AE541" s="65"/>
      <c r="AF541" s="65"/>
      <c r="AG541" s="65"/>
      <c r="AH541" s="65"/>
      <c r="AI541" s="65"/>
      <c r="AJ541" s="65"/>
      <c r="AK541" s="65"/>
      <c r="AL541" s="65"/>
      <c r="AM541" s="65"/>
      <c r="AN541" s="65"/>
    </row>
    <row r="542" spans="10:40" ht="14.5" x14ac:dyDescent="0.35">
      <c r="J542" s="65"/>
      <c r="K542" s="65"/>
      <c r="L542" s="65"/>
      <c r="M542" s="65"/>
      <c r="N542" s="65"/>
      <c r="O542" s="65"/>
      <c r="P542" s="65"/>
      <c r="Q542" s="65"/>
      <c r="R542" s="65"/>
      <c r="S542" s="65"/>
      <c r="T542" s="65"/>
      <c r="U542" s="65"/>
      <c r="V542" s="65"/>
      <c r="W542" s="65"/>
      <c r="X542" s="65"/>
      <c r="Y542" s="65"/>
      <c r="Z542" s="65"/>
      <c r="AA542" s="65"/>
      <c r="AB542" s="65"/>
      <c r="AC542" s="65"/>
      <c r="AD542" s="65"/>
      <c r="AE542" s="65"/>
      <c r="AF542" s="65"/>
      <c r="AG542" s="65"/>
      <c r="AH542" s="65"/>
      <c r="AI542" s="65"/>
      <c r="AJ542" s="65"/>
      <c r="AK542" s="65"/>
      <c r="AL542" s="65"/>
      <c r="AM542" s="65"/>
      <c r="AN542" s="65"/>
    </row>
    <row r="543" spans="10:40" ht="14.5" x14ac:dyDescent="0.35">
      <c r="J543" s="65"/>
      <c r="K543" s="65"/>
      <c r="L543" s="65"/>
      <c r="M543" s="65"/>
      <c r="N543" s="65"/>
      <c r="O543" s="65"/>
      <c r="P543" s="65"/>
      <c r="Q543" s="65"/>
      <c r="R543" s="65"/>
      <c r="S543" s="65"/>
      <c r="T543" s="65"/>
      <c r="U543" s="65"/>
      <c r="V543" s="65"/>
      <c r="W543" s="65"/>
      <c r="X543" s="65"/>
      <c r="Y543" s="65"/>
      <c r="Z543" s="65"/>
      <c r="AA543" s="65"/>
      <c r="AB543" s="65"/>
      <c r="AC543" s="65"/>
      <c r="AD543" s="65"/>
      <c r="AE543" s="65"/>
      <c r="AF543" s="65"/>
      <c r="AG543" s="65"/>
      <c r="AH543" s="65"/>
      <c r="AI543" s="65"/>
      <c r="AJ543" s="65"/>
      <c r="AK543" s="65"/>
      <c r="AL543" s="65"/>
      <c r="AM543" s="65"/>
      <c r="AN543" s="65"/>
    </row>
    <row r="544" spans="10:40" ht="14.5" x14ac:dyDescent="0.35">
      <c r="J544" s="65"/>
      <c r="K544" s="65"/>
      <c r="L544" s="65"/>
      <c r="M544" s="65"/>
      <c r="N544" s="65"/>
      <c r="O544" s="65"/>
      <c r="P544" s="65"/>
      <c r="Q544" s="65"/>
      <c r="R544" s="65"/>
      <c r="S544" s="65"/>
      <c r="T544" s="65"/>
      <c r="U544" s="65"/>
      <c r="V544" s="65"/>
      <c r="W544" s="65"/>
      <c r="X544" s="65"/>
      <c r="Y544" s="65"/>
      <c r="Z544" s="65"/>
      <c r="AA544" s="65"/>
      <c r="AB544" s="65"/>
      <c r="AC544" s="65"/>
      <c r="AD544" s="65"/>
      <c r="AE544" s="65"/>
      <c r="AF544" s="65"/>
      <c r="AG544" s="65"/>
      <c r="AH544" s="65"/>
      <c r="AI544" s="65"/>
      <c r="AJ544" s="65"/>
      <c r="AK544" s="65"/>
      <c r="AL544" s="65"/>
      <c r="AM544" s="65"/>
      <c r="AN544" s="65"/>
    </row>
    <row r="545" spans="10:40" ht="14.5" x14ac:dyDescent="0.35">
      <c r="J545" s="65"/>
      <c r="K545" s="65"/>
      <c r="L545" s="65"/>
      <c r="M545" s="65"/>
      <c r="N545" s="65"/>
      <c r="O545" s="65"/>
      <c r="P545" s="65"/>
      <c r="Q545" s="65"/>
      <c r="R545" s="65"/>
      <c r="S545" s="65"/>
      <c r="T545" s="65"/>
      <c r="U545" s="65"/>
      <c r="V545" s="65"/>
      <c r="W545" s="65"/>
      <c r="X545" s="65"/>
      <c r="Y545" s="65"/>
      <c r="Z545" s="65"/>
      <c r="AA545" s="65"/>
      <c r="AB545" s="65"/>
      <c r="AC545" s="65"/>
      <c r="AD545" s="65"/>
      <c r="AE545" s="65"/>
      <c r="AF545" s="65"/>
      <c r="AG545" s="65"/>
      <c r="AH545" s="65"/>
      <c r="AI545" s="65"/>
      <c r="AJ545" s="65"/>
      <c r="AK545" s="65"/>
      <c r="AL545" s="65"/>
      <c r="AM545" s="65"/>
      <c r="AN545" s="65"/>
    </row>
    <row r="546" spans="10:40" ht="14.5" x14ac:dyDescent="0.35">
      <c r="J546" s="65"/>
      <c r="K546" s="65"/>
      <c r="L546" s="65"/>
      <c r="M546" s="65"/>
      <c r="N546" s="65"/>
      <c r="O546" s="65"/>
      <c r="P546" s="65"/>
      <c r="Q546" s="65"/>
      <c r="R546" s="65"/>
      <c r="S546" s="65"/>
      <c r="T546" s="65"/>
      <c r="U546" s="65"/>
      <c r="V546" s="65"/>
      <c r="W546" s="65"/>
      <c r="X546" s="65"/>
      <c r="Y546" s="65"/>
      <c r="Z546" s="65"/>
      <c r="AA546" s="65"/>
      <c r="AB546" s="65"/>
      <c r="AC546" s="65"/>
      <c r="AD546" s="65"/>
      <c r="AE546" s="65"/>
      <c r="AF546" s="65"/>
      <c r="AG546" s="65"/>
      <c r="AH546" s="65"/>
      <c r="AI546" s="65"/>
      <c r="AJ546" s="65"/>
      <c r="AK546" s="65"/>
      <c r="AL546" s="65"/>
      <c r="AM546" s="65"/>
      <c r="AN546" s="65"/>
    </row>
    <row r="547" spans="10:40" ht="14.5" x14ac:dyDescent="0.35">
      <c r="J547" s="65"/>
      <c r="K547" s="65"/>
      <c r="L547" s="65"/>
      <c r="M547" s="65"/>
      <c r="N547" s="65"/>
      <c r="O547" s="65"/>
      <c r="P547" s="65"/>
      <c r="Q547" s="65"/>
      <c r="R547" s="65"/>
      <c r="S547" s="65"/>
      <c r="T547" s="65"/>
      <c r="U547" s="65"/>
      <c r="V547" s="65"/>
      <c r="W547" s="65"/>
      <c r="X547" s="65"/>
      <c r="Y547" s="65"/>
      <c r="Z547" s="65"/>
      <c r="AA547" s="65"/>
      <c r="AB547" s="65"/>
      <c r="AC547" s="65"/>
      <c r="AD547" s="65"/>
      <c r="AE547" s="65"/>
      <c r="AF547" s="65"/>
      <c r="AG547" s="65"/>
      <c r="AH547" s="65"/>
      <c r="AI547" s="65"/>
      <c r="AJ547" s="65"/>
      <c r="AK547" s="65"/>
      <c r="AL547" s="65"/>
      <c r="AM547" s="65"/>
      <c r="AN547" s="65"/>
    </row>
    <row r="548" spans="10:40" ht="14.5" x14ac:dyDescent="0.35">
      <c r="J548" s="65"/>
      <c r="K548" s="65"/>
      <c r="L548" s="65"/>
      <c r="M548" s="65"/>
      <c r="N548" s="65"/>
      <c r="O548" s="65"/>
      <c r="P548" s="65"/>
      <c r="Q548" s="65"/>
      <c r="R548" s="65"/>
      <c r="S548" s="65"/>
      <c r="T548" s="65"/>
      <c r="U548" s="65"/>
      <c r="V548" s="65"/>
      <c r="W548" s="65"/>
      <c r="X548" s="65"/>
      <c r="Y548" s="65"/>
      <c r="Z548" s="65"/>
      <c r="AA548" s="65"/>
      <c r="AB548" s="65"/>
      <c r="AC548" s="65"/>
      <c r="AD548" s="65"/>
      <c r="AE548" s="65"/>
      <c r="AF548" s="65"/>
      <c r="AG548" s="65"/>
      <c r="AH548" s="65"/>
      <c r="AI548" s="65"/>
      <c r="AJ548" s="65"/>
      <c r="AK548" s="65"/>
      <c r="AL548" s="65"/>
      <c r="AM548" s="65"/>
      <c r="AN548" s="65"/>
    </row>
    <row r="549" spans="10:40" ht="14.5" x14ac:dyDescent="0.35">
      <c r="J549" s="65"/>
      <c r="K549" s="65"/>
      <c r="L549" s="65"/>
      <c r="M549" s="65"/>
      <c r="N549" s="65"/>
      <c r="O549" s="65"/>
      <c r="P549" s="65"/>
      <c r="Q549" s="65"/>
      <c r="R549" s="65"/>
      <c r="S549" s="65"/>
      <c r="T549" s="65"/>
      <c r="U549" s="65"/>
      <c r="V549" s="65"/>
      <c r="W549" s="65"/>
      <c r="X549" s="65"/>
      <c r="Y549" s="65"/>
      <c r="Z549" s="65"/>
      <c r="AA549" s="65"/>
      <c r="AB549" s="65"/>
      <c r="AC549" s="65"/>
      <c r="AD549" s="65"/>
      <c r="AE549" s="65"/>
      <c r="AF549" s="65"/>
      <c r="AG549" s="65"/>
      <c r="AH549" s="65"/>
      <c r="AI549" s="65"/>
      <c r="AJ549" s="65"/>
      <c r="AK549" s="65"/>
      <c r="AL549" s="65"/>
      <c r="AM549" s="65"/>
      <c r="AN549" s="65"/>
    </row>
    <row r="550" spans="10:40" ht="14.5" x14ac:dyDescent="0.35">
      <c r="J550" s="65"/>
      <c r="K550" s="65"/>
      <c r="L550" s="65"/>
      <c r="M550" s="65"/>
      <c r="N550" s="65"/>
      <c r="O550" s="65"/>
      <c r="P550" s="65"/>
      <c r="Q550" s="65"/>
      <c r="R550" s="65"/>
      <c r="S550" s="65"/>
      <c r="T550" s="65"/>
      <c r="U550" s="65"/>
      <c r="V550" s="65"/>
      <c r="W550" s="65"/>
      <c r="X550" s="65"/>
      <c r="Y550" s="65"/>
      <c r="Z550" s="65"/>
      <c r="AA550" s="65"/>
      <c r="AB550" s="65"/>
      <c r="AC550" s="65"/>
      <c r="AD550" s="65"/>
      <c r="AE550" s="65"/>
      <c r="AF550" s="65"/>
      <c r="AG550" s="65"/>
      <c r="AH550" s="65"/>
      <c r="AI550" s="65"/>
      <c r="AJ550" s="65"/>
      <c r="AK550" s="65"/>
      <c r="AL550" s="65"/>
      <c r="AM550" s="65"/>
      <c r="AN550" s="65"/>
    </row>
    <row r="551" spans="10:40" ht="14.5" x14ac:dyDescent="0.35">
      <c r="J551" s="65"/>
      <c r="K551" s="65"/>
      <c r="L551" s="65"/>
      <c r="M551" s="65"/>
      <c r="N551" s="65"/>
      <c r="O551" s="65"/>
      <c r="P551" s="65"/>
      <c r="Q551" s="65"/>
      <c r="R551" s="65"/>
      <c r="S551" s="65"/>
      <c r="T551" s="65"/>
      <c r="U551" s="65"/>
      <c r="V551" s="65"/>
      <c r="W551" s="65"/>
      <c r="X551" s="65"/>
      <c r="Y551" s="65"/>
      <c r="Z551" s="65"/>
      <c r="AA551" s="65"/>
      <c r="AB551" s="65"/>
      <c r="AC551" s="65"/>
      <c r="AD551" s="65"/>
      <c r="AE551" s="65"/>
      <c r="AF551" s="65"/>
      <c r="AG551" s="65"/>
      <c r="AH551" s="65"/>
      <c r="AI551" s="65"/>
      <c r="AJ551" s="65"/>
      <c r="AK551" s="65"/>
      <c r="AL551" s="65"/>
      <c r="AM551" s="65"/>
      <c r="AN551" s="65"/>
    </row>
    <row r="552" spans="10:40" ht="14.5" x14ac:dyDescent="0.35">
      <c r="J552" s="65"/>
      <c r="K552" s="65"/>
      <c r="L552" s="65"/>
      <c r="M552" s="65"/>
      <c r="N552" s="65"/>
      <c r="O552" s="65"/>
      <c r="P552" s="65"/>
      <c r="Q552" s="65"/>
      <c r="R552" s="65"/>
      <c r="S552" s="65"/>
      <c r="T552" s="65"/>
      <c r="U552" s="65"/>
      <c r="V552" s="65"/>
      <c r="W552" s="65"/>
      <c r="X552" s="65"/>
      <c r="Y552" s="65"/>
      <c r="Z552" s="65"/>
      <c r="AA552" s="65"/>
      <c r="AB552" s="65"/>
      <c r="AC552" s="65"/>
      <c r="AD552" s="65"/>
      <c r="AE552" s="65"/>
      <c r="AF552" s="65"/>
      <c r="AG552" s="65"/>
      <c r="AH552" s="65"/>
      <c r="AI552" s="65"/>
      <c r="AJ552" s="65"/>
      <c r="AK552" s="65"/>
      <c r="AL552" s="65"/>
      <c r="AM552" s="65"/>
      <c r="AN552" s="65"/>
    </row>
    <row r="553" spans="10:40" ht="14.5" x14ac:dyDescent="0.35">
      <c r="J553" s="65"/>
      <c r="K553" s="65"/>
      <c r="L553" s="65"/>
      <c r="M553" s="65"/>
      <c r="N553" s="65"/>
      <c r="O553" s="65"/>
      <c r="P553" s="65"/>
      <c r="Q553" s="65"/>
      <c r="R553" s="65"/>
      <c r="S553" s="65"/>
      <c r="T553" s="65"/>
      <c r="U553" s="65"/>
      <c r="V553" s="65"/>
      <c r="W553" s="65"/>
      <c r="X553" s="65"/>
      <c r="Y553" s="65"/>
      <c r="Z553" s="65"/>
      <c r="AA553" s="65"/>
      <c r="AB553" s="65"/>
      <c r="AC553" s="65"/>
      <c r="AD553" s="65"/>
      <c r="AE553" s="65"/>
      <c r="AF553" s="65"/>
      <c r="AG553" s="65"/>
      <c r="AH553" s="65"/>
      <c r="AI553" s="65"/>
      <c r="AJ553" s="65"/>
      <c r="AK553" s="65"/>
      <c r="AL553" s="65"/>
      <c r="AM553" s="65"/>
      <c r="AN553" s="65"/>
    </row>
    <row r="554" spans="10:40" ht="14.5" x14ac:dyDescent="0.35">
      <c r="J554" s="65"/>
      <c r="K554" s="65"/>
      <c r="L554" s="65"/>
      <c r="M554" s="65"/>
      <c r="N554" s="65"/>
      <c r="O554" s="65"/>
      <c r="P554" s="65"/>
      <c r="Q554" s="65"/>
      <c r="R554" s="65"/>
      <c r="S554" s="65"/>
      <c r="T554" s="65"/>
      <c r="U554" s="65"/>
      <c r="V554" s="65"/>
      <c r="W554" s="65"/>
      <c r="X554" s="65"/>
      <c r="Y554" s="65"/>
      <c r="Z554" s="65"/>
      <c r="AA554" s="65"/>
      <c r="AB554" s="65"/>
      <c r="AC554" s="65"/>
      <c r="AD554" s="65"/>
      <c r="AE554" s="65"/>
      <c r="AF554" s="65"/>
      <c r="AG554" s="65"/>
      <c r="AH554" s="65"/>
      <c r="AI554" s="65"/>
      <c r="AJ554" s="65"/>
      <c r="AK554" s="65"/>
      <c r="AL554" s="65"/>
      <c r="AM554" s="65"/>
      <c r="AN554" s="65"/>
    </row>
    <row r="555" spans="10:40" ht="14.5" x14ac:dyDescent="0.35">
      <c r="J555" s="65"/>
      <c r="K555" s="65"/>
      <c r="L555" s="65"/>
      <c r="M555" s="65"/>
      <c r="N555" s="65"/>
      <c r="O555" s="65"/>
      <c r="P555" s="65"/>
      <c r="Q555" s="65"/>
      <c r="R555" s="65"/>
      <c r="S555" s="65"/>
      <c r="T555" s="65"/>
      <c r="U555" s="65"/>
      <c r="V555" s="65"/>
      <c r="W555" s="65"/>
      <c r="X555" s="65"/>
      <c r="Y555" s="65"/>
      <c r="Z555" s="65"/>
      <c r="AA555" s="65"/>
      <c r="AB555" s="65"/>
      <c r="AC555" s="65"/>
      <c r="AD555" s="65"/>
      <c r="AE555" s="65"/>
      <c r="AF555" s="65"/>
      <c r="AG555" s="65"/>
      <c r="AH555" s="65"/>
      <c r="AI555" s="65"/>
      <c r="AJ555" s="65"/>
      <c r="AK555" s="65"/>
      <c r="AL555" s="65"/>
      <c r="AM555" s="65"/>
      <c r="AN555" s="65"/>
    </row>
    <row r="556" spans="10:40" ht="14.5" x14ac:dyDescent="0.35">
      <c r="J556" s="65"/>
      <c r="K556" s="65"/>
      <c r="L556" s="65"/>
      <c r="M556" s="65"/>
      <c r="N556" s="65"/>
      <c r="O556" s="65"/>
      <c r="P556" s="65"/>
      <c r="Q556" s="65"/>
      <c r="R556" s="65"/>
      <c r="S556" s="65"/>
      <c r="T556" s="65"/>
      <c r="U556" s="65"/>
      <c r="V556" s="65"/>
      <c r="W556" s="65"/>
      <c r="X556" s="65"/>
      <c r="Y556" s="65"/>
      <c r="Z556" s="65"/>
      <c r="AA556" s="65"/>
      <c r="AB556" s="65"/>
      <c r="AC556" s="65"/>
      <c r="AD556" s="65"/>
      <c r="AE556" s="65"/>
      <c r="AF556" s="65"/>
      <c r="AG556" s="65"/>
      <c r="AH556" s="65"/>
      <c r="AI556" s="65"/>
      <c r="AJ556" s="65"/>
      <c r="AK556" s="65"/>
      <c r="AL556" s="65"/>
      <c r="AM556" s="65"/>
      <c r="AN556" s="65"/>
    </row>
    <row r="557" spans="10:40" ht="14.5" x14ac:dyDescent="0.35">
      <c r="J557" s="65"/>
      <c r="K557" s="65"/>
      <c r="L557" s="65"/>
      <c r="M557" s="65"/>
      <c r="N557" s="65"/>
      <c r="O557" s="65"/>
      <c r="P557" s="65"/>
      <c r="Q557" s="65"/>
      <c r="R557" s="65"/>
      <c r="S557" s="65"/>
      <c r="T557" s="65"/>
      <c r="U557" s="65"/>
      <c r="V557" s="65"/>
      <c r="W557" s="65"/>
      <c r="X557" s="65"/>
      <c r="Y557" s="65"/>
      <c r="Z557" s="65"/>
      <c r="AA557" s="65"/>
      <c r="AB557" s="65"/>
      <c r="AC557" s="65"/>
      <c r="AD557" s="65"/>
      <c r="AE557" s="65"/>
      <c r="AF557" s="65"/>
      <c r="AG557" s="65"/>
      <c r="AH557" s="65"/>
      <c r="AI557" s="65"/>
      <c r="AJ557" s="65"/>
      <c r="AK557" s="65"/>
      <c r="AL557" s="65"/>
      <c r="AM557" s="65"/>
      <c r="AN557" s="65"/>
    </row>
    <row r="558" spans="10:40" ht="14.5" x14ac:dyDescent="0.35">
      <c r="J558" s="65"/>
      <c r="K558" s="65"/>
      <c r="L558" s="65"/>
      <c r="M558" s="65"/>
      <c r="N558" s="65"/>
      <c r="O558" s="65"/>
      <c r="P558" s="65"/>
      <c r="Q558" s="65"/>
      <c r="R558" s="65"/>
      <c r="S558" s="65"/>
      <c r="T558" s="65"/>
      <c r="U558" s="65"/>
      <c r="V558" s="65"/>
      <c r="W558" s="65"/>
      <c r="X558" s="65"/>
      <c r="Y558" s="65"/>
      <c r="Z558" s="65"/>
      <c r="AA558" s="65"/>
      <c r="AB558" s="65"/>
      <c r="AC558" s="65"/>
      <c r="AD558" s="65"/>
      <c r="AE558" s="65"/>
      <c r="AF558" s="65"/>
      <c r="AG558" s="65"/>
      <c r="AH558" s="65"/>
      <c r="AI558" s="65"/>
      <c r="AJ558" s="65"/>
      <c r="AK558" s="65"/>
      <c r="AL558" s="65"/>
      <c r="AM558" s="65"/>
      <c r="AN558" s="65"/>
    </row>
    <row r="559" spans="10:40" ht="14.5" x14ac:dyDescent="0.35">
      <c r="J559" s="65"/>
      <c r="K559" s="65"/>
      <c r="L559" s="65"/>
      <c r="M559" s="65"/>
      <c r="N559" s="65"/>
      <c r="O559" s="65"/>
      <c r="P559" s="65"/>
      <c r="Q559" s="65"/>
      <c r="R559" s="65"/>
      <c r="S559" s="65"/>
      <c r="T559" s="65"/>
      <c r="U559" s="65"/>
      <c r="V559" s="65"/>
      <c r="W559" s="65"/>
      <c r="X559" s="65"/>
      <c r="Y559" s="65"/>
      <c r="Z559" s="65"/>
      <c r="AA559" s="65"/>
      <c r="AB559" s="65"/>
      <c r="AC559" s="65"/>
      <c r="AD559" s="65"/>
      <c r="AE559" s="65"/>
      <c r="AF559" s="65"/>
      <c r="AG559" s="65"/>
      <c r="AH559" s="65"/>
      <c r="AI559" s="65"/>
      <c r="AJ559" s="65"/>
      <c r="AK559" s="65"/>
      <c r="AL559" s="65"/>
      <c r="AM559" s="65"/>
      <c r="AN559" s="65"/>
    </row>
    <row r="560" spans="10:40" ht="14.5" x14ac:dyDescent="0.35">
      <c r="J560" s="65"/>
      <c r="K560" s="65"/>
      <c r="L560" s="65"/>
      <c r="M560" s="65"/>
      <c r="N560" s="65"/>
      <c r="O560" s="65"/>
      <c r="P560" s="65"/>
      <c r="Q560" s="65"/>
      <c r="R560" s="65"/>
      <c r="S560" s="65"/>
      <c r="T560" s="65"/>
      <c r="U560" s="65"/>
      <c r="V560" s="65"/>
      <c r="W560" s="65"/>
      <c r="X560" s="65"/>
      <c r="Y560" s="65"/>
      <c r="Z560" s="65"/>
      <c r="AA560" s="65"/>
      <c r="AB560" s="65"/>
      <c r="AC560" s="65"/>
      <c r="AD560" s="65"/>
      <c r="AE560" s="65"/>
      <c r="AF560" s="65"/>
      <c r="AG560" s="65"/>
      <c r="AH560" s="65"/>
      <c r="AI560" s="65"/>
      <c r="AJ560" s="65"/>
      <c r="AK560" s="65"/>
      <c r="AL560" s="65"/>
      <c r="AM560" s="65"/>
      <c r="AN560" s="65"/>
    </row>
    <row r="561" spans="10:40" ht="14.5" x14ac:dyDescent="0.35">
      <c r="J561" s="65"/>
      <c r="K561" s="65"/>
      <c r="L561" s="65"/>
      <c r="M561" s="65"/>
      <c r="N561" s="65"/>
      <c r="O561" s="65"/>
      <c r="P561" s="65"/>
      <c r="Q561" s="65"/>
      <c r="R561" s="65"/>
      <c r="S561" s="65"/>
      <c r="T561" s="65"/>
      <c r="U561" s="65"/>
      <c r="V561" s="65"/>
      <c r="W561" s="65"/>
      <c r="X561" s="65"/>
      <c r="Y561" s="65"/>
      <c r="Z561" s="65"/>
      <c r="AA561" s="65"/>
      <c r="AB561" s="65"/>
      <c r="AC561" s="65"/>
      <c r="AD561" s="65"/>
      <c r="AE561" s="65"/>
      <c r="AF561" s="65"/>
      <c r="AG561" s="65"/>
      <c r="AH561" s="65"/>
      <c r="AI561" s="65"/>
      <c r="AJ561" s="65"/>
      <c r="AK561" s="65"/>
      <c r="AL561" s="65"/>
      <c r="AM561" s="65"/>
      <c r="AN561" s="65"/>
    </row>
    <row r="562" spans="10:40" ht="14.5" x14ac:dyDescent="0.35">
      <c r="J562" s="65"/>
      <c r="K562" s="65"/>
      <c r="L562" s="65"/>
      <c r="M562" s="65"/>
      <c r="N562" s="65"/>
      <c r="O562" s="65"/>
      <c r="P562" s="65"/>
      <c r="Q562" s="65"/>
      <c r="R562" s="65"/>
      <c r="S562" s="65"/>
      <c r="T562" s="65"/>
      <c r="U562" s="65"/>
      <c r="V562" s="65"/>
      <c r="W562" s="65"/>
      <c r="X562" s="65"/>
      <c r="Y562" s="65"/>
      <c r="Z562" s="65"/>
      <c r="AA562" s="65"/>
      <c r="AB562" s="65"/>
      <c r="AC562" s="65"/>
      <c r="AD562" s="65"/>
      <c r="AE562" s="65"/>
      <c r="AF562" s="65"/>
      <c r="AG562" s="65"/>
      <c r="AH562" s="65"/>
      <c r="AI562" s="65"/>
      <c r="AJ562" s="65"/>
      <c r="AK562" s="65"/>
      <c r="AL562" s="65"/>
      <c r="AM562" s="65"/>
      <c r="AN562" s="65"/>
    </row>
    <row r="563" spans="10:40" ht="14.5" x14ac:dyDescent="0.35">
      <c r="J563" s="65"/>
      <c r="K563" s="65"/>
      <c r="L563" s="65"/>
      <c r="M563" s="65"/>
      <c r="N563" s="65"/>
      <c r="O563" s="65"/>
      <c r="P563" s="65"/>
      <c r="Q563" s="65"/>
      <c r="R563" s="65"/>
      <c r="S563" s="65"/>
      <c r="T563" s="65"/>
      <c r="U563" s="65"/>
      <c r="V563" s="65"/>
      <c r="W563" s="65"/>
      <c r="X563" s="65"/>
      <c r="Y563" s="65"/>
      <c r="Z563" s="65"/>
      <c r="AA563" s="65"/>
      <c r="AB563" s="65"/>
      <c r="AC563" s="65"/>
      <c r="AD563" s="65"/>
      <c r="AE563" s="65"/>
      <c r="AF563" s="65"/>
      <c r="AG563" s="65"/>
      <c r="AH563" s="65"/>
      <c r="AI563" s="65"/>
      <c r="AJ563" s="65"/>
      <c r="AK563" s="65"/>
      <c r="AL563" s="65"/>
      <c r="AM563" s="65"/>
      <c r="AN563" s="65"/>
    </row>
    <row r="564" spans="10:40" ht="14.5" x14ac:dyDescent="0.35">
      <c r="J564" s="65"/>
      <c r="K564" s="65"/>
      <c r="L564" s="65"/>
      <c r="M564" s="65"/>
      <c r="N564" s="65"/>
      <c r="O564" s="65"/>
      <c r="P564" s="65"/>
      <c r="Q564" s="65"/>
      <c r="R564" s="65"/>
      <c r="S564" s="65"/>
      <c r="T564" s="65"/>
      <c r="U564" s="65"/>
      <c r="V564" s="65"/>
      <c r="W564" s="65"/>
      <c r="X564" s="65"/>
      <c r="Y564" s="65"/>
      <c r="Z564" s="65"/>
      <c r="AA564" s="65"/>
      <c r="AB564" s="65"/>
      <c r="AC564" s="65"/>
      <c r="AD564" s="65"/>
      <c r="AE564" s="65"/>
      <c r="AF564" s="65"/>
      <c r="AG564" s="65"/>
      <c r="AH564" s="65"/>
      <c r="AI564" s="65"/>
      <c r="AJ564" s="65"/>
      <c r="AK564" s="65"/>
      <c r="AL564" s="65"/>
      <c r="AM564" s="65"/>
      <c r="AN564" s="65"/>
    </row>
    <row r="565" spans="10:40" ht="14.5" x14ac:dyDescent="0.35">
      <c r="J565" s="65"/>
      <c r="K565" s="65"/>
      <c r="L565" s="65"/>
      <c r="M565" s="65"/>
      <c r="N565" s="65"/>
      <c r="O565" s="65"/>
      <c r="P565" s="65"/>
      <c r="Q565" s="65"/>
      <c r="R565" s="65"/>
      <c r="S565" s="65"/>
      <c r="T565" s="65"/>
      <c r="U565" s="65"/>
      <c r="V565" s="65"/>
      <c r="W565" s="65"/>
      <c r="X565" s="65"/>
      <c r="Y565" s="65"/>
      <c r="Z565" s="65"/>
      <c r="AA565" s="65"/>
      <c r="AB565" s="65"/>
      <c r="AC565" s="65"/>
      <c r="AD565" s="65"/>
      <c r="AE565" s="65"/>
      <c r="AF565" s="65"/>
      <c r="AG565" s="65"/>
      <c r="AH565" s="65"/>
      <c r="AI565" s="65"/>
      <c r="AJ565" s="65"/>
      <c r="AK565" s="65"/>
      <c r="AL565" s="65"/>
      <c r="AM565" s="65"/>
      <c r="AN565" s="65"/>
    </row>
    <row r="566" spans="10:40" ht="14.5" x14ac:dyDescent="0.35">
      <c r="J566" s="65"/>
      <c r="K566" s="65"/>
      <c r="L566" s="65"/>
      <c r="M566" s="65"/>
      <c r="N566" s="65"/>
      <c r="O566" s="65"/>
      <c r="P566" s="65"/>
      <c r="Q566" s="65"/>
      <c r="R566" s="65"/>
      <c r="S566" s="65"/>
      <c r="T566" s="65"/>
      <c r="U566" s="65"/>
      <c r="V566" s="65"/>
      <c r="W566" s="65"/>
      <c r="X566" s="65"/>
      <c r="Y566" s="65"/>
      <c r="Z566" s="65"/>
      <c r="AA566" s="65"/>
      <c r="AB566" s="65"/>
      <c r="AC566" s="65"/>
      <c r="AD566" s="65"/>
      <c r="AE566" s="65"/>
      <c r="AF566" s="65"/>
      <c r="AG566" s="65"/>
      <c r="AH566" s="65"/>
      <c r="AI566" s="65"/>
      <c r="AJ566" s="65"/>
      <c r="AK566" s="65"/>
      <c r="AL566" s="65"/>
      <c r="AM566" s="65"/>
      <c r="AN566" s="65"/>
    </row>
    <row r="567" spans="10:40" ht="14.5" x14ac:dyDescent="0.35">
      <c r="J567" s="65"/>
      <c r="K567" s="65"/>
      <c r="L567" s="65"/>
      <c r="M567" s="65"/>
      <c r="N567" s="65"/>
      <c r="O567" s="65"/>
      <c r="P567" s="65"/>
      <c r="Q567" s="65"/>
      <c r="R567" s="65"/>
      <c r="S567" s="65"/>
      <c r="T567" s="65"/>
      <c r="U567" s="65"/>
      <c r="V567" s="65"/>
      <c r="W567" s="65"/>
      <c r="X567" s="65"/>
      <c r="Y567" s="65"/>
      <c r="Z567" s="65"/>
      <c r="AA567" s="65"/>
      <c r="AB567" s="65"/>
      <c r="AC567" s="65"/>
      <c r="AD567" s="65"/>
      <c r="AE567" s="65"/>
      <c r="AF567" s="65"/>
      <c r="AG567" s="65"/>
      <c r="AH567" s="65"/>
      <c r="AI567" s="65"/>
      <c r="AJ567" s="65"/>
      <c r="AK567" s="65"/>
      <c r="AL567" s="65"/>
      <c r="AM567" s="65"/>
      <c r="AN567" s="65"/>
    </row>
    <row r="568" spans="10:40" ht="14.5" x14ac:dyDescent="0.35">
      <c r="J568" s="65"/>
      <c r="K568" s="65"/>
      <c r="L568" s="65"/>
      <c r="M568" s="65"/>
      <c r="N568" s="65"/>
      <c r="O568" s="65"/>
      <c r="P568" s="65"/>
      <c r="Q568" s="65"/>
      <c r="R568" s="65"/>
      <c r="S568" s="65"/>
      <c r="T568" s="65"/>
      <c r="U568" s="65"/>
      <c r="V568" s="65"/>
      <c r="W568" s="65"/>
      <c r="X568" s="65"/>
      <c r="Y568" s="65"/>
      <c r="Z568" s="65"/>
      <c r="AA568" s="65"/>
      <c r="AB568" s="65"/>
      <c r="AC568" s="65"/>
      <c r="AD568" s="65"/>
      <c r="AE568" s="65"/>
      <c r="AF568" s="65"/>
      <c r="AG568" s="65"/>
      <c r="AH568" s="65"/>
      <c r="AI568" s="65"/>
      <c r="AJ568" s="65"/>
      <c r="AK568" s="65"/>
      <c r="AL568" s="65"/>
      <c r="AM568" s="65"/>
      <c r="AN568" s="65"/>
    </row>
    <row r="569" spans="10:40" ht="14.5" x14ac:dyDescent="0.35">
      <c r="J569" s="65"/>
      <c r="K569" s="65"/>
      <c r="L569" s="65"/>
      <c r="M569" s="65"/>
      <c r="N569" s="65"/>
      <c r="O569" s="65"/>
      <c r="P569" s="65"/>
      <c r="Q569" s="65"/>
      <c r="R569" s="65"/>
      <c r="S569" s="65"/>
      <c r="T569" s="65"/>
      <c r="U569" s="65"/>
      <c r="V569" s="65"/>
      <c r="W569" s="65"/>
      <c r="X569" s="65"/>
      <c r="Y569" s="65"/>
      <c r="Z569" s="65"/>
      <c r="AA569" s="65"/>
      <c r="AB569" s="65"/>
      <c r="AC569" s="65"/>
      <c r="AD569" s="65"/>
      <c r="AE569" s="65"/>
      <c r="AF569" s="65"/>
      <c r="AG569" s="65"/>
      <c r="AH569" s="65"/>
      <c r="AI569" s="65"/>
      <c r="AJ569" s="65"/>
      <c r="AK569" s="65"/>
      <c r="AL569" s="65"/>
      <c r="AM569" s="65"/>
      <c r="AN569" s="65"/>
    </row>
    <row r="570" spans="10:40" ht="14.5" x14ac:dyDescent="0.35">
      <c r="J570" s="65"/>
      <c r="K570" s="65"/>
      <c r="L570" s="65"/>
      <c r="M570" s="65"/>
      <c r="N570" s="65"/>
      <c r="O570" s="65"/>
      <c r="P570" s="65"/>
      <c r="Q570" s="65"/>
      <c r="R570" s="65"/>
      <c r="S570" s="65"/>
      <c r="T570" s="65"/>
      <c r="U570" s="65"/>
      <c r="V570" s="65"/>
      <c r="W570" s="65"/>
      <c r="X570" s="65"/>
      <c r="Y570" s="65"/>
      <c r="Z570" s="65"/>
      <c r="AA570" s="65"/>
      <c r="AB570" s="65"/>
      <c r="AC570" s="65"/>
      <c r="AD570" s="65"/>
      <c r="AE570" s="65"/>
      <c r="AF570" s="65"/>
      <c r="AG570" s="65"/>
      <c r="AH570" s="65"/>
      <c r="AI570" s="65"/>
      <c r="AJ570" s="65"/>
      <c r="AK570" s="65"/>
      <c r="AL570" s="65"/>
      <c r="AM570" s="65"/>
      <c r="AN570" s="65"/>
    </row>
    <row r="571" spans="10:40" ht="14.5" x14ac:dyDescent="0.35">
      <c r="J571" s="65"/>
      <c r="K571" s="65"/>
      <c r="L571" s="65"/>
      <c r="M571" s="65"/>
      <c r="N571" s="65"/>
      <c r="O571" s="65"/>
      <c r="P571" s="65"/>
      <c r="Q571" s="65"/>
      <c r="R571" s="65"/>
      <c r="S571" s="65"/>
      <c r="T571" s="65"/>
      <c r="U571" s="65"/>
      <c r="V571" s="65"/>
      <c r="W571" s="65"/>
      <c r="X571" s="65"/>
      <c r="Y571" s="65"/>
      <c r="Z571" s="65"/>
      <c r="AA571" s="65"/>
      <c r="AB571" s="65"/>
      <c r="AC571" s="65"/>
      <c r="AD571" s="65"/>
      <c r="AE571" s="65"/>
      <c r="AF571" s="65"/>
      <c r="AG571" s="65"/>
      <c r="AH571" s="65"/>
      <c r="AI571" s="65"/>
      <c r="AJ571" s="65"/>
      <c r="AK571" s="65"/>
      <c r="AL571" s="65"/>
      <c r="AM571" s="65"/>
      <c r="AN571" s="65"/>
    </row>
    <row r="572" spans="10:40" ht="14.5" x14ac:dyDescent="0.35">
      <c r="J572" s="65"/>
      <c r="K572" s="65"/>
      <c r="L572" s="65"/>
      <c r="M572" s="65"/>
      <c r="N572" s="65"/>
      <c r="O572" s="65"/>
      <c r="P572" s="65"/>
      <c r="Q572" s="65"/>
      <c r="R572" s="65"/>
      <c r="S572" s="65"/>
      <c r="T572" s="65"/>
      <c r="U572" s="65"/>
      <c r="V572" s="65"/>
      <c r="W572" s="65"/>
      <c r="X572" s="65"/>
      <c r="Y572" s="65"/>
      <c r="Z572" s="65"/>
      <c r="AA572" s="65"/>
      <c r="AB572" s="65"/>
      <c r="AC572" s="65"/>
      <c r="AD572" s="65"/>
      <c r="AE572" s="65"/>
      <c r="AF572" s="65"/>
      <c r="AG572" s="65"/>
      <c r="AH572" s="65"/>
      <c r="AI572" s="65"/>
      <c r="AJ572" s="65"/>
      <c r="AK572" s="65"/>
      <c r="AL572" s="65"/>
      <c r="AM572" s="65"/>
      <c r="AN572" s="65"/>
    </row>
    <row r="573" spans="10:40" ht="14.5" x14ac:dyDescent="0.35">
      <c r="J573" s="65"/>
      <c r="K573" s="65"/>
      <c r="L573" s="65"/>
      <c r="M573" s="65"/>
      <c r="N573" s="65"/>
      <c r="O573" s="65"/>
      <c r="P573" s="65"/>
      <c r="Q573" s="65"/>
      <c r="R573" s="65"/>
      <c r="S573" s="65"/>
      <c r="T573" s="65"/>
      <c r="U573" s="65"/>
      <c r="V573" s="65"/>
      <c r="W573" s="65"/>
      <c r="X573" s="65"/>
      <c r="Y573" s="65"/>
      <c r="Z573" s="65"/>
      <c r="AA573" s="65"/>
      <c r="AB573" s="65"/>
      <c r="AC573" s="65"/>
      <c r="AD573" s="65"/>
      <c r="AE573" s="65"/>
      <c r="AF573" s="65"/>
      <c r="AG573" s="65"/>
      <c r="AH573" s="65"/>
      <c r="AI573" s="65"/>
      <c r="AJ573" s="65"/>
      <c r="AK573" s="65"/>
      <c r="AL573" s="65"/>
      <c r="AM573" s="65"/>
      <c r="AN573" s="65"/>
    </row>
    <row r="574" spans="10:40" ht="14.5" x14ac:dyDescent="0.35">
      <c r="J574" s="65"/>
      <c r="K574" s="65"/>
      <c r="L574" s="65"/>
      <c r="M574" s="65"/>
      <c r="N574" s="65"/>
      <c r="O574" s="65"/>
      <c r="P574" s="65"/>
      <c r="Q574" s="65"/>
      <c r="R574" s="65"/>
      <c r="S574" s="65"/>
      <c r="T574" s="65"/>
      <c r="U574" s="65"/>
      <c r="V574" s="65"/>
      <c r="W574" s="65"/>
      <c r="X574" s="65"/>
      <c r="Y574" s="65"/>
      <c r="Z574" s="65"/>
      <c r="AA574" s="65"/>
      <c r="AB574" s="65"/>
      <c r="AC574" s="65"/>
      <c r="AD574" s="65"/>
      <c r="AE574" s="65"/>
      <c r="AF574" s="65"/>
      <c r="AG574" s="65"/>
      <c r="AH574" s="65"/>
      <c r="AI574" s="65"/>
      <c r="AJ574" s="65"/>
      <c r="AK574" s="65"/>
      <c r="AL574" s="65"/>
      <c r="AM574" s="65"/>
      <c r="AN574" s="65"/>
    </row>
    <row r="575" spans="10:40" ht="14.5" x14ac:dyDescent="0.35">
      <c r="J575" s="65"/>
      <c r="K575" s="65"/>
      <c r="L575" s="65"/>
      <c r="M575" s="65"/>
      <c r="N575" s="65"/>
      <c r="O575" s="65"/>
      <c r="P575" s="65"/>
      <c r="Q575" s="65"/>
      <c r="R575" s="65"/>
      <c r="S575" s="65"/>
      <c r="T575" s="65"/>
      <c r="U575" s="65"/>
      <c r="V575" s="65"/>
      <c r="W575" s="65"/>
      <c r="X575" s="65"/>
      <c r="Y575" s="65"/>
      <c r="Z575" s="65"/>
      <c r="AA575" s="65"/>
      <c r="AB575" s="65"/>
      <c r="AC575" s="65"/>
      <c r="AD575" s="65"/>
      <c r="AE575" s="65"/>
      <c r="AF575" s="65"/>
      <c r="AG575" s="65"/>
      <c r="AH575" s="65"/>
      <c r="AI575" s="65"/>
      <c r="AJ575" s="65"/>
      <c r="AK575" s="65"/>
      <c r="AL575" s="65"/>
      <c r="AM575" s="65"/>
      <c r="AN575" s="65"/>
    </row>
    <row r="576" spans="10:40" ht="14.5" x14ac:dyDescent="0.35">
      <c r="J576" s="65"/>
      <c r="K576" s="65"/>
      <c r="L576" s="65"/>
      <c r="M576" s="65"/>
      <c r="N576" s="65"/>
      <c r="O576" s="65"/>
      <c r="P576" s="65"/>
      <c r="Q576" s="65"/>
      <c r="R576" s="65"/>
      <c r="S576" s="65"/>
      <c r="T576" s="65"/>
      <c r="U576" s="65"/>
      <c r="V576" s="65"/>
      <c r="W576" s="65"/>
      <c r="X576" s="65"/>
      <c r="Y576" s="65"/>
      <c r="Z576" s="65"/>
      <c r="AA576" s="65"/>
      <c r="AB576" s="65"/>
      <c r="AC576" s="65"/>
      <c r="AD576" s="65"/>
      <c r="AE576" s="65"/>
      <c r="AF576" s="65"/>
      <c r="AG576" s="65"/>
      <c r="AH576" s="65"/>
      <c r="AI576" s="65"/>
      <c r="AJ576" s="65"/>
      <c r="AK576" s="65"/>
      <c r="AL576" s="65"/>
      <c r="AM576" s="65"/>
      <c r="AN576" s="65"/>
    </row>
    <row r="577" spans="10:40" ht="14.5" x14ac:dyDescent="0.35">
      <c r="J577" s="65"/>
      <c r="K577" s="65"/>
      <c r="L577" s="65"/>
      <c r="M577" s="65"/>
      <c r="N577" s="65"/>
      <c r="O577" s="65"/>
      <c r="P577" s="65"/>
      <c r="Q577" s="65"/>
      <c r="R577" s="65"/>
      <c r="S577" s="65"/>
      <c r="T577" s="65"/>
      <c r="U577" s="65"/>
      <c r="V577" s="65"/>
      <c r="W577" s="65"/>
      <c r="X577" s="65"/>
      <c r="Y577" s="65"/>
      <c r="Z577" s="65"/>
      <c r="AA577" s="65"/>
      <c r="AB577" s="65"/>
      <c r="AC577" s="65"/>
      <c r="AD577" s="65"/>
      <c r="AE577" s="65"/>
      <c r="AF577" s="65"/>
      <c r="AG577" s="65"/>
      <c r="AH577" s="65"/>
      <c r="AI577" s="65"/>
      <c r="AJ577" s="65"/>
      <c r="AK577" s="65"/>
      <c r="AL577" s="65"/>
      <c r="AM577" s="65"/>
      <c r="AN577" s="65"/>
    </row>
    <row r="578" spans="10:40" ht="14.5" x14ac:dyDescent="0.35">
      <c r="J578" s="65"/>
      <c r="K578" s="65"/>
      <c r="L578" s="65"/>
      <c r="M578" s="65"/>
      <c r="N578" s="65"/>
      <c r="O578" s="65"/>
      <c r="P578" s="65"/>
      <c r="Q578" s="65"/>
      <c r="R578" s="65"/>
      <c r="S578" s="65"/>
      <c r="T578" s="65"/>
      <c r="U578" s="65"/>
      <c r="V578" s="65"/>
      <c r="W578" s="65"/>
      <c r="X578" s="65"/>
      <c r="Y578" s="65"/>
      <c r="Z578" s="65"/>
      <c r="AA578" s="65"/>
      <c r="AB578" s="65"/>
      <c r="AC578" s="65"/>
      <c r="AD578" s="65"/>
      <c r="AE578" s="65"/>
      <c r="AF578" s="65"/>
      <c r="AG578" s="65"/>
      <c r="AH578" s="65"/>
      <c r="AI578" s="65"/>
      <c r="AJ578" s="65"/>
      <c r="AK578" s="65"/>
      <c r="AL578" s="65"/>
      <c r="AM578" s="65"/>
      <c r="AN578" s="65"/>
    </row>
    <row r="579" spans="10:40" ht="14.5" x14ac:dyDescent="0.35">
      <c r="J579" s="65"/>
      <c r="K579" s="65"/>
      <c r="L579" s="65"/>
      <c r="M579" s="65"/>
      <c r="N579" s="65"/>
      <c r="O579" s="65"/>
      <c r="P579" s="65"/>
      <c r="Q579" s="65"/>
      <c r="R579" s="65"/>
      <c r="S579" s="65"/>
      <c r="T579" s="65"/>
      <c r="U579" s="65"/>
      <c r="V579" s="65"/>
      <c r="W579" s="65"/>
      <c r="X579" s="65"/>
      <c r="Y579" s="65"/>
      <c r="Z579" s="65"/>
      <c r="AA579" s="65"/>
      <c r="AB579" s="65"/>
      <c r="AC579" s="65"/>
      <c r="AD579" s="65"/>
      <c r="AE579" s="65"/>
      <c r="AF579" s="65"/>
      <c r="AG579" s="65"/>
      <c r="AH579" s="65"/>
      <c r="AI579" s="65"/>
      <c r="AJ579" s="65"/>
      <c r="AK579" s="65"/>
      <c r="AL579" s="65"/>
      <c r="AM579" s="65"/>
      <c r="AN579" s="65"/>
    </row>
    <row r="580" spans="10:40" ht="14.5" x14ac:dyDescent="0.35">
      <c r="J580" s="65"/>
      <c r="K580" s="65"/>
      <c r="L580" s="65"/>
      <c r="M580" s="65"/>
      <c r="N580" s="65"/>
      <c r="O580" s="65"/>
      <c r="P580" s="65"/>
      <c r="Q580" s="65"/>
      <c r="R580" s="65"/>
      <c r="S580" s="65"/>
      <c r="T580" s="65"/>
      <c r="U580" s="65"/>
      <c r="V580" s="65"/>
      <c r="W580" s="65"/>
      <c r="X580" s="65"/>
      <c r="Y580" s="65"/>
      <c r="Z580" s="65"/>
      <c r="AA580" s="65"/>
      <c r="AB580" s="65"/>
      <c r="AC580" s="65"/>
      <c r="AD580" s="65"/>
      <c r="AE580" s="65"/>
      <c r="AF580" s="65"/>
      <c r="AG580" s="65"/>
      <c r="AH580" s="65"/>
      <c r="AI580" s="65"/>
      <c r="AJ580" s="65"/>
      <c r="AK580" s="65"/>
      <c r="AL580" s="65"/>
      <c r="AM580" s="65"/>
      <c r="AN580" s="65"/>
    </row>
    <row r="581" spans="10:40" ht="14.5" x14ac:dyDescent="0.35">
      <c r="J581" s="65"/>
      <c r="K581" s="65"/>
      <c r="L581" s="65"/>
      <c r="M581" s="65"/>
      <c r="N581" s="65"/>
      <c r="O581" s="65"/>
      <c r="P581" s="65"/>
      <c r="Q581" s="65"/>
      <c r="R581" s="65"/>
      <c r="S581" s="65"/>
      <c r="T581" s="65"/>
      <c r="U581" s="65"/>
      <c r="V581" s="65"/>
      <c r="W581" s="65"/>
      <c r="X581" s="65"/>
      <c r="Y581" s="65"/>
      <c r="Z581" s="65"/>
      <c r="AA581" s="65"/>
      <c r="AB581" s="65"/>
      <c r="AC581" s="65"/>
      <c r="AD581" s="65"/>
      <c r="AE581" s="65"/>
      <c r="AF581" s="65"/>
      <c r="AG581" s="65"/>
      <c r="AH581" s="65"/>
      <c r="AI581" s="65"/>
      <c r="AJ581" s="65"/>
      <c r="AK581" s="65"/>
      <c r="AL581" s="65"/>
      <c r="AM581" s="65"/>
      <c r="AN581" s="65"/>
    </row>
    <row r="582" spans="10:40" ht="14.5" x14ac:dyDescent="0.35">
      <c r="J582" s="65"/>
      <c r="K582" s="65"/>
      <c r="L582" s="65"/>
      <c r="M582" s="65"/>
      <c r="N582" s="65"/>
      <c r="O582" s="65"/>
      <c r="P582" s="65"/>
      <c r="Q582" s="65"/>
      <c r="R582" s="65"/>
      <c r="S582" s="65"/>
      <c r="T582" s="65"/>
      <c r="U582" s="65"/>
      <c r="V582" s="65"/>
      <c r="W582" s="65"/>
      <c r="X582" s="65"/>
      <c r="Y582" s="65"/>
      <c r="Z582" s="65"/>
      <c r="AA582" s="65"/>
      <c r="AB582" s="65"/>
      <c r="AC582" s="65"/>
      <c r="AD582" s="65"/>
      <c r="AE582" s="65"/>
      <c r="AF582" s="65"/>
      <c r="AG582" s="65"/>
      <c r="AH582" s="65"/>
      <c r="AI582" s="65"/>
      <c r="AJ582" s="65"/>
      <c r="AK582" s="65"/>
      <c r="AL582" s="65"/>
      <c r="AM582" s="65"/>
      <c r="AN582" s="65"/>
    </row>
    <row r="583" spans="10:40" ht="14.5" x14ac:dyDescent="0.35">
      <c r="J583" s="65"/>
      <c r="K583" s="65"/>
      <c r="L583" s="65"/>
      <c r="M583" s="65"/>
      <c r="N583" s="65"/>
      <c r="O583" s="65"/>
      <c r="P583" s="65"/>
      <c r="Q583" s="65"/>
      <c r="R583" s="65"/>
      <c r="S583" s="65"/>
      <c r="T583" s="65"/>
      <c r="U583" s="65"/>
      <c r="V583" s="65"/>
      <c r="W583" s="65"/>
      <c r="X583" s="65"/>
      <c r="Y583" s="65"/>
      <c r="Z583" s="65"/>
      <c r="AA583" s="65"/>
      <c r="AB583" s="65"/>
      <c r="AC583" s="65"/>
      <c r="AD583" s="65"/>
      <c r="AE583" s="65"/>
      <c r="AF583" s="65"/>
      <c r="AG583" s="65"/>
      <c r="AH583" s="65"/>
      <c r="AI583" s="65"/>
      <c r="AJ583" s="65"/>
      <c r="AK583" s="65"/>
      <c r="AL583" s="65"/>
      <c r="AM583" s="65"/>
      <c r="AN583" s="65"/>
    </row>
    <row r="584" spans="10:40" ht="14.5" x14ac:dyDescent="0.35">
      <c r="J584" s="65"/>
      <c r="K584" s="65"/>
      <c r="L584" s="65"/>
      <c r="M584" s="65"/>
      <c r="N584" s="65"/>
      <c r="O584" s="65"/>
      <c r="P584" s="65"/>
      <c r="Q584" s="65"/>
      <c r="R584" s="65"/>
      <c r="S584" s="65"/>
      <c r="T584" s="65"/>
      <c r="U584" s="65"/>
      <c r="V584" s="65"/>
      <c r="W584" s="65"/>
      <c r="X584" s="65"/>
      <c r="Y584" s="65"/>
      <c r="Z584" s="65"/>
      <c r="AA584" s="65"/>
      <c r="AB584" s="65"/>
      <c r="AC584" s="65"/>
      <c r="AD584" s="65"/>
      <c r="AE584" s="65"/>
      <c r="AF584" s="65"/>
      <c r="AG584" s="65"/>
      <c r="AH584" s="65"/>
      <c r="AI584" s="65"/>
      <c r="AJ584" s="65"/>
      <c r="AK584" s="65"/>
      <c r="AL584" s="65"/>
      <c r="AM584" s="65"/>
      <c r="AN584" s="65"/>
    </row>
    <row r="585" spans="10:40" ht="14.5" x14ac:dyDescent="0.35">
      <c r="J585" s="65"/>
      <c r="K585" s="65"/>
      <c r="L585" s="65"/>
      <c r="M585" s="65"/>
      <c r="N585" s="65"/>
      <c r="O585" s="65"/>
      <c r="P585" s="65"/>
      <c r="Q585" s="65"/>
      <c r="R585" s="65"/>
      <c r="S585" s="65"/>
      <c r="T585" s="65"/>
      <c r="U585" s="65"/>
      <c r="V585" s="65"/>
      <c r="W585" s="65"/>
      <c r="X585" s="65"/>
      <c r="Y585" s="65"/>
      <c r="Z585" s="65"/>
      <c r="AA585" s="65"/>
      <c r="AB585" s="65"/>
      <c r="AC585" s="65"/>
      <c r="AD585" s="65"/>
      <c r="AE585" s="65"/>
      <c r="AF585" s="65"/>
      <c r="AG585" s="65"/>
      <c r="AH585" s="65"/>
      <c r="AI585" s="65"/>
      <c r="AJ585" s="65"/>
      <c r="AK585" s="65"/>
      <c r="AL585" s="65"/>
      <c r="AM585" s="65"/>
      <c r="AN585" s="65"/>
    </row>
    <row r="586" spans="10:40" ht="14.5" x14ac:dyDescent="0.35">
      <c r="J586" s="65"/>
      <c r="K586" s="65"/>
      <c r="L586" s="65"/>
      <c r="M586" s="65"/>
      <c r="N586" s="65"/>
      <c r="O586" s="65"/>
      <c r="P586" s="65"/>
      <c r="Q586" s="65"/>
      <c r="R586" s="65"/>
      <c r="S586" s="65"/>
      <c r="T586" s="65"/>
      <c r="U586" s="65"/>
      <c r="V586" s="65"/>
      <c r="W586" s="65"/>
      <c r="X586" s="65"/>
      <c r="Y586" s="65"/>
      <c r="Z586" s="65"/>
      <c r="AA586" s="65"/>
      <c r="AB586" s="65"/>
      <c r="AC586" s="65"/>
      <c r="AD586" s="65"/>
      <c r="AE586" s="65"/>
      <c r="AF586" s="65"/>
      <c r="AG586" s="65"/>
      <c r="AH586" s="65"/>
      <c r="AI586" s="65"/>
      <c r="AJ586" s="65"/>
      <c r="AK586" s="65"/>
      <c r="AL586" s="65"/>
      <c r="AM586" s="65"/>
      <c r="AN586" s="65"/>
    </row>
    <row r="587" spans="10:40" ht="14.5" x14ac:dyDescent="0.35">
      <c r="J587" s="65"/>
      <c r="K587" s="65"/>
      <c r="L587" s="65"/>
      <c r="M587" s="65"/>
      <c r="N587" s="65"/>
      <c r="O587" s="65"/>
      <c r="P587" s="65"/>
      <c r="Q587" s="65"/>
      <c r="R587" s="65"/>
      <c r="S587" s="65"/>
      <c r="T587" s="65"/>
      <c r="U587" s="65"/>
      <c r="V587" s="65"/>
      <c r="W587" s="65"/>
      <c r="X587" s="65"/>
      <c r="Y587" s="65"/>
      <c r="Z587" s="65"/>
      <c r="AA587" s="65"/>
      <c r="AB587" s="65"/>
      <c r="AC587" s="65"/>
      <c r="AD587" s="65"/>
      <c r="AE587" s="65"/>
      <c r="AF587" s="65"/>
      <c r="AG587" s="65"/>
      <c r="AH587" s="65"/>
      <c r="AI587" s="65"/>
      <c r="AJ587" s="65"/>
      <c r="AK587" s="65"/>
      <c r="AL587" s="65"/>
      <c r="AM587" s="65"/>
      <c r="AN587" s="65"/>
    </row>
    <row r="588" spans="10:40" ht="14.5" x14ac:dyDescent="0.35">
      <c r="J588" s="65"/>
      <c r="K588" s="65"/>
      <c r="L588" s="65"/>
      <c r="M588" s="65"/>
      <c r="N588" s="65"/>
      <c r="O588" s="65"/>
      <c r="P588" s="65"/>
      <c r="Q588" s="65"/>
      <c r="R588" s="65"/>
      <c r="S588" s="65"/>
      <c r="T588" s="65"/>
      <c r="U588" s="65"/>
      <c r="V588" s="65"/>
      <c r="W588" s="65"/>
      <c r="X588" s="65"/>
      <c r="Y588" s="65"/>
      <c r="Z588" s="65"/>
      <c r="AA588" s="65"/>
      <c r="AB588" s="65"/>
      <c r="AC588" s="65"/>
      <c r="AD588" s="65"/>
      <c r="AE588" s="65"/>
      <c r="AF588" s="65"/>
      <c r="AG588" s="65"/>
      <c r="AH588" s="65"/>
      <c r="AI588" s="65"/>
      <c r="AJ588" s="65"/>
      <c r="AK588" s="65"/>
      <c r="AL588" s="65"/>
      <c r="AM588" s="65"/>
      <c r="AN588" s="65"/>
    </row>
    <row r="589" spans="10:40" ht="14.5" x14ac:dyDescent="0.35">
      <c r="J589" s="65"/>
      <c r="K589" s="65"/>
      <c r="L589" s="65"/>
      <c r="M589" s="65"/>
      <c r="N589" s="65"/>
      <c r="O589" s="65"/>
      <c r="P589" s="65"/>
      <c r="Q589" s="65"/>
      <c r="R589" s="65"/>
      <c r="S589" s="65"/>
      <c r="T589" s="65"/>
      <c r="U589" s="65"/>
      <c r="V589" s="65"/>
      <c r="W589" s="65"/>
      <c r="X589" s="65"/>
      <c r="Y589" s="65"/>
      <c r="Z589" s="65"/>
      <c r="AA589" s="65"/>
      <c r="AB589" s="65"/>
      <c r="AC589" s="65"/>
      <c r="AD589" s="65"/>
      <c r="AE589" s="65"/>
      <c r="AF589" s="65"/>
      <c r="AG589" s="65"/>
      <c r="AH589" s="65"/>
      <c r="AI589" s="65"/>
      <c r="AJ589" s="65"/>
      <c r="AK589" s="65"/>
      <c r="AL589" s="65"/>
      <c r="AM589" s="65"/>
      <c r="AN589" s="65"/>
    </row>
    <row r="590" spans="10:40" ht="14.5" x14ac:dyDescent="0.35">
      <c r="J590" s="65"/>
      <c r="K590" s="65"/>
      <c r="L590" s="65"/>
      <c r="M590" s="65"/>
      <c r="N590" s="65"/>
      <c r="O590" s="65"/>
      <c r="P590" s="65"/>
      <c r="Q590" s="65"/>
      <c r="R590" s="65"/>
      <c r="S590" s="65"/>
      <c r="T590" s="65"/>
      <c r="U590" s="65"/>
      <c r="V590" s="65"/>
      <c r="W590" s="65"/>
      <c r="X590" s="65"/>
      <c r="Y590" s="65"/>
      <c r="Z590" s="65"/>
      <c r="AA590" s="65"/>
      <c r="AB590" s="65"/>
      <c r="AC590" s="65"/>
      <c r="AD590" s="65"/>
      <c r="AE590" s="65"/>
      <c r="AF590" s="65"/>
      <c r="AG590" s="65"/>
      <c r="AH590" s="65"/>
      <c r="AI590" s="65"/>
      <c r="AJ590" s="65"/>
      <c r="AK590" s="65"/>
      <c r="AL590" s="65"/>
      <c r="AM590" s="65"/>
      <c r="AN590" s="65"/>
    </row>
    <row r="591" spans="10:40" ht="14.5" x14ac:dyDescent="0.35">
      <c r="J591" s="65"/>
      <c r="K591" s="65"/>
      <c r="L591" s="65"/>
      <c r="M591" s="65"/>
      <c r="N591" s="65"/>
      <c r="O591" s="65"/>
      <c r="P591" s="65"/>
      <c r="Q591" s="65"/>
      <c r="R591" s="65"/>
      <c r="S591" s="65"/>
      <c r="T591" s="65"/>
      <c r="U591" s="65"/>
      <c r="V591" s="65"/>
      <c r="W591" s="65"/>
      <c r="X591" s="65"/>
      <c r="Y591" s="65"/>
      <c r="Z591" s="65"/>
      <c r="AA591" s="65"/>
      <c r="AB591" s="65"/>
      <c r="AC591" s="65"/>
      <c r="AD591" s="65"/>
      <c r="AE591" s="65"/>
      <c r="AF591" s="65"/>
      <c r="AG591" s="65"/>
      <c r="AH591" s="65"/>
      <c r="AI591" s="65"/>
      <c r="AJ591" s="65"/>
      <c r="AK591" s="65"/>
      <c r="AL591" s="65"/>
      <c r="AM591" s="65"/>
      <c r="AN591" s="65"/>
    </row>
    <row r="592" spans="10:40" ht="14.5" x14ac:dyDescent="0.35">
      <c r="J592" s="65"/>
      <c r="K592" s="65"/>
      <c r="L592" s="65"/>
      <c r="M592" s="65"/>
      <c r="N592" s="65"/>
      <c r="O592" s="65"/>
      <c r="P592" s="65"/>
      <c r="Q592" s="65"/>
      <c r="R592" s="65"/>
      <c r="S592" s="65"/>
      <c r="T592" s="65"/>
      <c r="U592" s="65"/>
      <c r="V592" s="65"/>
      <c r="W592" s="65"/>
      <c r="X592" s="65"/>
      <c r="Y592" s="65"/>
      <c r="Z592" s="65"/>
      <c r="AA592" s="65"/>
      <c r="AB592" s="65"/>
      <c r="AC592" s="65"/>
      <c r="AD592" s="65"/>
      <c r="AE592" s="65"/>
      <c r="AF592" s="65"/>
      <c r="AG592" s="65"/>
      <c r="AH592" s="65"/>
      <c r="AI592" s="65"/>
      <c r="AJ592" s="65"/>
      <c r="AK592" s="65"/>
      <c r="AL592" s="65"/>
      <c r="AM592" s="65"/>
      <c r="AN592" s="65"/>
    </row>
    <row r="593" spans="10:40" ht="14.5" x14ac:dyDescent="0.35">
      <c r="J593" s="65"/>
      <c r="K593" s="65"/>
      <c r="L593" s="65"/>
      <c r="M593" s="65"/>
      <c r="N593" s="65"/>
      <c r="O593" s="65"/>
      <c r="P593" s="65"/>
      <c r="Q593" s="65"/>
      <c r="R593" s="65"/>
      <c r="S593" s="65"/>
      <c r="T593" s="65"/>
      <c r="U593" s="65"/>
      <c r="V593" s="65"/>
      <c r="W593" s="65"/>
      <c r="X593" s="65"/>
      <c r="Y593" s="65"/>
      <c r="Z593" s="65"/>
      <c r="AA593" s="65"/>
      <c r="AB593" s="65"/>
      <c r="AC593" s="65"/>
      <c r="AD593" s="65"/>
      <c r="AE593" s="65"/>
      <c r="AF593" s="65"/>
      <c r="AG593" s="65"/>
      <c r="AH593" s="65"/>
      <c r="AI593" s="65"/>
      <c r="AJ593" s="65"/>
      <c r="AK593" s="65"/>
      <c r="AL593" s="65"/>
      <c r="AM593" s="65"/>
      <c r="AN593" s="65"/>
    </row>
    <row r="594" spans="10:40" ht="14.5" x14ac:dyDescent="0.35">
      <c r="J594" s="65"/>
      <c r="K594" s="65"/>
      <c r="L594" s="65"/>
      <c r="M594" s="65"/>
      <c r="N594" s="65"/>
      <c r="O594" s="65"/>
      <c r="P594" s="65"/>
      <c r="Q594" s="65"/>
      <c r="R594" s="65"/>
      <c r="S594" s="65"/>
      <c r="T594" s="65"/>
      <c r="U594" s="65"/>
      <c r="V594" s="65"/>
      <c r="W594" s="65"/>
      <c r="X594" s="65"/>
      <c r="Y594" s="65"/>
      <c r="Z594" s="65"/>
      <c r="AA594" s="65"/>
      <c r="AB594" s="65"/>
      <c r="AC594" s="65"/>
      <c r="AD594" s="65"/>
      <c r="AE594" s="65"/>
      <c r="AF594" s="65"/>
      <c r="AG594" s="65"/>
      <c r="AH594" s="65"/>
      <c r="AI594" s="65"/>
      <c r="AJ594" s="65"/>
      <c r="AK594" s="65"/>
      <c r="AL594" s="65"/>
      <c r="AM594" s="65"/>
      <c r="AN594" s="65"/>
    </row>
    <row r="595" spans="10:40" ht="14.5" x14ac:dyDescent="0.35">
      <c r="J595" s="65"/>
      <c r="K595" s="65"/>
      <c r="L595" s="65"/>
      <c r="M595" s="65"/>
      <c r="N595" s="65"/>
      <c r="O595" s="65"/>
      <c r="P595" s="65"/>
      <c r="Q595" s="65"/>
      <c r="R595" s="65"/>
      <c r="S595" s="65"/>
      <c r="T595" s="65"/>
      <c r="U595" s="65"/>
      <c r="V595" s="65"/>
      <c r="W595" s="65"/>
      <c r="X595" s="65"/>
      <c r="Y595" s="65"/>
      <c r="Z595" s="65"/>
      <c r="AA595" s="65"/>
      <c r="AB595" s="65"/>
      <c r="AC595" s="65"/>
      <c r="AD595" s="65"/>
      <c r="AE595" s="65"/>
      <c r="AF595" s="65"/>
      <c r="AG595" s="65"/>
      <c r="AH595" s="65"/>
      <c r="AI595" s="65"/>
      <c r="AJ595" s="65"/>
      <c r="AK595" s="65"/>
      <c r="AL595" s="65"/>
      <c r="AM595" s="65"/>
      <c r="AN595" s="65"/>
    </row>
    <row r="596" spans="10:40" ht="14.5" x14ac:dyDescent="0.35">
      <c r="J596" s="65"/>
      <c r="K596" s="65"/>
      <c r="L596" s="65"/>
      <c r="M596" s="65"/>
      <c r="N596" s="65"/>
      <c r="O596" s="65"/>
      <c r="P596" s="65"/>
      <c r="Q596" s="65"/>
      <c r="R596" s="65"/>
      <c r="S596" s="65"/>
      <c r="T596" s="65"/>
      <c r="U596" s="65"/>
      <c r="V596" s="65"/>
      <c r="W596" s="65"/>
      <c r="X596" s="65"/>
      <c r="Y596" s="65"/>
      <c r="Z596" s="65"/>
      <c r="AA596" s="65"/>
      <c r="AB596" s="65"/>
      <c r="AC596" s="65"/>
      <c r="AD596" s="65"/>
      <c r="AE596" s="65"/>
      <c r="AF596" s="65"/>
      <c r="AG596" s="65"/>
      <c r="AH596" s="65"/>
      <c r="AI596" s="65"/>
      <c r="AJ596" s="65"/>
      <c r="AK596" s="65"/>
      <c r="AL596" s="65"/>
      <c r="AM596" s="65"/>
      <c r="AN596" s="65"/>
    </row>
    <row r="597" spans="10:40" ht="14.5" x14ac:dyDescent="0.35">
      <c r="J597" s="65"/>
      <c r="K597" s="65"/>
      <c r="L597" s="65"/>
      <c r="M597" s="65"/>
      <c r="N597" s="65"/>
      <c r="O597" s="65"/>
      <c r="P597" s="65"/>
      <c r="Q597" s="65"/>
      <c r="R597" s="65"/>
      <c r="S597" s="65"/>
      <c r="T597" s="65"/>
      <c r="U597" s="65"/>
      <c r="V597" s="65"/>
      <c r="W597" s="65"/>
      <c r="X597" s="65"/>
      <c r="Y597" s="65"/>
      <c r="Z597" s="65"/>
      <c r="AA597" s="65"/>
      <c r="AB597" s="65"/>
      <c r="AC597" s="65"/>
      <c r="AD597" s="65"/>
      <c r="AE597" s="65"/>
      <c r="AF597" s="65"/>
      <c r="AG597" s="65"/>
      <c r="AH597" s="65"/>
      <c r="AI597" s="65"/>
      <c r="AJ597" s="65"/>
      <c r="AK597" s="65"/>
      <c r="AL597" s="65"/>
      <c r="AM597" s="65"/>
      <c r="AN597" s="65"/>
    </row>
    <row r="598" spans="10:40" ht="14.5" x14ac:dyDescent="0.35">
      <c r="J598" s="65"/>
      <c r="K598" s="65"/>
      <c r="L598" s="65"/>
      <c r="M598" s="65"/>
      <c r="N598" s="65"/>
      <c r="O598" s="65"/>
      <c r="P598" s="65"/>
      <c r="Q598" s="65"/>
      <c r="R598" s="65"/>
      <c r="S598" s="65"/>
      <c r="T598" s="65"/>
      <c r="U598" s="65"/>
      <c r="V598" s="65"/>
      <c r="W598" s="65"/>
      <c r="X598" s="65"/>
      <c r="Y598" s="65"/>
      <c r="Z598" s="65"/>
      <c r="AA598" s="65"/>
      <c r="AB598" s="65"/>
      <c r="AC598" s="65"/>
      <c r="AD598" s="65"/>
      <c r="AE598" s="65"/>
      <c r="AF598" s="65"/>
      <c r="AG598" s="65"/>
      <c r="AH598" s="65"/>
      <c r="AI598" s="65"/>
      <c r="AJ598" s="65"/>
      <c r="AK598" s="65"/>
      <c r="AL598" s="65"/>
      <c r="AM598" s="65"/>
      <c r="AN598" s="65"/>
    </row>
    <row r="599" spans="10:40" ht="14.5" x14ac:dyDescent="0.35">
      <c r="J599" s="65"/>
      <c r="K599" s="65"/>
      <c r="L599" s="65"/>
      <c r="M599" s="65"/>
      <c r="N599" s="65"/>
      <c r="O599" s="65"/>
      <c r="P599" s="65"/>
      <c r="Q599" s="65"/>
      <c r="R599" s="65"/>
      <c r="S599" s="65"/>
      <c r="T599" s="65"/>
      <c r="U599" s="65"/>
      <c r="V599" s="65"/>
      <c r="W599" s="65"/>
      <c r="X599" s="65"/>
      <c r="Y599" s="65"/>
      <c r="Z599" s="65"/>
      <c r="AA599" s="65"/>
      <c r="AB599" s="65"/>
      <c r="AC599" s="65"/>
      <c r="AD599" s="65"/>
      <c r="AE599" s="65"/>
      <c r="AF599" s="65"/>
      <c r="AG599" s="65"/>
      <c r="AH599" s="65"/>
      <c r="AI599" s="65"/>
      <c r="AJ599" s="65"/>
      <c r="AK599" s="65"/>
      <c r="AL599" s="65"/>
      <c r="AM599" s="65"/>
      <c r="AN599" s="65"/>
    </row>
    <row r="600" spans="10:40" ht="14.5" x14ac:dyDescent="0.35">
      <c r="J600" s="65"/>
      <c r="K600" s="65"/>
      <c r="L600" s="65"/>
      <c r="M600" s="65"/>
      <c r="N600" s="65"/>
      <c r="O600" s="65"/>
      <c r="P600" s="65"/>
      <c r="Q600" s="65"/>
      <c r="R600" s="65"/>
      <c r="S600" s="65"/>
      <c r="T600" s="65"/>
      <c r="U600" s="65"/>
      <c r="V600" s="65"/>
      <c r="W600" s="65"/>
      <c r="X600" s="65"/>
      <c r="Y600" s="65"/>
      <c r="Z600" s="65"/>
      <c r="AA600" s="65"/>
      <c r="AB600" s="65"/>
      <c r="AC600" s="65"/>
      <c r="AD600" s="65"/>
      <c r="AE600" s="65"/>
      <c r="AF600" s="65"/>
      <c r="AG600" s="65"/>
      <c r="AH600" s="65"/>
      <c r="AI600" s="65"/>
      <c r="AJ600" s="65"/>
      <c r="AK600" s="65"/>
      <c r="AL600" s="65"/>
      <c r="AM600" s="65"/>
      <c r="AN600" s="65"/>
    </row>
    <row r="601" spans="10:40" ht="14.5" x14ac:dyDescent="0.35">
      <c r="J601" s="65"/>
      <c r="K601" s="65"/>
      <c r="L601" s="65"/>
      <c r="M601" s="65"/>
      <c r="N601" s="65"/>
      <c r="O601" s="65"/>
      <c r="P601" s="65"/>
      <c r="Q601" s="65"/>
      <c r="R601" s="65"/>
      <c r="S601" s="65"/>
      <c r="T601" s="65"/>
      <c r="U601" s="65"/>
      <c r="V601" s="65"/>
      <c r="W601" s="65"/>
      <c r="X601" s="65"/>
      <c r="Y601" s="65"/>
      <c r="Z601" s="65"/>
      <c r="AA601" s="65"/>
      <c r="AB601" s="65"/>
      <c r="AC601" s="65"/>
      <c r="AD601" s="65"/>
      <c r="AE601" s="65"/>
      <c r="AF601" s="65"/>
      <c r="AG601" s="65"/>
      <c r="AH601" s="65"/>
      <c r="AI601" s="65"/>
      <c r="AJ601" s="65"/>
      <c r="AK601" s="65"/>
      <c r="AL601" s="65"/>
      <c r="AM601" s="65"/>
      <c r="AN601" s="65"/>
    </row>
    <row r="602" spans="10:40" ht="14.5" x14ac:dyDescent="0.35">
      <c r="J602" s="65"/>
      <c r="K602" s="65"/>
      <c r="L602" s="65"/>
      <c r="M602" s="65"/>
      <c r="N602" s="65"/>
      <c r="O602" s="65"/>
      <c r="P602" s="65"/>
      <c r="Q602" s="65"/>
      <c r="R602" s="65"/>
      <c r="S602" s="65"/>
      <c r="T602" s="65"/>
      <c r="U602" s="65"/>
      <c r="V602" s="65"/>
      <c r="W602" s="65"/>
      <c r="X602" s="65"/>
      <c r="Y602" s="65"/>
      <c r="Z602" s="65"/>
      <c r="AA602" s="65"/>
      <c r="AB602" s="65"/>
      <c r="AC602" s="65"/>
      <c r="AD602" s="65"/>
      <c r="AE602" s="65"/>
      <c r="AF602" s="65"/>
      <c r="AG602" s="65"/>
      <c r="AH602" s="65"/>
      <c r="AI602" s="65"/>
      <c r="AJ602" s="65"/>
      <c r="AK602" s="65"/>
      <c r="AL602" s="65"/>
      <c r="AM602" s="65"/>
      <c r="AN602" s="65"/>
    </row>
    <row r="603" spans="10:40" ht="14.5" x14ac:dyDescent="0.35">
      <c r="J603" s="65"/>
      <c r="K603" s="65"/>
      <c r="L603" s="65"/>
      <c r="M603" s="65"/>
      <c r="N603" s="65"/>
      <c r="O603" s="65"/>
      <c r="P603" s="65"/>
      <c r="Q603" s="65"/>
      <c r="R603" s="65"/>
      <c r="S603" s="65"/>
      <c r="T603" s="65"/>
      <c r="U603" s="65"/>
      <c r="V603" s="65"/>
      <c r="W603" s="65"/>
      <c r="X603" s="65"/>
      <c r="Y603" s="65"/>
      <c r="Z603" s="65"/>
      <c r="AA603" s="65"/>
      <c r="AB603" s="65"/>
      <c r="AC603" s="65"/>
      <c r="AD603" s="65"/>
      <c r="AE603" s="65"/>
      <c r="AF603" s="65"/>
      <c r="AG603" s="65"/>
      <c r="AH603" s="65"/>
      <c r="AI603" s="65"/>
      <c r="AJ603" s="65"/>
      <c r="AK603" s="65"/>
      <c r="AL603" s="65"/>
      <c r="AM603" s="65"/>
      <c r="AN603" s="65"/>
    </row>
    <row r="604" spans="10:40" ht="14.5" x14ac:dyDescent="0.35">
      <c r="J604" s="65"/>
      <c r="K604" s="65"/>
      <c r="L604" s="65"/>
      <c r="M604" s="65"/>
      <c r="N604" s="65"/>
      <c r="O604" s="65"/>
      <c r="P604" s="65"/>
      <c r="Q604" s="65"/>
      <c r="R604" s="65"/>
      <c r="S604" s="65"/>
      <c r="T604" s="65"/>
      <c r="U604" s="65"/>
      <c r="V604" s="65"/>
      <c r="W604" s="65"/>
      <c r="X604" s="65"/>
      <c r="Y604" s="65"/>
      <c r="Z604" s="65"/>
      <c r="AA604" s="65"/>
      <c r="AB604" s="65"/>
      <c r="AC604" s="65"/>
      <c r="AD604" s="65"/>
      <c r="AE604" s="65"/>
      <c r="AF604" s="65"/>
      <c r="AG604" s="65"/>
      <c r="AH604" s="65"/>
      <c r="AI604" s="65"/>
      <c r="AJ604" s="65"/>
      <c r="AK604" s="65"/>
      <c r="AL604" s="65"/>
      <c r="AM604" s="65"/>
      <c r="AN604" s="65"/>
    </row>
    <row r="605" spans="10:40" ht="14.5" x14ac:dyDescent="0.35">
      <c r="J605" s="65"/>
      <c r="K605" s="65"/>
      <c r="L605" s="65"/>
      <c r="M605" s="65"/>
      <c r="N605" s="65"/>
      <c r="O605" s="65"/>
      <c r="P605" s="65"/>
      <c r="Q605" s="65"/>
      <c r="R605" s="65"/>
      <c r="S605" s="65"/>
      <c r="T605" s="65"/>
      <c r="U605" s="65"/>
      <c r="V605" s="65"/>
      <c r="W605" s="65"/>
      <c r="X605" s="65"/>
      <c r="Y605" s="65"/>
      <c r="Z605" s="65"/>
      <c r="AA605" s="65"/>
      <c r="AB605" s="65"/>
      <c r="AC605" s="65"/>
      <c r="AD605" s="65"/>
      <c r="AE605" s="65"/>
      <c r="AF605" s="65"/>
      <c r="AG605" s="65"/>
      <c r="AH605" s="65"/>
      <c r="AI605" s="65"/>
      <c r="AJ605" s="65"/>
      <c r="AK605" s="65"/>
      <c r="AL605" s="65"/>
      <c r="AM605" s="65"/>
      <c r="AN605" s="65"/>
    </row>
    <row r="606" spans="10:40" ht="14.5" x14ac:dyDescent="0.35">
      <c r="J606" s="65"/>
      <c r="K606" s="65"/>
      <c r="L606" s="65"/>
      <c r="M606" s="65"/>
      <c r="N606" s="65"/>
      <c r="O606" s="65"/>
      <c r="P606" s="65"/>
      <c r="Q606" s="65"/>
      <c r="R606" s="65"/>
      <c r="S606" s="65"/>
      <c r="T606" s="65"/>
      <c r="U606" s="65"/>
      <c r="V606" s="65"/>
      <c r="W606" s="65"/>
      <c r="X606" s="65"/>
      <c r="Y606" s="65"/>
      <c r="Z606" s="65"/>
      <c r="AA606" s="65"/>
      <c r="AB606" s="65"/>
      <c r="AC606" s="65"/>
      <c r="AD606" s="65"/>
      <c r="AE606" s="65"/>
      <c r="AF606" s="65"/>
      <c r="AG606" s="65"/>
      <c r="AH606" s="65"/>
      <c r="AI606" s="65"/>
      <c r="AJ606" s="65"/>
      <c r="AK606" s="65"/>
      <c r="AL606" s="65"/>
      <c r="AM606" s="65"/>
      <c r="AN606" s="65"/>
    </row>
    <row r="607" spans="10:40" ht="14.5" x14ac:dyDescent="0.35">
      <c r="J607" s="65"/>
      <c r="K607" s="65"/>
      <c r="L607" s="65"/>
      <c r="M607" s="65"/>
      <c r="N607" s="65"/>
      <c r="O607" s="65"/>
      <c r="P607" s="65"/>
      <c r="Q607" s="65"/>
      <c r="R607" s="65"/>
      <c r="S607" s="65"/>
      <c r="T607" s="65"/>
      <c r="U607" s="65"/>
      <c r="V607" s="65"/>
      <c r="W607" s="65"/>
      <c r="X607" s="65"/>
      <c r="Y607" s="65"/>
      <c r="Z607" s="65"/>
      <c r="AA607" s="65"/>
      <c r="AB607" s="65"/>
      <c r="AC607" s="65"/>
      <c r="AD607" s="65"/>
      <c r="AE607" s="65"/>
      <c r="AF607" s="65"/>
      <c r="AG607" s="65"/>
      <c r="AH607" s="65"/>
      <c r="AI607" s="65"/>
      <c r="AJ607" s="65"/>
      <c r="AK607" s="65"/>
      <c r="AL607" s="65"/>
      <c r="AM607" s="65"/>
      <c r="AN607" s="65"/>
    </row>
    <row r="608" spans="10:40" ht="14.5" x14ac:dyDescent="0.35">
      <c r="J608" s="65"/>
      <c r="K608" s="65"/>
      <c r="L608" s="65"/>
      <c r="M608" s="65"/>
      <c r="N608" s="65"/>
      <c r="O608" s="65"/>
      <c r="P608" s="65"/>
      <c r="Q608" s="65"/>
      <c r="R608" s="65"/>
      <c r="S608" s="65"/>
      <c r="T608" s="65"/>
      <c r="U608" s="65"/>
      <c r="V608" s="65"/>
      <c r="W608" s="65"/>
      <c r="X608" s="65"/>
      <c r="Y608" s="65"/>
      <c r="Z608" s="65"/>
      <c r="AA608" s="65"/>
      <c r="AB608" s="65"/>
      <c r="AC608" s="65"/>
      <c r="AD608" s="65"/>
      <c r="AE608" s="65"/>
      <c r="AF608" s="65"/>
      <c r="AG608" s="65"/>
      <c r="AH608" s="65"/>
      <c r="AI608" s="65"/>
      <c r="AJ608" s="65"/>
      <c r="AK608" s="65"/>
      <c r="AL608" s="65"/>
      <c r="AM608" s="65"/>
      <c r="AN608" s="65"/>
    </row>
    <row r="609" spans="10:40" ht="14.5" x14ac:dyDescent="0.35">
      <c r="J609" s="65"/>
      <c r="K609" s="65"/>
      <c r="L609" s="65"/>
      <c r="M609" s="65"/>
      <c r="N609" s="65"/>
      <c r="O609" s="65"/>
      <c r="P609" s="65"/>
      <c r="Q609" s="65"/>
      <c r="R609" s="65"/>
      <c r="S609" s="65"/>
      <c r="T609" s="65"/>
      <c r="U609" s="65"/>
      <c r="V609" s="65"/>
      <c r="W609" s="65"/>
      <c r="X609" s="65"/>
      <c r="Y609" s="65"/>
      <c r="Z609" s="65"/>
      <c r="AA609" s="65"/>
      <c r="AB609" s="65"/>
      <c r="AC609" s="65"/>
      <c r="AD609" s="65"/>
      <c r="AE609" s="65"/>
      <c r="AF609" s="65"/>
      <c r="AG609" s="65"/>
      <c r="AH609" s="65"/>
      <c r="AI609" s="65"/>
      <c r="AJ609" s="65"/>
      <c r="AK609" s="65"/>
      <c r="AL609" s="65"/>
      <c r="AM609" s="65"/>
      <c r="AN609" s="65"/>
    </row>
    <row r="610" spans="10:40" ht="14.5" x14ac:dyDescent="0.35">
      <c r="J610" s="65"/>
      <c r="K610" s="65"/>
      <c r="L610" s="65"/>
      <c r="M610" s="65"/>
      <c r="N610" s="65"/>
      <c r="O610" s="65"/>
      <c r="P610" s="65"/>
      <c r="Q610" s="65"/>
      <c r="R610" s="65"/>
      <c r="S610" s="65"/>
      <c r="T610" s="65"/>
      <c r="U610" s="65"/>
      <c r="V610" s="65"/>
      <c r="W610" s="65"/>
      <c r="X610" s="65"/>
      <c r="Y610" s="65"/>
      <c r="Z610" s="65"/>
      <c r="AA610" s="65"/>
      <c r="AB610" s="65"/>
      <c r="AC610" s="65"/>
      <c r="AD610" s="65"/>
      <c r="AE610" s="65"/>
      <c r="AF610" s="65"/>
      <c r="AG610" s="65"/>
      <c r="AH610" s="65"/>
      <c r="AI610" s="65"/>
      <c r="AJ610" s="65"/>
      <c r="AK610" s="65"/>
      <c r="AL610" s="65"/>
      <c r="AM610" s="65"/>
      <c r="AN610" s="65"/>
    </row>
    <row r="611" spans="10:40" ht="14.5" x14ac:dyDescent="0.35">
      <c r="J611" s="65"/>
      <c r="K611" s="65"/>
      <c r="L611" s="65"/>
      <c r="M611" s="65"/>
      <c r="N611" s="65"/>
      <c r="O611" s="65"/>
      <c r="P611" s="65"/>
      <c r="Q611" s="65"/>
      <c r="R611" s="65"/>
      <c r="S611" s="65"/>
      <c r="T611" s="65"/>
      <c r="U611" s="65"/>
      <c r="V611" s="65"/>
      <c r="W611" s="65"/>
      <c r="X611" s="65"/>
      <c r="Y611" s="65"/>
      <c r="Z611" s="65"/>
      <c r="AA611" s="65"/>
      <c r="AB611" s="65"/>
      <c r="AC611" s="65"/>
      <c r="AD611" s="65"/>
      <c r="AE611" s="65"/>
      <c r="AF611" s="65"/>
      <c r="AG611" s="65"/>
      <c r="AH611" s="65"/>
      <c r="AI611" s="65"/>
      <c r="AJ611" s="65"/>
      <c r="AK611" s="65"/>
      <c r="AL611" s="65"/>
      <c r="AM611" s="65"/>
      <c r="AN611" s="65"/>
    </row>
    <row r="612" spans="10:40" ht="14.5" x14ac:dyDescent="0.35">
      <c r="J612" s="65"/>
      <c r="K612" s="65"/>
      <c r="L612" s="65"/>
      <c r="M612" s="65"/>
      <c r="N612" s="65"/>
      <c r="O612" s="65"/>
      <c r="P612" s="65"/>
      <c r="Q612" s="65"/>
      <c r="R612" s="65"/>
      <c r="S612" s="65"/>
      <c r="T612" s="65"/>
      <c r="U612" s="65"/>
      <c r="V612" s="65"/>
      <c r="W612" s="65"/>
      <c r="X612" s="65"/>
      <c r="Y612" s="65"/>
      <c r="Z612" s="65"/>
      <c r="AA612" s="65"/>
      <c r="AB612" s="65"/>
      <c r="AC612" s="65"/>
      <c r="AD612" s="65"/>
      <c r="AE612" s="65"/>
      <c r="AF612" s="65"/>
      <c r="AG612" s="65"/>
      <c r="AH612" s="65"/>
      <c r="AI612" s="65"/>
      <c r="AJ612" s="65"/>
      <c r="AK612" s="65"/>
      <c r="AL612" s="65"/>
      <c r="AM612" s="65"/>
      <c r="AN612" s="65"/>
    </row>
    <row r="613" spans="10:40" ht="14.5" x14ac:dyDescent="0.35">
      <c r="J613" s="65"/>
      <c r="K613" s="65"/>
      <c r="L613" s="65"/>
      <c r="M613" s="65"/>
      <c r="N613" s="65"/>
      <c r="O613" s="65"/>
      <c r="P613" s="65"/>
      <c r="Q613" s="65"/>
      <c r="R613" s="65"/>
      <c r="S613" s="65"/>
      <c r="T613" s="65"/>
      <c r="U613" s="65"/>
      <c r="V613" s="65"/>
      <c r="W613" s="65"/>
      <c r="X613" s="65"/>
      <c r="Y613" s="65"/>
      <c r="Z613" s="65"/>
      <c r="AA613" s="65"/>
      <c r="AB613" s="65"/>
      <c r="AC613" s="65"/>
      <c r="AD613" s="65"/>
      <c r="AE613" s="65"/>
      <c r="AF613" s="65"/>
      <c r="AG613" s="65"/>
      <c r="AH613" s="65"/>
      <c r="AI613" s="65"/>
      <c r="AJ613" s="65"/>
      <c r="AK613" s="65"/>
      <c r="AL613" s="65"/>
      <c r="AM613" s="65"/>
      <c r="AN613" s="65"/>
    </row>
    <row r="614" spans="10:40" ht="14.5" x14ac:dyDescent="0.35">
      <c r="J614" s="65"/>
      <c r="K614" s="65"/>
      <c r="L614" s="65"/>
      <c r="M614" s="65"/>
      <c r="N614" s="65"/>
      <c r="O614" s="65"/>
      <c r="P614" s="65"/>
      <c r="Q614" s="65"/>
      <c r="R614" s="65"/>
      <c r="S614" s="65"/>
      <c r="T614" s="65"/>
      <c r="U614" s="65"/>
      <c r="V614" s="65"/>
      <c r="W614" s="65"/>
      <c r="X614" s="65"/>
      <c r="Y614" s="65"/>
      <c r="Z614" s="65"/>
      <c r="AA614" s="65"/>
      <c r="AB614" s="65"/>
      <c r="AC614" s="65"/>
      <c r="AD614" s="65"/>
      <c r="AE614" s="65"/>
      <c r="AF614" s="65"/>
      <c r="AG614" s="65"/>
      <c r="AH614" s="65"/>
      <c r="AI614" s="65"/>
      <c r="AJ614" s="65"/>
      <c r="AK614" s="65"/>
      <c r="AL614" s="65"/>
      <c r="AM614" s="65"/>
      <c r="AN614" s="65"/>
    </row>
    <row r="615" spans="10:40" ht="14.5" x14ac:dyDescent="0.35">
      <c r="J615" s="65"/>
      <c r="K615" s="65"/>
      <c r="L615" s="65"/>
      <c r="M615" s="65"/>
      <c r="N615" s="65"/>
      <c r="O615" s="65"/>
      <c r="P615" s="65"/>
      <c r="Q615" s="65"/>
      <c r="R615" s="65"/>
      <c r="S615" s="65"/>
      <c r="T615" s="65"/>
      <c r="U615" s="65"/>
      <c r="V615" s="65"/>
      <c r="W615" s="65"/>
      <c r="X615" s="65"/>
      <c r="Y615" s="65"/>
      <c r="Z615" s="65"/>
      <c r="AA615" s="65"/>
      <c r="AB615" s="65"/>
      <c r="AC615" s="65"/>
      <c r="AD615" s="65"/>
      <c r="AE615" s="65"/>
      <c r="AF615" s="65"/>
      <c r="AG615" s="65"/>
      <c r="AH615" s="65"/>
      <c r="AI615" s="65"/>
      <c r="AJ615" s="65"/>
      <c r="AK615" s="65"/>
      <c r="AL615" s="65"/>
      <c r="AM615" s="65"/>
      <c r="AN615" s="65"/>
    </row>
    <row r="616" spans="10:40" ht="14.5" x14ac:dyDescent="0.35">
      <c r="J616" s="65"/>
      <c r="K616" s="65"/>
      <c r="L616" s="65"/>
      <c r="M616" s="65"/>
      <c r="N616" s="65"/>
      <c r="O616" s="65"/>
      <c r="P616" s="65"/>
      <c r="Q616" s="65"/>
      <c r="R616" s="65"/>
      <c r="S616" s="65"/>
      <c r="T616" s="65"/>
      <c r="U616" s="65"/>
      <c r="V616" s="65"/>
      <c r="W616" s="65"/>
      <c r="X616" s="65"/>
      <c r="Y616" s="65"/>
      <c r="Z616" s="65"/>
      <c r="AA616" s="65"/>
      <c r="AB616" s="65"/>
      <c r="AC616" s="65"/>
      <c r="AD616" s="65"/>
      <c r="AE616" s="65"/>
      <c r="AF616" s="65"/>
      <c r="AG616" s="65"/>
      <c r="AH616" s="65"/>
      <c r="AI616" s="65"/>
      <c r="AJ616" s="65"/>
      <c r="AK616" s="65"/>
      <c r="AL616" s="65"/>
      <c r="AM616" s="65"/>
      <c r="AN616" s="65"/>
    </row>
    <row r="617" spans="10:40" ht="14.5" x14ac:dyDescent="0.35">
      <c r="J617" s="65"/>
      <c r="K617" s="65"/>
      <c r="L617" s="65"/>
      <c r="M617" s="65"/>
      <c r="N617" s="65"/>
      <c r="O617" s="65"/>
      <c r="P617" s="65"/>
      <c r="Q617" s="65"/>
      <c r="R617" s="65"/>
      <c r="S617" s="65"/>
      <c r="T617" s="65"/>
      <c r="U617" s="65"/>
      <c r="V617" s="65"/>
      <c r="W617" s="65"/>
      <c r="X617" s="65"/>
      <c r="Y617" s="65"/>
      <c r="Z617" s="65"/>
      <c r="AA617" s="65"/>
      <c r="AB617" s="65"/>
      <c r="AC617" s="65"/>
      <c r="AD617" s="65"/>
      <c r="AE617" s="65"/>
      <c r="AF617" s="65"/>
      <c r="AG617" s="65"/>
      <c r="AH617" s="65"/>
      <c r="AI617" s="65"/>
      <c r="AJ617" s="65"/>
      <c r="AK617" s="65"/>
      <c r="AL617" s="65"/>
      <c r="AM617" s="65"/>
      <c r="AN617" s="65"/>
    </row>
    <row r="618" spans="10:40" ht="14.5" x14ac:dyDescent="0.35">
      <c r="J618" s="65"/>
      <c r="K618" s="65"/>
      <c r="L618" s="65"/>
      <c r="M618" s="65"/>
      <c r="N618" s="65"/>
      <c r="O618" s="65"/>
      <c r="P618" s="65"/>
      <c r="Q618" s="65"/>
      <c r="R618" s="65"/>
      <c r="S618" s="65"/>
      <c r="T618" s="65"/>
      <c r="U618" s="65"/>
      <c r="V618" s="65"/>
      <c r="W618" s="65"/>
      <c r="X618" s="65"/>
      <c r="Y618" s="65"/>
      <c r="Z618" s="65"/>
      <c r="AA618" s="65"/>
      <c r="AB618" s="65"/>
      <c r="AC618" s="65"/>
      <c r="AD618" s="65"/>
      <c r="AE618" s="65"/>
      <c r="AF618" s="65"/>
      <c r="AG618" s="65"/>
      <c r="AH618" s="65"/>
      <c r="AI618" s="65"/>
      <c r="AJ618" s="65"/>
      <c r="AK618" s="65"/>
      <c r="AL618" s="65"/>
      <c r="AM618" s="65"/>
      <c r="AN618" s="65"/>
    </row>
    <row r="619" spans="10:40" ht="14.5" x14ac:dyDescent="0.35">
      <c r="J619" s="65"/>
      <c r="K619" s="65"/>
      <c r="L619" s="65"/>
      <c r="M619" s="65"/>
      <c r="N619" s="65"/>
      <c r="O619" s="65"/>
      <c r="P619" s="65"/>
      <c r="Q619" s="65"/>
      <c r="R619" s="65"/>
      <c r="S619" s="65"/>
      <c r="T619" s="65"/>
      <c r="U619" s="65"/>
      <c r="V619" s="65"/>
      <c r="W619" s="65"/>
      <c r="X619" s="65"/>
      <c r="Y619" s="65"/>
      <c r="Z619" s="65"/>
      <c r="AA619" s="65"/>
      <c r="AB619" s="65"/>
      <c r="AC619" s="65"/>
      <c r="AD619" s="65"/>
      <c r="AE619" s="65"/>
      <c r="AF619" s="65"/>
      <c r="AG619" s="65"/>
      <c r="AH619" s="65"/>
      <c r="AI619" s="65"/>
      <c r="AJ619" s="65"/>
      <c r="AK619" s="65"/>
      <c r="AL619" s="65"/>
      <c r="AM619" s="65"/>
      <c r="AN619" s="65"/>
    </row>
    <row r="620" spans="10:40" ht="14.5" x14ac:dyDescent="0.35">
      <c r="J620" s="65"/>
      <c r="K620" s="65"/>
      <c r="L620" s="65"/>
      <c r="M620" s="65"/>
      <c r="N620" s="65"/>
      <c r="O620" s="65"/>
      <c r="P620" s="65"/>
      <c r="Q620" s="65"/>
      <c r="R620" s="65"/>
      <c r="S620" s="65"/>
      <c r="T620" s="65"/>
      <c r="U620" s="65"/>
      <c r="V620" s="65"/>
      <c r="W620" s="65"/>
      <c r="X620" s="65"/>
      <c r="Y620" s="65"/>
      <c r="Z620" s="65"/>
      <c r="AA620" s="65"/>
      <c r="AB620" s="65"/>
      <c r="AC620" s="65"/>
      <c r="AD620" s="65"/>
      <c r="AE620" s="65"/>
      <c r="AF620" s="65"/>
      <c r="AG620" s="65"/>
      <c r="AH620" s="65"/>
      <c r="AI620" s="65"/>
      <c r="AJ620" s="65"/>
      <c r="AK620" s="65"/>
      <c r="AL620" s="65"/>
      <c r="AM620" s="65"/>
      <c r="AN620" s="65"/>
    </row>
    <row r="621" spans="10:40" ht="14.5" x14ac:dyDescent="0.35">
      <c r="J621" s="65"/>
      <c r="K621" s="65"/>
      <c r="L621" s="65"/>
      <c r="M621" s="65"/>
      <c r="N621" s="65"/>
      <c r="O621" s="65"/>
      <c r="P621" s="65"/>
      <c r="Q621" s="65"/>
      <c r="R621" s="65"/>
      <c r="S621" s="65"/>
      <c r="T621" s="65"/>
      <c r="U621" s="65"/>
      <c r="V621" s="65"/>
      <c r="W621" s="65"/>
      <c r="X621" s="65"/>
      <c r="Y621" s="65"/>
      <c r="Z621" s="65"/>
      <c r="AA621" s="65"/>
      <c r="AB621" s="65"/>
      <c r="AC621" s="65"/>
      <c r="AD621" s="65"/>
      <c r="AE621" s="65"/>
      <c r="AF621" s="65"/>
      <c r="AG621" s="65"/>
      <c r="AH621" s="65"/>
      <c r="AI621" s="65"/>
      <c r="AJ621" s="65"/>
      <c r="AK621" s="65"/>
      <c r="AL621" s="65"/>
      <c r="AM621" s="65"/>
      <c r="AN621" s="65"/>
    </row>
    <row r="622" spans="10:40" ht="14.5" x14ac:dyDescent="0.35">
      <c r="J622" s="65"/>
      <c r="K622" s="65"/>
      <c r="L622" s="65"/>
      <c r="M622" s="65"/>
      <c r="N622" s="65"/>
      <c r="O622" s="65"/>
      <c r="P622" s="65"/>
      <c r="Q622" s="65"/>
      <c r="R622" s="65"/>
      <c r="S622" s="65"/>
      <c r="T622" s="65"/>
      <c r="U622" s="65"/>
      <c r="V622" s="65"/>
      <c r="W622" s="65"/>
      <c r="X622" s="65"/>
      <c r="Y622" s="65"/>
      <c r="Z622" s="65"/>
      <c r="AA622" s="65"/>
      <c r="AB622" s="65"/>
      <c r="AC622" s="65"/>
      <c r="AD622" s="65"/>
      <c r="AE622" s="65"/>
      <c r="AF622" s="65"/>
      <c r="AG622" s="65"/>
      <c r="AH622" s="65"/>
      <c r="AI622" s="65"/>
      <c r="AJ622" s="65"/>
      <c r="AK622" s="65"/>
      <c r="AL622" s="65"/>
      <c r="AM622" s="65"/>
      <c r="AN622" s="65"/>
    </row>
    <row r="623" spans="10:40" ht="14.5" x14ac:dyDescent="0.35">
      <c r="J623" s="65"/>
      <c r="K623" s="65"/>
      <c r="L623" s="65"/>
      <c r="M623" s="65"/>
      <c r="N623" s="65"/>
      <c r="O623" s="65"/>
      <c r="P623" s="65"/>
      <c r="Q623" s="65"/>
      <c r="R623" s="65"/>
      <c r="S623" s="65"/>
      <c r="T623" s="65"/>
      <c r="U623" s="65"/>
      <c r="V623" s="65"/>
      <c r="W623" s="65"/>
      <c r="X623" s="65"/>
      <c r="Y623" s="65"/>
      <c r="Z623" s="65"/>
      <c r="AA623" s="65"/>
      <c r="AB623" s="65"/>
      <c r="AC623" s="65"/>
      <c r="AD623" s="65"/>
      <c r="AE623" s="65"/>
      <c r="AF623" s="65"/>
      <c r="AG623" s="65"/>
      <c r="AH623" s="65"/>
      <c r="AI623" s="65"/>
      <c r="AJ623" s="65"/>
      <c r="AK623" s="65"/>
      <c r="AL623" s="65"/>
      <c r="AM623" s="65"/>
      <c r="AN623" s="65"/>
    </row>
    <row r="624" spans="10:40" ht="14.5" x14ac:dyDescent="0.35">
      <c r="J624" s="65"/>
      <c r="K624" s="65"/>
      <c r="L624" s="65"/>
      <c r="M624" s="65"/>
      <c r="N624" s="65"/>
      <c r="O624" s="65"/>
      <c r="P624" s="65"/>
      <c r="Q624" s="65"/>
      <c r="R624" s="65"/>
      <c r="S624" s="65"/>
      <c r="T624" s="65"/>
      <c r="U624" s="65"/>
      <c r="V624" s="65"/>
      <c r="W624" s="65"/>
      <c r="X624" s="65"/>
      <c r="Y624" s="65"/>
      <c r="Z624" s="65"/>
      <c r="AA624" s="65"/>
      <c r="AB624" s="65"/>
      <c r="AC624" s="65"/>
      <c r="AD624" s="65"/>
      <c r="AE624" s="65"/>
      <c r="AF624" s="65"/>
      <c r="AG624" s="65"/>
      <c r="AH624" s="65"/>
      <c r="AI624" s="65"/>
      <c r="AJ624" s="65"/>
      <c r="AK624" s="65"/>
      <c r="AL624" s="65"/>
      <c r="AM624" s="65"/>
      <c r="AN624" s="65"/>
    </row>
    <row r="625" spans="10:40" ht="14.5" x14ac:dyDescent="0.35">
      <c r="J625" s="65"/>
      <c r="K625" s="65"/>
      <c r="L625" s="65"/>
      <c r="M625" s="65"/>
      <c r="N625" s="65"/>
      <c r="O625" s="65"/>
      <c r="P625" s="65"/>
      <c r="Q625" s="65"/>
      <c r="R625" s="65"/>
      <c r="S625" s="65"/>
      <c r="T625" s="65"/>
      <c r="U625" s="65"/>
      <c r="V625" s="65"/>
      <c r="W625" s="65"/>
      <c r="X625" s="65"/>
      <c r="Y625" s="65"/>
      <c r="Z625" s="65"/>
      <c r="AA625" s="65"/>
      <c r="AB625" s="65"/>
      <c r="AC625" s="65"/>
      <c r="AD625" s="65"/>
      <c r="AE625" s="65"/>
      <c r="AF625" s="65"/>
      <c r="AG625" s="65"/>
      <c r="AH625" s="65"/>
      <c r="AI625" s="65"/>
      <c r="AJ625" s="65"/>
      <c r="AK625" s="65"/>
      <c r="AL625" s="65"/>
      <c r="AM625" s="65"/>
      <c r="AN625" s="65"/>
    </row>
    <row r="626" spans="10:40" ht="14.5" x14ac:dyDescent="0.35">
      <c r="J626" s="65"/>
      <c r="K626" s="65"/>
      <c r="L626" s="65"/>
      <c r="M626" s="65"/>
      <c r="N626" s="65"/>
      <c r="O626" s="65"/>
      <c r="P626" s="65"/>
      <c r="Q626" s="65"/>
      <c r="R626" s="65"/>
      <c r="S626" s="65"/>
      <c r="T626" s="65"/>
      <c r="U626" s="65"/>
      <c r="V626" s="65"/>
      <c r="W626" s="65"/>
      <c r="X626" s="65"/>
      <c r="Y626" s="65"/>
      <c r="Z626" s="65"/>
      <c r="AA626" s="65"/>
      <c r="AB626" s="65"/>
      <c r="AC626" s="65"/>
      <c r="AD626" s="65"/>
      <c r="AE626" s="65"/>
      <c r="AF626" s="65"/>
      <c r="AG626" s="65"/>
      <c r="AH626" s="65"/>
      <c r="AI626" s="65"/>
      <c r="AJ626" s="65"/>
      <c r="AK626" s="65"/>
      <c r="AL626" s="65"/>
      <c r="AM626" s="65"/>
      <c r="AN626" s="65"/>
    </row>
    <row r="627" spans="10:40" ht="14.5" x14ac:dyDescent="0.35">
      <c r="J627" s="65"/>
      <c r="K627" s="65"/>
      <c r="L627" s="65"/>
      <c r="M627" s="65"/>
      <c r="N627" s="65"/>
      <c r="O627" s="65"/>
      <c r="P627" s="65"/>
      <c r="Q627" s="65"/>
      <c r="R627" s="65"/>
      <c r="S627" s="65"/>
      <c r="T627" s="65"/>
      <c r="U627" s="65"/>
      <c r="V627" s="65"/>
      <c r="W627" s="65"/>
      <c r="X627" s="65"/>
      <c r="Y627" s="65"/>
      <c r="Z627" s="65"/>
      <c r="AA627" s="65"/>
      <c r="AB627" s="65"/>
      <c r="AC627" s="65"/>
      <c r="AD627" s="65"/>
      <c r="AE627" s="65"/>
      <c r="AF627" s="65"/>
      <c r="AG627" s="65"/>
      <c r="AH627" s="65"/>
      <c r="AI627" s="65"/>
      <c r="AJ627" s="65"/>
      <c r="AK627" s="65"/>
      <c r="AL627" s="65"/>
      <c r="AM627" s="65"/>
      <c r="AN627" s="65"/>
    </row>
    <row r="628" spans="10:40" ht="14.5" x14ac:dyDescent="0.35">
      <c r="J628" s="65"/>
      <c r="K628" s="65"/>
      <c r="L628" s="65"/>
      <c r="M628" s="65"/>
      <c r="N628" s="65"/>
      <c r="O628" s="65"/>
      <c r="P628" s="65"/>
      <c r="Q628" s="65"/>
      <c r="R628" s="65"/>
      <c r="S628" s="65"/>
      <c r="T628" s="65"/>
      <c r="U628" s="65"/>
      <c r="V628" s="65"/>
      <c r="W628" s="65"/>
      <c r="X628" s="65"/>
      <c r="Y628" s="65"/>
      <c r="Z628" s="65"/>
      <c r="AA628" s="65"/>
      <c r="AB628" s="65"/>
      <c r="AC628" s="65"/>
      <c r="AD628" s="65"/>
      <c r="AE628" s="65"/>
      <c r="AF628" s="65"/>
      <c r="AG628" s="65"/>
      <c r="AH628" s="65"/>
      <c r="AI628" s="65"/>
      <c r="AJ628" s="65"/>
      <c r="AK628" s="65"/>
      <c r="AL628" s="65"/>
      <c r="AM628" s="65"/>
      <c r="AN628" s="65"/>
    </row>
    <row r="629" spans="10:40" ht="14.5" x14ac:dyDescent="0.35">
      <c r="J629" s="65"/>
      <c r="K629" s="65"/>
      <c r="L629" s="65"/>
      <c r="M629" s="65"/>
      <c r="N629" s="65"/>
      <c r="O629" s="65"/>
      <c r="P629" s="65"/>
      <c r="Q629" s="65"/>
      <c r="R629" s="65"/>
      <c r="S629" s="65"/>
      <c r="T629" s="65"/>
      <c r="U629" s="65"/>
      <c r="V629" s="65"/>
      <c r="W629" s="65"/>
      <c r="X629" s="65"/>
      <c r="Y629" s="65"/>
      <c r="Z629" s="65"/>
      <c r="AA629" s="65"/>
      <c r="AB629" s="65"/>
      <c r="AC629" s="65"/>
      <c r="AD629" s="65"/>
      <c r="AE629" s="65"/>
      <c r="AF629" s="65"/>
      <c r="AG629" s="65"/>
      <c r="AH629" s="65"/>
      <c r="AI629" s="65"/>
      <c r="AJ629" s="65"/>
      <c r="AK629" s="65"/>
      <c r="AL629" s="65"/>
      <c r="AM629" s="65"/>
      <c r="AN629" s="65"/>
    </row>
    <row r="630" spans="10:40" ht="14.5" x14ac:dyDescent="0.35">
      <c r="J630" s="65"/>
      <c r="K630" s="65"/>
      <c r="L630" s="65"/>
      <c r="M630" s="65"/>
      <c r="N630" s="65"/>
      <c r="O630" s="65"/>
      <c r="P630" s="65"/>
      <c r="Q630" s="65"/>
      <c r="R630" s="65"/>
      <c r="S630" s="65"/>
      <c r="T630" s="65"/>
      <c r="U630" s="65"/>
      <c r="V630" s="65"/>
      <c r="W630" s="65"/>
      <c r="X630" s="65"/>
      <c r="Y630" s="65"/>
      <c r="Z630" s="65"/>
      <c r="AA630" s="65"/>
      <c r="AB630" s="65"/>
      <c r="AC630" s="65"/>
      <c r="AD630" s="65"/>
      <c r="AE630" s="65"/>
      <c r="AF630" s="65"/>
      <c r="AG630" s="65"/>
      <c r="AH630" s="65"/>
      <c r="AI630" s="65"/>
      <c r="AJ630" s="65"/>
      <c r="AK630" s="65"/>
      <c r="AL630" s="65"/>
      <c r="AM630" s="65"/>
      <c r="AN630" s="65"/>
    </row>
    <row r="631" spans="10:40" ht="14.5" x14ac:dyDescent="0.35">
      <c r="J631" s="65"/>
      <c r="K631" s="65"/>
      <c r="L631" s="65"/>
      <c r="M631" s="65"/>
      <c r="N631" s="65"/>
      <c r="O631" s="65"/>
      <c r="P631" s="65"/>
      <c r="Q631" s="65"/>
      <c r="R631" s="65"/>
      <c r="S631" s="65"/>
      <c r="T631" s="65"/>
      <c r="U631" s="65"/>
      <c r="V631" s="65"/>
      <c r="W631" s="65"/>
      <c r="X631" s="65"/>
      <c r="Y631" s="65"/>
      <c r="Z631" s="65"/>
      <c r="AA631" s="65"/>
      <c r="AB631" s="65"/>
      <c r="AC631" s="65"/>
      <c r="AD631" s="65"/>
      <c r="AE631" s="65"/>
      <c r="AF631" s="65"/>
      <c r="AG631" s="65"/>
      <c r="AH631" s="65"/>
      <c r="AI631" s="65"/>
      <c r="AJ631" s="65"/>
      <c r="AK631" s="65"/>
      <c r="AL631" s="65"/>
      <c r="AM631" s="65"/>
      <c r="AN631" s="65"/>
    </row>
    <row r="632" spans="10:40" ht="14.5" x14ac:dyDescent="0.35">
      <c r="J632" s="65"/>
      <c r="K632" s="65"/>
      <c r="L632" s="65"/>
      <c r="M632" s="65"/>
      <c r="N632" s="65"/>
      <c r="O632" s="65"/>
      <c r="P632" s="65"/>
      <c r="Q632" s="65"/>
      <c r="R632" s="65"/>
      <c r="S632" s="65"/>
      <c r="T632" s="65"/>
      <c r="U632" s="65"/>
      <c r="V632" s="65"/>
      <c r="W632" s="65"/>
      <c r="X632" s="65"/>
      <c r="Y632" s="65"/>
      <c r="Z632" s="65"/>
      <c r="AA632" s="65"/>
      <c r="AB632" s="65"/>
      <c r="AC632" s="65"/>
      <c r="AD632" s="65"/>
      <c r="AE632" s="65"/>
      <c r="AF632" s="65"/>
      <c r="AG632" s="65"/>
      <c r="AH632" s="65"/>
      <c r="AI632" s="65"/>
      <c r="AJ632" s="65"/>
      <c r="AK632" s="65"/>
      <c r="AL632" s="65"/>
      <c r="AM632" s="65"/>
      <c r="AN632" s="65"/>
    </row>
    <row r="633" spans="10:40" ht="14.5" x14ac:dyDescent="0.35">
      <c r="J633" s="65"/>
      <c r="K633" s="65"/>
      <c r="L633" s="65"/>
      <c r="M633" s="65"/>
      <c r="N633" s="65"/>
      <c r="O633" s="65"/>
      <c r="P633" s="65"/>
      <c r="Q633" s="65"/>
      <c r="R633" s="65"/>
      <c r="S633" s="65"/>
      <c r="T633" s="65"/>
      <c r="U633" s="65"/>
      <c r="V633" s="65"/>
      <c r="W633" s="65"/>
      <c r="X633" s="65"/>
      <c r="Y633" s="65"/>
      <c r="Z633" s="65"/>
      <c r="AA633" s="65"/>
      <c r="AB633" s="65"/>
      <c r="AC633" s="65"/>
      <c r="AD633" s="65"/>
      <c r="AE633" s="65"/>
      <c r="AF633" s="65"/>
      <c r="AG633" s="65"/>
      <c r="AH633" s="65"/>
      <c r="AI633" s="65"/>
      <c r="AJ633" s="65"/>
      <c r="AK633" s="65"/>
      <c r="AL633" s="65"/>
      <c r="AM633" s="65"/>
      <c r="AN633" s="65"/>
    </row>
    <row r="634" spans="10:40" ht="14.5" x14ac:dyDescent="0.35">
      <c r="J634" s="65"/>
      <c r="K634" s="65"/>
      <c r="L634" s="65"/>
      <c r="M634" s="65"/>
      <c r="N634" s="65"/>
      <c r="O634" s="65"/>
      <c r="P634" s="65"/>
      <c r="Q634" s="65"/>
      <c r="R634" s="65"/>
      <c r="S634" s="65"/>
      <c r="T634" s="65"/>
      <c r="U634" s="65"/>
      <c r="V634" s="65"/>
      <c r="W634" s="65"/>
      <c r="X634" s="65"/>
      <c r="Y634" s="65"/>
      <c r="Z634" s="65"/>
      <c r="AA634" s="65"/>
      <c r="AB634" s="65"/>
      <c r="AC634" s="65"/>
      <c r="AD634" s="65"/>
      <c r="AE634" s="65"/>
      <c r="AF634" s="65"/>
      <c r="AG634" s="65"/>
      <c r="AH634" s="65"/>
      <c r="AI634" s="65"/>
      <c r="AJ634" s="65"/>
      <c r="AK634" s="65"/>
      <c r="AL634" s="65"/>
      <c r="AM634" s="65"/>
      <c r="AN634" s="65"/>
    </row>
    <row r="635" spans="10:40" ht="14.5" x14ac:dyDescent="0.35">
      <c r="J635" s="65"/>
      <c r="K635" s="65"/>
      <c r="L635" s="65"/>
      <c r="M635" s="65"/>
      <c r="N635" s="65"/>
      <c r="O635" s="65"/>
      <c r="P635" s="65"/>
      <c r="Q635" s="65"/>
      <c r="R635" s="65"/>
      <c r="S635" s="65"/>
      <c r="T635" s="65"/>
      <c r="U635" s="65"/>
      <c r="V635" s="65"/>
      <c r="W635" s="65"/>
      <c r="X635" s="65"/>
      <c r="Y635" s="65"/>
      <c r="Z635" s="65"/>
      <c r="AA635" s="65"/>
      <c r="AB635" s="65"/>
      <c r="AC635" s="65"/>
      <c r="AD635" s="65"/>
      <c r="AE635" s="65"/>
      <c r="AF635" s="65"/>
      <c r="AG635" s="65"/>
      <c r="AH635" s="65"/>
      <c r="AI635" s="65"/>
      <c r="AJ635" s="65"/>
      <c r="AK635" s="65"/>
      <c r="AL635" s="65"/>
      <c r="AM635" s="65"/>
      <c r="AN635" s="65"/>
    </row>
    <row r="636" spans="10:40" ht="14.5" x14ac:dyDescent="0.35">
      <c r="J636" s="65"/>
      <c r="K636" s="65"/>
      <c r="L636" s="65"/>
      <c r="M636" s="65"/>
      <c r="N636" s="65"/>
      <c r="O636" s="65"/>
      <c r="P636" s="65"/>
      <c r="Q636" s="65"/>
      <c r="R636" s="65"/>
      <c r="S636" s="65"/>
      <c r="T636" s="65"/>
      <c r="U636" s="65"/>
      <c r="V636" s="65"/>
      <c r="W636" s="65"/>
      <c r="X636" s="65"/>
      <c r="Y636" s="65"/>
      <c r="Z636" s="65"/>
      <c r="AA636" s="65"/>
      <c r="AB636" s="65"/>
      <c r="AC636" s="65"/>
      <c r="AD636" s="65"/>
      <c r="AE636" s="65"/>
      <c r="AF636" s="65"/>
      <c r="AG636" s="65"/>
      <c r="AH636" s="65"/>
      <c r="AI636" s="65"/>
      <c r="AJ636" s="65"/>
      <c r="AK636" s="65"/>
      <c r="AL636" s="65"/>
      <c r="AM636" s="65"/>
      <c r="AN636" s="65"/>
    </row>
    <row r="637" spans="10:40" ht="14.5" x14ac:dyDescent="0.35">
      <c r="J637" s="65"/>
      <c r="K637" s="65"/>
      <c r="L637" s="65"/>
      <c r="M637" s="65"/>
      <c r="N637" s="65"/>
      <c r="O637" s="65"/>
      <c r="P637" s="65"/>
      <c r="Q637" s="65"/>
      <c r="R637" s="65"/>
      <c r="S637" s="65"/>
      <c r="T637" s="65"/>
      <c r="U637" s="65"/>
      <c r="V637" s="65"/>
      <c r="W637" s="65"/>
      <c r="X637" s="65"/>
      <c r="Y637" s="65"/>
      <c r="Z637" s="65"/>
      <c r="AA637" s="65"/>
      <c r="AB637" s="65"/>
      <c r="AC637" s="65"/>
      <c r="AD637" s="65"/>
      <c r="AE637" s="65"/>
      <c r="AF637" s="65"/>
      <c r="AG637" s="65"/>
      <c r="AH637" s="65"/>
      <c r="AI637" s="65"/>
      <c r="AJ637" s="65"/>
      <c r="AK637" s="65"/>
      <c r="AL637" s="65"/>
      <c r="AM637" s="65"/>
      <c r="AN637" s="65"/>
    </row>
    <row r="638" spans="10:40" ht="14.5" x14ac:dyDescent="0.35">
      <c r="J638" s="65"/>
      <c r="K638" s="65"/>
      <c r="L638" s="65"/>
      <c r="M638" s="65"/>
      <c r="N638" s="65"/>
      <c r="O638" s="65"/>
      <c r="P638" s="65"/>
      <c r="Q638" s="65"/>
      <c r="R638" s="65"/>
      <c r="S638" s="65"/>
      <c r="T638" s="65"/>
      <c r="U638" s="65"/>
      <c r="V638" s="65"/>
      <c r="W638" s="65"/>
      <c r="X638" s="65"/>
      <c r="Y638" s="65"/>
      <c r="Z638" s="65"/>
      <c r="AA638" s="65"/>
      <c r="AB638" s="65"/>
      <c r="AC638" s="65"/>
      <c r="AD638" s="65"/>
      <c r="AE638" s="65"/>
      <c r="AF638" s="65"/>
      <c r="AG638" s="65"/>
      <c r="AH638" s="65"/>
      <c r="AI638" s="65"/>
      <c r="AJ638" s="65"/>
      <c r="AK638" s="65"/>
      <c r="AL638" s="65"/>
      <c r="AM638" s="65"/>
      <c r="AN638" s="65"/>
    </row>
    <row r="639" spans="10:40" ht="14.5" x14ac:dyDescent="0.35">
      <c r="J639" s="65"/>
      <c r="K639" s="65"/>
      <c r="L639" s="65"/>
      <c r="M639" s="65"/>
      <c r="N639" s="65"/>
      <c r="O639" s="65"/>
      <c r="P639" s="65"/>
      <c r="Q639" s="65"/>
      <c r="R639" s="65"/>
      <c r="S639" s="65"/>
      <c r="T639" s="65"/>
      <c r="U639" s="65"/>
      <c r="V639" s="65"/>
      <c r="W639" s="65"/>
      <c r="X639" s="65"/>
      <c r="Y639" s="65"/>
      <c r="Z639" s="65"/>
      <c r="AA639" s="65"/>
      <c r="AB639" s="65"/>
      <c r="AC639" s="65"/>
      <c r="AD639" s="65"/>
      <c r="AE639" s="65"/>
      <c r="AF639" s="65"/>
      <c r="AG639" s="65"/>
      <c r="AH639" s="65"/>
      <c r="AI639" s="65"/>
      <c r="AJ639" s="65"/>
      <c r="AK639" s="65"/>
      <c r="AL639" s="65"/>
      <c r="AM639" s="65"/>
      <c r="AN639" s="65"/>
    </row>
    <row r="640" spans="10:40" ht="14.5" x14ac:dyDescent="0.35">
      <c r="J640" s="65"/>
      <c r="K640" s="65"/>
      <c r="L640" s="65"/>
      <c r="M640" s="65"/>
      <c r="N640" s="65"/>
      <c r="O640" s="65"/>
      <c r="P640" s="65"/>
      <c r="Q640" s="65"/>
      <c r="R640" s="65"/>
      <c r="S640" s="65"/>
      <c r="T640" s="65"/>
      <c r="U640" s="65"/>
      <c r="V640" s="65"/>
      <c r="W640" s="65"/>
      <c r="X640" s="65"/>
      <c r="Y640" s="65"/>
      <c r="Z640" s="65"/>
      <c r="AA640" s="65"/>
      <c r="AB640" s="65"/>
      <c r="AC640" s="65"/>
      <c r="AD640" s="65"/>
      <c r="AE640" s="65"/>
      <c r="AF640" s="65"/>
      <c r="AG640" s="65"/>
      <c r="AH640" s="65"/>
      <c r="AI640" s="65"/>
      <c r="AJ640" s="65"/>
      <c r="AK640" s="65"/>
      <c r="AL640" s="65"/>
      <c r="AM640" s="65"/>
      <c r="AN640" s="65"/>
    </row>
    <row r="641" spans="10:40" ht="14.5" x14ac:dyDescent="0.35">
      <c r="J641" s="65"/>
      <c r="K641" s="65"/>
      <c r="L641" s="65"/>
      <c r="M641" s="65"/>
      <c r="N641" s="65"/>
      <c r="O641" s="65"/>
      <c r="P641" s="65"/>
      <c r="Q641" s="65"/>
      <c r="R641" s="65"/>
      <c r="S641" s="65"/>
      <c r="T641" s="65"/>
      <c r="U641" s="65"/>
      <c r="V641" s="65"/>
      <c r="W641" s="65"/>
      <c r="X641" s="65"/>
      <c r="Y641" s="65"/>
      <c r="Z641" s="65"/>
      <c r="AA641" s="65"/>
      <c r="AB641" s="65"/>
      <c r="AC641" s="65"/>
      <c r="AD641" s="65"/>
      <c r="AE641" s="65"/>
      <c r="AF641" s="65"/>
      <c r="AG641" s="65"/>
      <c r="AH641" s="65"/>
      <c r="AI641" s="65"/>
      <c r="AJ641" s="65"/>
      <c r="AK641" s="65"/>
      <c r="AL641" s="65"/>
      <c r="AM641" s="65"/>
      <c r="AN641" s="65"/>
    </row>
    <row r="642" spans="10:40" ht="14.5" x14ac:dyDescent="0.35">
      <c r="J642" s="65"/>
      <c r="K642" s="65"/>
      <c r="L642" s="65"/>
      <c r="M642" s="65"/>
      <c r="N642" s="65"/>
      <c r="O642" s="65"/>
      <c r="P642" s="65"/>
      <c r="Q642" s="65"/>
      <c r="R642" s="65"/>
      <c r="S642" s="65"/>
      <c r="T642" s="65"/>
      <c r="U642" s="65"/>
      <c r="V642" s="65"/>
      <c r="W642" s="65"/>
      <c r="X642" s="65"/>
      <c r="Y642" s="65"/>
      <c r="Z642" s="65"/>
      <c r="AA642" s="65"/>
      <c r="AB642" s="65"/>
      <c r="AC642" s="65"/>
      <c r="AD642" s="65"/>
      <c r="AE642" s="65"/>
      <c r="AF642" s="65"/>
      <c r="AG642" s="65"/>
      <c r="AH642" s="65"/>
      <c r="AI642" s="65"/>
      <c r="AJ642" s="65"/>
      <c r="AK642" s="65"/>
      <c r="AL642" s="65"/>
      <c r="AM642" s="65"/>
      <c r="AN642" s="65"/>
    </row>
    <row r="643" spans="10:40" ht="14.5" x14ac:dyDescent="0.35">
      <c r="J643" s="65"/>
      <c r="K643" s="65"/>
      <c r="L643" s="65"/>
      <c r="M643" s="65"/>
      <c r="N643" s="65"/>
      <c r="O643" s="65"/>
      <c r="P643" s="65"/>
      <c r="Q643" s="65"/>
      <c r="R643" s="65"/>
      <c r="S643" s="65"/>
      <c r="T643" s="65"/>
      <c r="U643" s="65"/>
      <c r="V643" s="65"/>
      <c r="W643" s="65"/>
      <c r="X643" s="65"/>
      <c r="Y643" s="65"/>
      <c r="Z643" s="65"/>
      <c r="AA643" s="65"/>
      <c r="AB643" s="65"/>
      <c r="AC643" s="65"/>
      <c r="AD643" s="65"/>
      <c r="AE643" s="65"/>
      <c r="AF643" s="65"/>
      <c r="AG643" s="65"/>
      <c r="AH643" s="65"/>
      <c r="AI643" s="65"/>
      <c r="AJ643" s="65"/>
      <c r="AK643" s="65"/>
      <c r="AL643" s="65"/>
      <c r="AM643" s="65"/>
      <c r="AN643" s="65"/>
    </row>
    <row r="644" spans="10:40" ht="14.5" x14ac:dyDescent="0.35">
      <c r="J644" s="65"/>
      <c r="K644" s="65"/>
      <c r="L644" s="65"/>
      <c r="M644" s="65"/>
      <c r="N644" s="65"/>
      <c r="O644" s="65"/>
      <c r="P644" s="65"/>
      <c r="Q644" s="65"/>
      <c r="R644" s="65"/>
      <c r="S644" s="65"/>
      <c r="T644" s="65"/>
      <c r="U644" s="65"/>
      <c r="V644" s="65"/>
      <c r="W644" s="65"/>
      <c r="X644" s="65"/>
      <c r="Y644" s="65"/>
      <c r="Z644" s="65"/>
      <c r="AA644" s="65"/>
      <c r="AB644" s="65"/>
      <c r="AC644" s="65"/>
      <c r="AD644" s="65"/>
      <c r="AE644" s="65"/>
      <c r="AF644" s="65"/>
      <c r="AG644" s="65"/>
      <c r="AH644" s="65"/>
      <c r="AI644" s="65"/>
      <c r="AJ644" s="65"/>
      <c r="AK644" s="65"/>
      <c r="AL644" s="65"/>
      <c r="AM644" s="65"/>
      <c r="AN644" s="65"/>
    </row>
    <row r="645" spans="10:40" ht="14.5" x14ac:dyDescent="0.35">
      <c r="J645" s="65"/>
      <c r="K645" s="65"/>
      <c r="L645" s="65"/>
      <c r="M645" s="65"/>
      <c r="N645" s="65"/>
      <c r="O645" s="65"/>
      <c r="P645" s="65"/>
      <c r="Q645" s="65"/>
      <c r="R645" s="65"/>
      <c r="S645" s="65"/>
      <c r="T645" s="65"/>
      <c r="U645" s="65"/>
      <c r="V645" s="65"/>
      <c r="W645" s="65"/>
      <c r="X645" s="65"/>
      <c r="Y645" s="65"/>
      <c r="Z645" s="65"/>
      <c r="AA645" s="65"/>
      <c r="AB645" s="65"/>
      <c r="AC645" s="65"/>
      <c r="AD645" s="65"/>
      <c r="AE645" s="65"/>
      <c r="AF645" s="65"/>
      <c r="AG645" s="65"/>
      <c r="AH645" s="65"/>
      <c r="AI645" s="65"/>
      <c r="AJ645" s="65"/>
      <c r="AK645" s="65"/>
      <c r="AL645" s="65"/>
      <c r="AM645" s="65"/>
      <c r="AN645" s="65"/>
    </row>
    <row r="646" spans="10:40" ht="14.5" x14ac:dyDescent="0.35">
      <c r="J646" s="65"/>
      <c r="K646" s="65"/>
      <c r="L646" s="65"/>
      <c r="M646" s="65"/>
      <c r="N646" s="65"/>
      <c r="O646" s="65"/>
      <c r="P646" s="65"/>
      <c r="Q646" s="65"/>
      <c r="R646" s="65"/>
      <c r="S646" s="65"/>
      <c r="T646" s="65"/>
      <c r="U646" s="65"/>
      <c r="V646" s="65"/>
      <c r="W646" s="65"/>
      <c r="X646" s="65"/>
      <c r="Y646" s="65"/>
      <c r="Z646" s="65"/>
      <c r="AA646" s="65"/>
      <c r="AB646" s="65"/>
      <c r="AC646" s="65"/>
      <c r="AD646" s="65"/>
      <c r="AE646" s="65"/>
      <c r="AF646" s="65"/>
      <c r="AG646" s="65"/>
      <c r="AH646" s="65"/>
      <c r="AI646" s="65"/>
      <c r="AJ646" s="65"/>
      <c r="AK646" s="65"/>
      <c r="AL646" s="65"/>
      <c r="AM646" s="65"/>
      <c r="AN646" s="65"/>
    </row>
    <row r="647" spans="10:40" ht="14.5" x14ac:dyDescent="0.35">
      <c r="J647" s="65"/>
      <c r="K647" s="65"/>
      <c r="L647" s="65"/>
      <c r="M647" s="65"/>
      <c r="N647" s="65"/>
      <c r="O647" s="65"/>
      <c r="P647" s="65"/>
      <c r="Q647" s="65"/>
      <c r="R647" s="65"/>
      <c r="S647" s="65"/>
      <c r="T647" s="65"/>
      <c r="U647" s="65"/>
      <c r="V647" s="65"/>
      <c r="W647" s="65"/>
      <c r="X647" s="65"/>
      <c r="Y647" s="65"/>
      <c r="Z647" s="65"/>
      <c r="AA647" s="65"/>
      <c r="AB647" s="65"/>
      <c r="AC647" s="65"/>
      <c r="AD647" s="65"/>
      <c r="AE647" s="65"/>
      <c r="AF647" s="65"/>
      <c r="AG647" s="65"/>
      <c r="AH647" s="65"/>
      <c r="AI647" s="65"/>
      <c r="AJ647" s="65"/>
      <c r="AK647" s="65"/>
      <c r="AL647" s="65"/>
      <c r="AM647" s="65"/>
      <c r="AN647" s="65"/>
    </row>
    <row r="648" spans="10:40" ht="14.5" x14ac:dyDescent="0.35">
      <c r="J648" s="65"/>
      <c r="K648" s="65"/>
      <c r="L648" s="65"/>
      <c r="M648" s="65"/>
      <c r="N648" s="65"/>
      <c r="O648" s="65"/>
      <c r="P648" s="65"/>
      <c r="Q648" s="65"/>
      <c r="R648" s="65"/>
      <c r="S648" s="65"/>
      <c r="T648" s="65"/>
      <c r="U648" s="65"/>
      <c r="V648" s="65"/>
      <c r="W648" s="65"/>
      <c r="X648" s="65"/>
      <c r="Y648" s="65"/>
      <c r="Z648" s="65"/>
      <c r="AA648" s="65"/>
      <c r="AB648" s="65"/>
      <c r="AC648" s="65"/>
      <c r="AD648" s="65"/>
      <c r="AE648" s="65"/>
      <c r="AF648" s="65"/>
      <c r="AG648" s="65"/>
      <c r="AH648" s="65"/>
      <c r="AI648" s="65"/>
      <c r="AJ648" s="65"/>
      <c r="AK648" s="65"/>
      <c r="AL648" s="65"/>
      <c r="AM648" s="65"/>
      <c r="AN648" s="65"/>
    </row>
    <row r="649" spans="10:40" ht="14.5" x14ac:dyDescent="0.35">
      <c r="J649" s="65"/>
      <c r="K649" s="65"/>
      <c r="L649" s="65"/>
      <c r="M649" s="65"/>
      <c r="N649" s="65"/>
      <c r="O649" s="65"/>
      <c r="P649" s="65"/>
      <c r="Q649" s="65"/>
      <c r="R649" s="65"/>
      <c r="S649" s="65"/>
      <c r="T649" s="65"/>
      <c r="U649" s="65"/>
      <c r="V649" s="65"/>
      <c r="W649" s="65"/>
      <c r="X649" s="65"/>
      <c r="Y649" s="65"/>
      <c r="Z649" s="65"/>
      <c r="AA649" s="65"/>
      <c r="AB649" s="65"/>
      <c r="AC649" s="65"/>
      <c r="AD649" s="65"/>
      <c r="AE649" s="65"/>
      <c r="AF649" s="65"/>
      <c r="AG649" s="65"/>
      <c r="AH649" s="65"/>
      <c r="AI649" s="65"/>
      <c r="AJ649" s="65"/>
      <c r="AK649" s="65"/>
      <c r="AL649" s="65"/>
      <c r="AM649" s="65"/>
      <c r="AN649" s="65"/>
    </row>
    <row r="650" spans="10:40" ht="14.5" x14ac:dyDescent="0.35">
      <c r="J650" s="65"/>
      <c r="K650" s="65"/>
      <c r="L650" s="65"/>
      <c r="M650" s="65"/>
      <c r="N650" s="65"/>
      <c r="O650" s="65"/>
      <c r="P650" s="65"/>
      <c r="Q650" s="65"/>
      <c r="R650" s="65"/>
      <c r="S650" s="65"/>
      <c r="T650" s="65"/>
      <c r="U650" s="65"/>
      <c r="V650" s="65"/>
      <c r="W650" s="65"/>
      <c r="X650" s="65"/>
      <c r="Y650" s="65"/>
      <c r="Z650" s="65"/>
      <c r="AA650" s="65"/>
      <c r="AB650" s="65"/>
      <c r="AC650" s="65"/>
      <c r="AD650" s="65"/>
      <c r="AE650" s="65"/>
      <c r="AF650" s="65"/>
      <c r="AG650" s="65"/>
      <c r="AH650" s="65"/>
      <c r="AI650" s="65"/>
      <c r="AJ650" s="65"/>
      <c r="AK650" s="65"/>
      <c r="AL650" s="65"/>
      <c r="AM650" s="65"/>
      <c r="AN650" s="65"/>
    </row>
    <row r="651" spans="10:40" ht="14.5" x14ac:dyDescent="0.35">
      <c r="J651" s="65"/>
      <c r="K651" s="65"/>
      <c r="L651" s="65"/>
      <c r="M651" s="65"/>
      <c r="N651" s="65"/>
      <c r="O651" s="65"/>
      <c r="P651" s="65"/>
      <c r="Q651" s="65"/>
      <c r="R651" s="65"/>
      <c r="S651" s="65"/>
      <c r="T651" s="65"/>
      <c r="U651" s="65"/>
      <c r="V651" s="65"/>
      <c r="W651" s="65"/>
      <c r="X651" s="65"/>
      <c r="Y651" s="65"/>
      <c r="Z651" s="65"/>
      <c r="AA651" s="65"/>
      <c r="AB651" s="65"/>
      <c r="AC651" s="65"/>
      <c r="AD651" s="65"/>
      <c r="AE651" s="65"/>
      <c r="AF651" s="65"/>
      <c r="AG651" s="65"/>
      <c r="AH651" s="65"/>
      <c r="AI651" s="65"/>
      <c r="AJ651" s="65"/>
      <c r="AK651" s="65"/>
      <c r="AL651" s="65"/>
      <c r="AM651" s="65"/>
      <c r="AN651" s="65"/>
    </row>
    <row r="652" spans="10:40" ht="14.5" x14ac:dyDescent="0.35">
      <c r="J652" s="65"/>
      <c r="K652" s="65"/>
      <c r="L652" s="65"/>
      <c r="M652" s="65"/>
      <c r="N652" s="65"/>
      <c r="O652" s="65"/>
      <c r="P652" s="65"/>
      <c r="Q652" s="65"/>
      <c r="R652" s="65"/>
      <c r="S652" s="65"/>
      <c r="T652" s="65"/>
      <c r="U652" s="65"/>
      <c r="V652" s="65"/>
      <c r="W652" s="65"/>
      <c r="X652" s="65"/>
      <c r="Y652" s="65"/>
      <c r="Z652" s="65"/>
      <c r="AA652" s="65"/>
      <c r="AB652" s="65"/>
      <c r="AC652" s="65"/>
      <c r="AD652" s="65"/>
      <c r="AE652" s="65"/>
      <c r="AF652" s="65"/>
      <c r="AG652" s="65"/>
      <c r="AH652" s="65"/>
      <c r="AI652" s="65"/>
      <c r="AJ652" s="65"/>
      <c r="AK652" s="65"/>
      <c r="AL652" s="65"/>
      <c r="AM652" s="65"/>
      <c r="AN652" s="65"/>
    </row>
    <row r="653" spans="10:40" ht="14.5" x14ac:dyDescent="0.35">
      <c r="J653" s="65"/>
      <c r="K653" s="65"/>
      <c r="L653" s="65"/>
      <c r="M653" s="65"/>
      <c r="N653" s="65"/>
      <c r="O653" s="65"/>
      <c r="P653" s="65"/>
      <c r="Q653" s="65"/>
      <c r="R653" s="65"/>
      <c r="S653" s="65"/>
      <c r="T653" s="65"/>
      <c r="U653" s="65"/>
      <c r="V653" s="65"/>
      <c r="W653" s="65"/>
      <c r="X653" s="65"/>
      <c r="Y653" s="65"/>
      <c r="Z653" s="65"/>
      <c r="AA653" s="65"/>
      <c r="AB653" s="65"/>
      <c r="AC653" s="65"/>
      <c r="AD653" s="65"/>
      <c r="AE653" s="65"/>
      <c r="AF653" s="65"/>
      <c r="AG653" s="65"/>
      <c r="AH653" s="65"/>
      <c r="AI653" s="65"/>
      <c r="AJ653" s="65"/>
      <c r="AK653" s="65"/>
      <c r="AL653" s="65"/>
      <c r="AM653" s="65"/>
      <c r="AN653" s="65"/>
    </row>
    <row r="654" spans="10:40" ht="14.5" x14ac:dyDescent="0.35">
      <c r="J654" s="65"/>
      <c r="K654" s="65"/>
      <c r="L654" s="65"/>
      <c r="M654" s="65"/>
      <c r="N654" s="65"/>
      <c r="O654" s="65"/>
      <c r="P654" s="65"/>
      <c r="Q654" s="65"/>
      <c r="R654" s="65"/>
      <c r="S654" s="65"/>
      <c r="T654" s="65"/>
      <c r="U654" s="65"/>
      <c r="V654" s="65"/>
      <c r="W654" s="65"/>
      <c r="X654" s="65"/>
      <c r="Y654" s="65"/>
      <c r="Z654" s="65"/>
      <c r="AA654" s="65"/>
      <c r="AB654" s="65"/>
      <c r="AC654" s="65"/>
      <c r="AD654" s="65"/>
      <c r="AE654" s="65"/>
      <c r="AF654" s="65"/>
      <c r="AG654" s="65"/>
      <c r="AH654" s="65"/>
      <c r="AI654" s="65"/>
      <c r="AJ654" s="65"/>
      <c r="AK654" s="65"/>
      <c r="AL654" s="65"/>
      <c r="AM654" s="65"/>
      <c r="AN654" s="65"/>
    </row>
    <row r="655" spans="10:40" ht="14.5" x14ac:dyDescent="0.35">
      <c r="J655" s="65"/>
      <c r="K655" s="65"/>
      <c r="L655" s="65"/>
      <c r="M655" s="65"/>
      <c r="N655" s="65"/>
      <c r="O655" s="65"/>
      <c r="P655" s="65"/>
      <c r="Q655" s="65"/>
      <c r="R655" s="65"/>
      <c r="S655" s="65"/>
      <c r="T655" s="65"/>
      <c r="U655" s="65"/>
      <c r="V655" s="65"/>
      <c r="W655" s="65"/>
      <c r="X655" s="65"/>
      <c r="Y655" s="65"/>
      <c r="Z655" s="65"/>
      <c r="AA655" s="65"/>
      <c r="AB655" s="65"/>
      <c r="AC655" s="65"/>
      <c r="AD655" s="65"/>
      <c r="AE655" s="65"/>
      <c r="AF655" s="65"/>
      <c r="AG655" s="65"/>
      <c r="AH655" s="65"/>
      <c r="AI655" s="65"/>
      <c r="AJ655" s="65"/>
      <c r="AK655" s="65"/>
      <c r="AL655" s="65"/>
      <c r="AM655" s="65"/>
      <c r="AN655" s="65"/>
    </row>
    <row r="656" spans="10:40" ht="14.5" x14ac:dyDescent="0.35">
      <c r="J656" s="65"/>
      <c r="K656" s="65"/>
      <c r="L656" s="65"/>
      <c r="M656" s="65"/>
      <c r="N656" s="65"/>
      <c r="O656" s="65"/>
      <c r="P656" s="65"/>
      <c r="Q656" s="65"/>
      <c r="R656" s="65"/>
      <c r="S656" s="65"/>
      <c r="T656" s="65"/>
      <c r="U656" s="65"/>
      <c r="V656" s="65"/>
      <c r="W656" s="65"/>
      <c r="X656" s="65"/>
      <c r="Y656" s="65"/>
      <c r="Z656" s="65"/>
      <c r="AA656" s="65"/>
      <c r="AB656" s="65"/>
      <c r="AC656" s="65"/>
      <c r="AD656" s="65"/>
      <c r="AE656" s="65"/>
      <c r="AF656" s="65"/>
      <c r="AG656" s="65"/>
      <c r="AH656" s="65"/>
      <c r="AI656" s="65"/>
      <c r="AJ656" s="65"/>
      <c r="AK656" s="65"/>
      <c r="AL656" s="65"/>
      <c r="AM656" s="65"/>
      <c r="AN656" s="65"/>
    </row>
    <row r="657" spans="10:40" ht="14.5" x14ac:dyDescent="0.35">
      <c r="J657" s="65"/>
      <c r="K657" s="65"/>
      <c r="L657" s="65"/>
      <c r="M657" s="65"/>
      <c r="N657" s="65"/>
      <c r="O657" s="65"/>
      <c r="P657" s="65"/>
      <c r="Q657" s="65"/>
      <c r="R657" s="65"/>
      <c r="S657" s="65"/>
      <c r="T657" s="65"/>
      <c r="U657" s="65"/>
      <c r="V657" s="65"/>
      <c r="W657" s="65"/>
      <c r="X657" s="65"/>
      <c r="Y657" s="65"/>
      <c r="Z657" s="65"/>
      <c r="AA657" s="65"/>
      <c r="AB657" s="65"/>
      <c r="AC657" s="65"/>
      <c r="AD657" s="65"/>
      <c r="AE657" s="65"/>
      <c r="AF657" s="65"/>
      <c r="AG657" s="65"/>
      <c r="AH657" s="65"/>
      <c r="AI657" s="65"/>
      <c r="AJ657" s="65"/>
      <c r="AK657" s="65"/>
      <c r="AL657" s="65"/>
      <c r="AM657" s="65"/>
      <c r="AN657" s="65"/>
    </row>
    <row r="658" spans="10:40" ht="14.5" x14ac:dyDescent="0.35">
      <c r="J658" s="65"/>
      <c r="K658" s="65"/>
      <c r="L658" s="65"/>
      <c r="M658" s="65"/>
      <c r="N658" s="65"/>
      <c r="O658" s="65"/>
      <c r="P658" s="65"/>
      <c r="Q658" s="65"/>
      <c r="R658" s="65"/>
      <c r="S658" s="65"/>
      <c r="T658" s="65"/>
      <c r="U658" s="65"/>
      <c r="V658" s="65"/>
      <c r="W658" s="65"/>
      <c r="X658" s="65"/>
      <c r="Y658" s="65"/>
      <c r="Z658" s="65"/>
      <c r="AA658" s="65"/>
      <c r="AB658" s="65"/>
      <c r="AC658" s="65"/>
      <c r="AD658" s="65"/>
      <c r="AE658" s="65"/>
      <c r="AF658" s="65"/>
      <c r="AG658" s="65"/>
      <c r="AH658" s="65"/>
      <c r="AI658" s="65"/>
      <c r="AJ658" s="65"/>
      <c r="AK658" s="65"/>
      <c r="AL658" s="65"/>
      <c r="AM658" s="65"/>
      <c r="AN658" s="65"/>
    </row>
    <row r="659" spans="10:40" ht="14.5" x14ac:dyDescent="0.35">
      <c r="J659" s="65"/>
      <c r="K659" s="65"/>
      <c r="L659" s="65"/>
      <c r="M659" s="65"/>
      <c r="N659" s="65"/>
      <c r="O659" s="65"/>
      <c r="P659" s="65"/>
      <c r="Q659" s="65"/>
      <c r="R659" s="65"/>
      <c r="S659" s="65"/>
      <c r="T659" s="65"/>
      <c r="U659" s="65"/>
      <c r="V659" s="65"/>
      <c r="W659" s="65"/>
      <c r="X659" s="65"/>
      <c r="Y659" s="65"/>
      <c r="Z659" s="65"/>
      <c r="AA659" s="65"/>
      <c r="AB659" s="65"/>
      <c r="AC659" s="65"/>
      <c r="AD659" s="65"/>
      <c r="AE659" s="65"/>
      <c r="AF659" s="65"/>
      <c r="AG659" s="65"/>
      <c r="AH659" s="65"/>
      <c r="AI659" s="65"/>
      <c r="AJ659" s="65"/>
      <c r="AK659" s="65"/>
      <c r="AL659" s="65"/>
      <c r="AM659" s="65"/>
      <c r="AN659" s="65"/>
    </row>
    <row r="660" spans="10:40" ht="14.5" x14ac:dyDescent="0.35">
      <c r="J660" s="65"/>
      <c r="K660" s="65"/>
      <c r="L660" s="65"/>
      <c r="M660" s="65"/>
      <c r="N660" s="65"/>
      <c r="O660" s="65"/>
      <c r="P660" s="65"/>
      <c r="Q660" s="65"/>
      <c r="R660" s="65"/>
      <c r="S660" s="65"/>
      <c r="T660" s="65"/>
      <c r="U660" s="65"/>
      <c r="V660" s="65"/>
      <c r="W660" s="65"/>
      <c r="X660" s="65"/>
      <c r="Y660" s="65"/>
      <c r="Z660" s="65"/>
      <c r="AA660" s="65"/>
      <c r="AB660" s="65"/>
      <c r="AC660" s="65"/>
      <c r="AD660" s="65"/>
      <c r="AE660" s="65"/>
      <c r="AF660" s="65"/>
      <c r="AG660" s="65"/>
      <c r="AH660" s="65"/>
      <c r="AI660" s="65"/>
      <c r="AJ660" s="65"/>
      <c r="AK660" s="65"/>
      <c r="AL660" s="65"/>
      <c r="AM660" s="65"/>
      <c r="AN660" s="65"/>
    </row>
    <row r="661" spans="10:40" ht="14.5" x14ac:dyDescent="0.35">
      <c r="J661" s="65"/>
      <c r="K661" s="65"/>
      <c r="L661" s="65"/>
      <c r="M661" s="65"/>
      <c r="N661" s="65"/>
      <c r="O661" s="65"/>
      <c r="P661" s="65"/>
      <c r="Q661" s="65"/>
      <c r="R661" s="65"/>
      <c r="S661" s="65"/>
      <c r="T661" s="65"/>
      <c r="U661" s="65"/>
      <c r="V661" s="65"/>
      <c r="W661" s="65"/>
      <c r="X661" s="65"/>
      <c r="Y661" s="65"/>
      <c r="Z661" s="65"/>
      <c r="AA661" s="65"/>
      <c r="AB661" s="65"/>
      <c r="AC661" s="65"/>
      <c r="AD661" s="65"/>
      <c r="AE661" s="65"/>
      <c r="AF661" s="65"/>
      <c r="AG661" s="65"/>
      <c r="AH661" s="65"/>
      <c r="AI661" s="65"/>
      <c r="AJ661" s="65"/>
      <c r="AK661" s="65"/>
      <c r="AL661" s="65"/>
      <c r="AM661" s="65"/>
      <c r="AN661" s="65"/>
    </row>
    <row r="662" spans="10:40" ht="14.5" x14ac:dyDescent="0.35">
      <c r="J662" s="65"/>
      <c r="K662" s="65"/>
      <c r="L662" s="65"/>
      <c r="M662" s="65"/>
      <c r="N662" s="65"/>
      <c r="O662" s="65"/>
      <c r="P662" s="65"/>
      <c r="Q662" s="65"/>
      <c r="R662" s="65"/>
      <c r="S662" s="65"/>
      <c r="T662" s="65"/>
      <c r="U662" s="65"/>
      <c r="V662" s="65"/>
      <c r="W662" s="65"/>
      <c r="X662" s="65"/>
      <c r="Y662" s="65"/>
      <c r="Z662" s="65"/>
      <c r="AA662" s="65"/>
      <c r="AB662" s="65"/>
      <c r="AC662" s="65"/>
      <c r="AD662" s="65"/>
      <c r="AE662" s="65"/>
      <c r="AF662" s="65"/>
      <c r="AG662" s="65"/>
      <c r="AH662" s="65"/>
      <c r="AI662" s="65"/>
      <c r="AJ662" s="65"/>
      <c r="AK662" s="65"/>
      <c r="AL662" s="65"/>
      <c r="AM662" s="65"/>
      <c r="AN662" s="65"/>
    </row>
    <row r="663" spans="10:40" ht="14.5" x14ac:dyDescent="0.35">
      <c r="J663" s="65"/>
      <c r="K663" s="65"/>
      <c r="L663" s="65"/>
      <c r="M663" s="65"/>
      <c r="N663" s="65"/>
      <c r="O663" s="65"/>
      <c r="P663" s="65"/>
      <c r="Q663" s="65"/>
      <c r="R663" s="65"/>
      <c r="S663" s="65"/>
      <c r="T663" s="65"/>
      <c r="U663" s="65"/>
      <c r="V663" s="65"/>
      <c r="W663" s="65"/>
      <c r="X663" s="65"/>
      <c r="Y663" s="65"/>
      <c r="Z663" s="65"/>
      <c r="AA663" s="65"/>
      <c r="AB663" s="65"/>
      <c r="AC663" s="65"/>
      <c r="AD663" s="65"/>
      <c r="AE663" s="65"/>
      <c r="AF663" s="65"/>
      <c r="AG663" s="65"/>
      <c r="AH663" s="65"/>
      <c r="AI663" s="65"/>
      <c r="AJ663" s="65"/>
      <c r="AK663" s="65"/>
      <c r="AL663" s="65"/>
      <c r="AM663" s="65"/>
      <c r="AN663" s="65"/>
    </row>
    <row r="664" spans="10:40" ht="14.5" x14ac:dyDescent="0.35">
      <c r="J664" s="65"/>
      <c r="K664" s="65"/>
      <c r="L664" s="65"/>
      <c r="M664" s="65"/>
      <c r="N664" s="65"/>
      <c r="O664" s="65"/>
      <c r="P664" s="65"/>
      <c r="Q664" s="65"/>
      <c r="R664" s="65"/>
      <c r="S664" s="65"/>
      <c r="T664" s="65"/>
      <c r="U664" s="65"/>
      <c r="V664" s="65"/>
      <c r="W664" s="65"/>
      <c r="X664" s="65"/>
      <c r="Y664" s="65"/>
      <c r="Z664" s="65"/>
      <c r="AA664" s="65"/>
      <c r="AB664" s="65"/>
      <c r="AC664" s="65"/>
      <c r="AD664" s="65"/>
      <c r="AE664" s="65"/>
      <c r="AF664" s="65"/>
      <c r="AG664" s="65"/>
      <c r="AH664" s="65"/>
      <c r="AI664" s="65"/>
      <c r="AJ664" s="65"/>
      <c r="AK664" s="65"/>
      <c r="AL664" s="65"/>
      <c r="AM664" s="65"/>
      <c r="AN664" s="65"/>
    </row>
    <row r="665" spans="10:40" ht="14.5" x14ac:dyDescent="0.35">
      <c r="J665" s="65"/>
      <c r="K665" s="65"/>
      <c r="L665" s="65"/>
      <c r="M665" s="65"/>
      <c r="N665" s="65"/>
      <c r="O665" s="65"/>
      <c r="P665" s="65"/>
      <c r="Q665" s="65"/>
      <c r="R665" s="65"/>
      <c r="S665" s="65"/>
      <c r="T665" s="65"/>
      <c r="U665" s="65"/>
      <c r="V665" s="65"/>
      <c r="W665" s="65"/>
      <c r="X665" s="65"/>
      <c r="Y665" s="65"/>
      <c r="Z665" s="65"/>
      <c r="AA665" s="65"/>
      <c r="AB665" s="65"/>
      <c r="AC665" s="65"/>
      <c r="AD665" s="65"/>
      <c r="AE665" s="65"/>
      <c r="AF665" s="65"/>
      <c r="AG665" s="65"/>
      <c r="AH665" s="65"/>
      <c r="AI665" s="65"/>
      <c r="AJ665" s="65"/>
      <c r="AK665" s="65"/>
      <c r="AL665" s="65"/>
      <c r="AM665" s="65"/>
      <c r="AN665" s="65"/>
    </row>
    <row r="666" spans="10:40" ht="14.5" x14ac:dyDescent="0.35">
      <c r="J666" s="65"/>
      <c r="K666" s="65"/>
      <c r="L666" s="65"/>
      <c r="M666" s="65"/>
      <c r="N666" s="65"/>
      <c r="O666" s="65"/>
      <c r="P666" s="65"/>
      <c r="Q666" s="65"/>
      <c r="R666" s="65"/>
      <c r="S666" s="65"/>
      <c r="T666" s="65"/>
      <c r="U666" s="65"/>
      <c r="V666" s="65"/>
      <c r="W666" s="65"/>
      <c r="X666" s="65"/>
      <c r="Y666" s="65"/>
      <c r="Z666" s="65"/>
      <c r="AA666" s="65"/>
      <c r="AB666" s="65"/>
      <c r="AC666" s="65"/>
      <c r="AD666" s="65"/>
      <c r="AE666" s="65"/>
      <c r="AF666" s="65"/>
      <c r="AG666" s="65"/>
      <c r="AH666" s="65"/>
      <c r="AI666" s="65"/>
      <c r="AJ666" s="65"/>
      <c r="AK666" s="65"/>
      <c r="AL666" s="65"/>
      <c r="AM666" s="65"/>
      <c r="AN666" s="65"/>
    </row>
    <row r="667" spans="10:40" ht="14.5" x14ac:dyDescent="0.35">
      <c r="J667" s="65"/>
      <c r="K667" s="65"/>
      <c r="L667" s="65"/>
      <c r="M667" s="65"/>
      <c r="N667" s="65"/>
      <c r="O667" s="65"/>
      <c r="P667" s="65"/>
      <c r="Q667" s="65"/>
      <c r="R667" s="65"/>
      <c r="S667" s="65"/>
      <c r="T667" s="65"/>
      <c r="U667" s="65"/>
      <c r="V667" s="65"/>
      <c r="W667" s="65"/>
      <c r="X667" s="65"/>
      <c r="Y667" s="65"/>
      <c r="Z667" s="65"/>
      <c r="AA667" s="65"/>
      <c r="AB667" s="65"/>
      <c r="AC667" s="65"/>
      <c r="AD667" s="65"/>
      <c r="AE667" s="65"/>
      <c r="AF667" s="65"/>
      <c r="AG667" s="65"/>
      <c r="AH667" s="65"/>
      <c r="AI667" s="65"/>
      <c r="AJ667" s="65"/>
      <c r="AK667" s="65"/>
      <c r="AL667" s="65"/>
      <c r="AM667" s="65"/>
      <c r="AN667" s="65"/>
    </row>
    <row r="668" spans="10:40" ht="14.5" x14ac:dyDescent="0.35">
      <c r="J668" s="65"/>
      <c r="K668" s="65"/>
      <c r="L668" s="65"/>
      <c r="M668" s="65"/>
      <c r="N668" s="65"/>
      <c r="O668" s="65"/>
      <c r="P668" s="65"/>
      <c r="Q668" s="65"/>
      <c r="R668" s="65"/>
      <c r="S668" s="65"/>
      <c r="T668" s="65"/>
      <c r="U668" s="65"/>
      <c r="V668" s="65"/>
      <c r="W668" s="65"/>
      <c r="X668" s="65"/>
      <c r="Y668" s="65"/>
      <c r="Z668" s="65"/>
      <c r="AA668" s="65"/>
      <c r="AB668" s="65"/>
      <c r="AC668" s="65"/>
      <c r="AD668" s="65"/>
      <c r="AE668" s="65"/>
      <c r="AF668" s="65"/>
      <c r="AG668" s="65"/>
      <c r="AH668" s="65"/>
      <c r="AI668" s="65"/>
      <c r="AJ668" s="65"/>
      <c r="AK668" s="65"/>
      <c r="AL668" s="65"/>
      <c r="AM668" s="65"/>
      <c r="AN668" s="65"/>
    </row>
    <row r="669" spans="10:40" ht="14.5" x14ac:dyDescent="0.35">
      <c r="J669" s="65"/>
      <c r="K669" s="65"/>
      <c r="L669" s="65"/>
      <c r="M669" s="65"/>
      <c r="N669" s="65"/>
      <c r="O669" s="65"/>
      <c r="P669" s="65"/>
      <c r="Q669" s="65"/>
      <c r="R669" s="65"/>
      <c r="S669" s="65"/>
      <c r="T669" s="65"/>
      <c r="U669" s="65"/>
      <c r="V669" s="65"/>
      <c r="W669" s="65"/>
      <c r="X669" s="65"/>
      <c r="Y669" s="65"/>
      <c r="Z669" s="65"/>
      <c r="AA669" s="65"/>
      <c r="AB669" s="65"/>
      <c r="AC669" s="65"/>
      <c r="AD669" s="65"/>
      <c r="AE669" s="65"/>
      <c r="AF669" s="65"/>
      <c r="AG669" s="65"/>
      <c r="AH669" s="65"/>
      <c r="AI669" s="65"/>
      <c r="AJ669" s="65"/>
      <c r="AK669" s="65"/>
      <c r="AL669" s="65"/>
      <c r="AM669" s="65"/>
      <c r="AN669" s="65"/>
    </row>
    <row r="670" spans="10:40" ht="14.5" x14ac:dyDescent="0.35">
      <c r="J670" s="65"/>
      <c r="K670" s="65"/>
      <c r="L670" s="65"/>
      <c r="M670" s="65"/>
      <c r="N670" s="65"/>
      <c r="O670" s="65"/>
      <c r="P670" s="65"/>
      <c r="Q670" s="65"/>
      <c r="R670" s="65"/>
      <c r="S670" s="65"/>
      <c r="T670" s="65"/>
      <c r="U670" s="65"/>
      <c r="V670" s="65"/>
      <c r="W670" s="65"/>
      <c r="X670" s="65"/>
      <c r="Y670" s="65"/>
      <c r="Z670" s="65"/>
      <c r="AA670" s="65"/>
      <c r="AB670" s="65"/>
      <c r="AC670" s="65"/>
      <c r="AD670" s="65"/>
      <c r="AE670" s="65"/>
      <c r="AF670" s="65"/>
      <c r="AG670" s="65"/>
      <c r="AH670" s="65"/>
      <c r="AI670" s="65"/>
      <c r="AJ670" s="65"/>
      <c r="AK670" s="65"/>
      <c r="AL670" s="65"/>
      <c r="AM670" s="65"/>
      <c r="AN670" s="65"/>
    </row>
    <row r="671" spans="10:40" ht="14.5" x14ac:dyDescent="0.35">
      <c r="J671" s="65"/>
      <c r="K671" s="65"/>
      <c r="L671" s="65"/>
      <c r="M671" s="65"/>
      <c r="N671" s="65"/>
      <c r="O671" s="65"/>
      <c r="P671" s="65"/>
      <c r="Q671" s="65"/>
      <c r="R671" s="65"/>
      <c r="S671" s="65"/>
      <c r="T671" s="65"/>
      <c r="U671" s="65"/>
      <c r="V671" s="65"/>
      <c r="W671" s="65"/>
      <c r="X671" s="65"/>
      <c r="Y671" s="65"/>
      <c r="Z671" s="65"/>
      <c r="AA671" s="65"/>
      <c r="AB671" s="65"/>
      <c r="AC671" s="65"/>
      <c r="AD671" s="65"/>
      <c r="AE671" s="65"/>
      <c r="AF671" s="65"/>
      <c r="AG671" s="65"/>
      <c r="AH671" s="65"/>
      <c r="AI671" s="65"/>
      <c r="AJ671" s="65"/>
      <c r="AK671" s="65"/>
      <c r="AL671" s="65"/>
      <c r="AM671" s="65"/>
      <c r="AN671" s="65"/>
    </row>
    <row r="672" spans="10:40" ht="14.5" x14ac:dyDescent="0.35">
      <c r="J672" s="65"/>
      <c r="K672" s="65"/>
      <c r="L672" s="65"/>
      <c r="M672" s="65"/>
      <c r="N672" s="65"/>
      <c r="O672" s="65"/>
      <c r="P672" s="65"/>
      <c r="Q672" s="65"/>
      <c r="R672" s="65"/>
      <c r="S672" s="65"/>
      <c r="T672" s="65"/>
      <c r="U672" s="65"/>
      <c r="V672" s="65"/>
      <c r="W672" s="65"/>
      <c r="X672" s="65"/>
      <c r="Y672" s="65"/>
      <c r="Z672" s="65"/>
      <c r="AA672" s="65"/>
      <c r="AB672" s="65"/>
      <c r="AC672" s="65"/>
      <c r="AD672" s="65"/>
      <c r="AE672" s="65"/>
      <c r="AF672" s="65"/>
      <c r="AG672" s="65"/>
      <c r="AH672" s="65"/>
      <c r="AI672" s="65"/>
      <c r="AJ672" s="65"/>
      <c r="AK672" s="65"/>
      <c r="AL672" s="65"/>
      <c r="AM672" s="65"/>
      <c r="AN672" s="65"/>
    </row>
    <row r="673" spans="10:40" ht="14.5" x14ac:dyDescent="0.35">
      <c r="J673" s="65"/>
      <c r="K673" s="65"/>
      <c r="L673" s="65"/>
      <c r="M673" s="65"/>
      <c r="N673" s="65"/>
      <c r="O673" s="65"/>
      <c r="P673" s="65"/>
      <c r="Q673" s="65"/>
      <c r="R673" s="65"/>
      <c r="S673" s="65"/>
      <c r="T673" s="65"/>
      <c r="U673" s="65"/>
      <c r="V673" s="65"/>
      <c r="W673" s="65"/>
      <c r="X673" s="65"/>
      <c r="Y673" s="65"/>
      <c r="Z673" s="65"/>
      <c r="AA673" s="65"/>
      <c r="AB673" s="65"/>
      <c r="AC673" s="65"/>
      <c r="AD673" s="65"/>
      <c r="AE673" s="65"/>
      <c r="AF673" s="65"/>
      <c r="AG673" s="65"/>
      <c r="AH673" s="65"/>
      <c r="AI673" s="65"/>
      <c r="AJ673" s="65"/>
      <c r="AK673" s="65"/>
      <c r="AL673" s="65"/>
      <c r="AM673" s="65"/>
      <c r="AN673" s="65"/>
    </row>
    <row r="674" spans="10:40" ht="14.5" x14ac:dyDescent="0.35">
      <c r="J674" s="65"/>
      <c r="K674" s="65"/>
      <c r="L674" s="65"/>
      <c r="M674" s="65"/>
      <c r="N674" s="65"/>
      <c r="O674" s="65"/>
      <c r="P674" s="65"/>
      <c r="Q674" s="65"/>
      <c r="R674" s="65"/>
      <c r="S674" s="65"/>
      <c r="T674" s="65"/>
      <c r="U674" s="65"/>
      <c r="V674" s="65"/>
      <c r="W674" s="65"/>
      <c r="X674" s="65"/>
      <c r="Y674" s="65"/>
      <c r="Z674" s="65"/>
      <c r="AA674" s="65"/>
      <c r="AB674" s="65"/>
      <c r="AC674" s="65"/>
      <c r="AD674" s="65"/>
      <c r="AE674" s="65"/>
      <c r="AF674" s="65"/>
      <c r="AG674" s="65"/>
      <c r="AH674" s="65"/>
      <c r="AI674" s="65"/>
      <c r="AJ674" s="65"/>
      <c r="AK674" s="65"/>
      <c r="AL674" s="65"/>
      <c r="AM674" s="65"/>
      <c r="AN674" s="65"/>
    </row>
    <row r="675" spans="10:40" ht="14.5" x14ac:dyDescent="0.35">
      <c r="J675" s="65"/>
      <c r="K675" s="65"/>
      <c r="L675" s="65"/>
      <c r="M675" s="65"/>
      <c r="N675" s="65"/>
      <c r="O675" s="65"/>
      <c r="P675" s="65"/>
      <c r="Q675" s="65"/>
      <c r="R675" s="65"/>
      <c r="S675" s="65"/>
      <c r="T675" s="65"/>
      <c r="U675" s="65"/>
      <c r="V675" s="65"/>
      <c r="W675" s="65"/>
      <c r="X675" s="65"/>
      <c r="Y675" s="65"/>
      <c r="Z675" s="65"/>
      <c r="AA675" s="65"/>
      <c r="AB675" s="65"/>
      <c r="AC675" s="65"/>
      <c r="AD675" s="65"/>
      <c r="AE675" s="65"/>
      <c r="AF675" s="65"/>
      <c r="AG675" s="65"/>
      <c r="AH675" s="65"/>
      <c r="AI675" s="65"/>
      <c r="AJ675" s="65"/>
      <c r="AK675" s="65"/>
      <c r="AL675" s="65"/>
      <c r="AM675" s="65"/>
      <c r="AN675" s="65"/>
    </row>
    <row r="676" spans="10:40" ht="14.5" x14ac:dyDescent="0.35">
      <c r="J676" s="65"/>
      <c r="K676" s="65"/>
      <c r="L676" s="65"/>
      <c r="M676" s="65"/>
      <c r="N676" s="65"/>
      <c r="O676" s="65"/>
      <c r="P676" s="65"/>
      <c r="Q676" s="65"/>
      <c r="R676" s="65"/>
      <c r="S676" s="65"/>
      <c r="T676" s="65"/>
      <c r="U676" s="65"/>
      <c r="V676" s="65"/>
      <c r="W676" s="65"/>
      <c r="X676" s="65"/>
      <c r="Y676" s="65"/>
      <c r="Z676" s="65"/>
      <c r="AA676" s="65"/>
      <c r="AB676" s="65"/>
      <c r="AC676" s="65"/>
      <c r="AD676" s="65"/>
      <c r="AE676" s="65"/>
      <c r="AF676" s="65"/>
      <c r="AG676" s="65"/>
      <c r="AH676" s="65"/>
      <c r="AI676" s="65"/>
      <c r="AJ676" s="65"/>
      <c r="AK676" s="65"/>
      <c r="AL676" s="65"/>
      <c r="AM676" s="65"/>
      <c r="AN676" s="65"/>
    </row>
    <row r="677" spans="10:40" ht="14.5" x14ac:dyDescent="0.35">
      <c r="J677" s="65"/>
      <c r="K677" s="65"/>
      <c r="L677" s="65"/>
      <c r="M677" s="65"/>
      <c r="N677" s="65"/>
      <c r="O677" s="65"/>
      <c r="P677" s="65"/>
      <c r="Q677" s="65"/>
      <c r="R677" s="65"/>
      <c r="S677" s="65"/>
      <c r="T677" s="65"/>
      <c r="U677" s="65"/>
      <c r="V677" s="65"/>
      <c r="W677" s="65"/>
      <c r="X677" s="65"/>
      <c r="Y677" s="65"/>
      <c r="Z677" s="65"/>
      <c r="AA677" s="65"/>
      <c r="AB677" s="65"/>
      <c r="AC677" s="65"/>
      <c r="AD677" s="65"/>
      <c r="AE677" s="65"/>
      <c r="AF677" s="65"/>
      <c r="AG677" s="65"/>
      <c r="AH677" s="65"/>
      <c r="AI677" s="65"/>
      <c r="AJ677" s="65"/>
      <c r="AK677" s="65"/>
      <c r="AL677" s="65"/>
      <c r="AM677" s="65"/>
      <c r="AN677" s="65"/>
    </row>
    <row r="678" spans="10:40" ht="14.5" x14ac:dyDescent="0.35">
      <c r="J678" s="65"/>
      <c r="K678" s="65"/>
      <c r="L678" s="65"/>
      <c r="M678" s="65"/>
      <c r="N678" s="65"/>
      <c r="O678" s="65"/>
      <c r="P678" s="65"/>
      <c r="Q678" s="65"/>
      <c r="R678" s="65"/>
      <c r="S678" s="65"/>
      <c r="T678" s="65"/>
      <c r="U678" s="65"/>
      <c r="V678" s="65"/>
      <c r="W678" s="65"/>
      <c r="X678" s="65"/>
      <c r="Y678" s="65"/>
      <c r="Z678" s="65"/>
      <c r="AA678" s="65"/>
      <c r="AB678" s="65"/>
      <c r="AC678" s="65"/>
      <c r="AD678" s="65"/>
      <c r="AE678" s="65"/>
      <c r="AF678" s="65"/>
      <c r="AG678" s="65"/>
      <c r="AH678" s="65"/>
      <c r="AI678" s="65"/>
      <c r="AJ678" s="65"/>
      <c r="AK678" s="65"/>
      <c r="AL678" s="65"/>
      <c r="AM678" s="65"/>
      <c r="AN678" s="65"/>
    </row>
    <row r="679" spans="10:40" ht="14.5" x14ac:dyDescent="0.35">
      <c r="J679" s="65"/>
      <c r="K679" s="65"/>
      <c r="L679" s="65"/>
      <c r="M679" s="65"/>
      <c r="N679" s="65"/>
      <c r="O679" s="65"/>
      <c r="P679" s="65"/>
      <c r="Q679" s="65"/>
      <c r="R679" s="65"/>
      <c r="S679" s="65"/>
      <c r="T679" s="65"/>
      <c r="U679" s="65"/>
      <c r="V679" s="65"/>
      <c r="W679" s="65"/>
      <c r="X679" s="65"/>
      <c r="Y679" s="65"/>
      <c r="Z679" s="65"/>
      <c r="AA679" s="65"/>
      <c r="AB679" s="65"/>
      <c r="AC679" s="65"/>
      <c r="AD679" s="65"/>
      <c r="AE679" s="65"/>
      <c r="AF679" s="65"/>
      <c r="AG679" s="65"/>
      <c r="AH679" s="65"/>
      <c r="AI679" s="65"/>
      <c r="AJ679" s="65"/>
      <c r="AK679" s="65"/>
      <c r="AL679" s="65"/>
      <c r="AM679" s="65"/>
      <c r="AN679" s="65"/>
    </row>
    <row r="680" spans="10:40" ht="14.5" x14ac:dyDescent="0.35">
      <c r="J680" s="65"/>
      <c r="K680" s="65"/>
      <c r="L680" s="65"/>
      <c r="M680" s="65"/>
      <c r="N680" s="65"/>
      <c r="O680" s="65"/>
      <c r="P680" s="65"/>
      <c r="Q680" s="65"/>
      <c r="R680" s="65"/>
      <c r="S680" s="65"/>
      <c r="T680" s="65"/>
      <c r="U680" s="65"/>
      <c r="V680" s="65"/>
      <c r="W680" s="65"/>
      <c r="X680" s="65"/>
      <c r="Y680" s="65"/>
      <c r="Z680" s="65"/>
      <c r="AA680" s="65"/>
      <c r="AB680" s="65"/>
      <c r="AC680" s="65"/>
      <c r="AD680" s="65"/>
      <c r="AE680" s="65"/>
      <c r="AF680" s="65"/>
      <c r="AG680" s="65"/>
      <c r="AH680" s="65"/>
      <c r="AI680" s="65"/>
      <c r="AJ680" s="65"/>
      <c r="AK680" s="65"/>
      <c r="AL680" s="65"/>
      <c r="AM680" s="65"/>
      <c r="AN680" s="65"/>
    </row>
    <row r="681" spans="10:40" ht="14.5" x14ac:dyDescent="0.35">
      <c r="J681" s="65"/>
      <c r="K681" s="65"/>
      <c r="L681" s="65"/>
      <c r="M681" s="65"/>
      <c r="N681" s="65"/>
      <c r="O681" s="65"/>
      <c r="P681" s="65"/>
      <c r="Q681" s="65"/>
      <c r="R681" s="65"/>
      <c r="S681" s="65"/>
      <c r="T681" s="65"/>
      <c r="U681" s="65"/>
      <c r="V681" s="65"/>
      <c r="W681" s="65"/>
      <c r="X681" s="65"/>
      <c r="Y681" s="65"/>
      <c r="Z681" s="65"/>
      <c r="AA681" s="65"/>
      <c r="AB681" s="65"/>
      <c r="AC681" s="65"/>
      <c r="AD681" s="65"/>
      <c r="AE681" s="65"/>
      <c r="AF681" s="65"/>
      <c r="AG681" s="65"/>
      <c r="AH681" s="65"/>
      <c r="AI681" s="65"/>
      <c r="AJ681" s="65"/>
      <c r="AK681" s="65"/>
      <c r="AL681" s="65"/>
      <c r="AM681" s="65"/>
      <c r="AN681" s="65"/>
    </row>
    <row r="682" spans="10:40" ht="14.5" x14ac:dyDescent="0.35">
      <c r="J682" s="65"/>
      <c r="K682" s="65"/>
      <c r="L682" s="65"/>
      <c r="M682" s="65"/>
      <c r="N682" s="65"/>
      <c r="O682" s="65"/>
      <c r="P682" s="65"/>
      <c r="Q682" s="65"/>
      <c r="R682" s="65"/>
      <c r="S682" s="65"/>
      <c r="T682" s="65"/>
      <c r="U682" s="65"/>
      <c r="V682" s="65"/>
      <c r="W682" s="65"/>
      <c r="X682" s="65"/>
      <c r="Y682" s="65"/>
      <c r="Z682" s="65"/>
      <c r="AA682" s="65"/>
      <c r="AB682" s="65"/>
      <c r="AC682" s="65"/>
      <c r="AD682" s="65"/>
      <c r="AE682" s="65"/>
      <c r="AF682" s="65"/>
      <c r="AG682" s="65"/>
      <c r="AH682" s="65"/>
      <c r="AI682" s="65"/>
      <c r="AJ682" s="65"/>
      <c r="AK682" s="65"/>
      <c r="AL682" s="65"/>
      <c r="AM682" s="65"/>
      <c r="AN682" s="65"/>
    </row>
    <row r="683" spans="10:40" ht="14.5" x14ac:dyDescent="0.35">
      <c r="J683" s="65"/>
      <c r="K683" s="65"/>
      <c r="L683" s="65"/>
      <c r="M683" s="65"/>
      <c r="N683" s="65"/>
      <c r="O683" s="65"/>
      <c r="P683" s="65"/>
      <c r="Q683" s="65"/>
      <c r="R683" s="65"/>
      <c r="S683" s="65"/>
      <c r="T683" s="65"/>
      <c r="U683" s="65"/>
      <c r="V683" s="65"/>
      <c r="W683" s="65"/>
      <c r="X683" s="65"/>
      <c r="Y683" s="65"/>
      <c r="Z683" s="65"/>
      <c r="AA683" s="65"/>
      <c r="AB683" s="65"/>
      <c r="AC683" s="65"/>
      <c r="AD683" s="65"/>
      <c r="AE683" s="65"/>
      <c r="AF683" s="65"/>
      <c r="AG683" s="65"/>
      <c r="AH683" s="65"/>
      <c r="AI683" s="65"/>
      <c r="AJ683" s="65"/>
      <c r="AK683" s="65"/>
      <c r="AL683" s="65"/>
      <c r="AM683" s="65"/>
      <c r="AN683" s="65"/>
    </row>
    <row r="684" spans="10:40" ht="14.5" x14ac:dyDescent="0.35">
      <c r="J684" s="65"/>
      <c r="K684" s="65"/>
      <c r="L684" s="65"/>
      <c r="M684" s="65"/>
      <c r="N684" s="65"/>
      <c r="O684" s="65"/>
      <c r="P684" s="65"/>
      <c r="Q684" s="65"/>
      <c r="R684" s="65"/>
      <c r="S684" s="65"/>
      <c r="T684" s="65"/>
      <c r="U684" s="65"/>
      <c r="V684" s="65"/>
      <c r="W684" s="65"/>
      <c r="X684" s="65"/>
      <c r="Y684" s="65"/>
      <c r="Z684" s="65"/>
      <c r="AA684" s="65"/>
      <c r="AB684" s="65"/>
      <c r="AC684" s="65"/>
      <c r="AD684" s="65"/>
      <c r="AE684" s="65"/>
      <c r="AF684" s="65"/>
      <c r="AG684" s="65"/>
      <c r="AH684" s="65"/>
      <c r="AI684" s="65"/>
      <c r="AJ684" s="65"/>
      <c r="AK684" s="65"/>
      <c r="AL684" s="65"/>
      <c r="AM684" s="65"/>
      <c r="AN684" s="65"/>
    </row>
    <row r="685" spans="10:40" ht="14.5" x14ac:dyDescent="0.35">
      <c r="J685" s="65"/>
      <c r="K685" s="65"/>
      <c r="L685" s="65"/>
      <c r="M685" s="65"/>
      <c r="N685" s="65"/>
      <c r="O685" s="65"/>
      <c r="P685" s="65"/>
      <c r="Q685" s="65"/>
      <c r="R685" s="65"/>
      <c r="S685" s="65"/>
      <c r="T685" s="65"/>
      <c r="U685" s="65"/>
      <c r="V685" s="65"/>
      <c r="W685" s="65"/>
      <c r="X685" s="65"/>
      <c r="Y685" s="65"/>
      <c r="Z685" s="65"/>
      <c r="AA685" s="65"/>
      <c r="AB685" s="65"/>
      <c r="AC685" s="65"/>
      <c r="AD685" s="65"/>
      <c r="AE685" s="65"/>
      <c r="AF685" s="65"/>
      <c r="AG685" s="65"/>
      <c r="AH685" s="65"/>
      <c r="AI685" s="65"/>
      <c r="AJ685" s="65"/>
      <c r="AK685" s="65"/>
      <c r="AL685" s="65"/>
      <c r="AM685" s="65"/>
      <c r="AN685" s="65"/>
    </row>
    <row r="686" spans="10:40" ht="14.5" x14ac:dyDescent="0.35">
      <c r="J686" s="65"/>
      <c r="K686" s="65"/>
      <c r="L686" s="65"/>
      <c r="M686" s="65"/>
      <c r="N686" s="65"/>
      <c r="O686" s="65"/>
      <c r="P686" s="65"/>
      <c r="Q686" s="65"/>
      <c r="R686" s="65"/>
      <c r="S686" s="65"/>
      <c r="T686" s="65"/>
      <c r="U686" s="65"/>
      <c r="V686" s="65"/>
      <c r="W686" s="65"/>
      <c r="X686" s="65"/>
      <c r="Y686" s="65"/>
      <c r="Z686" s="65"/>
      <c r="AA686" s="65"/>
      <c r="AB686" s="65"/>
      <c r="AC686" s="65"/>
      <c r="AD686" s="65"/>
      <c r="AE686" s="65"/>
      <c r="AF686" s="65"/>
      <c r="AG686" s="65"/>
      <c r="AH686" s="65"/>
      <c r="AI686" s="65"/>
      <c r="AJ686" s="65"/>
      <c r="AK686" s="65"/>
      <c r="AL686" s="65"/>
      <c r="AM686" s="65"/>
      <c r="AN686" s="65"/>
    </row>
    <row r="687" spans="10:40" ht="14.5" x14ac:dyDescent="0.35">
      <c r="J687" s="65"/>
      <c r="K687" s="65"/>
      <c r="L687" s="65"/>
      <c r="M687" s="65"/>
      <c r="N687" s="65"/>
      <c r="O687" s="65"/>
      <c r="P687" s="65"/>
      <c r="Q687" s="65"/>
      <c r="R687" s="65"/>
      <c r="S687" s="65"/>
      <c r="T687" s="65"/>
      <c r="U687" s="65"/>
      <c r="V687" s="65"/>
      <c r="W687" s="65"/>
      <c r="X687" s="65"/>
      <c r="Y687" s="65"/>
      <c r="Z687" s="65"/>
      <c r="AA687" s="65"/>
      <c r="AB687" s="65"/>
      <c r="AC687" s="65"/>
      <c r="AD687" s="65"/>
      <c r="AE687" s="65"/>
      <c r="AF687" s="65"/>
      <c r="AG687" s="65"/>
      <c r="AH687" s="65"/>
      <c r="AI687" s="65"/>
      <c r="AJ687" s="65"/>
      <c r="AK687" s="65"/>
      <c r="AL687" s="65"/>
      <c r="AM687" s="65"/>
      <c r="AN687" s="65"/>
    </row>
    <row r="688" spans="10:40" ht="14.5" x14ac:dyDescent="0.35">
      <c r="J688" s="65"/>
      <c r="K688" s="65"/>
      <c r="L688" s="65"/>
      <c r="M688" s="65"/>
      <c r="N688" s="65"/>
      <c r="O688" s="65"/>
      <c r="P688" s="65"/>
      <c r="Q688" s="65"/>
      <c r="R688" s="65"/>
      <c r="S688" s="65"/>
      <c r="T688" s="65"/>
      <c r="U688" s="65"/>
      <c r="V688" s="65"/>
      <c r="W688" s="65"/>
      <c r="X688" s="65"/>
      <c r="Y688" s="65"/>
      <c r="Z688" s="65"/>
      <c r="AA688" s="65"/>
      <c r="AB688" s="65"/>
      <c r="AC688" s="65"/>
      <c r="AD688" s="65"/>
      <c r="AE688" s="65"/>
      <c r="AF688" s="65"/>
      <c r="AG688" s="65"/>
      <c r="AH688" s="65"/>
      <c r="AI688" s="65"/>
      <c r="AJ688" s="65"/>
      <c r="AK688" s="65"/>
      <c r="AL688" s="65"/>
      <c r="AM688" s="65"/>
      <c r="AN688" s="65"/>
    </row>
    <row r="689" spans="10:40" ht="14.5" x14ac:dyDescent="0.35">
      <c r="J689" s="65"/>
      <c r="K689" s="65"/>
      <c r="L689" s="65"/>
      <c r="M689" s="65"/>
      <c r="N689" s="65"/>
      <c r="O689" s="65"/>
      <c r="P689" s="65"/>
      <c r="Q689" s="65"/>
      <c r="R689" s="65"/>
      <c r="S689" s="65"/>
      <c r="T689" s="65"/>
      <c r="U689" s="65"/>
      <c r="V689" s="65"/>
      <c r="W689" s="65"/>
      <c r="X689" s="65"/>
      <c r="Y689" s="65"/>
      <c r="Z689" s="65"/>
      <c r="AA689" s="65"/>
      <c r="AB689" s="65"/>
      <c r="AC689" s="65"/>
      <c r="AD689" s="65"/>
      <c r="AE689" s="65"/>
      <c r="AF689" s="65"/>
      <c r="AG689" s="65"/>
      <c r="AH689" s="65"/>
      <c r="AI689" s="65"/>
      <c r="AJ689" s="65"/>
      <c r="AK689" s="65"/>
      <c r="AL689" s="65"/>
      <c r="AM689" s="65"/>
      <c r="AN689" s="65"/>
    </row>
    <row r="690" spans="10:40" ht="14.5" x14ac:dyDescent="0.35">
      <c r="J690" s="65"/>
      <c r="K690" s="65"/>
      <c r="L690" s="65"/>
      <c r="M690" s="65"/>
      <c r="N690" s="65"/>
      <c r="O690" s="65"/>
      <c r="P690" s="65"/>
      <c r="Q690" s="65"/>
      <c r="R690" s="65"/>
      <c r="S690" s="65"/>
      <c r="T690" s="65"/>
      <c r="U690" s="65"/>
      <c r="V690" s="65"/>
      <c r="W690" s="65"/>
      <c r="X690" s="65"/>
      <c r="Y690" s="65"/>
      <c r="Z690" s="65"/>
      <c r="AA690" s="65"/>
      <c r="AB690" s="65"/>
      <c r="AC690" s="65"/>
      <c r="AD690" s="65"/>
      <c r="AE690" s="65"/>
      <c r="AF690" s="65"/>
      <c r="AG690" s="65"/>
      <c r="AH690" s="65"/>
      <c r="AI690" s="65"/>
      <c r="AJ690" s="65"/>
      <c r="AK690" s="65"/>
      <c r="AL690" s="65"/>
      <c r="AM690" s="65"/>
      <c r="AN690" s="65"/>
    </row>
    <row r="691" spans="10:40" ht="14.5" x14ac:dyDescent="0.35">
      <c r="J691" s="65"/>
      <c r="K691" s="65"/>
      <c r="L691" s="65"/>
      <c r="M691" s="65"/>
      <c r="N691" s="65"/>
      <c r="O691" s="65"/>
      <c r="P691" s="65"/>
      <c r="Q691" s="65"/>
      <c r="R691" s="65"/>
      <c r="S691" s="65"/>
      <c r="T691" s="65"/>
      <c r="U691" s="65"/>
      <c r="V691" s="65"/>
      <c r="W691" s="65"/>
      <c r="X691" s="65"/>
      <c r="Y691" s="65"/>
      <c r="Z691" s="65"/>
      <c r="AA691" s="65"/>
      <c r="AB691" s="65"/>
      <c r="AC691" s="65"/>
      <c r="AD691" s="65"/>
      <c r="AE691" s="65"/>
      <c r="AF691" s="65"/>
      <c r="AG691" s="65"/>
      <c r="AH691" s="65"/>
      <c r="AI691" s="65"/>
      <c r="AJ691" s="65"/>
      <c r="AK691" s="65"/>
      <c r="AL691" s="65"/>
      <c r="AM691" s="65"/>
      <c r="AN691" s="65"/>
    </row>
    <row r="692" spans="10:40" ht="14.5" x14ac:dyDescent="0.35">
      <c r="J692" s="65"/>
      <c r="K692" s="65"/>
      <c r="L692" s="65"/>
      <c r="M692" s="65"/>
      <c r="N692" s="65"/>
      <c r="O692" s="65"/>
      <c r="P692" s="65"/>
      <c r="Q692" s="65"/>
      <c r="R692" s="65"/>
      <c r="S692" s="65"/>
      <c r="T692" s="65"/>
      <c r="U692" s="65"/>
      <c r="V692" s="65"/>
      <c r="W692" s="65"/>
      <c r="X692" s="65"/>
      <c r="Y692" s="65"/>
      <c r="Z692" s="65"/>
      <c r="AA692" s="65"/>
      <c r="AB692" s="65"/>
      <c r="AC692" s="65"/>
      <c r="AD692" s="65"/>
      <c r="AE692" s="65"/>
      <c r="AF692" s="65"/>
      <c r="AG692" s="65"/>
      <c r="AH692" s="65"/>
      <c r="AI692" s="65"/>
      <c r="AJ692" s="65"/>
      <c r="AK692" s="65"/>
      <c r="AL692" s="65"/>
      <c r="AM692" s="65"/>
      <c r="AN692" s="65"/>
    </row>
    <row r="693" spans="10:40" ht="14.5" x14ac:dyDescent="0.35">
      <c r="J693" s="65"/>
      <c r="K693" s="65"/>
      <c r="L693" s="65"/>
      <c r="M693" s="65"/>
      <c r="N693" s="65"/>
      <c r="O693" s="65"/>
      <c r="P693" s="65"/>
      <c r="Q693" s="65"/>
      <c r="R693" s="65"/>
      <c r="S693" s="65"/>
      <c r="T693" s="65"/>
      <c r="U693" s="65"/>
      <c r="V693" s="65"/>
      <c r="W693" s="65"/>
      <c r="X693" s="65"/>
      <c r="Y693" s="65"/>
      <c r="Z693" s="65"/>
      <c r="AA693" s="65"/>
      <c r="AB693" s="65"/>
      <c r="AC693" s="65"/>
      <c r="AD693" s="65"/>
      <c r="AE693" s="65"/>
      <c r="AF693" s="65"/>
      <c r="AG693" s="65"/>
      <c r="AH693" s="65"/>
      <c r="AI693" s="65"/>
      <c r="AJ693" s="65"/>
      <c r="AK693" s="65"/>
      <c r="AL693" s="65"/>
      <c r="AM693" s="65"/>
      <c r="AN693" s="65"/>
    </row>
    <row r="694" spans="10:40" ht="14.5" x14ac:dyDescent="0.35">
      <c r="J694" s="65"/>
      <c r="K694" s="65"/>
      <c r="L694" s="65"/>
      <c r="M694" s="65"/>
      <c r="N694" s="65"/>
      <c r="O694" s="65"/>
      <c r="P694" s="65"/>
      <c r="Q694" s="65"/>
      <c r="R694" s="65"/>
      <c r="S694" s="65"/>
      <c r="T694" s="65"/>
      <c r="U694" s="65"/>
      <c r="V694" s="65"/>
      <c r="W694" s="65"/>
      <c r="X694" s="65"/>
      <c r="Y694" s="65"/>
      <c r="Z694" s="65"/>
      <c r="AA694" s="65"/>
      <c r="AB694" s="65"/>
      <c r="AC694" s="65"/>
      <c r="AD694" s="65"/>
      <c r="AE694" s="65"/>
      <c r="AF694" s="65"/>
      <c r="AG694" s="65"/>
      <c r="AH694" s="65"/>
      <c r="AI694" s="65"/>
      <c r="AJ694" s="65"/>
      <c r="AK694" s="65"/>
      <c r="AL694" s="65"/>
      <c r="AM694" s="65"/>
      <c r="AN694" s="65"/>
    </row>
    <row r="695" spans="10:40" ht="14.5" x14ac:dyDescent="0.35">
      <c r="J695" s="65"/>
      <c r="K695" s="65"/>
      <c r="L695" s="65"/>
      <c r="M695" s="65"/>
      <c r="N695" s="65"/>
      <c r="O695" s="65"/>
      <c r="P695" s="65"/>
      <c r="Q695" s="65"/>
      <c r="R695" s="65"/>
      <c r="S695" s="65"/>
      <c r="T695" s="65"/>
      <c r="U695" s="65"/>
      <c r="V695" s="65"/>
      <c r="W695" s="65"/>
      <c r="X695" s="65"/>
      <c r="Y695" s="65"/>
      <c r="Z695" s="65"/>
      <c r="AA695" s="65"/>
      <c r="AB695" s="65"/>
      <c r="AC695" s="65"/>
      <c r="AD695" s="65"/>
      <c r="AE695" s="65"/>
      <c r="AF695" s="65"/>
      <c r="AG695" s="65"/>
      <c r="AH695" s="65"/>
      <c r="AI695" s="65"/>
      <c r="AJ695" s="65"/>
      <c r="AK695" s="65"/>
      <c r="AL695" s="65"/>
      <c r="AM695" s="65"/>
      <c r="AN695" s="65"/>
    </row>
    <row r="696" spans="10:40" ht="14.5" x14ac:dyDescent="0.35">
      <c r="J696" s="65"/>
      <c r="K696" s="65"/>
      <c r="L696" s="65"/>
      <c r="M696" s="65"/>
      <c r="N696" s="65"/>
      <c r="O696" s="65"/>
      <c r="P696" s="65"/>
      <c r="Q696" s="65"/>
      <c r="R696" s="65"/>
      <c r="S696" s="65"/>
      <c r="T696" s="65"/>
      <c r="U696" s="65"/>
      <c r="V696" s="65"/>
      <c r="W696" s="65"/>
      <c r="X696" s="65"/>
      <c r="Y696" s="65"/>
      <c r="Z696" s="65"/>
      <c r="AA696" s="65"/>
      <c r="AB696" s="65"/>
      <c r="AC696" s="65"/>
      <c r="AD696" s="65"/>
      <c r="AE696" s="65"/>
      <c r="AF696" s="65"/>
      <c r="AG696" s="65"/>
      <c r="AH696" s="65"/>
      <c r="AI696" s="65"/>
      <c r="AJ696" s="65"/>
      <c r="AK696" s="65"/>
      <c r="AL696" s="65"/>
      <c r="AM696" s="65"/>
      <c r="AN696" s="65"/>
    </row>
    <row r="697" spans="10:40" ht="14.5" x14ac:dyDescent="0.35">
      <c r="J697" s="65"/>
      <c r="K697" s="65"/>
      <c r="L697" s="65"/>
      <c r="M697" s="65"/>
      <c r="N697" s="65"/>
      <c r="O697" s="65"/>
      <c r="P697" s="65"/>
      <c r="Q697" s="65"/>
      <c r="R697" s="65"/>
      <c r="S697" s="65"/>
      <c r="T697" s="65"/>
      <c r="U697" s="65"/>
      <c r="V697" s="65"/>
      <c r="W697" s="65"/>
      <c r="X697" s="65"/>
      <c r="Y697" s="65"/>
      <c r="Z697" s="65"/>
      <c r="AA697" s="65"/>
      <c r="AB697" s="65"/>
      <c r="AC697" s="65"/>
      <c r="AD697" s="65"/>
      <c r="AE697" s="65"/>
      <c r="AF697" s="65"/>
      <c r="AG697" s="65"/>
      <c r="AH697" s="65"/>
      <c r="AI697" s="65"/>
      <c r="AJ697" s="65"/>
      <c r="AK697" s="65"/>
      <c r="AL697" s="65"/>
      <c r="AM697" s="65"/>
      <c r="AN697" s="65"/>
    </row>
    <row r="698" spans="10:40" ht="14.5" x14ac:dyDescent="0.35">
      <c r="J698" s="65"/>
      <c r="K698" s="65"/>
      <c r="L698" s="65"/>
      <c r="M698" s="65"/>
      <c r="N698" s="65"/>
      <c r="O698" s="65"/>
      <c r="P698" s="65"/>
      <c r="Q698" s="65"/>
      <c r="R698" s="65"/>
      <c r="S698" s="65"/>
      <c r="T698" s="65"/>
      <c r="U698" s="65"/>
      <c r="V698" s="65"/>
      <c r="W698" s="65"/>
      <c r="X698" s="65"/>
      <c r="Y698" s="65"/>
      <c r="Z698" s="65"/>
      <c r="AA698" s="65"/>
      <c r="AB698" s="65"/>
      <c r="AC698" s="65"/>
      <c r="AD698" s="65"/>
      <c r="AE698" s="65"/>
      <c r="AF698" s="65"/>
      <c r="AG698" s="65"/>
      <c r="AH698" s="65"/>
      <c r="AI698" s="65"/>
      <c r="AJ698" s="65"/>
      <c r="AK698" s="65"/>
      <c r="AL698" s="65"/>
      <c r="AM698" s="65"/>
      <c r="AN698" s="65"/>
    </row>
    <row r="699" spans="10:40" ht="14.5" x14ac:dyDescent="0.35">
      <c r="J699" s="65"/>
      <c r="K699" s="65"/>
      <c r="L699" s="65"/>
      <c r="M699" s="65"/>
      <c r="N699" s="65"/>
      <c r="O699" s="65"/>
      <c r="P699" s="65"/>
      <c r="Q699" s="65"/>
      <c r="R699" s="65"/>
      <c r="S699" s="65"/>
      <c r="T699" s="65"/>
      <c r="U699" s="65"/>
      <c r="V699" s="65"/>
      <c r="W699" s="65"/>
      <c r="X699" s="65"/>
      <c r="Y699" s="65"/>
      <c r="Z699" s="65"/>
      <c r="AA699" s="65"/>
      <c r="AB699" s="65"/>
      <c r="AC699" s="65"/>
      <c r="AD699" s="65"/>
      <c r="AE699" s="65"/>
      <c r="AF699" s="65"/>
      <c r="AG699" s="65"/>
      <c r="AH699" s="65"/>
      <c r="AI699" s="65"/>
      <c r="AJ699" s="65"/>
      <c r="AK699" s="65"/>
      <c r="AL699" s="65"/>
      <c r="AM699" s="65"/>
      <c r="AN699" s="65"/>
    </row>
    <row r="700" spans="10:40" ht="14.5" x14ac:dyDescent="0.35">
      <c r="J700" s="65"/>
      <c r="K700" s="65"/>
      <c r="L700" s="65"/>
      <c r="M700" s="65"/>
      <c r="N700" s="65"/>
      <c r="O700" s="65"/>
      <c r="P700" s="65"/>
      <c r="Q700" s="65"/>
      <c r="R700" s="65"/>
      <c r="S700" s="65"/>
      <c r="T700" s="65"/>
      <c r="U700" s="65"/>
      <c r="V700" s="65"/>
      <c r="W700" s="65"/>
      <c r="X700" s="65"/>
      <c r="Y700" s="65"/>
      <c r="Z700" s="65"/>
      <c r="AA700" s="65"/>
      <c r="AB700" s="65"/>
      <c r="AC700" s="65"/>
      <c r="AD700" s="65"/>
      <c r="AE700" s="65"/>
      <c r="AF700" s="65"/>
      <c r="AG700" s="65"/>
      <c r="AH700" s="65"/>
      <c r="AI700" s="65"/>
      <c r="AJ700" s="65"/>
      <c r="AK700" s="65"/>
      <c r="AL700" s="65"/>
      <c r="AM700" s="65"/>
      <c r="AN700" s="65"/>
    </row>
    <row r="701" spans="10:40" ht="14.5" x14ac:dyDescent="0.35">
      <c r="J701" s="65"/>
      <c r="K701" s="65"/>
      <c r="L701" s="65"/>
      <c r="M701" s="65"/>
      <c r="N701" s="65"/>
      <c r="O701" s="65"/>
      <c r="P701" s="65"/>
      <c r="Q701" s="65"/>
      <c r="R701" s="65"/>
      <c r="S701" s="65"/>
      <c r="T701" s="65"/>
      <c r="U701" s="65"/>
      <c r="V701" s="65"/>
      <c r="W701" s="65"/>
      <c r="X701" s="65"/>
      <c r="Y701" s="65"/>
      <c r="Z701" s="65"/>
      <c r="AA701" s="65"/>
      <c r="AB701" s="65"/>
      <c r="AC701" s="65"/>
      <c r="AD701" s="65"/>
      <c r="AE701" s="65"/>
      <c r="AF701" s="65"/>
      <c r="AG701" s="65"/>
      <c r="AH701" s="65"/>
      <c r="AI701" s="65"/>
      <c r="AJ701" s="65"/>
      <c r="AK701" s="65"/>
      <c r="AL701" s="65"/>
      <c r="AM701" s="65"/>
      <c r="AN701" s="65"/>
    </row>
    <row r="702" spans="10:40" ht="14.5" x14ac:dyDescent="0.35">
      <c r="J702" s="65"/>
      <c r="K702" s="65"/>
      <c r="L702" s="65"/>
      <c r="M702" s="65"/>
      <c r="N702" s="65"/>
      <c r="O702" s="65"/>
      <c r="P702" s="65"/>
      <c r="Q702" s="65"/>
      <c r="R702" s="65"/>
      <c r="S702" s="65"/>
      <c r="T702" s="65"/>
      <c r="U702" s="65"/>
      <c r="V702" s="65"/>
      <c r="W702" s="65"/>
      <c r="X702" s="65"/>
      <c r="Y702" s="65"/>
      <c r="Z702" s="65"/>
      <c r="AA702" s="65"/>
      <c r="AB702" s="65"/>
      <c r="AC702" s="65"/>
      <c r="AD702" s="65"/>
      <c r="AE702" s="65"/>
      <c r="AF702" s="65"/>
      <c r="AG702" s="65"/>
      <c r="AH702" s="65"/>
      <c r="AI702" s="65"/>
      <c r="AJ702" s="65"/>
      <c r="AK702" s="65"/>
      <c r="AL702" s="65"/>
      <c r="AM702" s="65"/>
      <c r="AN702" s="65"/>
    </row>
    <row r="703" spans="10:40" ht="14.5" x14ac:dyDescent="0.35">
      <c r="J703" s="65"/>
      <c r="K703" s="65"/>
      <c r="L703" s="65"/>
      <c r="M703" s="65"/>
      <c r="N703" s="65"/>
      <c r="O703" s="65"/>
      <c r="P703" s="65"/>
      <c r="Q703" s="65"/>
      <c r="R703" s="65"/>
      <c r="S703" s="65"/>
      <c r="T703" s="65"/>
      <c r="U703" s="65"/>
      <c r="V703" s="65"/>
      <c r="W703" s="65"/>
      <c r="X703" s="65"/>
      <c r="Y703" s="65"/>
      <c r="Z703" s="65"/>
      <c r="AA703" s="65"/>
      <c r="AB703" s="65"/>
      <c r="AC703" s="65"/>
      <c r="AD703" s="65"/>
      <c r="AE703" s="65"/>
      <c r="AF703" s="65"/>
      <c r="AG703" s="65"/>
      <c r="AH703" s="65"/>
      <c r="AI703" s="65"/>
      <c r="AJ703" s="65"/>
      <c r="AK703" s="65"/>
      <c r="AL703" s="65"/>
      <c r="AM703" s="65"/>
      <c r="AN703" s="65"/>
    </row>
    <row r="704" spans="10:40" ht="14.5" x14ac:dyDescent="0.35">
      <c r="J704" s="65"/>
      <c r="K704" s="65"/>
      <c r="L704" s="65"/>
      <c r="M704" s="65"/>
      <c r="N704" s="65"/>
      <c r="O704" s="65"/>
      <c r="P704" s="65"/>
      <c r="Q704" s="65"/>
      <c r="R704" s="65"/>
      <c r="S704" s="65"/>
      <c r="T704" s="65"/>
      <c r="U704" s="65"/>
      <c r="V704" s="65"/>
      <c r="W704" s="65"/>
      <c r="X704" s="65"/>
      <c r="Y704" s="65"/>
      <c r="Z704" s="65"/>
      <c r="AA704" s="65"/>
      <c r="AB704" s="65"/>
      <c r="AC704" s="65"/>
      <c r="AD704" s="65"/>
      <c r="AE704" s="65"/>
      <c r="AF704" s="65"/>
      <c r="AG704" s="65"/>
      <c r="AH704" s="65"/>
      <c r="AI704" s="65"/>
      <c r="AJ704" s="65"/>
      <c r="AK704" s="65"/>
      <c r="AL704" s="65"/>
      <c r="AM704" s="65"/>
      <c r="AN704" s="65"/>
    </row>
    <row r="705" spans="10:40" ht="14.5" x14ac:dyDescent="0.35">
      <c r="J705" s="65"/>
      <c r="K705" s="65"/>
      <c r="L705" s="65"/>
      <c r="M705" s="65"/>
      <c r="N705" s="65"/>
      <c r="O705" s="65"/>
      <c r="P705" s="65"/>
      <c r="Q705" s="65"/>
      <c r="R705" s="65"/>
      <c r="S705" s="65"/>
      <c r="T705" s="65"/>
      <c r="U705" s="65"/>
      <c r="V705" s="65"/>
      <c r="W705" s="65"/>
      <c r="X705" s="65"/>
      <c r="Y705" s="65"/>
      <c r="Z705" s="65"/>
      <c r="AA705" s="65"/>
      <c r="AB705" s="65"/>
      <c r="AC705" s="65"/>
      <c r="AD705" s="65"/>
      <c r="AE705" s="65"/>
      <c r="AF705" s="65"/>
      <c r="AG705" s="65"/>
      <c r="AH705" s="65"/>
      <c r="AI705" s="65"/>
      <c r="AJ705" s="65"/>
      <c r="AK705" s="65"/>
      <c r="AL705" s="65"/>
      <c r="AM705" s="65"/>
      <c r="AN705" s="65"/>
    </row>
    <row r="706" spans="10:40" ht="14.5" x14ac:dyDescent="0.35">
      <c r="J706" s="65"/>
      <c r="K706" s="65"/>
      <c r="L706" s="65"/>
      <c r="M706" s="65"/>
      <c r="N706" s="65"/>
      <c r="O706" s="65"/>
      <c r="P706" s="65"/>
      <c r="Q706" s="65"/>
      <c r="R706" s="65"/>
      <c r="S706" s="65"/>
      <c r="T706" s="65"/>
      <c r="U706" s="65"/>
      <c r="V706" s="65"/>
      <c r="W706" s="65"/>
      <c r="X706" s="65"/>
      <c r="Y706" s="65"/>
      <c r="Z706" s="65"/>
      <c r="AA706" s="65"/>
      <c r="AB706" s="65"/>
      <c r="AC706" s="65"/>
      <c r="AD706" s="65"/>
      <c r="AE706" s="65"/>
      <c r="AF706" s="65"/>
      <c r="AG706" s="65"/>
      <c r="AH706" s="65"/>
      <c r="AI706" s="65"/>
      <c r="AJ706" s="65"/>
      <c r="AK706" s="65"/>
      <c r="AL706" s="65"/>
      <c r="AM706" s="65"/>
      <c r="AN706" s="65"/>
    </row>
    <row r="707" spans="10:40" ht="14.5" x14ac:dyDescent="0.35">
      <c r="J707" s="65"/>
      <c r="K707" s="65"/>
      <c r="L707" s="65"/>
      <c r="M707" s="65"/>
      <c r="N707" s="65"/>
      <c r="O707" s="65"/>
      <c r="P707" s="65"/>
      <c r="Q707" s="65"/>
      <c r="R707" s="65"/>
      <c r="S707" s="65"/>
      <c r="T707" s="65"/>
      <c r="U707" s="65"/>
      <c r="V707" s="65"/>
      <c r="W707" s="65"/>
      <c r="X707" s="65"/>
      <c r="Y707" s="65"/>
      <c r="Z707" s="65"/>
      <c r="AA707" s="65"/>
      <c r="AB707" s="65"/>
      <c r="AC707" s="65"/>
      <c r="AD707" s="65"/>
      <c r="AE707" s="65"/>
      <c r="AF707" s="65"/>
      <c r="AG707" s="65"/>
      <c r="AH707" s="65"/>
      <c r="AI707" s="65"/>
      <c r="AJ707" s="65"/>
      <c r="AK707" s="65"/>
      <c r="AL707" s="65"/>
      <c r="AM707" s="65"/>
      <c r="AN707" s="65"/>
    </row>
    <row r="708" spans="10:40" ht="14.5" x14ac:dyDescent="0.35">
      <c r="J708" s="65"/>
      <c r="K708" s="65"/>
      <c r="L708" s="65"/>
      <c r="M708" s="65"/>
      <c r="N708" s="65"/>
      <c r="O708" s="65"/>
      <c r="P708" s="65"/>
      <c r="Q708" s="65"/>
      <c r="R708" s="65"/>
      <c r="S708" s="65"/>
      <c r="T708" s="65"/>
      <c r="U708" s="65"/>
      <c r="V708" s="65"/>
      <c r="W708" s="65"/>
      <c r="X708" s="65"/>
      <c r="Y708" s="65"/>
      <c r="Z708" s="65"/>
      <c r="AA708" s="65"/>
      <c r="AB708" s="65"/>
      <c r="AC708" s="65"/>
      <c r="AD708" s="65"/>
      <c r="AE708" s="65"/>
      <c r="AF708" s="65"/>
      <c r="AG708" s="65"/>
      <c r="AH708" s="65"/>
      <c r="AI708" s="65"/>
      <c r="AJ708" s="65"/>
      <c r="AK708" s="65"/>
      <c r="AL708" s="65"/>
      <c r="AM708" s="65"/>
      <c r="AN708" s="65"/>
    </row>
    <row r="709" spans="10:40" ht="14.5" x14ac:dyDescent="0.35">
      <c r="J709" s="65"/>
      <c r="K709" s="65"/>
      <c r="L709" s="65"/>
      <c r="M709" s="65"/>
      <c r="N709" s="65"/>
      <c r="O709" s="65"/>
      <c r="P709" s="65"/>
      <c r="Q709" s="65"/>
      <c r="R709" s="65"/>
      <c r="S709" s="65"/>
      <c r="T709" s="65"/>
      <c r="U709" s="65"/>
      <c r="V709" s="65"/>
      <c r="W709" s="65"/>
      <c r="X709" s="65"/>
      <c r="Y709" s="65"/>
      <c r="Z709" s="65"/>
      <c r="AA709" s="65"/>
      <c r="AB709" s="65"/>
      <c r="AC709" s="65"/>
      <c r="AD709" s="65"/>
      <c r="AE709" s="65"/>
      <c r="AF709" s="65"/>
      <c r="AG709" s="65"/>
      <c r="AH709" s="65"/>
      <c r="AI709" s="65"/>
      <c r="AJ709" s="65"/>
      <c r="AK709" s="65"/>
      <c r="AL709" s="65"/>
      <c r="AM709" s="65"/>
      <c r="AN709" s="65"/>
    </row>
    <row r="710" spans="10:40" ht="14.5" x14ac:dyDescent="0.35">
      <c r="J710" s="65"/>
      <c r="K710" s="65"/>
      <c r="L710" s="65"/>
      <c r="M710" s="65"/>
      <c r="N710" s="65"/>
      <c r="O710" s="65"/>
      <c r="P710" s="65"/>
      <c r="Q710" s="65"/>
      <c r="R710" s="65"/>
      <c r="S710" s="65"/>
      <c r="T710" s="65"/>
      <c r="U710" s="65"/>
      <c r="V710" s="65"/>
      <c r="W710" s="65"/>
      <c r="X710" s="65"/>
      <c r="Y710" s="65"/>
      <c r="Z710" s="65"/>
      <c r="AA710" s="65"/>
      <c r="AB710" s="65"/>
      <c r="AC710" s="65"/>
      <c r="AD710" s="65"/>
      <c r="AE710" s="65"/>
      <c r="AF710" s="65"/>
      <c r="AG710" s="65"/>
      <c r="AH710" s="65"/>
      <c r="AI710" s="65"/>
      <c r="AJ710" s="65"/>
      <c r="AK710" s="65"/>
      <c r="AL710" s="65"/>
      <c r="AM710" s="65"/>
      <c r="AN710" s="65"/>
    </row>
    <row r="711" spans="10:40" ht="14.5" x14ac:dyDescent="0.35">
      <c r="J711" s="65"/>
      <c r="K711" s="65"/>
      <c r="L711" s="65"/>
      <c r="M711" s="65"/>
      <c r="N711" s="65"/>
      <c r="O711" s="65"/>
      <c r="P711" s="65"/>
      <c r="Q711" s="65"/>
      <c r="R711" s="65"/>
      <c r="S711" s="65"/>
      <c r="T711" s="65"/>
      <c r="U711" s="65"/>
      <c r="V711" s="65"/>
      <c r="W711" s="65"/>
      <c r="X711" s="65"/>
      <c r="Y711" s="65"/>
      <c r="Z711" s="65"/>
      <c r="AA711" s="65"/>
      <c r="AB711" s="65"/>
      <c r="AC711" s="65"/>
      <c r="AD711" s="65"/>
      <c r="AE711" s="65"/>
      <c r="AF711" s="65"/>
      <c r="AG711" s="65"/>
      <c r="AH711" s="65"/>
      <c r="AI711" s="65"/>
      <c r="AJ711" s="65"/>
      <c r="AK711" s="65"/>
      <c r="AL711" s="65"/>
      <c r="AM711" s="65"/>
      <c r="AN711" s="65"/>
    </row>
    <row r="712" spans="10:40" ht="14.5" x14ac:dyDescent="0.35">
      <c r="J712" s="65"/>
      <c r="K712" s="65"/>
      <c r="L712" s="65"/>
      <c r="M712" s="65"/>
      <c r="N712" s="65"/>
      <c r="O712" s="65"/>
      <c r="P712" s="65"/>
      <c r="Q712" s="65"/>
      <c r="R712" s="65"/>
      <c r="S712" s="65"/>
      <c r="T712" s="65"/>
      <c r="U712" s="65"/>
      <c r="V712" s="65"/>
      <c r="W712" s="65"/>
      <c r="X712" s="65"/>
      <c r="Y712" s="65"/>
      <c r="Z712" s="65"/>
      <c r="AA712" s="65"/>
      <c r="AB712" s="65"/>
      <c r="AC712" s="65"/>
      <c r="AD712" s="65"/>
      <c r="AE712" s="65"/>
      <c r="AF712" s="65"/>
      <c r="AG712" s="65"/>
      <c r="AH712" s="65"/>
      <c r="AI712" s="65"/>
      <c r="AJ712" s="65"/>
      <c r="AK712" s="65"/>
      <c r="AL712" s="65"/>
      <c r="AM712" s="65"/>
      <c r="AN712" s="65"/>
    </row>
    <row r="713" spans="10:40" ht="14.5" x14ac:dyDescent="0.35">
      <c r="J713" s="65"/>
      <c r="K713" s="65"/>
      <c r="L713" s="65"/>
      <c r="M713" s="65"/>
      <c r="N713" s="65"/>
      <c r="O713" s="65"/>
      <c r="P713" s="65"/>
      <c r="Q713" s="65"/>
      <c r="R713" s="65"/>
      <c r="S713" s="65"/>
      <c r="T713" s="65"/>
      <c r="U713" s="65"/>
      <c r="V713" s="65"/>
      <c r="W713" s="65"/>
      <c r="X713" s="65"/>
      <c r="Y713" s="65"/>
      <c r="Z713" s="65"/>
      <c r="AA713" s="65"/>
      <c r="AB713" s="65"/>
      <c r="AC713" s="65"/>
      <c r="AD713" s="65"/>
      <c r="AE713" s="65"/>
      <c r="AF713" s="65"/>
      <c r="AG713" s="65"/>
      <c r="AH713" s="65"/>
      <c r="AI713" s="65"/>
      <c r="AJ713" s="65"/>
      <c r="AK713" s="65"/>
      <c r="AL713" s="65"/>
      <c r="AM713" s="65"/>
      <c r="AN713" s="65"/>
    </row>
    <row r="714" spans="10:40" ht="14.5" x14ac:dyDescent="0.35">
      <c r="J714" s="65"/>
      <c r="K714" s="65"/>
      <c r="L714" s="65"/>
      <c r="M714" s="65"/>
      <c r="N714" s="65"/>
      <c r="O714" s="65"/>
      <c r="P714" s="65"/>
      <c r="Q714" s="65"/>
      <c r="R714" s="65"/>
      <c r="S714" s="65"/>
      <c r="T714" s="65"/>
      <c r="U714" s="65"/>
      <c r="V714" s="65"/>
      <c r="W714" s="65"/>
      <c r="X714" s="65"/>
      <c r="Y714" s="65"/>
      <c r="Z714" s="65"/>
      <c r="AA714" s="65"/>
      <c r="AB714" s="65"/>
      <c r="AC714" s="65"/>
      <c r="AD714" s="65"/>
      <c r="AE714" s="65"/>
      <c r="AF714" s="65"/>
      <c r="AG714" s="65"/>
      <c r="AH714" s="65"/>
      <c r="AI714" s="65"/>
      <c r="AJ714" s="65"/>
      <c r="AK714" s="65"/>
      <c r="AL714" s="65"/>
      <c r="AM714" s="65"/>
      <c r="AN714" s="65"/>
    </row>
    <row r="715" spans="10:40" ht="14.5" x14ac:dyDescent="0.35">
      <c r="J715" s="65"/>
      <c r="K715" s="65"/>
      <c r="L715" s="65"/>
      <c r="M715" s="65"/>
      <c r="N715" s="65"/>
      <c r="O715" s="65"/>
      <c r="P715" s="65"/>
      <c r="Q715" s="65"/>
      <c r="R715" s="65"/>
      <c r="S715" s="65"/>
      <c r="T715" s="65"/>
      <c r="U715" s="65"/>
      <c r="V715" s="65"/>
      <c r="W715" s="65"/>
      <c r="X715" s="65"/>
      <c r="Y715" s="65"/>
      <c r="Z715" s="65"/>
      <c r="AA715" s="65"/>
      <c r="AB715" s="65"/>
      <c r="AC715" s="65"/>
      <c r="AD715" s="65"/>
      <c r="AE715" s="65"/>
      <c r="AF715" s="65"/>
      <c r="AG715" s="65"/>
      <c r="AH715" s="65"/>
      <c r="AI715" s="65"/>
      <c r="AJ715" s="65"/>
      <c r="AK715" s="65"/>
      <c r="AL715" s="65"/>
      <c r="AM715" s="65"/>
      <c r="AN715" s="65"/>
    </row>
    <row r="716" spans="10:40" ht="14.5" x14ac:dyDescent="0.35">
      <c r="J716" s="65"/>
      <c r="K716" s="65"/>
      <c r="L716" s="65"/>
      <c r="M716" s="65"/>
      <c r="N716" s="65"/>
      <c r="O716" s="65"/>
      <c r="P716" s="65"/>
      <c r="Q716" s="65"/>
      <c r="R716" s="65"/>
      <c r="S716" s="65"/>
      <c r="T716" s="65"/>
      <c r="U716" s="65"/>
      <c r="V716" s="65"/>
      <c r="W716" s="65"/>
      <c r="X716" s="65"/>
      <c r="Y716" s="65"/>
      <c r="Z716" s="65"/>
      <c r="AA716" s="65"/>
      <c r="AB716" s="65"/>
      <c r="AC716" s="65"/>
      <c r="AD716" s="65"/>
      <c r="AE716" s="65"/>
      <c r="AF716" s="65"/>
      <c r="AG716" s="65"/>
      <c r="AH716" s="65"/>
      <c r="AI716" s="65"/>
      <c r="AJ716" s="65"/>
      <c r="AK716" s="65"/>
      <c r="AL716" s="65"/>
      <c r="AM716" s="65"/>
      <c r="AN716" s="65"/>
    </row>
    <row r="717" spans="10:40" ht="14.5" x14ac:dyDescent="0.35">
      <c r="J717" s="65"/>
      <c r="K717" s="65"/>
      <c r="L717" s="65"/>
      <c r="M717" s="65"/>
      <c r="N717" s="65"/>
      <c r="O717" s="65"/>
      <c r="P717" s="65"/>
      <c r="Q717" s="65"/>
      <c r="R717" s="65"/>
      <c r="S717" s="65"/>
      <c r="T717" s="65"/>
      <c r="U717" s="65"/>
      <c r="V717" s="65"/>
      <c r="W717" s="65"/>
      <c r="X717" s="65"/>
      <c r="Y717" s="65"/>
      <c r="Z717" s="65"/>
      <c r="AA717" s="65"/>
      <c r="AB717" s="65"/>
      <c r="AC717" s="65"/>
      <c r="AD717" s="65"/>
      <c r="AE717" s="65"/>
      <c r="AF717" s="65"/>
      <c r="AG717" s="65"/>
      <c r="AH717" s="65"/>
      <c r="AI717" s="65"/>
      <c r="AJ717" s="65"/>
      <c r="AK717" s="65"/>
      <c r="AL717" s="65"/>
      <c r="AM717" s="65"/>
      <c r="AN717" s="65"/>
    </row>
    <row r="718" spans="10:40" ht="14.5" x14ac:dyDescent="0.35">
      <c r="J718" s="65"/>
      <c r="K718" s="65"/>
      <c r="L718" s="65"/>
      <c r="M718" s="65"/>
      <c r="N718" s="65"/>
      <c r="O718" s="65"/>
      <c r="P718" s="65"/>
      <c r="Q718" s="65"/>
      <c r="R718" s="65"/>
      <c r="S718" s="65"/>
      <c r="T718" s="65"/>
      <c r="U718" s="65"/>
      <c r="V718" s="65"/>
      <c r="W718" s="65"/>
      <c r="X718" s="65"/>
      <c r="Y718" s="65"/>
      <c r="Z718" s="65"/>
      <c r="AA718" s="65"/>
      <c r="AB718" s="65"/>
      <c r="AC718" s="65"/>
      <c r="AD718" s="65"/>
      <c r="AE718" s="65"/>
      <c r="AF718" s="65"/>
      <c r="AG718" s="65"/>
      <c r="AH718" s="65"/>
      <c r="AI718" s="65"/>
      <c r="AJ718" s="65"/>
      <c r="AK718" s="65"/>
      <c r="AL718" s="65"/>
      <c r="AM718" s="65"/>
      <c r="AN718" s="65"/>
    </row>
    <row r="719" spans="10:40" ht="14.5" x14ac:dyDescent="0.35">
      <c r="J719" s="65"/>
      <c r="K719" s="65"/>
      <c r="L719" s="65"/>
      <c r="M719" s="65"/>
      <c r="N719" s="65"/>
      <c r="O719" s="65"/>
      <c r="P719" s="65"/>
      <c r="Q719" s="65"/>
      <c r="R719" s="65"/>
      <c r="S719" s="65"/>
      <c r="T719" s="65"/>
      <c r="U719" s="65"/>
      <c r="V719" s="65"/>
      <c r="W719" s="65"/>
      <c r="X719" s="65"/>
      <c r="Y719" s="65"/>
      <c r="Z719" s="65"/>
      <c r="AA719" s="65"/>
      <c r="AB719" s="65"/>
      <c r="AC719" s="65"/>
      <c r="AD719" s="65"/>
      <c r="AE719" s="65"/>
      <c r="AF719" s="65"/>
      <c r="AG719" s="65"/>
      <c r="AH719" s="65"/>
      <c r="AI719" s="65"/>
      <c r="AJ719" s="65"/>
      <c r="AK719" s="65"/>
      <c r="AL719" s="65"/>
      <c r="AM719" s="65"/>
      <c r="AN719" s="65"/>
    </row>
    <row r="720" spans="10:40" ht="14.5" x14ac:dyDescent="0.35">
      <c r="J720" s="65"/>
      <c r="K720" s="65"/>
      <c r="L720" s="65"/>
      <c r="M720" s="65"/>
      <c r="N720" s="65"/>
      <c r="O720" s="65"/>
      <c r="P720" s="65"/>
      <c r="Q720" s="65"/>
      <c r="R720" s="65"/>
      <c r="S720" s="65"/>
      <c r="T720" s="65"/>
      <c r="U720" s="65"/>
      <c r="V720" s="65"/>
      <c r="W720" s="65"/>
      <c r="X720" s="65"/>
      <c r="Y720" s="65"/>
      <c r="Z720" s="65"/>
      <c r="AA720" s="65"/>
      <c r="AB720" s="65"/>
      <c r="AC720" s="65"/>
      <c r="AD720" s="65"/>
      <c r="AE720" s="65"/>
      <c r="AF720" s="65"/>
      <c r="AG720" s="65"/>
      <c r="AH720" s="65"/>
      <c r="AI720" s="65"/>
      <c r="AJ720" s="65"/>
      <c r="AK720" s="65"/>
      <c r="AL720" s="65"/>
      <c r="AM720" s="65"/>
      <c r="AN720" s="65"/>
    </row>
    <row r="721" spans="10:40" ht="14.5" x14ac:dyDescent="0.35">
      <c r="J721" s="65"/>
      <c r="K721" s="65"/>
      <c r="L721" s="65"/>
      <c r="M721" s="65"/>
      <c r="N721" s="65"/>
      <c r="O721" s="65"/>
      <c r="P721" s="65"/>
      <c r="Q721" s="65"/>
      <c r="R721" s="65"/>
      <c r="S721" s="65"/>
      <c r="T721" s="65"/>
      <c r="U721" s="65"/>
      <c r="V721" s="65"/>
      <c r="W721" s="65"/>
      <c r="X721" s="65"/>
      <c r="Y721" s="65"/>
      <c r="Z721" s="65"/>
      <c r="AA721" s="65"/>
      <c r="AB721" s="65"/>
      <c r="AC721" s="65"/>
      <c r="AD721" s="65"/>
      <c r="AE721" s="65"/>
      <c r="AF721" s="65"/>
      <c r="AG721" s="65"/>
      <c r="AH721" s="65"/>
      <c r="AI721" s="65"/>
      <c r="AJ721" s="65"/>
      <c r="AK721" s="65"/>
      <c r="AL721" s="65"/>
      <c r="AM721" s="65"/>
      <c r="AN721" s="65"/>
    </row>
    <row r="722" spans="10:40" ht="14.5" x14ac:dyDescent="0.35">
      <c r="J722" s="65"/>
      <c r="K722" s="65"/>
      <c r="L722" s="65"/>
      <c r="M722" s="65"/>
      <c r="N722" s="65"/>
      <c r="O722" s="65"/>
      <c r="P722" s="65"/>
      <c r="Q722" s="65"/>
      <c r="R722" s="65"/>
      <c r="S722" s="65"/>
      <c r="T722" s="65"/>
      <c r="U722" s="65"/>
      <c r="V722" s="65"/>
      <c r="W722" s="65"/>
      <c r="X722" s="65"/>
      <c r="Y722" s="65"/>
      <c r="Z722" s="65"/>
      <c r="AA722" s="65"/>
      <c r="AB722" s="65"/>
      <c r="AC722" s="65"/>
      <c r="AD722" s="65"/>
      <c r="AE722" s="65"/>
      <c r="AF722" s="65"/>
      <c r="AG722" s="65"/>
      <c r="AH722" s="65"/>
      <c r="AI722" s="65"/>
      <c r="AJ722" s="65"/>
      <c r="AK722" s="65"/>
      <c r="AL722" s="65"/>
      <c r="AM722" s="65"/>
      <c r="AN722" s="65"/>
    </row>
    <row r="723" spans="10:40" ht="14.5" x14ac:dyDescent="0.35">
      <c r="J723" s="65"/>
      <c r="K723" s="65"/>
      <c r="L723" s="65"/>
      <c r="M723" s="65"/>
      <c r="N723" s="65"/>
      <c r="O723" s="65"/>
      <c r="P723" s="65"/>
      <c r="Q723" s="65"/>
      <c r="R723" s="65"/>
      <c r="S723" s="65"/>
      <c r="T723" s="65"/>
      <c r="U723" s="65"/>
      <c r="V723" s="65"/>
      <c r="W723" s="65"/>
      <c r="X723" s="65"/>
      <c r="Y723" s="65"/>
      <c r="Z723" s="65"/>
      <c r="AA723" s="65"/>
      <c r="AB723" s="65"/>
      <c r="AC723" s="65"/>
      <c r="AD723" s="65"/>
      <c r="AE723" s="65"/>
      <c r="AF723" s="65"/>
      <c r="AG723" s="65"/>
      <c r="AH723" s="65"/>
      <c r="AI723" s="65"/>
      <c r="AJ723" s="65"/>
      <c r="AK723" s="65"/>
      <c r="AL723" s="65"/>
      <c r="AM723" s="65"/>
      <c r="AN723" s="65"/>
    </row>
    <row r="724" spans="10:40" ht="14.5" x14ac:dyDescent="0.35">
      <c r="J724" s="65"/>
      <c r="K724" s="65"/>
      <c r="L724" s="65"/>
      <c r="M724" s="65"/>
      <c r="N724" s="65"/>
      <c r="O724" s="65"/>
      <c r="P724" s="65"/>
      <c r="Q724" s="65"/>
      <c r="R724" s="65"/>
      <c r="S724" s="65"/>
      <c r="T724" s="65"/>
      <c r="U724" s="65"/>
      <c r="V724" s="65"/>
      <c r="W724" s="65"/>
      <c r="X724" s="65"/>
      <c r="Y724" s="65"/>
      <c r="Z724" s="65"/>
      <c r="AA724" s="65"/>
      <c r="AB724" s="65"/>
      <c r="AC724" s="65"/>
      <c r="AD724" s="65"/>
      <c r="AE724" s="65"/>
      <c r="AF724" s="65"/>
      <c r="AG724" s="65"/>
      <c r="AH724" s="65"/>
      <c r="AI724" s="65"/>
      <c r="AJ724" s="65"/>
      <c r="AK724" s="65"/>
      <c r="AL724" s="65"/>
      <c r="AM724" s="65"/>
      <c r="AN724" s="65"/>
    </row>
    <row r="725" spans="10:40" ht="14.5" x14ac:dyDescent="0.35">
      <c r="J725" s="65"/>
      <c r="K725" s="65"/>
      <c r="L725" s="65"/>
      <c r="M725" s="65"/>
      <c r="N725" s="65"/>
      <c r="O725" s="65"/>
      <c r="P725" s="65"/>
      <c r="Q725" s="65"/>
      <c r="R725" s="65"/>
      <c r="S725" s="65"/>
      <c r="T725" s="65"/>
      <c r="U725" s="65"/>
      <c r="V725" s="65"/>
      <c r="W725" s="65"/>
      <c r="X725" s="65"/>
      <c r="Y725" s="65"/>
      <c r="Z725" s="65"/>
      <c r="AA725" s="65"/>
      <c r="AB725" s="65"/>
      <c r="AC725" s="65"/>
      <c r="AD725" s="65"/>
      <c r="AE725" s="65"/>
      <c r="AF725" s="65"/>
      <c r="AG725" s="65"/>
      <c r="AH725" s="65"/>
      <c r="AI725" s="65"/>
      <c r="AJ725" s="65"/>
      <c r="AK725" s="65"/>
      <c r="AL725" s="65"/>
      <c r="AM725" s="65"/>
      <c r="AN725" s="65"/>
    </row>
    <row r="726" spans="10:40" ht="14.5" x14ac:dyDescent="0.35">
      <c r="J726" s="65"/>
      <c r="K726" s="65"/>
      <c r="L726" s="65"/>
      <c r="M726" s="65"/>
      <c r="N726" s="65"/>
      <c r="O726" s="65"/>
      <c r="P726" s="65"/>
      <c r="Q726" s="65"/>
      <c r="R726" s="65"/>
      <c r="S726" s="65"/>
      <c r="T726" s="65"/>
      <c r="U726" s="65"/>
      <c r="V726" s="65"/>
      <c r="W726" s="65"/>
      <c r="X726" s="65"/>
      <c r="Y726" s="65"/>
      <c r="Z726" s="65"/>
      <c r="AA726" s="65"/>
      <c r="AB726" s="65"/>
      <c r="AC726" s="65"/>
      <c r="AD726" s="65"/>
      <c r="AE726" s="65"/>
      <c r="AF726" s="65"/>
      <c r="AG726" s="65"/>
      <c r="AH726" s="65"/>
      <c r="AI726" s="65"/>
      <c r="AJ726" s="65"/>
      <c r="AK726" s="65"/>
      <c r="AL726" s="65"/>
      <c r="AM726" s="65"/>
      <c r="AN726" s="65"/>
    </row>
    <row r="727" spans="10:40" ht="14.5" x14ac:dyDescent="0.35">
      <c r="J727" s="65"/>
      <c r="K727" s="65"/>
      <c r="L727" s="65"/>
      <c r="M727" s="65"/>
      <c r="N727" s="65"/>
      <c r="O727" s="65"/>
      <c r="P727" s="65"/>
      <c r="Q727" s="65"/>
      <c r="R727" s="65"/>
      <c r="S727" s="65"/>
      <c r="T727" s="65"/>
      <c r="U727" s="65"/>
      <c r="V727" s="65"/>
      <c r="W727" s="65"/>
      <c r="X727" s="65"/>
      <c r="Y727" s="65"/>
      <c r="Z727" s="65"/>
      <c r="AA727" s="65"/>
      <c r="AB727" s="65"/>
      <c r="AC727" s="65"/>
      <c r="AD727" s="65"/>
      <c r="AE727" s="65"/>
      <c r="AF727" s="65"/>
      <c r="AG727" s="65"/>
      <c r="AH727" s="65"/>
      <c r="AI727" s="65"/>
      <c r="AJ727" s="65"/>
      <c r="AK727" s="65"/>
      <c r="AL727" s="65"/>
      <c r="AM727" s="65"/>
      <c r="AN727" s="65"/>
    </row>
    <row r="728" spans="10:40" ht="14.5" x14ac:dyDescent="0.35">
      <c r="J728" s="65"/>
      <c r="K728" s="65"/>
      <c r="L728" s="65"/>
      <c r="M728" s="65"/>
      <c r="N728" s="65"/>
      <c r="O728" s="65"/>
      <c r="P728" s="65"/>
      <c r="Q728" s="65"/>
      <c r="R728" s="65"/>
      <c r="S728" s="65"/>
      <c r="T728" s="65"/>
      <c r="U728" s="65"/>
      <c r="V728" s="65"/>
      <c r="W728" s="65"/>
      <c r="X728" s="65"/>
      <c r="Y728" s="65"/>
      <c r="Z728" s="65"/>
      <c r="AA728" s="65"/>
      <c r="AB728" s="65"/>
      <c r="AC728" s="65"/>
      <c r="AD728" s="65"/>
      <c r="AE728" s="65"/>
      <c r="AF728" s="65"/>
      <c r="AG728" s="65"/>
      <c r="AH728" s="65"/>
      <c r="AI728" s="65"/>
      <c r="AJ728" s="65"/>
      <c r="AK728" s="65"/>
      <c r="AL728" s="65"/>
      <c r="AM728" s="65"/>
      <c r="AN728" s="65"/>
    </row>
    <row r="729" spans="10:40" ht="14.5" x14ac:dyDescent="0.35">
      <c r="J729" s="65"/>
      <c r="K729" s="65"/>
      <c r="L729" s="65"/>
      <c r="M729" s="65"/>
      <c r="N729" s="65"/>
      <c r="O729" s="65"/>
      <c r="P729" s="65"/>
      <c r="Q729" s="65"/>
      <c r="R729" s="65"/>
      <c r="S729" s="65"/>
      <c r="T729" s="65"/>
      <c r="U729" s="65"/>
      <c r="V729" s="65"/>
      <c r="W729" s="65"/>
      <c r="X729" s="65"/>
      <c r="Y729" s="65"/>
      <c r="Z729" s="65"/>
      <c r="AA729" s="65"/>
      <c r="AB729" s="65"/>
      <c r="AC729" s="65"/>
      <c r="AD729" s="65"/>
      <c r="AE729" s="65"/>
      <c r="AF729" s="65"/>
      <c r="AG729" s="65"/>
      <c r="AH729" s="65"/>
      <c r="AI729" s="65"/>
      <c r="AJ729" s="65"/>
      <c r="AK729" s="65"/>
      <c r="AL729" s="65"/>
      <c r="AM729" s="65"/>
      <c r="AN729" s="65"/>
    </row>
    <row r="730" spans="10:40" ht="14.5" x14ac:dyDescent="0.35">
      <c r="J730" s="65"/>
      <c r="K730" s="65"/>
      <c r="L730" s="65"/>
      <c r="M730" s="65"/>
      <c r="N730" s="65"/>
      <c r="O730" s="65"/>
      <c r="P730" s="65"/>
      <c r="Q730" s="65"/>
      <c r="R730" s="65"/>
      <c r="S730" s="65"/>
      <c r="T730" s="65"/>
      <c r="U730" s="65"/>
      <c r="V730" s="65"/>
      <c r="W730" s="65"/>
      <c r="X730" s="65"/>
      <c r="Y730" s="65"/>
      <c r="Z730" s="65"/>
      <c r="AA730" s="65"/>
      <c r="AB730" s="65"/>
      <c r="AC730" s="65"/>
      <c r="AD730" s="65"/>
      <c r="AE730" s="65"/>
      <c r="AF730" s="65"/>
      <c r="AG730" s="65"/>
      <c r="AH730" s="65"/>
      <c r="AI730" s="65"/>
      <c r="AJ730" s="65"/>
      <c r="AK730" s="65"/>
      <c r="AL730" s="65"/>
      <c r="AM730" s="65"/>
      <c r="AN730" s="65"/>
    </row>
    <row r="731" spans="10:40" ht="14.5" x14ac:dyDescent="0.35">
      <c r="J731" s="65"/>
      <c r="K731" s="65"/>
      <c r="L731" s="65"/>
      <c r="M731" s="65"/>
      <c r="N731" s="65"/>
      <c r="O731" s="65"/>
      <c r="P731" s="65"/>
      <c r="Q731" s="65"/>
      <c r="R731" s="65"/>
      <c r="S731" s="65"/>
      <c r="T731" s="65"/>
      <c r="U731" s="65"/>
      <c r="V731" s="65"/>
      <c r="W731" s="65"/>
      <c r="X731" s="65"/>
      <c r="Y731" s="65"/>
      <c r="Z731" s="65"/>
      <c r="AA731" s="65"/>
      <c r="AB731" s="65"/>
      <c r="AC731" s="65"/>
      <c r="AD731" s="65"/>
      <c r="AE731" s="65"/>
      <c r="AF731" s="65"/>
      <c r="AG731" s="65"/>
      <c r="AH731" s="65"/>
      <c r="AI731" s="65"/>
      <c r="AJ731" s="65"/>
      <c r="AK731" s="65"/>
      <c r="AL731" s="65"/>
      <c r="AM731" s="65"/>
      <c r="AN731" s="65"/>
    </row>
    <row r="732" spans="10:40" ht="14.5" x14ac:dyDescent="0.35">
      <c r="J732" s="65"/>
      <c r="K732" s="65"/>
      <c r="L732" s="65"/>
      <c r="M732" s="65"/>
      <c r="N732" s="65"/>
      <c r="O732" s="65"/>
      <c r="P732" s="65"/>
      <c r="Q732" s="65"/>
      <c r="R732" s="65"/>
      <c r="S732" s="65"/>
      <c r="T732" s="65"/>
      <c r="U732" s="65"/>
      <c r="V732" s="65"/>
      <c r="W732" s="65"/>
      <c r="X732" s="65"/>
      <c r="Y732" s="65"/>
      <c r="Z732" s="65"/>
      <c r="AA732" s="65"/>
      <c r="AB732" s="65"/>
      <c r="AC732" s="65"/>
      <c r="AD732" s="65"/>
      <c r="AE732" s="65"/>
      <c r="AF732" s="65"/>
      <c r="AG732" s="65"/>
      <c r="AH732" s="65"/>
      <c r="AI732" s="65"/>
      <c r="AJ732" s="65"/>
      <c r="AK732" s="65"/>
      <c r="AL732" s="65"/>
      <c r="AM732" s="65"/>
      <c r="AN732" s="65"/>
    </row>
    <row r="733" spans="10:40" ht="14.5" x14ac:dyDescent="0.35">
      <c r="J733" s="65"/>
      <c r="K733" s="65"/>
      <c r="L733" s="65"/>
      <c r="M733" s="65"/>
      <c r="N733" s="65"/>
      <c r="O733" s="65"/>
      <c r="P733" s="65"/>
      <c r="Q733" s="65"/>
      <c r="R733" s="65"/>
      <c r="S733" s="65"/>
      <c r="T733" s="65"/>
      <c r="U733" s="65"/>
      <c r="V733" s="65"/>
      <c r="W733" s="65"/>
      <c r="X733" s="65"/>
      <c r="Y733" s="65"/>
      <c r="Z733" s="65"/>
      <c r="AA733" s="65"/>
      <c r="AB733" s="65"/>
      <c r="AC733" s="65"/>
      <c r="AD733" s="65"/>
      <c r="AE733" s="65"/>
      <c r="AF733" s="65"/>
      <c r="AG733" s="65"/>
      <c r="AH733" s="65"/>
      <c r="AI733" s="65"/>
      <c r="AJ733" s="65"/>
      <c r="AK733" s="65"/>
      <c r="AL733" s="65"/>
      <c r="AM733" s="65"/>
      <c r="AN733" s="65"/>
    </row>
    <row r="734" spans="10:40" ht="14.5" x14ac:dyDescent="0.35">
      <c r="J734" s="65"/>
      <c r="K734" s="65"/>
      <c r="L734" s="65"/>
      <c r="M734" s="65"/>
      <c r="N734" s="65"/>
      <c r="O734" s="65"/>
      <c r="P734" s="65"/>
      <c r="Q734" s="65"/>
      <c r="R734" s="65"/>
      <c r="S734" s="65"/>
      <c r="T734" s="65"/>
      <c r="U734" s="65"/>
      <c r="V734" s="65"/>
      <c r="W734" s="65"/>
      <c r="X734" s="65"/>
      <c r="Y734" s="65"/>
      <c r="Z734" s="65"/>
      <c r="AA734" s="65"/>
      <c r="AB734" s="65"/>
      <c r="AC734" s="65"/>
      <c r="AD734" s="65"/>
      <c r="AE734" s="65"/>
      <c r="AF734" s="65"/>
      <c r="AG734" s="65"/>
      <c r="AH734" s="65"/>
      <c r="AI734" s="65"/>
      <c r="AJ734" s="65"/>
      <c r="AK734" s="65"/>
      <c r="AL734" s="65"/>
      <c r="AM734" s="65"/>
      <c r="AN734" s="65"/>
    </row>
    <row r="735" spans="10:40" ht="14.5" x14ac:dyDescent="0.35">
      <c r="J735" s="65"/>
      <c r="K735" s="65"/>
      <c r="L735" s="65"/>
      <c r="M735" s="65"/>
      <c r="N735" s="65"/>
      <c r="O735" s="65"/>
      <c r="P735" s="65"/>
      <c r="Q735" s="65"/>
      <c r="R735" s="65"/>
      <c r="S735" s="65"/>
      <c r="T735" s="65"/>
      <c r="U735" s="65"/>
      <c r="V735" s="65"/>
      <c r="W735" s="65"/>
      <c r="X735" s="65"/>
      <c r="Y735" s="65"/>
      <c r="Z735" s="65"/>
      <c r="AA735" s="65"/>
      <c r="AB735" s="65"/>
      <c r="AC735" s="65"/>
      <c r="AD735" s="65"/>
      <c r="AE735" s="65"/>
      <c r="AF735" s="65"/>
      <c r="AG735" s="65"/>
      <c r="AH735" s="65"/>
      <c r="AI735" s="65"/>
      <c r="AJ735" s="65"/>
      <c r="AK735" s="65"/>
      <c r="AL735" s="65"/>
      <c r="AM735" s="65"/>
      <c r="AN735" s="65"/>
    </row>
    <row r="736" spans="10:40" ht="14.5" x14ac:dyDescent="0.35">
      <c r="J736" s="65"/>
      <c r="K736" s="65"/>
      <c r="L736" s="65"/>
      <c r="M736" s="65"/>
      <c r="N736" s="65"/>
      <c r="O736" s="65"/>
      <c r="P736" s="65"/>
      <c r="Q736" s="65"/>
      <c r="R736" s="65"/>
      <c r="S736" s="65"/>
      <c r="T736" s="65"/>
      <c r="U736" s="65"/>
      <c r="V736" s="65"/>
      <c r="W736" s="65"/>
      <c r="X736" s="65"/>
      <c r="Y736" s="65"/>
      <c r="Z736" s="65"/>
      <c r="AA736" s="65"/>
      <c r="AB736" s="65"/>
      <c r="AC736" s="65"/>
      <c r="AD736" s="65"/>
      <c r="AE736" s="65"/>
      <c r="AF736" s="65"/>
      <c r="AG736" s="65"/>
      <c r="AH736" s="65"/>
      <c r="AI736" s="65"/>
      <c r="AJ736" s="65"/>
      <c r="AK736" s="65"/>
      <c r="AL736" s="65"/>
      <c r="AM736" s="65"/>
      <c r="AN736" s="65"/>
    </row>
    <row r="737" spans="10:40" ht="14.5" x14ac:dyDescent="0.35">
      <c r="J737" s="65"/>
      <c r="K737" s="65"/>
      <c r="L737" s="65"/>
      <c r="M737" s="65"/>
      <c r="N737" s="65"/>
      <c r="O737" s="65"/>
      <c r="P737" s="65"/>
      <c r="Q737" s="65"/>
      <c r="R737" s="65"/>
      <c r="S737" s="65"/>
      <c r="T737" s="65"/>
      <c r="U737" s="65"/>
      <c r="V737" s="65"/>
      <c r="W737" s="65"/>
      <c r="X737" s="65"/>
      <c r="Y737" s="65"/>
      <c r="Z737" s="65"/>
      <c r="AA737" s="65"/>
      <c r="AB737" s="65"/>
      <c r="AC737" s="65"/>
      <c r="AD737" s="65"/>
      <c r="AE737" s="65"/>
      <c r="AF737" s="65"/>
      <c r="AG737" s="65"/>
      <c r="AH737" s="65"/>
      <c r="AI737" s="65"/>
      <c r="AJ737" s="65"/>
      <c r="AK737" s="65"/>
      <c r="AL737" s="65"/>
      <c r="AM737" s="65"/>
      <c r="AN737" s="65"/>
    </row>
    <row r="738" spans="10:40" ht="14.5" x14ac:dyDescent="0.35">
      <c r="J738" s="65"/>
      <c r="K738" s="65"/>
      <c r="L738" s="65"/>
      <c r="M738" s="65"/>
      <c r="N738" s="65"/>
      <c r="O738" s="65"/>
      <c r="P738" s="65"/>
      <c r="Q738" s="65"/>
      <c r="R738" s="65"/>
      <c r="S738" s="65"/>
      <c r="T738" s="65"/>
      <c r="U738" s="65"/>
      <c r="V738" s="65"/>
      <c r="W738" s="65"/>
      <c r="X738" s="65"/>
      <c r="Y738" s="65"/>
      <c r="Z738" s="65"/>
      <c r="AA738" s="65"/>
      <c r="AB738" s="65"/>
      <c r="AC738" s="65"/>
      <c r="AD738" s="65"/>
      <c r="AE738" s="65"/>
      <c r="AF738" s="65"/>
      <c r="AG738" s="65"/>
      <c r="AH738" s="65"/>
      <c r="AI738" s="65"/>
      <c r="AJ738" s="65"/>
      <c r="AK738" s="65"/>
      <c r="AL738" s="65"/>
      <c r="AM738" s="65"/>
      <c r="AN738" s="65"/>
    </row>
    <row r="739" spans="10:40" ht="14.5" x14ac:dyDescent="0.35">
      <c r="J739" s="65"/>
      <c r="K739" s="65"/>
      <c r="L739" s="65"/>
      <c r="M739" s="65"/>
      <c r="N739" s="65"/>
      <c r="O739" s="65"/>
      <c r="P739" s="65"/>
      <c r="Q739" s="65"/>
      <c r="R739" s="65"/>
      <c r="S739" s="65"/>
      <c r="T739" s="65"/>
      <c r="U739" s="65"/>
      <c r="V739" s="65"/>
      <c r="W739" s="65"/>
      <c r="X739" s="65"/>
      <c r="Y739" s="65"/>
      <c r="Z739" s="65"/>
      <c r="AA739" s="65"/>
      <c r="AB739" s="65"/>
      <c r="AC739" s="65"/>
      <c r="AD739" s="65"/>
      <c r="AE739" s="65"/>
      <c r="AF739" s="65"/>
      <c r="AG739" s="65"/>
      <c r="AH739" s="65"/>
      <c r="AI739" s="65"/>
      <c r="AJ739" s="65"/>
      <c r="AK739" s="65"/>
      <c r="AL739" s="65"/>
      <c r="AM739" s="65"/>
      <c r="AN739" s="65"/>
    </row>
    <row r="740" spans="10:40" ht="14.5" x14ac:dyDescent="0.35">
      <c r="J740" s="65"/>
      <c r="K740" s="65"/>
      <c r="L740" s="65"/>
      <c r="M740" s="65"/>
      <c r="N740" s="65"/>
      <c r="O740" s="65"/>
      <c r="P740" s="65"/>
      <c r="Q740" s="65"/>
      <c r="R740" s="65"/>
      <c r="S740" s="65"/>
      <c r="T740" s="65"/>
      <c r="U740" s="65"/>
      <c r="V740" s="65"/>
      <c r="W740" s="65"/>
      <c r="X740" s="65"/>
      <c r="Y740" s="65"/>
      <c r="Z740" s="65"/>
      <c r="AA740" s="65"/>
      <c r="AB740" s="65"/>
      <c r="AC740" s="65"/>
      <c r="AD740" s="65"/>
      <c r="AE740" s="65"/>
      <c r="AF740" s="65"/>
      <c r="AG740" s="65"/>
      <c r="AH740" s="65"/>
      <c r="AI740" s="65"/>
      <c r="AJ740" s="65"/>
      <c r="AK740" s="65"/>
      <c r="AL740" s="65"/>
      <c r="AM740" s="65"/>
      <c r="AN740" s="65"/>
    </row>
    <row r="741" spans="10:40" ht="14.5" x14ac:dyDescent="0.35">
      <c r="J741" s="65"/>
      <c r="K741" s="65"/>
      <c r="L741" s="65"/>
      <c r="M741" s="65"/>
      <c r="N741" s="65"/>
      <c r="O741" s="65"/>
      <c r="P741" s="65"/>
      <c r="Q741" s="65"/>
      <c r="R741" s="65"/>
      <c r="S741" s="65"/>
      <c r="T741" s="65"/>
      <c r="U741" s="65"/>
      <c r="V741" s="65"/>
      <c r="W741" s="65"/>
      <c r="X741" s="65"/>
      <c r="Y741" s="65"/>
      <c r="Z741" s="65"/>
      <c r="AA741" s="65"/>
      <c r="AB741" s="65"/>
      <c r="AC741" s="65"/>
      <c r="AD741" s="65"/>
      <c r="AE741" s="65"/>
      <c r="AF741" s="65"/>
      <c r="AG741" s="65"/>
      <c r="AH741" s="65"/>
      <c r="AI741" s="65"/>
      <c r="AJ741" s="65"/>
      <c r="AK741" s="65"/>
      <c r="AL741" s="65"/>
      <c r="AM741" s="65"/>
      <c r="AN741" s="65"/>
    </row>
    <row r="742" spans="10:40" ht="14.5" x14ac:dyDescent="0.35">
      <c r="J742" s="65"/>
      <c r="K742" s="65"/>
      <c r="L742" s="65"/>
      <c r="M742" s="65"/>
      <c r="N742" s="65"/>
      <c r="O742" s="65"/>
      <c r="P742" s="65"/>
      <c r="Q742" s="65"/>
      <c r="R742" s="65"/>
      <c r="S742" s="65"/>
      <c r="T742" s="65"/>
      <c r="U742" s="65"/>
      <c r="V742" s="65"/>
      <c r="W742" s="65"/>
      <c r="X742" s="65"/>
      <c r="Y742" s="65"/>
      <c r="Z742" s="65"/>
      <c r="AA742" s="65"/>
      <c r="AB742" s="65"/>
      <c r="AC742" s="65"/>
      <c r="AD742" s="65"/>
      <c r="AE742" s="65"/>
      <c r="AF742" s="65"/>
      <c r="AG742" s="65"/>
      <c r="AH742" s="65"/>
      <c r="AI742" s="65"/>
      <c r="AJ742" s="65"/>
      <c r="AK742" s="65"/>
      <c r="AL742" s="65"/>
      <c r="AM742" s="65"/>
      <c r="AN742" s="65"/>
    </row>
    <row r="743" spans="10:40" ht="14.5" x14ac:dyDescent="0.35">
      <c r="J743" s="65"/>
      <c r="K743" s="65"/>
      <c r="L743" s="65"/>
      <c r="M743" s="65"/>
      <c r="N743" s="65"/>
      <c r="O743" s="65"/>
      <c r="P743" s="65"/>
      <c r="Q743" s="65"/>
      <c r="R743" s="65"/>
      <c r="S743" s="65"/>
      <c r="T743" s="65"/>
      <c r="U743" s="65"/>
      <c r="V743" s="65"/>
      <c r="W743" s="65"/>
      <c r="X743" s="65"/>
      <c r="Y743" s="65"/>
      <c r="Z743" s="65"/>
      <c r="AA743" s="65"/>
      <c r="AB743" s="65"/>
      <c r="AC743" s="65"/>
      <c r="AD743" s="65"/>
      <c r="AE743" s="65"/>
      <c r="AF743" s="65"/>
      <c r="AG743" s="65"/>
      <c r="AH743" s="65"/>
      <c r="AI743" s="65"/>
      <c r="AJ743" s="65"/>
      <c r="AK743" s="65"/>
      <c r="AL743" s="65"/>
      <c r="AM743" s="65"/>
      <c r="AN743" s="65"/>
    </row>
    <row r="744" spans="10:40" ht="14.5" x14ac:dyDescent="0.35">
      <c r="J744" s="65"/>
      <c r="K744" s="65"/>
      <c r="L744" s="65"/>
      <c r="M744" s="65"/>
      <c r="N744" s="65"/>
      <c r="O744" s="65"/>
      <c r="P744" s="65"/>
      <c r="Q744" s="65"/>
      <c r="R744" s="65"/>
      <c r="S744" s="65"/>
      <c r="T744" s="65"/>
      <c r="U744" s="65"/>
      <c r="V744" s="65"/>
      <c r="W744" s="65"/>
      <c r="X744" s="65"/>
      <c r="Y744" s="65"/>
      <c r="Z744" s="65"/>
      <c r="AA744" s="65"/>
      <c r="AB744" s="65"/>
      <c r="AC744" s="65"/>
      <c r="AD744" s="65"/>
      <c r="AE744" s="65"/>
      <c r="AF744" s="65"/>
      <c r="AG744" s="65"/>
      <c r="AH744" s="65"/>
      <c r="AI744" s="65"/>
      <c r="AJ744" s="65"/>
      <c r="AK744" s="65"/>
      <c r="AL744" s="65"/>
      <c r="AM744" s="65"/>
      <c r="AN744" s="65"/>
    </row>
    <row r="745" spans="10:40" ht="14.5" x14ac:dyDescent="0.35">
      <c r="J745" s="65"/>
      <c r="K745" s="65"/>
      <c r="L745" s="65"/>
      <c r="M745" s="65"/>
      <c r="N745" s="65"/>
      <c r="O745" s="65"/>
      <c r="P745" s="65"/>
      <c r="Q745" s="65"/>
      <c r="R745" s="65"/>
      <c r="S745" s="65"/>
      <c r="T745" s="65"/>
      <c r="U745" s="65"/>
      <c r="V745" s="65"/>
      <c r="W745" s="65"/>
      <c r="X745" s="65"/>
      <c r="Y745" s="65"/>
      <c r="Z745" s="65"/>
      <c r="AA745" s="65"/>
      <c r="AB745" s="65"/>
      <c r="AC745" s="65"/>
      <c r="AD745" s="65"/>
      <c r="AE745" s="65"/>
      <c r="AF745" s="65"/>
      <c r="AG745" s="65"/>
      <c r="AH745" s="65"/>
      <c r="AI745" s="65"/>
      <c r="AJ745" s="65"/>
      <c r="AK745" s="65"/>
      <c r="AL745" s="65"/>
      <c r="AM745" s="65"/>
      <c r="AN745" s="65"/>
    </row>
    <row r="746" spans="10:40" ht="14.5" x14ac:dyDescent="0.35">
      <c r="J746" s="65"/>
      <c r="K746" s="65"/>
      <c r="L746" s="65"/>
      <c r="M746" s="65"/>
      <c r="N746" s="65"/>
      <c r="O746" s="65"/>
      <c r="P746" s="65"/>
      <c r="Q746" s="65"/>
      <c r="R746" s="65"/>
      <c r="S746" s="65"/>
      <c r="T746" s="65"/>
      <c r="U746" s="65"/>
      <c r="V746" s="65"/>
      <c r="W746" s="65"/>
      <c r="X746" s="65"/>
      <c r="Y746" s="65"/>
      <c r="Z746" s="65"/>
      <c r="AA746" s="65"/>
      <c r="AB746" s="65"/>
      <c r="AC746" s="65"/>
      <c r="AD746" s="65"/>
      <c r="AE746" s="65"/>
      <c r="AF746" s="65"/>
      <c r="AG746" s="65"/>
      <c r="AH746" s="65"/>
      <c r="AI746" s="65"/>
      <c r="AJ746" s="65"/>
      <c r="AK746" s="65"/>
      <c r="AL746" s="65"/>
      <c r="AM746" s="65"/>
      <c r="AN746" s="65"/>
    </row>
    <row r="747" spans="10:40" ht="14.5" x14ac:dyDescent="0.35">
      <c r="J747" s="65"/>
      <c r="K747" s="65"/>
      <c r="L747" s="65"/>
      <c r="M747" s="65"/>
      <c r="N747" s="65"/>
      <c r="O747" s="65"/>
      <c r="P747" s="65"/>
      <c r="Q747" s="65"/>
      <c r="R747" s="65"/>
      <c r="S747" s="65"/>
      <c r="T747" s="65"/>
      <c r="U747" s="65"/>
      <c r="V747" s="65"/>
      <c r="W747" s="65"/>
      <c r="X747" s="65"/>
      <c r="Y747" s="65"/>
      <c r="Z747" s="65"/>
      <c r="AA747" s="65"/>
      <c r="AB747" s="65"/>
      <c r="AC747" s="65"/>
      <c r="AD747" s="65"/>
      <c r="AE747" s="65"/>
      <c r="AF747" s="65"/>
      <c r="AG747" s="65"/>
      <c r="AH747" s="65"/>
      <c r="AI747" s="65"/>
      <c r="AJ747" s="65"/>
      <c r="AK747" s="65"/>
      <c r="AL747" s="65"/>
      <c r="AM747" s="65"/>
      <c r="AN747" s="65"/>
    </row>
    <row r="748" spans="10:40" ht="14.5" x14ac:dyDescent="0.35">
      <c r="J748" s="65"/>
      <c r="K748" s="65"/>
      <c r="L748" s="65"/>
      <c r="M748" s="65"/>
      <c r="N748" s="65"/>
      <c r="O748" s="65"/>
      <c r="P748" s="65"/>
      <c r="Q748" s="65"/>
      <c r="R748" s="65"/>
      <c r="S748" s="65"/>
      <c r="T748" s="65"/>
      <c r="U748" s="65"/>
      <c r="V748" s="65"/>
      <c r="W748" s="65"/>
      <c r="X748" s="65"/>
      <c r="Y748" s="65"/>
      <c r="Z748" s="65"/>
      <c r="AA748" s="65"/>
      <c r="AB748" s="65"/>
      <c r="AC748" s="65"/>
      <c r="AD748" s="65"/>
      <c r="AE748" s="65"/>
      <c r="AF748" s="65"/>
      <c r="AG748" s="65"/>
      <c r="AH748" s="65"/>
      <c r="AI748" s="65"/>
      <c r="AJ748" s="65"/>
      <c r="AK748" s="65"/>
      <c r="AL748" s="65"/>
      <c r="AM748" s="65"/>
      <c r="AN748" s="65"/>
    </row>
    <row r="749" spans="10:40" ht="14.5" x14ac:dyDescent="0.35">
      <c r="J749" s="65"/>
      <c r="K749" s="65"/>
      <c r="L749" s="65"/>
      <c r="M749" s="65"/>
      <c r="N749" s="65"/>
      <c r="O749" s="65"/>
      <c r="P749" s="65"/>
      <c r="Q749" s="65"/>
      <c r="R749" s="65"/>
      <c r="S749" s="65"/>
      <c r="T749" s="65"/>
      <c r="U749" s="65"/>
      <c r="V749" s="65"/>
      <c r="W749" s="65"/>
      <c r="X749" s="65"/>
      <c r="Y749" s="65"/>
      <c r="Z749" s="65"/>
      <c r="AA749" s="65"/>
      <c r="AB749" s="65"/>
      <c r="AC749" s="65"/>
      <c r="AD749" s="65"/>
      <c r="AE749" s="65"/>
      <c r="AF749" s="65"/>
      <c r="AG749" s="65"/>
      <c r="AH749" s="65"/>
      <c r="AI749" s="65"/>
      <c r="AJ749" s="65"/>
      <c r="AK749" s="65"/>
      <c r="AL749" s="65"/>
      <c r="AM749" s="65"/>
      <c r="AN749" s="65"/>
    </row>
    <row r="750" spans="10:40" ht="14.5" x14ac:dyDescent="0.35">
      <c r="J750" s="65"/>
      <c r="K750" s="65"/>
      <c r="L750" s="65"/>
      <c r="M750" s="65"/>
      <c r="N750" s="65"/>
      <c r="O750" s="65"/>
      <c r="P750" s="65"/>
      <c r="Q750" s="65"/>
      <c r="R750" s="65"/>
      <c r="S750" s="65"/>
      <c r="T750" s="65"/>
      <c r="U750" s="65"/>
      <c r="V750" s="65"/>
      <c r="W750" s="65"/>
      <c r="X750" s="65"/>
      <c r="Y750" s="65"/>
      <c r="Z750" s="65"/>
      <c r="AA750" s="65"/>
      <c r="AB750" s="65"/>
      <c r="AC750" s="65"/>
      <c r="AD750" s="65"/>
      <c r="AE750" s="65"/>
      <c r="AF750" s="65"/>
      <c r="AG750" s="65"/>
      <c r="AH750" s="65"/>
      <c r="AI750" s="65"/>
      <c r="AJ750" s="65"/>
      <c r="AK750" s="65"/>
      <c r="AL750" s="65"/>
      <c r="AM750" s="65"/>
      <c r="AN750" s="65"/>
    </row>
    <row r="751" spans="10:40" ht="14.5" x14ac:dyDescent="0.35">
      <c r="J751" s="65"/>
      <c r="K751" s="65"/>
      <c r="L751" s="65"/>
      <c r="M751" s="65"/>
      <c r="N751" s="65"/>
      <c r="O751" s="65"/>
      <c r="P751" s="65"/>
      <c r="Q751" s="65"/>
      <c r="R751" s="65"/>
      <c r="S751" s="65"/>
      <c r="T751" s="65"/>
      <c r="U751" s="65"/>
      <c r="V751" s="65"/>
      <c r="W751" s="65"/>
      <c r="X751" s="65"/>
      <c r="Y751" s="65"/>
      <c r="Z751" s="65"/>
      <c r="AA751" s="65"/>
      <c r="AB751" s="65"/>
      <c r="AC751" s="65"/>
      <c r="AD751" s="65"/>
      <c r="AE751" s="65"/>
      <c r="AF751" s="65"/>
      <c r="AG751" s="65"/>
      <c r="AH751" s="65"/>
      <c r="AI751" s="65"/>
      <c r="AJ751" s="65"/>
      <c r="AK751" s="65"/>
      <c r="AL751" s="65"/>
      <c r="AM751" s="65"/>
      <c r="AN751" s="65"/>
    </row>
    <row r="752" spans="10:40" ht="14.5" x14ac:dyDescent="0.35">
      <c r="J752" s="65"/>
      <c r="K752" s="65"/>
      <c r="L752" s="65"/>
      <c r="M752" s="65"/>
      <c r="N752" s="65"/>
      <c r="O752" s="65"/>
      <c r="P752" s="65"/>
      <c r="Q752" s="65"/>
      <c r="R752" s="65"/>
      <c r="S752" s="65"/>
      <c r="T752" s="65"/>
      <c r="U752" s="65"/>
      <c r="V752" s="65"/>
      <c r="W752" s="65"/>
      <c r="X752" s="65"/>
      <c r="Y752" s="65"/>
      <c r="Z752" s="65"/>
      <c r="AA752" s="65"/>
      <c r="AB752" s="65"/>
      <c r="AC752" s="65"/>
      <c r="AD752" s="65"/>
      <c r="AE752" s="65"/>
      <c r="AF752" s="65"/>
      <c r="AG752" s="65"/>
      <c r="AH752" s="65"/>
      <c r="AI752" s="65"/>
      <c r="AJ752" s="65"/>
      <c r="AK752" s="65"/>
      <c r="AL752" s="65"/>
      <c r="AM752" s="65"/>
      <c r="AN752" s="65"/>
    </row>
    <row r="753" spans="10:40" ht="14.5" x14ac:dyDescent="0.35">
      <c r="J753" s="65"/>
      <c r="K753" s="65"/>
      <c r="L753" s="65"/>
      <c r="M753" s="65"/>
      <c r="N753" s="65"/>
      <c r="O753" s="65"/>
      <c r="P753" s="65"/>
      <c r="Q753" s="65"/>
      <c r="R753" s="65"/>
      <c r="S753" s="65"/>
      <c r="T753" s="65"/>
      <c r="U753" s="65"/>
      <c r="V753" s="65"/>
      <c r="W753" s="65"/>
      <c r="X753" s="65"/>
      <c r="Y753" s="65"/>
      <c r="Z753" s="65"/>
      <c r="AA753" s="65"/>
      <c r="AB753" s="65"/>
      <c r="AC753" s="65"/>
      <c r="AD753" s="65"/>
      <c r="AE753" s="65"/>
      <c r="AF753" s="65"/>
      <c r="AG753" s="65"/>
      <c r="AH753" s="65"/>
      <c r="AI753" s="65"/>
      <c r="AJ753" s="65"/>
      <c r="AK753" s="65"/>
      <c r="AL753" s="65"/>
      <c r="AM753" s="65"/>
      <c r="AN753" s="65"/>
    </row>
    <row r="754" spans="10:40" ht="14.5" x14ac:dyDescent="0.35">
      <c r="J754" s="65"/>
      <c r="K754" s="65"/>
      <c r="L754" s="65"/>
      <c r="M754" s="65"/>
      <c r="N754" s="65"/>
      <c r="O754" s="65"/>
      <c r="P754" s="65"/>
      <c r="Q754" s="65"/>
      <c r="R754" s="65"/>
      <c r="S754" s="65"/>
      <c r="T754" s="65"/>
      <c r="U754" s="65"/>
      <c r="V754" s="65"/>
      <c r="W754" s="65"/>
      <c r="X754" s="65"/>
      <c r="Y754" s="65"/>
      <c r="Z754" s="65"/>
      <c r="AA754" s="65"/>
      <c r="AB754" s="65"/>
      <c r="AC754" s="65"/>
      <c r="AD754" s="65"/>
      <c r="AE754" s="65"/>
      <c r="AF754" s="65"/>
      <c r="AG754" s="65"/>
      <c r="AH754" s="65"/>
      <c r="AI754" s="65"/>
      <c r="AJ754" s="65"/>
      <c r="AK754" s="65"/>
      <c r="AL754" s="65"/>
      <c r="AM754" s="65"/>
      <c r="AN754" s="65"/>
    </row>
    <row r="755" spans="10:40" ht="14.5" x14ac:dyDescent="0.35">
      <c r="J755" s="65"/>
      <c r="K755" s="65"/>
      <c r="L755" s="65"/>
      <c r="M755" s="65"/>
      <c r="N755" s="65"/>
      <c r="O755" s="65"/>
      <c r="P755" s="65"/>
      <c r="Q755" s="65"/>
      <c r="R755" s="65"/>
      <c r="S755" s="65"/>
      <c r="T755" s="65"/>
      <c r="U755" s="65"/>
      <c r="V755" s="65"/>
      <c r="W755" s="65"/>
      <c r="X755" s="65"/>
      <c r="Y755" s="65"/>
      <c r="Z755" s="65"/>
      <c r="AA755" s="65"/>
      <c r="AB755" s="65"/>
      <c r="AC755" s="65"/>
      <c r="AD755" s="65"/>
      <c r="AE755" s="65"/>
      <c r="AF755" s="65"/>
      <c r="AG755" s="65"/>
      <c r="AH755" s="65"/>
      <c r="AI755" s="65"/>
      <c r="AJ755" s="65"/>
      <c r="AK755" s="65"/>
      <c r="AL755" s="65"/>
      <c r="AM755" s="65"/>
      <c r="AN755" s="65"/>
    </row>
    <row r="756" spans="10:40" ht="14.5" x14ac:dyDescent="0.35">
      <c r="J756" s="65"/>
      <c r="K756" s="65"/>
      <c r="L756" s="65"/>
      <c r="M756" s="65"/>
      <c r="N756" s="65"/>
      <c r="O756" s="65"/>
      <c r="P756" s="65"/>
      <c r="Q756" s="65"/>
      <c r="R756" s="65"/>
      <c r="S756" s="65"/>
      <c r="T756" s="65"/>
      <c r="U756" s="65"/>
      <c r="V756" s="65"/>
      <c r="W756" s="65"/>
      <c r="X756" s="65"/>
      <c r="Y756" s="65"/>
      <c r="Z756" s="65"/>
      <c r="AA756" s="65"/>
      <c r="AB756" s="65"/>
      <c r="AC756" s="65"/>
      <c r="AD756" s="65"/>
      <c r="AE756" s="65"/>
      <c r="AF756" s="65"/>
      <c r="AG756" s="65"/>
      <c r="AH756" s="65"/>
      <c r="AI756" s="65"/>
      <c r="AJ756" s="65"/>
      <c r="AK756" s="65"/>
      <c r="AL756" s="65"/>
      <c r="AM756" s="65"/>
      <c r="AN756" s="65"/>
    </row>
    <row r="757" spans="10:40" ht="14.5" x14ac:dyDescent="0.3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c r="AH757" s="65"/>
      <c r="AI757" s="65"/>
      <c r="AJ757" s="65"/>
      <c r="AK757" s="65"/>
      <c r="AL757" s="65"/>
      <c r="AM757" s="65"/>
      <c r="AN757" s="65"/>
    </row>
    <row r="758" spans="10:40" ht="14.5" x14ac:dyDescent="0.35">
      <c r="J758" s="65"/>
      <c r="K758" s="65"/>
      <c r="L758" s="65"/>
      <c r="M758" s="65"/>
      <c r="N758" s="65"/>
      <c r="O758" s="65"/>
      <c r="P758" s="65"/>
      <c r="Q758" s="65"/>
      <c r="R758" s="65"/>
      <c r="S758" s="65"/>
      <c r="T758" s="65"/>
      <c r="U758" s="65"/>
      <c r="V758" s="65"/>
      <c r="W758" s="65"/>
      <c r="X758" s="65"/>
      <c r="Y758" s="65"/>
      <c r="Z758" s="65"/>
      <c r="AA758" s="65"/>
      <c r="AB758" s="65"/>
      <c r="AC758" s="65"/>
      <c r="AD758" s="65"/>
      <c r="AE758" s="65"/>
      <c r="AF758" s="65"/>
      <c r="AG758" s="65"/>
      <c r="AH758" s="65"/>
      <c r="AI758" s="65"/>
      <c r="AJ758" s="65"/>
      <c r="AK758" s="65"/>
      <c r="AL758" s="65"/>
      <c r="AM758" s="65"/>
      <c r="AN758" s="65"/>
    </row>
    <row r="759" spans="10:40" ht="14.5" x14ac:dyDescent="0.35">
      <c r="J759" s="65"/>
      <c r="K759" s="65"/>
      <c r="L759" s="65"/>
      <c r="M759" s="65"/>
      <c r="N759" s="65"/>
      <c r="O759" s="65"/>
      <c r="P759" s="65"/>
      <c r="Q759" s="65"/>
      <c r="R759" s="65"/>
      <c r="S759" s="65"/>
      <c r="T759" s="65"/>
      <c r="U759" s="65"/>
      <c r="V759" s="65"/>
      <c r="W759" s="65"/>
      <c r="X759" s="65"/>
      <c r="Y759" s="65"/>
      <c r="Z759" s="65"/>
      <c r="AA759" s="65"/>
      <c r="AB759" s="65"/>
      <c r="AC759" s="65"/>
      <c r="AD759" s="65"/>
      <c r="AE759" s="65"/>
      <c r="AF759" s="65"/>
      <c r="AG759" s="65"/>
      <c r="AH759" s="65"/>
      <c r="AI759" s="65"/>
      <c r="AJ759" s="65"/>
      <c r="AK759" s="65"/>
      <c r="AL759" s="65"/>
      <c r="AM759" s="65"/>
      <c r="AN759" s="65"/>
    </row>
    <row r="760" spans="10:40" ht="14.5" x14ac:dyDescent="0.35">
      <c r="J760" s="65"/>
      <c r="K760" s="65"/>
      <c r="L760" s="65"/>
      <c r="M760" s="65"/>
      <c r="N760" s="65"/>
      <c r="O760" s="65"/>
      <c r="P760" s="65"/>
      <c r="Q760" s="65"/>
      <c r="R760" s="65"/>
      <c r="S760" s="65"/>
      <c r="T760" s="65"/>
      <c r="U760" s="65"/>
      <c r="V760" s="65"/>
      <c r="W760" s="65"/>
      <c r="X760" s="65"/>
      <c r="Y760" s="65"/>
      <c r="Z760" s="65"/>
      <c r="AA760" s="65"/>
      <c r="AB760" s="65"/>
      <c r="AC760" s="65"/>
      <c r="AD760" s="65"/>
      <c r="AE760" s="65"/>
      <c r="AF760" s="65"/>
      <c r="AG760" s="65"/>
      <c r="AH760" s="65"/>
      <c r="AI760" s="65"/>
      <c r="AJ760" s="65"/>
      <c r="AK760" s="65"/>
      <c r="AL760" s="65"/>
      <c r="AM760" s="65"/>
      <c r="AN760" s="65"/>
    </row>
    <row r="761" spans="10:40" ht="14.5" x14ac:dyDescent="0.35">
      <c r="J761" s="65"/>
      <c r="K761" s="65"/>
      <c r="L761" s="65"/>
      <c r="M761" s="65"/>
      <c r="N761" s="65"/>
      <c r="O761" s="65"/>
      <c r="P761" s="65"/>
      <c r="Q761" s="65"/>
      <c r="R761" s="65"/>
      <c r="S761" s="65"/>
      <c r="T761" s="65"/>
      <c r="U761" s="65"/>
      <c r="V761" s="65"/>
      <c r="W761" s="65"/>
      <c r="X761" s="65"/>
      <c r="Y761" s="65"/>
      <c r="Z761" s="65"/>
      <c r="AA761" s="65"/>
      <c r="AB761" s="65"/>
      <c r="AC761" s="65"/>
      <c r="AD761" s="65"/>
      <c r="AE761" s="65"/>
      <c r="AF761" s="65"/>
      <c r="AG761" s="65"/>
      <c r="AH761" s="65"/>
      <c r="AI761" s="65"/>
      <c r="AJ761" s="65"/>
      <c r="AK761" s="65"/>
      <c r="AL761" s="65"/>
      <c r="AM761" s="65"/>
      <c r="AN761" s="65"/>
    </row>
    <row r="762" spans="10:40" ht="14.5" x14ac:dyDescent="0.35">
      <c r="J762" s="65"/>
      <c r="K762" s="65"/>
      <c r="L762" s="65"/>
      <c r="M762" s="65"/>
      <c r="N762" s="65"/>
      <c r="O762" s="65"/>
      <c r="P762" s="65"/>
      <c r="Q762" s="65"/>
      <c r="R762" s="65"/>
      <c r="S762" s="65"/>
      <c r="T762" s="65"/>
      <c r="U762" s="65"/>
      <c r="V762" s="65"/>
      <c r="W762" s="65"/>
      <c r="X762" s="65"/>
      <c r="Y762" s="65"/>
      <c r="Z762" s="65"/>
      <c r="AA762" s="65"/>
      <c r="AB762" s="65"/>
      <c r="AC762" s="65"/>
      <c r="AD762" s="65"/>
      <c r="AE762" s="65"/>
      <c r="AF762" s="65"/>
      <c r="AG762" s="65"/>
      <c r="AH762" s="65"/>
      <c r="AI762" s="65"/>
      <c r="AJ762" s="65"/>
      <c r="AK762" s="65"/>
      <c r="AL762" s="65"/>
      <c r="AM762" s="65"/>
      <c r="AN762" s="65"/>
    </row>
    <row r="763" spans="10:40" ht="14.5" x14ac:dyDescent="0.35">
      <c r="J763" s="65"/>
      <c r="K763" s="65"/>
      <c r="L763" s="65"/>
      <c r="M763" s="65"/>
      <c r="N763" s="65"/>
      <c r="O763" s="65"/>
      <c r="P763" s="65"/>
      <c r="Q763" s="65"/>
      <c r="R763" s="65"/>
      <c r="S763" s="65"/>
      <c r="T763" s="65"/>
      <c r="U763" s="65"/>
      <c r="V763" s="65"/>
      <c r="W763" s="65"/>
      <c r="X763" s="65"/>
      <c r="Y763" s="65"/>
      <c r="Z763" s="65"/>
      <c r="AA763" s="65"/>
      <c r="AB763" s="65"/>
      <c r="AC763" s="65"/>
      <c r="AD763" s="65"/>
      <c r="AE763" s="65"/>
      <c r="AF763" s="65"/>
      <c r="AG763" s="65"/>
      <c r="AH763" s="65"/>
      <c r="AI763" s="65"/>
      <c r="AJ763" s="65"/>
      <c r="AK763" s="65"/>
      <c r="AL763" s="65"/>
      <c r="AM763" s="65"/>
      <c r="AN763" s="65"/>
    </row>
    <row r="764" spans="10:40" ht="14.5" x14ac:dyDescent="0.35">
      <c r="J764" s="65"/>
      <c r="K764" s="65"/>
      <c r="L764" s="65"/>
      <c r="M764" s="65"/>
      <c r="N764" s="65"/>
      <c r="O764" s="65"/>
      <c r="P764" s="65"/>
      <c r="Q764" s="65"/>
      <c r="R764" s="65"/>
      <c r="S764" s="65"/>
      <c r="T764" s="65"/>
      <c r="U764" s="65"/>
      <c r="V764" s="65"/>
      <c r="W764" s="65"/>
      <c r="X764" s="65"/>
      <c r="Y764" s="65"/>
      <c r="Z764" s="65"/>
      <c r="AA764" s="65"/>
      <c r="AB764" s="65"/>
      <c r="AC764" s="65"/>
      <c r="AD764" s="65"/>
      <c r="AE764" s="65"/>
      <c r="AF764" s="65"/>
      <c r="AG764" s="65"/>
      <c r="AH764" s="65"/>
      <c r="AI764" s="65"/>
      <c r="AJ764" s="65"/>
      <c r="AK764" s="65"/>
      <c r="AL764" s="65"/>
      <c r="AM764" s="65"/>
      <c r="AN764" s="65"/>
    </row>
    <row r="765" spans="10:40" ht="14.5" x14ac:dyDescent="0.35">
      <c r="J765" s="65"/>
      <c r="K765" s="65"/>
      <c r="L765" s="65"/>
      <c r="M765" s="65"/>
      <c r="N765" s="65"/>
      <c r="O765" s="65"/>
      <c r="P765" s="65"/>
      <c r="Q765" s="65"/>
      <c r="R765" s="65"/>
      <c r="S765" s="65"/>
      <c r="T765" s="65"/>
      <c r="U765" s="65"/>
      <c r="V765" s="65"/>
      <c r="W765" s="65"/>
      <c r="X765" s="65"/>
      <c r="Y765" s="65"/>
      <c r="Z765" s="65"/>
      <c r="AA765" s="65"/>
      <c r="AB765" s="65"/>
      <c r="AC765" s="65"/>
      <c r="AD765" s="65"/>
      <c r="AE765" s="65"/>
      <c r="AF765" s="65"/>
      <c r="AG765" s="65"/>
      <c r="AH765" s="65"/>
      <c r="AI765" s="65"/>
      <c r="AJ765" s="65"/>
      <c r="AK765" s="65"/>
      <c r="AL765" s="65"/>
      <c r="AM765" s="65"/>
      <c r="AN765" s="65"/>
    </row>
    <row r="766" spans="10:40" ht="14.5" x14ac:dyDescent="0.35">
      <c r="J766" s="65"/>
      <c r="K766" s="65"/>
      <c r="L766" s="65"/>
      <c r="M766" s="65"/>
      <c r="N766" s="65"/>
      <c r="O766" s="65"/>
      <c r="P766" s="65"/>
      <c r="Q766" s="65"/>
      <c r="R766" s="65"/>
      <c r="S766" s="65"/>
      <c r="T766" s="65"/>
      <c r="U766" s="65"/>
      <c r="V766" s="65"/>
      <c r="W766" s="65"/>
      <c r="X766" s="65"/>
      <c r="Y766" s="65"/>
      <c r="Z766" s="65"/>
      <c r="AA766" s="65"/>
      <c r="AB766" s="65"/>
      <c r="AC766" s="65"/>
      <c r="AD766" s="65"/>
      <c r="AE766" s="65"/>
      <c r="AF766" s="65"/>
      <c r="AG766" s="65"/>
      <c r="AH766" s="65"/>
      <c r="AI766" s="65"/>
      <c r="AJ766" s="65"/>
      <c r="AK766" s="65"/>
      <c r="AL766" s="65"/>
      <c r="AM766" s="65"/>
      <c r="AN766" s="65"/>
    </row>
    <row r="767" spans="10:40" ht="14.5" x14ac:dyDescent="0.35">
      <c r="J767" s="65"/>
      <c r="K767" s="65"/>
      <c r="L767" s="65"/>
      <c r="M767" s="65"/>
      <c r="N767" s="65"/>
      <c r="O767" s="65"/>
      <c r="P767" s="65"/>
      <c r="Q767" s="65"/>
      <c r="R767" s="65"/>
      <c r="S767" s="65"/>
      <c r="T767" s="65"/>
      <c r="U767" s="65"/>
      <c r="V767" s="65"/>
      <c r="W767" s="65"/>
      <c r="X767" s="65"/>
      <c r="Y767" s="65"/>
      <c r="Z767" s="65"/>
      <c r="AA767" s="65"/>
      <c r="AB767" s="65"/>
      <c r="AC767" s="65"/>
      <c r="AD767" s="65"/>
      <c r="AE767" s="65"/>
      <c r="AF767" s="65"/>
      <c r="AG767" s="65"/>
      <c r="AH767" s="65"/>
      <c r="AI767" s="65"/>
      <c r="AJ767" s="65"/>
      <c r="AK767" s="65"/>
      <c r="AL767" s="65"/>
      <c r="AM767" s="65"/>
      <c r="AN767" s="65"/>
    </row>
    <row r="768" spans="10:40" ht="14.5" x14ac:dyDescent="0.35">
      <c r="J768" s="65"/>
      <c r="K768" s="65"/>
      <c r="L768" s="65"/>
      <c r="M768" s="65"/>
      <c r="N768" s="65"/>
      <c r="O768" s="65"/>
      <c r="P768" s="65"/>
      <c r="Q768" s="65"/>
      <c r="R768" s="65"/>
      <c r="S768" s="65"/>
      <c r="T768" s="65"/>
      <c r="U768" s="65"/>
      <c r="V768" s="65"/>
      <c r="W768" s="65"/>
      <c r="X768" s="65"/>
      <c r="Y768" s="65"/>
      <c r="Z768" s="65"/>
      <c r="AA768" s="65"/>
      <c r="AB768" s="65"/>
      <c r="AC768" s="65"/>
      <c r="AD768" s="65"/>
      <c r="AE768" s="65"/>
      <c r="AF768" s="65"/>
      <c r="AG768" s="65"/>
      <c r="AH768" s="65"/>
      <c r="AI768" s="65"/>
      <c r="AJ768" s="65"/>
      <c r="AK768" s="65"/>
      <c r="AL768" s="65"/>
      <c r="AM768" s="65"/>
      <c r="AN768" s="65"/>
    </row>
    <row r="769" spans="10:40" ht="14.5" x14ac:dyDescent="0.35">
      <c r="J769" s="65"/>
      <c r="K769" s="65"/>
      <c r="L769" s="65"/>
      <c r="M769" s="65"/>
      <c r="N769" s="65"/>
      <c r="O769" s="65"/>
      <c r="P769" s="65"/>
      <c r="Q769" s="65"/>
      <c r="R769" s="65"/>
      <c r="S769" s="65"/>
      <c r="T769" s="65"/>
      <c r="U769" s="65"/>
      <c r="V769" s="65"/>
      <c r="W769" s="65"/>
      <c r="X769" s="65"/>
      <c r="Y769" s="65"/>
      <c r="Z769" s="65"/>
      <c r="AA769" s="65"/>
      <c r="AB769" s="65"/>
      <c r="AC769" s="65"/>
      <c r="AD769" s="65"/>
      <c r="AE769" s="65"/>
      <c r="AF769" s="65"/>
      <c r="AG769" s="65"/>
      <c r="AH769" s="65"/>
      <c r="AI769" s="65"/>
      <c r="AJ769" s="65"/>
      <c r="AK769" s="65"/>
      <c r="AL769" s="65"/>
      <c r="AM769" s="65"/>
      <c r="AN769" s="65"/>
    </row>
    <row r="770" spans="10:40" ht="14.5" x14ac:dyDescent="0.35">
      <c r="J770" s="65"/>
      <c r="K770" s="65"/>
      <c r="L770" s="65"/>
      <c r="M770" s="65"/>
      <c r="N770" s="65"/>
      <c r="O770" s="65"/>
      <c r="P770" s="65"/>
      <c r="Q770" s="65"/>
      <c r="R770" s="65"/>
      <c r="S770" s="65"/>
      <c r="T770" s="65"/>
      <c r="U770" s="65"/>
      <c r="V770" s="65"/>
      <c r="W770" s="65"/>
      <c r="X770" s="65"/>
      <c r="Y770" s="65"/>
      <c r="Z770" s="65"/>
      <c r="AA770" s="65"/>
      <c r="AB770" s="65"/>
      <c r="AC770" s="65"/>
      <c r="AD770" s="65"/>
      <c r="AE770" s="65"/>
      <c r="AF770" s="65"/>
      <c r="AG770" s="65"/>
      <c r="AH770" s="65"/>
      <c r="AI770" s="65"/>
      <c r="AJ770" s="65"/>
      <c r="AK770" s="65"/>
      <c r="AL770" s="65"/>
      <c r="AM770" s="65"/>
      <c r="AN770" s="65"/>
    </row>
    <row r="771" spans="10:40" ht="14.5" x14ac:dyDescent="0.35">
      <c r="J771" s="65"/>
      <c r="K771" s="65"/>
      <c r="L771" s="65"/>
      <c r="M771" s="65"/>
      <c r="N771" s="65"/>
      <c r="O771" s="65"/>
      <c r="P771" s="65"/>
      <c r="Q771" s="65"/>
      <c r="R771" s="65"/>
      <c r="S771" s="65"/>
      <c r="T771" s="65"/>
      <c r="U771" s="65"/>
      <c r="V771" s="65"/>
      <c r="W771" s="65"/>
      <c r="X771" s="65"/>
      <c r="Y771" s="65"/>
      <c r="Z771" s="65"/>
      <c r="AA771" s="65"/>
      <c r="AB771" s="65"/>
      <c r="AC771" s="65"/>
      <c r="AD771" s="65"/>
      <c r="AE771" s="65"/>
      <c r="AF771" s="65"/>
      <c r="AG771" s="65"/>
      <c r="AH771" s="65"/>
      <c r="AI771" s="65"/>
      <c r="AJ771" s="65"/>
      <c r="AK771" s="65"/>
      <c r="AL771" s="65"/>
      <c r="AM771" s="65"/>
      <c r="AN771" s="65"/>
    </row>
    <row r="772" spans="10:40" ht="14.5" x14ac:dyDescent="0.35">
      <c r="J772" s="65"/>
      <c r="K772" s="65"/>
      <c r="L772" s="65"/>
      <c r="M772" s="65"/>
      <c r="N772" s="65"/>
      <c r="O772" s="65"/>
      <c r="P772" s="65"/>
      <c r="Q772" s="65"/>
      <c r="R772" s="65"/>
      <c r="S772" s="65"/>
      <c r="T772" s="65"/>
      <c r="U772" s="65"/>
      <c r="V772" s="65"/>
      <c r="W772" s="65"/>
      <c r="X772" s="65"/>
      <c r="Y772" s="65"/>
      <c r="Z772" s="65"/>
      <c r="AA772" s="65"/>
      <c r="AB772" s="65"/>
      <c r="AC772" s="65"/>
      <c r="AD772" s="65"/>
      <c r="AE772" s="65"/>
      <c r="AF772" s="65"/>
      <c r="AG772" s="65"/>
      <c r="AH772" s="65"/>
      <c r="AI772" s="65"/>
      <c r="AJ772" s="65"/>
      <c r="AK772" s="65"/>
      <c r="AL772" s="65"/>
      <c r="AM772" s="65"/>
      <c r="AN772" s="65"/>
    </row>
    <row r="773" spans="10:40" ht="14.5" x14ac:dyDescent="0.35">
      <c r="J773" s="65"/>
      <c r="K773" s="65"/>
      <c r="L773" s="65"/>
      <c r="M773" s="65"/>
      <c r="N773" s="65"/>
      <c r="O773" s="65"/>
      <c r="P773" s="65"/>
      <c r="Q773" s="65"/>
      <c r="R773" s="65"/>
      <c r="S773" s="65"/>
      <c r="T773" s="65"/>
      <c r="U773" s="65"/>
      <c r="V773" s="65"/>
      <c r="W773" s="65"/>
      <c r="X773" s="65"/>
      <c r="Y773" s="65"/>
      <c r="Z773" s="65"/>
      <c r="AA773" s="65"/>
      <c r="AB773" s="65"/>
      <c r="AC773" s="65"/>
      <c r="AD773" s="65"/>
      <c r="AE773" s="65"/>
      <c r="AF773" s="65"/>
      <c r="AG773" s="65"/>
      <c r="AH773" s="65"/>
      <c r="AI773" s="65"/>
      <c r="AJ773" s="65"/>
      <c r="AK773" s="65"/>
      <c r="AL773" s="65"/>
      <c r="AM773" s="65"/>
      <c r="AN773" s="65"/>
    </row>
    <row r="774" spans="10:40" ht="14.5" x14ac:dyDescent="0.35">
      <c r="J774" s="65"/>
      <c r="K774" s="65"/>
      <c r="L774" s="65"/>
      <c r="M774" s="65"/>
      <c r="N774" s="65"/>
      <c r="O774" s="65"/>
      <c r="P774" s="65"/>
      <c r="Q774" s="65"/>
      <c r="R774" s="65"/>
      <c r="S774" s="65"/>
      <c r="T774" s="65"/>
      <c r="U774" s="65"/>
      <c r="V774" s="65"/>
      <c r="W774" s="65"/>
      <c r="X774" s="65"/>
      <c r="Y774" s="65"/>
      <c r="Z774" s="65"/>
      <c r="AA774" s="65"/>
      <c r="AB774" s="65"/>
      <c r="AC774" s="65"/>
      <c r="AD774" s="65"/>
      <c r="AE774" s="65"/>
      <c r="AF774" s="65"/>
      <c r="AG774" s="65"/>
      <c r="AH774" s="65"/>
      <c r="AI774" s="65"/>
      <c r="AJ774" s="65"/>
      <c r="AK774" s="65"/>
      <c r="AL774" s="65"/>
      <c r="AM774" s="65"/>
      <c r="AN774" s="65"/>
    </row>
    <row r="775" spans="10:40" ht="14.5" x14ac:dyDescent="0.35">
      <c r="J775" s="65"/>
      <c r="K775" s="65"/>
      <c r="L775" s="65"/>
      <c r="M775" s="65"/>
      <c r="N775" s="65"/>
      <c r="O775" s="65"/>
      <c r="P775" s="65"/>
      <c r="Q775" s="65"/>
      <c r="R775" s="65"/>
      <c r="S775" s="65"/>
      <c r="T775" s="65"/>
      <c r="U775" s="65"/>
      <c r="V775" s="65"/>
      <c r="W775" s="65"/>
      <c r="X775" s="65"/>
      <c r="Y775" s="65"/>
      <c r="Z775" s="65"/>
      <c r="AA775" s="65"/>
      <c r="AB775" s="65"/>
      <c r="AC775" s="65"/>
      <c r="AD775" s="65"/>
      <c r="AE775" s="65"/>
      <c r="AF775" s="65"/>
      <c r="AG775" s="65"/>
      <c r="AH775" s="65"/>
      <c r="AI775" s="65"/>
      <c r="AJ775" s="65"/>
      <c r="AK775" s="65"/>
      <c r="AL775" s="65"/>
      <c r="AM775" s="65"/>
      <c r="AN775" s="65"/>
    </row>
    <row r="776" spans="10:40" ht="14.5" x14ac:dyDescent="0.35">
      <c r="J776" s="65"/>
      <c r="K776" s="65"/>
      <c r="L776" s="65"/>
      <c r="M776" s="65"/>
      <c r="N776" s="65"/>
      <c r="O776" s="65"/>
      <c r="P776" s="65"/>
      <c r="Q776" s="65"/>
      <c r="R776" s="65"/>
      <c r="S776" s="65"/>
      <c r="T776" s="65"/>
      <c r="U776" s="65"/>
      <c r="V776" s="65"/>
      <c r="W776" s="65"/>
      <c r="X776" s="65"/>
      <c r="Y776" s="65"/>
      <c r="Z776" s="65"/>
      <c r="AA776" s="65"/>
      <c r="AB776" s="65"/>
      <c r="AC776" s="65"/>
      <c r="AD776" s="65"/>
      <c r="AE776" s="65"/>
      <c r="AF776" s="65"/>
      <c r="AG776" s="65"/>
      <c r="AH776" s="65"/>
      <c r="AI776" s="65"/>
      <c r="AJ776" s="65"/>
      <c r="AK776" s="65"/>
      <c r="AL776" s="65"/>
      <c r="AM776" s="65"/>
      <c r="AN776" s="65"/>
    </row>
    <row r="777" spans="10:40" ht="14.5" x14ac:dyDescent="0.35">
      <c r="J777" s="65"/>
      <c r="K777" s="65"/>
      <c r="L777" s="65"/>
      <c r="M777" s="65"/>
      <c r="N777" s="65"/>
      <c r="O777" s="65"/>
      <c r="P777" s="65"/>
      <c r="Q777" s="65"/>
      <c r="R777" s="65"/>
      <c r="S777" s="65"/>
      <c r="T777" s="65"/>
      <c r="U777" s="65"/>
      <c r="V777" s="65"/>
      <c r="W777" s="65"/>
      <c r="X777" s="65"/>
      <c r="Y777" s="65"/>
      <c r="Z777" s="65"/>
      <c r="AA777" s="65"/>
      <c r="AB777" s="65"/>
      <c r="AC777" s="65"/>
      <c r="AD777" s="65"/>
      <c r="AE777" s="65"/>
      <c r="AF777" s="65"/>
      <c r="AG777" s="65"/>
      <c r="AH777" s="65"/>
      <c r="AI777" s="65"/>
      <c r="AJ777" s="65"/>
      <c r="AK777" s="65"/>
      <c r="AL777" s="65"/>
      <c r="AM777" s="65"/>
      <c r="AN777" s="65"/>
    </row>
    <row r="778" spans="10:40" ht="14.5" x14ac:dyDescent="0.35">
      <c r="J778" s="65"/>
      <c r="K778" s="65"/>
      <c r="L778" s="65"/>
      <c r="M778" s="65"/>
      <c r="N778" s="65"/>
      <c r="O778" s="65"/>
      <c r="P778" s="65"/>
      <c r="Q778" s="65"/>
      <c r="R778" s="65"/>
      <c r="S778" s="65"/>
      <c r="T778" s="65"/>
      <c r="U778" s="65"/>
      <c r="V778" s="65"/>
      <c r="W778" s="65"/>
      <c r="X778" s="65"/>
      <c r="Y778" s="65"/>
      <c r="Z778" s="65"/>
      <c r="AA778" s="65"/>
      <c r="AB778" s="65"/>
      <c r="AC778" s="65"/>
      <c r="AD778" s="65"/>
      <c r="AE778" s="65"/>
      <c r="AF778" s="65"/>
      <c r="AG778" s="65"/>
      <c r="AH778" s="65"/>
      <c r="AI778" s="65"/>
      <c r="AJ778" s="65"/>
      <c r="AK778" s="65"/>
      <c r="AL778" s="65"/>
      <c r="AM778" s="65"/>
      <c r="AN778" s="65"/>
    </row>
    <row r="779" spans="10:40" ht="14.5" x14ac:dyDescent="0.35">
      <c r="J779" s="65"/>
      <c r="K779" s="65"/>
      <c r="L779" s="65"/>
      <c r="M779" s="65"/>
      <c r="N779" s="65"/>
      <c r="O779" s="65"/>
      <c r="P779" s="65"/>
      <c r="Q779" s="65"/>
      <c r="R779" s="65"/>
      <c r="S779" s="65"/>
      <c r="T779" s="65"/>
      <c r="U779" s="65"/>
      <c r="V779" s="65"/>
      <c r="W779" s="65"/>
      <c r="X779" s="65"/>
      <c r="Y779" s="65"/>
      <c r="Z779" s="65"/>
      <c r="AA779" s="65"/>
      <c r="AB779" s="65"/>
      <c r="AC779" s="65"/>
      <c r="AD779" s="65"/>
      <c r="AE779" s="65"/>
      <c r="AF779" s="65"/>
      <c r="AG779" s="65"/>
      <c r="AH779" s="65"/>
      <c r="AI779" s="65"/>
      <c r="AJ779" s="65"/>
      <c r="AK779" s="65"/>
      <c r="AL779" s="65"/>
      <c r="AM779" s="65"/>
      <c r="AN779" s="65"/>
    </row>
    <row r="780" spans="10:40" ht="14.5" x14ac:dyDescent="0.35">
      <c r="J780" s="65"/>
      <c r="K780" s="65"/>
      <c r="L780" s="65"/>
      <c r="M780" s="65"/>
      <c r="N780" s="65"/>
      <c r="O780" s="65"/>
      <c r="P780" s="65"/>
      <c r="Q780" s="65"/>
      <c r="R780" s="65"/>
      <c r="S780" s="65"/>
      <c r="T780" s="65"/>
      <c r="U780" s="65"/>
      <c r="V780" s="65"/>
      <c r="W780" s="65"/>
      <c r="X780" s="65"/>
      <c r="Y780" s="65"/>
      <c r="Z780" s="65"/>
      <c r="AA780" s="65"/>
      <c r="AB780" s="65"/>
      <c r="AC780" s="65"/>
      <c r="AD780" s="65"/>
      <c r="AE780" s="65"/>
      <c r="AF780" s="65"/>
      <c r="AG780" s="65"/>
      <c r="AH780" s="65"/>
      <c r="AI780" s="65"/>
      <c r="AJ780" s="65"/>
      <c r="AK780" s="65"/>
      <c r="AL780" s="65"/>
      <c r="AM780" s="65"/>
      <c r="AN780" s="65"/>
    </row>
    <row r="781" spans="10:40" ht="14.5" x14ac:dyDescent="0.35">
      <c r="J781" s="65"/>
      <c r="K781" s="65"/>
      <c r="L781" s="65"/>
      <c r="M781" s="65"/>
      <c r="N781" s="65"/>
      <c r="O781" s="65"/>
      <c r="P781" s="65"/>
      <c r="Q781" s="65"/>
      <c r="R781" s="65"/>
      <c r="S781" s="65"/>
      <c r="T781" s="65"/>
      <c r="U781" s="65"/>
      <c r="V781" s="65"/>
      <c r="W781" s="65"/>
      <c r="X781" s="65"/>
      <c r="Y781" s="65"/>
      <c r="Z781" s="65"/>
      <c r="AA781" s="65"/>
      <c r="AB781" s="65"/>
      <c r="AC781" s="65"/>
      <c r="AD781" s="65"/>
      <c r="AE781" s="65"/>
      <c r="AF781" s="65"/>
      <c r="AG781" s="65"/>
      <c r="AH781" s="65"/>
      <c r="AI781" s="65"/>
      <c r="AJ781" s="65"/>
      <c r="AK781" s="65"/>
      <c r="AL781" s="65"/>
      <c r="AM781" s="65"/>
      <c r="AN781" s="65"/>
    </row>
    <row r="782" spans="10:40" ht="14.5" x14ac:dyDescent="0.35">
      <c r="J782" s="65"/>
      <c r="K782" s="65"/>
      <c r="L782" s="65"/>
      <c r="M782" s="65"/>
      <c r="N782" s="65"/>
      <c r="O782" s="65"/>
      <c r="P782" s="65"/>
      <c r="Q782" s="65"/>
      <c r="R782" s="65"/>
      <c r="S782" s="65"/>
      <c r="T782" s="65"/>
      <c r="U782" s="65"/>
      <c r="V782" s="65"/>
      <c r="W782" s="65"/>
      <c r="X782" s="65"/>
      <c r="Y782" s="65"/>
      <c r="Z782" s="65"/>
      <c r="AA782" s="65"/>
      <c r="AB782" s="65"/>
      <c r="AC782" s="65"/>
      <c r="AD782" s="65"/>
      <c r="AE782" s="65"/>
      <c r="AF782" s="65"/>
      <c r="AG782" s="65"/>
      <c r="AH782" s="65"/>
      <c r="AI782" s="65"/>
      <c r="AJ782" s="65"/>
      <c r="AK782" s="65"/>
      <c r="AL782" s="65"/>
      <c r="AM782" s="65"/>
      <c r="AN782" s="65"/>
    </row>
    <row r="783" spans="10:40" ht="14.5" x14ac:dyDescent="0.35">
      <c r="J783" s="65"/>
      <c r="K783" s="65"/>
      <c r="L783" s="65"/>
      <c r="M783" s="65"/>
      <c r="N783" s="65"/>
      <c r="O783" s="65"/>
      <c r="P783" s="65"/>
      <c r="Q783" s="65"/>
      <c r="R783" s="65"/>
      <c r="S783" s="65"/>
      <c r="T783" s="65"/>
      <c r="U783" s="65"/>
      <c r="V783" s="65"/>
      <c r="W783" s="65"/>
      <c r="X783" s="65"/>
      <c r="Y783" s="65"/>
      <c r="Z783" s="65"/>
      <c r="AA783" s="65"/>
      <c r="AB783" s="65"/>
      <c r="AC783" s="65"/>
      <c r="AD783" s="65"/>
      <c r="AE783" s="65"/>
      <c r="AF783" s="65"/>
      <c r="AG783" s="65"/>
      <c r="AH783" s="65"/>
      <c r="AI783" s="65"/>
      <c r="AJ783" s="65"/>
      <c r="AK783" s="65"/>
      <c r="AL783" s="65"/>
      <c r="AM783" s="65"/>
      <c r="AN783" s="65"/>
    </row>
    <row r="784" spans="10:40" ht="14.5" x14ac:dyDescent="0.35">
      <c r="J784" s="65"/>
      <c r="K784" s="65"/>
      <c r="L784" s="65"/>
      <c r="M784" s="65"/>
      <c r="N784" s="65"/>
      <c r="O784" s="65"/>
      <c r="P784" s="65"/>
      <c r="Q784" s="65"/>
      <c r="R784" s="65"/>
      <c r="S784" s="65"/>
      <c r="T784" s="65"/>
      <c r="U784" s="65"/>
      <c r="V784" s="65"/>
      <c r="W784" s="65"/>
      <c r="X784" s="65"/>
      <c r="Y784" s="65"/>
      <c r="Z784" s="65"/>
      <c r="AA784" s="65"/>
      <c r="AB784" s="65"/>
      <c r="AC784" s="65"/>
      <c r="AD784" s="65"/>
      <c r="AE784" s="65"/>
      <c r="AF784" s="65"/>
      <c r="AG784" s="65"/>
      <c r="AH784" s="65"/>
      <c r="AI784" s="65"/>
      <c r="AJ784" s="65"/>
      <c r="AK784" s="65"/>
      <c r="AL784" s="65"/>
      <c r="AM784" s="65"/>
      <c r="AN784" s="65"/>
    </row>
    <row r="785" spans="10:40" ht="14.5" x14ac:dyDescent="0.35">
      <c r="J785" s="65"/>
      <c r="K785" s="65"/>
      <c r="L785" s="65"/>
      <c r="M785" s="65"/>
      <c r="N785" s="65"/>
      <c r="O785" s="65"/>
      <c r="P785" s="65"/>
      <c r="Q785" s="65"/>
      <c r="R785" s="65"/>
      <c r="S785" s="65"/>
      <c r="T785" s="65"/>
      <c r="U785" s="65"/>
      <c r="V785" s="65"/>
      <c r="W785" s="65"/>
      <c r="X785" s="65"/>
      <c r="Y785" s="65"/>
      <c r="Z785" s="65"/>
      <c r="AA785" s="65"/>
      <c r="AB785" s="65"/>
      <c r="AC785" s="65"/>
      <c r="AD785" s="65"/>
      <c r="AE785" s="65"/>
      <c r="AF785" s="65"/>
      <c r="AG785" s="65"/>
      <c r="AH785" s="65"/>
      <c r="AI785" s="65"/>
      <c r="AJ785" s="65"/>
      <c r="AK785" s="65"/>
      <c r="AL785" s="65"/>
      <c r="AM785" s="65"/>
      <c r="AN785" s="65"/>
    </row>
    <row r="786" spans="10:40" ht="14.5" x14ac:dyDescent="0.35">
      <c r="J786" s="65"/>
      <c r="K786" s="65"/>
      <c r="L786" s="65"/>
      <c r="M786" s="65"/>
      <c r="N786" s="65"/>
      <c r="O786" s="65"/>
      <c r="P786" s="65"/>
      <c r="Q786" s="65"/>
      <c r="R786" s="65"/>
      <c r="S786" s="65"/>
      <c r="T786" s="65"/>
      <c r="U786" s="65"/>
      <c r="V786" s="65"/>
      <c r="W786" s="65"/>
      <c r="X786" s="65"/>
      <c r="Y786" s="65"/>
      <c r="Z786" s="65"/>
      <c r="AA786" s="65"/>
      <c r="AB786" s="65"/>
      <c r="AC786" s="65"/>
      <c r="AD786" s="65"/>
      <c r="AE786" s="65"/>
      <c r="AF786" s="65"/>
      <c r="AG786" s="65"/>
      <c r="AH786" s="65"/>
      <c r="AI786" s="65"/>
      <c r="AJ786" s="65"/>
      <c r="AK786" s="65"/>
      <c r="AL786" s="65"/>
      <c r="AM786" s="65"/>
      <c r="AN786" s="65"/>
    </row>
    <row r="787" spans="10:40" ht="14.5" x14ac:dyDescent="0.35">
      <c r="J787" s="65"/>
      <c r="K787" s="65"/>
      <c r="L787" s="65"/>
      <c r="M787" s="65"/>
      <c r="N787" s="65"/>
      <c r="O787" s="65"/>
      <c r="P787" s="65"/>
      <c r="Q787" s="65"/>
      <c r="R787" s="65"/>
      <c r="S787" s="65"/>
      <c r="T787" s="65"/>
      <c r="U787" s="65"/>
      <c r="V787" s="65"/>
      <c r="W787" s="65"/>
      <c r="X787" s="65"/>
      <c r="Y787" s="65"/>
      <c r="Z787" s="65"/>
      <c r="AA787" s="65"/>
      <c r="AB787" s="65"/>
      <c r="AC787" s="65"/>
      <c r="AD787" s="65"/>
      <c r="AE787" s="65"/>
      <c r="AF787" s="65"/>
      <c r="AG787" s="65"/>
      <c r="AH787" s="65"/>
      <c r="AI787" s="65"/>
      <c r="AJ787" s="65"/>
      <c r="AK787" s="65"/>
      <c r="AL787" s="65"/>
      <c r="AM787" s="65"/>
      <c r="AN787" s="65"/>
    </row>
    <row r="788" spans="10:40" ht="14.5" x14ac:dyDescent="0.35">
      <c r="J788" s="65"/>
      <c r="K788" s="65"/>
      <c r="L788" s="65"/>
      <c r="M788" s="65"/>
      <c r="N788" s="65"/>
      <c r="O788" s="65"/>
      <c r="P788" s="65"/>
      <c r="Q788" s="65"/>
      <c r="R788" s="65"/>
      <c r="S788" s="65"/>
      <c r="T788" s="65"/>
      <c r="U788" s="65"/>
      <c r="V788" s="65"/>
      <c r="W788" s="65"/>
      <c r="X788" s="65"/>
      <c r="Y788" s="65"/>
      <c r="Z788" s="65"/>
      <c r="AA788" s="65"/>
      <c r="AB788" s="65"/>
      <c r="AC788" s="65"/>
      <c r="AD788" s="65"/>
      <c r="AE788" s="65"/>
      <c r="AF788" s="65"/>
      <c r="AG788" s="65"/>
      <c r="AH788" s="65"/>
      <c r="AI788" s="65"/>
      <c r="AJ788" s="65"/>
      <c r="AK788" s="65"/>
      <c r="AL788" s="65"/>
      <c r="AM788" s="65"/>
      <c r="AN788" s="65"/>
    </row>
    <row r="789" spans="10:40" ht="14.5" x14ac:dyDescent="0.35">
      <c r="J789" s="65"/>
      <c r="K789" s="65"/>
      <c r="L789" s="65"/>
      <c r="M789" s="65"/>
      <c r="N789" s="65"/>
      <c r="O789" s="65"/>
      <c r="P789" s="65"/>
      <c r="Q789" s="65"/>
      <c r="R789" s="65"/>
      <c r="S789" s="65"/>
      <c r="T789" s="65"/>
      <c r="U789" s="65"/>
      <c r="V789" s="65"/>
      <c r="W789" s="65"/>
      <c r="X789" s="65"/>
      <c r="Y789" s="65"/>
      <c r="Z789" s="65"/>
      <c r="AA789" s="65"/>
      <c r="AB789" s="65"/>
      <c r="AC789" s="65"/>
      <c r="AD789" s="65"/>
      <c r="AE789" s="65"/>
      <c r="AF789" s="65"/>
      <c r="AG789" s="65"/>
      <c r="AH789" s="65"/>
      <c r="AI789" s="65"/>
      <c r="AJ789" s="65"/>
      <c r="AK789" s="65"/>
      <c r="AL789" s="65"/>
      <c r="AM789" s="65"/>
      <c r="AN789" s="65"/>
    </row>
    <row r="790" spans="10:40" ht="14.5" x14ac:dyDescent="0.35">
      <c r="J790" s="65"/>
      <c r="K790" s="65"/>
      <c r="L790" s="65"/>
      <c r="M790" s="65"/>
      <c r="N790" s="65"/>
      <c r="O790" s="65"/>
      <c r="P790" s="65"/>
      <c r="Q790" s="65"/>
      <c r="R790" s="65"/>
      <c r="S790" s="65"/>
      <c r="T790" s="65"/>
      <c r="U790" s="65"/>
      <c r="V790" s="65"/>
      <c r="W790" s="65"/>
      <c r="X790" s="65"/>
      <c r="Y790" s="65"/>
      <c r="Z790" s="65"/>
      <c r="AA790" s="65"/>
      <c r="AB790" s="65"/>
      <c r="AC790" s="65"/>
      <c r="AD790" s="65"/>
      <c r="AE790" s="65"/>
      <c r="AF790" s="65"/>
      <c r="AG790" s="65"/>
      <c r="AH790" s="65"/>
      <c r="AI790" s="65"/>
      <c r="AJ790" s="65"/>
      <c r="AK790" s="65"/>
      <c r="AL790" s="65"/>
      <c r="AM790" s="65"/>
      <c r="AN790" s="65"/>
    </row>
    <row r="791" spans="10:40" ht="14.5" x14ac:dyDescent="0.35">
      <c r="J791" s="65"/>
      <c r="K791" s="65"/>
      <c r="L791" s="65"/>
      <c r="M791" s="65"/>
      <c r="N791" s="65"/>
      <c r="O791" s="65"/>
      <c r="P791" s="65"/>
      <c r="Q791" s="65"/>
      <c r="R791" s="65"/>
      <c r="S791" s="65"/>
      <c r="T791" s="65"/>
      <c r="U791" s="65"/>
      <c r="V791" s="65"/>
      <c r="W791" s="65"/>
      <c r="X791" s="65"/>
      <c r="Y791" s="65"/>
      <c r="Z791" s="65"/>
      <c r="AA791" s="65"/>
      <c r="AB791" s="65"/>
      <c r="AC791" s="65"/>
      <c r="AD791" s="65"/>
      <c r="AE791" s="65"/>
      <c r="AF791" s="65"/>
      <c r="AG791" s="65"/>
      <c r="AH791" s="65"/>
      <c r="AI791" s="65"/>
      <c r="AJ791" s="65"/>
      <c r="AK791" s="65"/>
      <c r="AL791" s="65"/>
      <c r="AM791" s="65"/>
      <c r="AN791" s="65"/>
    </row>
    <row r="792" spans="10:40" ht="14.5" x14ac:dyDescent="0.35">
      <c r="J792" s="65"/>
      <c r="K792" s="65"/>
      <c r="L792" s="65"/>
      <c r="M792" s="65"/>
      <c r="N792" s="65"/>
      <c r="O792" s="65"/>
      <c r="P792" s="65"/>
      <c r="Q792" s="65"/>
      <c r="R792" s="65"/>
      <c r="S792" s="65"/>
      <c r="T792" s="65"/>
      <c r="U792" s="65"/>
      <c r="V792" s="65"/>
      <c r="W792" s="65"/>
      <c r="X792" s="65"/>
      <c r="Y792" s="65"/>
      <c r="Z792" s="65"/>
      <c r="AA792" s="65"/>
      <c r="AB792" s="65"/>
      <c r="AC792" s="65"/>
      <c r="AD792" s="65"/>
      <c r="AE792" s="65"/>
      <c r="AF792" s="65"/>
      <c r="AG792" s="65"/>
      <c r="AH792" s="65"/>
      <c r="AI792" s="65"/>
      <c r="AJ792" s="65"/>
      <c r="AK792" s="65"/>
      <c r="AL792" s="65"/>
      <c r="AM792" s="65"/>
      <c r="AN792" s="65"/>
    </row>
    <row r="793" spans="10:40" ht="14.5" x14ac:dyDescent="0.35">
      <c r="J793" s="65"/>
      <c r="K793" s="65"/>
      <c r="L793" s="65"/>
      <c r="M793" s="65"/>
      <c r="N793" s="65"/>
      <c r="O793" s="65"/>
      <c r="P793" s="65"/>
      <c r="Q793" s="65"/>
      <c r="R793" s="65"/>
      <c r="S793" s="65"/>
      <c r="T793" s="65"/>
      <c r="U793" s="65"/>
      <c r="V793" s="65"/>
      <c r="W793" s="65"/>
      <c r="X793" s="65"/>
      <c r="Y793" s="65"/>
      <c r="Z793" s="65"/>
      <c r="AA793" s="65"/>
      <c r="AB793" s="65"/>
      <c r="AC793" s="65"/>
      <c r="AD793" s="65"/>
      <c r="AE793" s="65"/>
      <c r="AF793" s="65"/>
      <c r="AG793" s="65"/>
      <c r="AH793" s="65"/>
      <c r="AI793" s="65"/>
      <c r="AJ793" s="65"/>
      <c r="AK793" s="65"/>
      <c r="AL793" s="65"/>
    </row>
    <row r="794" spans="10:40" ht="14.5" x14ac:dyDescent="0.35">
      <c r="J794" s="65"/>
      <c r="K794" s="65"/>
      <c r="L794" s="65"/>
      <c r="M794" s="65"/>
      <c r="N794" s="65"/>
      <c r="O794" s="65"/>
      <c r="P794" s="65"/>
      <c r="Q794" s="65"/>
      <c r="R794" s="65"/>
      <c r="S794" s="65"/>
      <c r="T794" s="65"/>
      <c r="U794" s="65"/>
      <c r="V794" s="65"/>
      <c r="W794" s="65"/>
      <c r="X794" s="65"/>
      <c r="Y794" s="65"/>
      <c r="Z794" s="65"/>
      <c r="AA794" s="65"/>
      <c r="AB794" s="65"/>
      <c r="AC794" s="65"/>
      <c r="AD794" s="65"/>
      <c r="AE794" s="65"/>
      <c r="AF794" s="65"/>
      <c r="AG794" s="65"/>
      <c r="AH794" s="65"/>
      <c r="AI794" s="65"/>
      <c r="AJ794" s="65"/>
      <c r="AK794" s="65"/>
      <c r="AL794" s="65"/>
    </row>
    <row r="795" spans="10:40" ht="14.5" x14ac:dyDescent="0.35">
      <c r="J795" s="65"/>
      <c r="K795" s="65"/>
      <c r="L795" s="65"/>
      <c r="M795" s="65"/>
      <c r="N795" s="65"/>
      <c r="O795" s="65"/>
      <c r="P795" s="65"/>
      <c r="Q795" s="65"/>
      <c r="R795" s="65"/>
      <c r="S795" s="65"/>
      <c r="T795" s="65"/>
      <c r="U795" s="65"/>
      <c r="V795" s="65"/>
      <c r="W795" s="65"/>
      <c r="X795" s="65"/>
      <c r="Y795" s="65"/>
      <c r="Z795" s="65"/>
      <c r="AA795" s="65"/>
      <c r="AB795" s="65"/>
      <c r="AC795" s="65"/>
      <c r="AD795" s="65"/>
      <c r="AE795" s="65"/>
      <c r="AF795" s="65"/>
      <c r="AG795" s="65"/>
      <c r="AH795" s="65"/>
      <c r="AI795" s="65"/>
      <c r="AJ795" s="65"/>
      <c r="AK795" s="65"/>
      <c r="AL795" s="65"/>
    </row>
    <row r="796" spans="10:40" ht="14.5" x14ac:dyDescent="0.35">
      <c r="J796" s="65"/>
      <c r="K796" s="65"/>
      <c r="L796" s="65"/>
      <c r="M796" s="65"/>
      <c r="N796" s="65"/>
      <c r="O796" s="65"/>
      <c r="P796" s="65"/>
      <c r="Q796" s="65"/>
      <c r="R796" s="65"/>
      <c r="S796" s="65"/>
      <c r="T796" s="65"/>
      <c r="U796" s="65"/>
      <c r="V796" s="65"/>
      <c r="W796" s="65"/>
      <c r="X796" s="65"/>
      <c r="Y796" s="65"/>
      <c r="Z796" s="65"/>
      <c r="AA796" s="65"/>
      <c r="AB796" s="65"/>
      <c r="AC796" s="65"/>
      <c r="AD796" s="65"/>
      <c r="AE796" s="65"/>
      <c r="AF796" s="65"/>
      <c r="AG796" s="65"/>
      <c r="AH796" s="65"/>
      <c r="AI796" s="65"/>
      <c r="AJ796" s="65"/>
      <c r="AK796" s="65"/>
      <c r="AL796" s="65"/>
    </row>
    <row r="797" spans="10:40" ht="14.5" x14ac:dyDescent="0.35">
      <c r="J797" s="65"/>
      <c r="K797" s="65"/>
      <c r="L797" s="65"/>
      <c r="M797" s="65"/>
      <c r="N797" s="65"/>
      <c r="O797" s="65"/>
      <c r="P797" s="65"/>
      <c r="Q797" s="65"/>
      <c r="R797" s="65"/>
      <c r="S797" s="65"/>
      <c r="T797" s="65"/>
      <c r="U797" s="65"/>
      <c r="V797" s="65"/>
      <c r="W797" s="65"/>
      <c r="X797" s="65"/>
      <c r="Y797" s="65"/>
      <c r="Z797" s="65"/>
      <c r="AA797" s="65"/>
      <c r="AB797" s="65"/>
      <c r="AC797" s="65"/>
      <c r="AD797" s="65"/>
      <c r="AE797" s="65"/>
      <c r="AF797" s="65"/>
      <c r="AG797" s="65"/>
      <c r="AH797" s="65"/>
      <c r="AI797" s="65"/>
      <c r="AJ797" s="65"/>
      <c r="AK797" s="65"/>
      <c r="AL797" s="65"/>
    </row>
    <row r="798" spans="10:40" ht="14.5" x14ac:dyDescent="0.35">
      <c r="J798" s="65"/>
      <c r="K798" s="65"/>
      <c r="L798" s="65"/>
      <c r="M798" s="65"/>
      <c r="N798" s="65"/>
      <c r="O798" s="65"/>
      <c r="P798" s="65"/>
      <c r="Q798" s="65"/>
      <c r="R798" s="65"/>
      <c r="S798" s="65"/>
      <c r="T798" s="65"/>
      <c r="U798" s="65"/>
      <c r="V798" s="65"/>
      <c r="W798" s="65"/>
      <c r="X798" s="65"/>
      <c r="Y798" s="65"/>
      <c r="Z798" s="65"/>
      <c r="AA798" s="65"/>
      <c r="AB798" s="65"/>
      <c r="AC798" s="65"/>
      <c r="AD798" s="65"/>
      <c r="AE798" s="65"/>
      <c r="AF798" s="65"/>
      <c r="AG798" s="65"/>
      <c r="AH798" s="65"/>
      <c r="AI798" s="65"/>
      <c r="AJ798" s="65"/>
      <c r="AK798" s="65"/>
      <c r="AL798" s="65"/>
    </row>
    <row r="799" spans="10:40" ht="14.5" x14ac:dyDescent="0.35">
      <c r="J799" s="65"/>
      <c r="K799" s="65"/>
      <c r="L799" s="65"/>
      <c r="M799" s="65"/>
      <c r="N799" s="65"/>
      <c r="O799" s="65"/>
      <c r="P799" s="65"/>
      <c r="Q799" s="65"/>
      <c r="R799" s="65"/>
      <c r="S799" s="65"/>
      <c r="T799" s="65"/>
      <c r="U799" s="65"/>
      <c r="V799" s="65"/>
      <c r="W799" s="65"/>
      <c r="X799" s="65"/>
      <c r="Y799" s="65"/>
      <c r="Z799" s="65"/>
      <c r="AA799" s="65"/>
      <c r="AB799" s="65"/>
      <c r="AC799" s="65"/>
      <c r="AD799" s="65"/>
      <c r="AE799" s="65"/>
      <c r="AF799" s="65"/>
      <c r="AG799" s="65"/>
      <c r="AH799" s="65"/>
      <c r="AI799" s="65"/>
      <c r="AJ799" s="65"/>
      <c r="AL799" s="65"/>
    </row>
    <row r="800" spans="10:40" ht="14.5" x14ac:dyDescent="0.35">
      <c r="J800" s="65"/>
      <c r="K800" s="65"/>
      <c r="L800" s="65"/>
      <c r="M800" s="65"/>
      <c r="N800" s="65"/>
      <c r="O800" s="65"/>
      <c r="P800" s="65"/>
      <c r="Q800" s="65"/>
      <c r="R800" s="65"/>
      <c r="S800" s="65"/>
      <c r="T800" s="65"/>
      <c r="U800" s="65"/>
      <c r="V800" s="65"/>
      <c r="W800" s="65"/>
      <c r="X800" s="65"/>
      <c r="Y800" s="65"/>
      <c r="Z800" s="65"/>
      <c r="AA800" s="65"/>
      <c r="AB800" s="65"/>
      <c r="AC800" s="65"/>
      <c r="AD800" s="65"/>
      <c r="AE800" s="65"/>
      <c r="AF800" s="65"/>
      <c r="AG800" s="65"/>
      <c r="AH800" s="65"/>
      <c r="AI800" s="65"/>
      <c r="AJ800" s="65"/>
      <c r="AL800" s="65"/>
    </row>
    <row r="801" spans="10:38" ht="14.5" x14ac:dyDescent="0.3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c r="AH801" s="65"/>
      <c r="AI801" s="65"/>
      <c r="AJ801" s="65"/>
      <c r="AL801" s="65"/>
    </row>
    <row r="802" spans="10:38" ht="14.5" x14ac:dyDescent="0.35">
      <c r="J802" s="65"/>
      <c r="K802" s="65"/>
      <c r="L802" s="65"/>
      <c r="M802" s="65"/>
      <c r="N802" s="65"/>
      <c r="O802" s="65"/>
      <c r="P802" s="65"/>
      <c r="Q802" s="65"/>
      <c r="R802" s="65"/>
      <c r="S802" s="65"/>
      <c r="T802" s="65"/>
      <c r="U802" s="65"/>
      <c r="V802" s="65"/>
      <c r="W802" s="65"/>
      <c r="X802" s="65"/>
      <c r="Y802" s="65"/>
      <c r="Z802" s="65"/>
      <c r="AA802" s="65"/>
      <c r="AB802" s="65"/>
      <c r="AC802" s="65"/>
      <c r="AD802" s="65"/>
      <c r="AE802" s="65"/>
      <c r="AF802" s="65"/>
      <c r="AG802" s="65"/>
      <c r="AH802" s="65"/>
      <c r="AI802" s="65"/>
      <c r="AJ802" s="65"/>
      <c r="AL802" s="65"/>
    </row>
    <row r="803" spans="10:38" ht="14.5" x14ac:dyDescent="0.35">
      <c r="J803" s="65"/>
      <c r="K803" s="65"/>
      <c r="L803" s="65"/>
      <c r="M803" s="65"/>
      <c r="N803" s="65"/>
      <c r="O803" s="65"/>
      <c r="P803" s="65"/>
      <c r="Q803" s="65"/>
      <c r="R803" s="65"/>
      <c r="S803" s="65"/>
      <c r="T803" s="65"/>
      <c r="U803" s="65"/>
      <c r="V803" s="65"/>
      <c r="W803" s="65"/>
      <c r="X803" s="65"/>
      <c r="Y803" s="65"/>
      <c r="Z803" s="65"/>
      <c r="AA803" s="65"/>
      <c r="AB803" s="65"/>
      <c r="AC803" s="65"/>
      <c r="AD803" s="65"/>
      <c r="AE803" s="65"/>
      <c r="AF803" s="65"/>
      <c r="AG803" s="65"/>
      <c r="AH803" s="65"/>
      <c r="AI803" s="65"/>
      <c r="AJ803" s="65"/>
      <c r="AL803" s="65"/>
    </row>
    <row r="804" spans="10:38" ht="14.5" x14ac:dyDescent="0.35">
      <c r="J804" s="65"/>
      <c r="K804" s="65"/>
      <c r="L804" s="65"/>
      <c r="M804" s="65"/>
      <c r="N804" s="65"/>
      <c r="O804" s="65"/>
      <c r="P804" s="65"/>
      <c r="Q804" s="65"/>
      <c r="R804" s="65"/>
      <c r="S804" s="65"/>
      <c r="T804" s="65"/>
      <c r="U804" s="65"/>
      <c r="V804" s="65"/>
      <c r="W804" s="65"/>
      <c r="X804" s="65"/>
      <c r="Y804" s="65"/>
      <c r="Z804" s="65"/>
      <c r="AA804" s="65"/>
      <c r="AB804" s="65"/>
      <c r="AC804" s="65"/>
      <c r="AD804" s="65"/>
      <c r="AE804" s="65"/>
      <c r="AF804" s="65"/>
      <c r="AG804" s="65"/>
      <c r="AH804" s="65"/>
      <c r="AI804" s="65"/>
      <c r="AJ804" s="65"/>
      <c r="AL804" s="65"/>
    </row>
    <row r="805" spans="10:38" ht="14.5" x14ac:dyDescent="0.35">
      <c r="J805" s="65"/>
      <c r="K805" s="65"/>
      <c r="L805" s="65"/>
      <c r="M805" s="65"/>
      <c r="N805" s="65"/>
      <c r="O805" s="65"/>
      <c r="P805" s="65"/>
      <c r="Q805" s="65"/>
      <c r="R805" s="65"/>
      <c r="S805" s="65"/>
      <c r="T805" s="65"/>
      <c r="U805" s="65"/>
      <c r="V805" s="65"/>
      <c r="W805" s="65"/>
      <c r="X805" s="65"/>
      <c r="Y805" s="65"/>
      <c r="Z805" s="65"/>
      <c r="AA805" s="65"/>
      <c r="AB805" s="65"/>
      <c r="AC805" s="65"/>
      <c r="AD805" s="65"/>
      <c r="AE805" s="65"/>
      <c r="AF805" s="65"/>
      <c r="AG805" s="65"/>
      <c r="AH805" s="65"/>
      <c r="AI805" s="65"/>
      <c r="AJ805" s="65"/>
      <c r="AL805" s="65"/>
    </row>
    <row r="806" spans="10:38" ht="14.5" x14ac:dyDescent="0.35">
      <c r="J806" s="65"/>
      <c r="K806" s="65"/>
      <c r="L806" s="65"/>
      <c r="M806" s="65"/>
      <c r="N806" s="65"/>
      <c r="O806" s="65"/>
      <c r="P806" s="65"/>
      <c r="Q806" s="65"/>
      <c r="R806" s="65"/>
      <c r="S806" s="65"/>
      <c r="T806" s="65"/>
      <c r="U806" s="65"/>
      <c r="V806" s="65"/>
      <c r="W806" s="65"/>
      <c r="X806" s="65"/>
      <c r="Y806" s="65"/>
      <c r="Z806" s="65"/>
      <c r="AA806" s="65"/>
      <c r="AB806" s="65"/>
      <c r="AC806" s="65"/>
      <c r="AD806" s="65"/>
      <c r="AE806" s="65"/>
      <c r="AF806" s="65"/>
      <c r="AG806" s="65"/>
      <c r="AH806" s="65"/>
      <c r="AI806" s="65"/>
      <c r="AJ806" s="65"/>
      <c r="AL806" s="65"/>
    </row>
    <row r="807" spans="10:38" ht="14.5" x14ac:dyDescent="0.35">
      <c r="J807" s="65"/>
      <c r="K807" s="65"/>
      <c r="L807" s="65"/>
      <c r="M807" s="65"/>
      <c r="N807" s="65"/>
      <c r="O807" s="65"/>
      <c r="P807" s="65"/>
      <c r="Q807" s="65"/>
      <c r="R807" s="65"/>
      <c r="S807" s="65"/>
      <c r="T807" s="65"/>
      <c r="U807" s="65"/>
      <c r="V807" s="65"/>
      <c r="W807" s="65"/>
      <c r="X807" s="65"/>
      <c r="Y807" s="65"/>
      <c r="Z807" s="65"/>
      <c r="AA807" s="65"/>
      <c r="AB807" s="65"/>
      <c r="AC807" s="65"/>
      <c r="AD807" s="65"/>
      <c r="AE807" s="65"/>
      <c r="AF807" s="65"/>
      <c r="AG807" s="65"/>
      <c r="AH807" s="65"/>
      <c r="AI807" s="65"/>
      <c r="AJ807" s="65"/>
      <c r="AL807" s="65"/>
    </row>
    <row r="808" spans="10:38" ht="14.5" x14ac:dyDescent="0.3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c r="AH808" s="65"/>
      <c r="AI808" s="65"/>
      <c r="AJ808" s="65"/>
      <c r="AL808" s="65"/>
    </row>
    <row r="809" spans="10:38" ht="14.5" x14ac:dyDescent="0.35">
      <c r="J809" s="65"/>
      <c r="K809" s="65"/>
      <c r="L809" s="65"/>
      <c r="M809" s="65"/>
      <c r="N809" s="65"/>
      <c r="O809" s="65"/>
      <c r="P809" s="65"/>
      <c r="Q809" s="65"/>
      <c r="R809" s="65"/>
      <c r="S809" s="65"/>
      <c r="T809" s="65"/>
      <c r="U809" s="65"/>
      <c r="V809" s="65"/>
      <c r="W809" s="65"/>
      <c r="X809" s="65"/>
      <c r="Y809" s="65"/>
      <c r="Z809" s="65"/>
      <c r="AA809" s="65"/>
      <c r="AB809" s="65"/>
      <c r="AC809" s="65"/>
      <c r="AD809" s="65"/>
      <c r="AE809" s="65"/>
      <c r="AF809" s="65"/>
      <c r="AG809" s="65"/>
      <c r="AH809" s="65"/>
      <c r="AI809" s="65"/>
      <c r="AJ809" s="65"/>
      <c r="AL809" s="65"/>
    </row>
    <row r="810" spans="10:38" ht="14.5" x14ac:dyDescent="0.35">
      <c r="J810" s="65"/>
      <c r="K810" s="65"/>
      <c r="L810" s="65"/>
      <c r="M810" s="65"/>
      <c r="N810" s="65"/>
      <c r="O810" s="65"/>
      <c r="P810" s="65"/>
      <c r="Q810" s="65"/>
      <c r="R810" s="65"/>
      <c r="S810" s="65"/>
      <c r="T810" s="65"/>
      <c r="U810" s="65"/>
      <c r="V810" s="65"/>
      <c r="W810" s="65"/>
      <c r="X810" s="65"/>
      <c r="Y810" s="65"/>
      <c r="Z810" s="65"/>
      <c r="AA810" s="65"/>
      <c r="AB810" s="65"/>
      <c r="AC810" s="65"/>
      <c r="AD810" s="65"/>
      <c r="AE810" s="65"/>
      <c r="AF810" s="65"/>
      <c r="AG810" s="65"/>
      <c r="AH810" s="65"/>
      <c r="AI810" s="65"/>
      <c r="AJ810" s="65"/>
      <c r="AL810" s="65"/>
    </row>
    <row r="811" spans="10:38" ht="14.5" x14ac:dyDescent="0.35">
      <c r="J811" s="65"/>
      <c r="K811" s="65"/>
      <c r="L811" s="65"/>
      <c r="M811" s="65"/>
      <c r="N811" s="65"/>
      <c r="O811" s="65"/>
      <c r="P811" s="65"/>
      <c r="Q811" s="65"/>
      <c r="R811" s="65"/>
      <c r="S811" s="65"/>
      <c r="T811" s="65"/>
      <c r="U811" s="65"/>
      <c r="V811" s="65"/>
      <c r="W811" s="65"/>
      <c r="X811" s="65"/>
      <c r="Y811" s="65"/>
      <c r="Z811" s="65"/>
      <c r="AA811" s="65"/>
      <c r="AB811" s="65"/>
      <c r="AC811" s="65"/>
      <c r="AD811" s="65"/>
      <c r="AE811" s="65"/>
      <c r="AF811" s="65"/>
      <c r="AG811" s="65"/>
      <c r="AH811" s="65"/>
      <c r="AI811" s="65"/>
      <c r="AJ811" s="65"/>
      <c r="AL811" s="65"/>
    </row>
    <row r="812" spans="10:38" ht="14.5" x14ac:dyDescent="0.35">
      <c r="J812" s="65"/>
      <c r="K812" s="65"/>
      <c r="L812" s="65"/>
      <c r="M812" s="65"/>
      <c r="N812" s="65"/>
      <c r="O812" s="65"/>
      <c r="P812" s="65"/>
      <c r="Q812" s="65"/>
      <c r="R812" s="65"/>
      <c r="S812" s="65"/>
      <c r="T812" s="65"/>
      <c r="U812" s="65"/>
      <c r="V812" s="65"/>
      <c r="W812" s="65"/>
      <c r="X812" s="65"/>
      <c r="Y812" s="65"/>
      <c r="Z812" s="65"/>
      <c r="AA812" s="65"/>
      <c r="AB812" s="65"/>
      <c r="AC812" s="65"/>
      <c r="AD812" s="65"/>
      <c r="AE812" s="65"/>
      <c r="AF812" s="65"/>
      <c r="AG812" s="65"/>
      <c r="AH812" s="65"/>
      <c r="AI812" s="65"/>
      <c r="AJ812" s="65"/>
      <c r="AL812" s="65"/>
    </row>
    <row r="813" spans="10:38" ht="14.5" x14ac:dyDescent="0.35">
      <c r="J813" s="65"/>
      <c r="K813" s="65"/>
      <c r="L813" s="65"/>
      <c r="M813" s="65"/>
      <c r="N813" s="65"/>
      <c r="O813" s="65"/>
      <c r="P813" s="65"/>
      <c r="Q813" s="65"/>
      <c r="R813" s="65"/>
      <c r="S813" s="65"/>
      <c r="T813" s="65"/>
      <c r="U813" s="65"/>
      <c r="V813" s="65"/>
      <c r="W813" s="65"/>
      <c r="X813" s="65"/>
      <c r="Y813" s="65"/>
      <c r="Z813" s="65"/>
      <c r="AA813" s="65"/>
      <c r="AB813" s="65"/>
      <c r="AC813" s="65"/>
      <c r="AD813" s="65"/>
      <c r="AE813" s="65"/>
      <c r="AF813" s="65"/>
      <c r="AG813" s="65"/>
      <c r="AH813" s="65"/>
      <c r="AI813" s="65"/>
      <c r="AJ813" s="65"/>
      <c r="AL813" s="65"/>
    </row>
    <row r="814" spans="10:38" ht="14.5" x14ac:dyDescent="0.35">
      <c r="J814" s="65"/>
      <c r="K814" s="65"/>
      <c r="L814" s="65"/>
      <c r="M814" s="65"/>
      <c r="N814" s="65"/>
      <c r="O814" s="65"/>
      <c r="P814" s="65"/>
      <c r="Q814" s="65"/>
      <c r="R814" s="65"/>
      <c r="S814" s="65"/>
      <c r="T814" s="65"/>
      <c r="U814" s="65"/>
      <c r="V814" s="65"/>
      <c r="W814" s="65"/>
      <c r="X814" s="65"/>
      <c r="Y814" s="65"/>
      <c r="Z814" s="65"/>
      <c r="AA814" s="65"/>
      <c r="AB814" s="65"/>
      <c r="AC814" s="65"/>
      <c r="AD814" s="65"/>
      <c r="AE814" s="65"/>
      <c r="AF814" s="65"/>
      <c r="AG814" s="65"/>
      <c r="AH814" s="65"/>
      <c r="AI814" s="65"/>
      <c r="AJ814" s="65"/>
      <c r="AL814" s="65"/>
    </row>
    <row r="815" spans="10:38" ht="14.5" x14ac:dyDescent="0.3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c r="AH815" s="65"/>
      <c r="AI815" s="65"/>
      <c r="AJ815" s="65"/>
      <c r="AL815" s="65"/>
    </row>
    <row r="816" spans="10:38" ht="14.5" x14ac:dyDescent="0.3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L816" s="65"/>
    </row>
    <row r="817" spans="10:38" ht="14.5" x14ac:dyDescent="0.35">
      <c r="J817" s="65"/>
      <c r="K817" s="65"/>
      <c r="L817" s="65"/>
      <c r="M817" s="65"/>
      <c r="N817" s="65"/>
      <c r="O817" s="65"/>
      <c r="P817" s="65"/>
      <c r="Q817" s="65"/>
      <c r="R817" s="65"/>
      <c r="S817" s="65"/>
      <c r="T817" s="65"/>
      <c r="U817" s="65"/>
      <c r="V817" s="65"/>
      <c r="W817" s="65"/>
      <c r="X817" s="65"/>
      <c r="Y817" s="65"/>
      <c r="Z817" s="65"/>
      <c r="AA817" s="65"/>
      <c r="AB817" s="65"/>
      <c r="AC817" s="65"/>
      <c r="AD817" s="65"/>
      <c r="AE817" s="65"/>
      <c r="AF817" s="65"/>
      <c r="AG817" s="65"/>
      <c r="AH817" s="65"/>
      <c r="AI817" s="65"/>
      <c r="AJ817" s="65"/>
      <c r="AL817" s="65"/>
    </row>
    <row r="818" spans="10:38" ht="14.5" x14ac:dyDescent="0.35">
      <c r="J818" s="65"/>
      <c r="K818" s="65"/>
      <c r="L818" s="65"/>
      <c r="M818" s="65"/>
      <c r="N818" s="65"/>
      <c r="O818" s="65"/>
      <c r="P818" s="65"/>
      <c r="Q818" s="65"/>
      <c r="R818" s="65"/>
      <c r="S818" s="65"/>
      <c r="T818" s="65"/>
      <c r="U818" s="65"/>
      <c r="V818" s="65"/>
      <c r="W818" s="65"/>
      <c r="X818" s="65"/>
      <c r="Y818" s="65"/>
      <c r="Z818" s="65"/>
      <c r="AA818" s="65"/>
      <c r="AB818" s="65"/>
      <c r="AC818" s="65"/>
      <c r="AD818" s="65"/>
      <c r="AE818" s="65"/>
      <c r="AF818" s="65"/>
      <c r="AG818" s="65"/>
      <c r="AH818" s="65"/>
      <c r="AI818" s="65"/>
      <c r="AJ818" s="65"/>
      <c r="AL818" s="65"/>
    </row>
    <row r="819" spans="10:38" ht="14.5" x14ac:dyDescent="0.35">
      <c r="J819" s="65"/>
      <c r="K819" s="65"/>
      <c r="L819" s="65"/>
      <c r="M819" s="65"/>
      <c r="N819" s="65"/>
      <c r="O819" s="65"/>
      <c r="P819" s="65"/>
      <c r="Q819" s="65"/>
      <c r="R819" s="65"/>
      <c r="S819" s="65"/>
      <c r="T819" s="65"/>
      <c r="U819" s="65"/>
      <c r="V819" s="65"/>
      <c r="W819" s="65"/>
      <c r="X819" s="65"/>
      <c r="Y819" s="65"/>
      <c r="Z819" s="65"/>
      <c r="AA819" s="65"/>
      <c r="AB819" s="65"/>
      <c r="AC819" s="65"/>
      <c r="AD819" s="65"/>
      <c r="AE819" s="65"/>
      <c r="AF819" s="65"/>
      <c r="AG819" s="65"/>
      <c r="AH819" s="65"/>
      <c r="AI819" s="65"/>
      <c r="AJ819" s="65"/>
    </row>
    <row r="820" spans="10:38" ht="14.5" x14ac:dyDescent="0.35">
      <c r="J820" s="65"/>
      <c r="K820" s="65"/>
      <c r="L820" s="65"/>
      <c r="M820" s="65"/>
      <c r="N820" s="65"/>
      <c r="O820" s="65"/>
      <c r="P820" s="65"/>
      <c r="Q820" s="65"/>
      <c r="R820" s="65"/>
      <c r="S820" s="65"/>
      <c r="T820" s="65"/>
      <c r="U820" s="65"/>
      <c r="V820" s="65"/>
      <c r="W820" s="65"/>
      <c r="X820" s="65"/>
      <c r="Y820" s="65"/>
      <c r="Z820" s="65"/>
      <c r="AA820" s="65"/>
      <c r="AB820" s="65"/>
      <c r="AC820" s="65"/>
      <c r="AD820" s="65"/>
      <c r="AE820" s="65"/>
      <c r="AF820" s="65"/>
      <c r="AG820" s="65"/>
      <c r="AH820" s="65"/>
      <c r="AI820" s="65"/>
      <c r="AJ820" s="65"/>
    </row>
    <row r="821" spans="10:38" ht="14.5" x14ac:dyDescent="0.35">
      <c r="J821" s="65"/>
      <c r="K821" s="65"/>
      <c r="L821" s="65"/>
      <c r="M821" s="65"/>
      <c r="N821" s="65"/>
      <c r="O821" s="65"/>
      <c r="P821" s="65"/>
      <c r="Q821" s="65"/>
      <c r="R821" s="65"/>
      <c r="S821" s="65"/>
      <c r="T821" s="65"/>
      <c r="U821" s="65"/>
      <c r="V821" s="65"/>
      <c r="W821" s="65"/>
      <c r="X821" s="65"/>
      <c r="Y821" s="65"/>
      <c r="Z821" s="65"/>
      <c r="AA821" s="65"/>
      <c r="AB821" s="65"/>
      <c r="AC821" s="65"/>
      <c r="AD821" s="65"/>
      <c r="AE821" s="65"/>
      <c r="AF821" s="65"/>
      <c r="AG821" s="65"/>
      <c r="AH821" s="65"/>
      <c r="AI821" s="65"/>
      <c r="AJ821" s="65"/>
    </row>
    <row r="822" spans="10:38" ht="14.5" x14ac:dyDescent="0.35">
      <c r="J822" s="65"/>
      <c r="K822" s="65"/>
      <c r="L822" s="65"/>
      <c r="M822" s="65"/>
      <c r="N822" s="65"/>
      <c r="O822" s="65"/>
      <c r="P822" s="65"/>
      <c r="Q822" s="65"/>
      <c r="R822" s="65"/>
      <c r="S822" s="65"/>
      <c r="T822" s="65"/>
      <c r="U822" s="65"/>
      <c r="V822" s="65"/>
      <c r="W822" s="65"/>
      <c r="X822" s="65"/>
      <c r="Y822" s="65"/>
      <c r="Z822" s="65"/>
      <c r="AA822" s="65"/>
      <c r="AB822" s="65"/>
      <c r="AC822" s="65"/>
      <c r="AD822" s="65"/>
      <c r="AE822" s="65"/>
      <c r="AF822" s="65"/>
      <c r="AG822" s="65"/>
      <c r="AH822" s="65"/>
      <c r="AI822" s="65"/>
      <c r="AJ822" s="65"/>
    </row>
    <row r="823" spans="10:38" ht="14.5" x14ac:dyDescent="0.35">
      <c r="J823" s="65"/>
      <c r="K823" s="65"/>
      <c r="L823" s="65"/>
      <c r="M823" s="65"/>
      <c r="N823" s="65"/>
      <c r="O823" s="65"/>
      <c r="P823" s="65"/>
      <c r="Q823" s="65"/>
      <c r="R823" s="65"/>
      <c r="S823" s="65"/>
      <c r="T823" s="65"/>
      <c r="U823" s="65"/>
      <c r="V823" s="65"/>
      <c r="W823" s="65"/>
      <c r="X823" s="65"/>
      <c r="Y823" s="65"/>
      <c r="Z823" s="65"/>
      <c r="AA823" s="65"/>
      <c r="AB823" s="65"/>
      <c r="AC823" s="65"/>
      <c r="AD823" s="65"/>
      <c r="AE823" s="65"/>
      <c r="AF823" s="65"/>
      <c r="AG823" s="65"/>
      <c r="AH823" s="65"/>
      <c r="AI823" s="65"/>
      <c r="AJ823" s="65"/>
    </row>
    <row r="824" spans="10:38" ht="14.5" x14ac:dyDescent="0.35">
      <c r="J824" s="65"/>
      <c r="K824" s="65"/>
      <c r="L824" s="65"/>
      <c r="M824" s="65"/>
      <c r="N824" s="65"/>
      <c r="O824" s="65"/>
      <c r="P824" s="65"/>
      <c r="Q824" s="65"/>
      <c r="R824" s="65"/>
      <c r="S824" s="65"/>
      <c r="T824" s="65"/>
      <c r="U824" s="65"/>
      <c r="V824" s="65"/>
      <c r="W824" s="65"/>
      <c r="X824" s="65"/>
      <c r="Y824" s="65"/>
      <c r="Z824" s="65"/>
      <c r="AA824" s="65"/>
      <c r="AB824" s="65"/>
      <c r="AC824" s="65"/>
      <c r="AD824" s="65"/>
      <c r="AE824" s="65"/>
      <c r="AF824" s="65"/>
      <c r="AG824" s="65"/>
      <c r="AH824" s="65"/>
      <c r="AI824" s="65"/>
      <c r="AJ824" s="65"/>
    </row>
    <row r="825" spans="10:38" ht="14.5" x14ac:dyDescent="0.35">
      <c r="J825" s="65"/>
      <c r="K825" s="65"/>
      <c r="L825" s="65"/>
      <c r="M825" s="65"/>
      <c r="N825" s="65"/>
      <c r="O825" s="65"/>
      <c r="P825" s="65"/>
      <c r="Q825" s="65"/>
      <c r="R825" s="65"/>
      <c r="S825" s="65"/>
      <c r="T825" s="65"/>
      <c r="U825" s="65"/>
      <c r="V825" s="65"/>
      <c r="W825" s="65"/>
      <c r="X825" s="65"/>
      <c r="Y825" s="65"/>
      <c r="Z825" s="65"/>
      <c r="AA825" s="65"/>
      <c r="AB825" s="65"/>
      <c r="AC825" s="65"/>
      <c r="AD825" s="65"/>
      <c r="AE825" s="65"/>
      <c r="AF825" s="65"/>
      <c r="AG825" s="65"/>
      <c r="AH825" s="65"/>
      <c r="AI825" s="65"/>
      <c r="AJ825" s="65"/>
    </row>
    <row r="826" spans="10:38" ht="14.5" x14ac:dyDescent="0.35">
      <c r="J826" s="65"/>
      <c r="K826" s="65"/>
      <c r="L826" s="65"/>
      <c r="M826" s="65"/>
      <c r="N826" s="65"/>
      <c r="O826" s="65"/>
      <c r="P826" s="65"/>
      <c r="Q826" s="65"/>
      <c r="R826" s="65"/>
      <c r="S826" s="65"/>
      <c r="T826" s="65"/>
      <c r="U826" s="65"/>
      <c r="V826" s="65"/>
      <c r="W826" s="65"/>
      <c r="X826" s="65"/>
      <c r="Y826" s="65"/>
      <c r="Z826" s="65"/>
      <c r="AA826" s="65"/>
      <c r="AB826" s="65"/>
      <c r="AC826" s="65"/>
      <c r="AD826" s="65"/>
      <c r="AE826" s="65"/>
      <c r="AF826" s="65"/>
      <c r="AG826" s="65"/>
      <c r="AH826" s="65"/>
      <c r="AI826" s="65"/>
      <c r="AJ826" s="65"/>
    </row>
    <row r="827" spans="10:38" ht="14.5" x14ac:dyDescent="0.35">
      <c r="J827" s="65"/>
      <c r="K827" s="65"/>
      <c r="L827" s="65"/>
      <c r="M827" s="65"/>
      <c r="N827" s="65"/>
      <c r="O827" s="65"/>
      <c r="P827" s="65"/>
      <c r="Q827" s="65"/>
      <c r="R827" s="65"/>
      <c r="S827" s="65"/>
      <c r="T827" s="65"/>
      <c r="U827" s="65"/>
      <c r="V827" s="65"/>
      <c r="W827" s="65"/>
      <c r="X827" s="65"/>
      <c r="Y827" s="65"/>
      <c r="Z827" s="65"/>
      <c r="AA827" s="65"/>
      <c r="AB827" s="65"/>
      <c r="AC827" s="65"/>
      <c r="AD827" s="65"/>
      <c r="AE827" s="65"/>
      <c r="AF827" s="65"/>
      <c r="AG827" s="65"/>
      <c r="AH827" s="65"/>
      <c r="AI827" s="65"/>
      <c r="AJ827" s="65"/>
    </row>
    <row r="828" spans="10:38" ht="14.5" x14ac:dyDescent="0.35"/>
    <row r="829" spans="10:38" ht="14.5" x14ac:dyDescent="0.35"/>
    <row r="830" spans="10:38" ht="14.5" x14ac:dyDescent="0.35"/>
    <row r="831" spans="10:38" ht="14.5" x14ac:dyDescent="0.35"/>
    <row r="832" spans="10:38" ht="14.5" x14ac:dyDescent="0.35"/>
    <row r="833" ht="14.5" x14ac:dyDescent="0.35"/>
    <row r="834" ht="14.5" x14ac:dyDescent="0.35"/>
    <row r="835" ht="14.5" x14ac:dyDescent="0.35"/>
    <row r="836" ht="14.5" x14ac:dyDescent="0.35"/>
    <row r="837" ht="14.5" x14ac:dyDescent="0.35"/>
    <row r="838" ht="14.5" x14ac:dyDescent="0.35"/>
    <row r="839" ht="14.5" x14ac:dyDescent="0.35"/>
    <row r="840" ht="14.5" x14ac:dyDescent="0.35"/>
    <row r="841" ht="14.5" x14ac:dyDescent="0.35"/>
    <row r="842" ht="14.5" x14ac:dyDescent="0.35"/>
    <row r="843" ht="14.5" x14ac:dyDescent="0.35"/>
    <row r="844" ht="14.5" x14ac:dyDescent="0.35"/>
    <row r="845" ht="14.5" x14ac:dyDescent="0.35"/>
    <row r="846" ht="14.5" x14ac:dyDescent="0.35"/>
    <row r="847" ht="14.5" x14ac:dyDescent="0.35"/>
    <row r="848" ht="14.5" x14ac:dyDescent="0.35"/>
    <row r="849" ht="14.5" x14ac:dyDescent="0.35"/>
    <row r="850" ht="14.5" x14ac:dyDescent="0.35"/>
    <row r="851" ht="14.5" x14ac:dyDescent="0.35"/>
    <row r="852" ht="14.5" x14ac:dyDescent="0.35"/>
    <row r="853" ht="14.5" x14ac:dyDescent="0.35"/>
    <row r="854" ht="14.5" x14ac:dyDescent="0.35"/>
    <row r="855" ht="14.5" x14ac:dyDescent="0.35"/>
    <row r="856" ht="14.5" x14ac:dyDescent="0.35"/>
    <row r="857" ht="14.5" x14ac:dyDescent="0.35"/>
    <row r="858" ht="14.5" x14ac:dyDescent="0.35"/>
    <row r="859" ht="14.5" x14ac:dyDescent="0.35"/>
    <row r="860" ht="14.5" x14ac:dyDescent="0.35"/>
    <row r="861" ht="14.5" x14ac:dyDescent="0.35"/>
    <row r="862" ht="14.5" x14ac:dyDescent="0.35"/>
    <row r="863" ht="14.5" x14ac:dyDescent="0.35"/>
    <row r="864" ht="14.5" x14ac:dyDescent="0.35"/>
    <row r="865" ht="14.5" x14ac:dyDescent="0.35"/>
    <row r="866" ht="14.5" x14ac:dyDescent="0.35"/>
    <row r="867" ht="14.5" x14ac:dyDescent="0.35"/>
    <row r="868" ht="14.5" x14ac:dyDescent="0.35"/>
    <row r="869" ht="14.5" x14ac:dyDescent="0.35"/>
    <row r="870" ht="14.5" x14ac:dyDescent="0.35"/>
    <row r="871" ht="14.5" x14ac:dyDescent="0.35"/>
    <row r="872" ht="14.5" x14ac:dyDescent="0.35"/>
    <row r="873" ht="14.5" x14ac:dyDescent="0.35"/>
    <row r="874" ht="14.5" x14ac:dyDescent="0.35"/>
    <row r="875" ht="14.5" x14ac:dyDescent="0.35"/>
    <row r="876" ht="14.5" x14ac:dyDescent="0.35"/>
    <row r="877" ht="14.5" x14ac:dyDescent="0.35"/>
    <row r="878" ht="14.5" x14ac:dyDescent="0.35"/>
    <row r="879" ht="14.5" x14ac:dyDescent="0.35"/>
    <row r="880" ht="14.5" x14ac:dyDescent="0.35"/>
    <row r="881" ht="14.5" x14ac:dyDescent="0.35"/>
    <row r="882" ht="14.5" x14ac:dyDescent="0.35"/>
    <row r="883" ht="14.5" x14ac:dyDescent="0.35"/>
    <row r="884" ht="14.5" x14ac:dyDescent="0.35"/>
    <row r="885" ht="14.5" x14ac:dyDescent="0.35"/>
    <row r="886" ht="14.5" x14ac:dyDescent="0.35"/>
    <row r="887" ht="14.5" x14ac:dyDescent="0.35"/>
    <row r="888" ht="14.5" x14ac:dyDescent="0.35"/>
    <row r="889" ht="14.5" x14ac:dyDescent="0.35"/>
    <row r="890" ht="14.5" x14ac:dyDescent="0.35"/>
    <row r="891" ht="14.5" x14ac:dyDescent="0.35"/>
    <row r="892" ht="14.5" x14ac:dyDescent="0.35"/>
    <row r="893" ht="14.5" x14ac:dyDescent="0.35"/>
    <row r="894" ht="14.5" x14ac:dyDescent="0.35"/>
    <row r="895" ht="14.5" x14ac:dyDescent="0.35"/>
    <row r="896" ht="14.5" x14ac:dyDescent="0.35"/>
    <row r="897" ht="14.5" x14ac:dyDescent="0.35"/>
    <row r="898" ht="14.5" x14ac:dyDescent="0.35"/>
    <row r="899" ht="14.5" x14ac:dyDescent="0.35"/>
    <row r="900" ht="14.5" x14ac:dyDescent="0.35"/>
    <row r="901" ht="14.5" x14ac:dyDescent="0.35"/>
    <row r="902" ht="14.5" x14ac:dyDescent="0.35"/>
    <row r="903" ht="14.5" x14ac:dyDescent="0.35"/>
    <row r="904" ht="14.5" x14ac:dyDescent="0.35"/>
    <row r="905" ht="14.5" x14ac:dyDescent="0.35"/>
    <row r="906" ht="14.5" x14ac:dyDescent="0.35"/>
    <row r="907" ht="14.5" x14ac:dyDescent="0.35"/>
    <row r="908" ht="14.5" x14ac:dyDescent="0.35"/>
    <row r="909" ht="14.5" x14ac:dyDescent="0.35"/>
    <row r="910" ht="14.5" x14ac:dyDescent="0.35"/>
    <row r="911" ht="14.5" x14ac:dyDescent="0.35"/>
    <row r="912" ht="14.5" x14ac:dyDescent="0.35"/>
    <row r="913" ht="14.5" x14ac:dyDescent="0.35"/>
    <row r="914" ht="14.5" x14ac:dyDescent="0.35"/>
    <row r="915" ht="14.5" x14ac:dyDescent="0.35"/>
    <row r="916" ht="14.5" x14ac:dyDescent="0.35"/>
    <row r="917" ht="14.5" x14ac:dyDescent="0.35"/>
    <row r="918" ht="14.5" x14ac:dyDescent="0.35"/>
    <row r="919" ht="14.5" x14ac:dyDescent="0.35"/>
    <row r="920" ht="14.5" x14ac:dyDescent="0.35"/>
    <row r="921" ht="14.5" x14ac:dyDescent="0.35"/>
    <row r="922" ht="14.5" x14ac:dyDescent="0.35"/>
    <row r="923" ht="14.5" x14ac:dyDescent="0.35"/>
    <row r="924" ht="14.5" x14ac:dyDescent="0.35"/>
    <row r="925" ht="14.5" x14ac:dyDescent="0.35"/>
    <row r="926" ht="14.5" x14ac:dyDescent="0.35"/>
    <row r="927" ht="14.5" x14ac:dyDescent="0.35"/>
    <row r="928" ht="14.5" x14ac:dyDescent="0.35"/>
    <row r="929" ht="14.5" x14ac:dyDescent="0.35"/>
    <row r="930" ht="14.5" x14ac:dyDescent="0.35"/>
    <row r="931" ht="14.5" x14ac:dyDescent="0.35"/>
    <row r="932" ht="14.5" x14ac:dyDescent="0.35"/>
    <row r="933" ht="14.5" x14ac:dyDescent="0.35"/>
    <row r="934" ht="14.5" x14ac:dyDescent="0.35"/>
    <row r="935" ht="14.5" x14ac:dyDescent="0.35"/>
    <row r="936" ht="14.5" x14ac:dyDescent="0.35"/>
    <row r="937" ht="14.5" x14ac:dyDescent="0.35"/>
    <row r="938" ht="14.5" x14ac:dyDescent="0.35"/>
    <row r="939" ht="14.5" x14ac:dyDescent="0.35"/>
    <row r="940" ht="14.5" x14ac:dyDescent="0.35"/>
    <row r="941" ht="14.5" x14ac:dyDescent="0.35"/>
    <row r="942" ht="14.5" x14ac:dyDescent="0.35"/>
    <row r="943" ht="14.5" x14ac:dyDescent="0.35"/>
    <row r="944" ht="14.5" x14ac:dyDescent="0.35"/>
    <row r="945" ht="14.5" x14ac:dyDescent="0.35"/>
    <row r="946" ht="14.5" x14ac:dyDescent="0.35"/>
    <row r="947" ht="14.5" x14ac:dyDescent="0.35"/>
    <row r="948" ht="14.5" x14ac:dyDescent="0.35"/>
    <row r="949" ht="14.5" x14ac:dyDescent="0.35"/>
    <row r="950" ht="14.5" x14ac:dyDescent="0.35"/>
    <row r="951" ht="14.5" x14ac:dyDescent="0.35"/>
    <row r="952" ht="14.5" x14ac:dyDescent="0.35"/>
    <row r="953" ht="14.5" x14ac:dyDescent="0.35"/>
    <row r="954" ht="14.5" x14ac:dyDescent="0.35"/>
    <row r="955" ht="14.5" x14ac:dyDescent="0.35"/>
    <row r="956" ht="14.5" x14ac:dyDescent="0.35"/>
    <row r="957" ht="14.5" x14ac:dyDescent="0.35"/>
    <row r="958" ht="14.5" x14ac:dyDescent="0.35"/>
    <row r="959" ht="14.5" x14ac:dyDescent="0.35"/>
    <row r="960" ht="14.5" x14ac:dyDescent="0.35"/>
    <row r="961" ht="14.5" x14ac:dyDescent="0.35"/>
    <row r="962" ht="14.5" x14ac:dyDescent="0.35"/>
    <row r="963" ht="14.5" x14ac:dyDescent="0.35"/>
    <row r="964" ht="14.5" x14ac:dyDescent="0.35"/>
    <row r="965" ht="14.5" x14ac:dyDescent="0.35"/>
    <row r="966" ht="14.5" x14ac:dyDescent="0.35"/>
    <row r="967" ht="14.5" x14ac:dyDescent="0.35"/>
    <row r="968" ht="14.5" x14ac:dyDescent="0.35"/>
    <row r="969" ht="14.5" x14ac:dyDescent="0.35"/>
    <row r="970" ht="14.5" x14ac:dyDescent="0.35"/>
    <row r="971" ht="14.5" x14ac:dyDescent="0.35"/>
    <row r="972" ht="14.5" x14ac:dyDescent="0.35"/>
    <row r="973" ht="14.5" x14ac:dyDescent="0.35"/>
    <row r="974" ht="14.5" x14ac:dyDescent="0.35"/>
    <row r="975" ht="14.5" x14ac:dyDescent="0.35"/>
    <row r="976" ht="14.5" x14ac:dyDescent="0.35"/>
    <row r="977" ht="14.5" x14ac:dyDescent="0.35"/>
    <row r="978" ht="14.5" x14ac:dyDescent="0.35"/>
    <row r="979" ht="14.5" x14ac:dyDescent="0.35"/>
    <row r="980" ht="14.5" x14ac:dyDescent="0.35"/>
    <row r="981" ht="14.5" x14ac:dyDescent="0.35"/>
    <row r="982" ht="14.5" x14ac:dyDescent="0.35"/>
    <row r="983" ht="14.5" x14ac:dyDescent="0.35"/>
    <row r="984" ht="14.5" x14ac:dyDescent="0.35"/>
    <row r="985" ht="14.5" x14ac:dyDescent="0.35"/>
    <row r="986" ht="14.5" x14ac:dyDescent="0.35"/>
    <row r="987" ht="14.5" x14ac:dyDescent="0.35"/>
    <row r="988" ht="14.5" x14ac:dyDescent="0.35"/>
    <row r="989" ht="14.5" x14ac:dyDescent="0.35"/>
    <row r="990" ht="14.5" x14ac:dyDescent="0.35"/>
    <row r="991" ht="14.5" x14ac:dyDescent="0.35"/>
    <row r="992" ht="14.5" x14ac:dyDescent="0.35"/>
    <row r="993" ht="14.5" x14ac:dyDescent="0.35"/>
    <row r="994" ht="14.5" x14ac:dyDescent="0.35"/>
    <row r="995" ht="14.5" x14ac:dyDescent="0.35"/>
    <row r="996" ht="14.5" x14ac:dyDescent="0.35"/>
    <row r="997" ht="14.5" x14ac:dyDescent="0.35"/>
    <row r="998" ht="14.5" x14ac:dyDescent="0.35"/>
    <row r="999" ht="14.5" x14ac:dyDescent="0.35"/>
    <row r="1000" ht="14.5" x14ac:dyDescent="0.35"/>
  </sheetData>
  <phoneticPr fontId="2" type="noConversion"/>
  <conditionalFormatting sqref="C2:AJ436">
    <cfRule type="expression" dxfId="447" priority="2">
      <formula>$B2&lt;&gt;0</formula>
    </cfRule>
  </conditionalFormatting>
  <conditionalFormatting sqref="AK300:AK407">
    <cfRule type="expression" dxfId="446" priority="4">
      <formula>$B329&lt;&gt;0</formula>
    </cfRule>
  </conditionalFormatting>
  <conditionalFormatting sqref="AL4">
    <cfRule type="expression" dxfId="445" priority="1">
      <formula>$B4&lt;&gt;0</formula>
    </cfRule>
  </conditionalFormatting>
  <conditionalFormatting sqref="AL335:AL1526">
    <cfRule type="expression" dxfId="444" priority="3">
      <formula>$B344&lt;&gt;0</formula>
    </cfRule>
  </conditionalFormatting>
  <pageMargins left="0.7" right="0.7" top="0.75" bottom="0.75" header="0.3" footer="0.3"/>
  <pageSetup paperSize="9" orientation="portrait" horizontalDpi="0" verticalDpi="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97A85-8FDE-4200-A545-A6F9C7239387}">
  <sheetPr codeName="Sheet14">
    <tabColor rgb="FF0070C0"/>
  </sheetPr>
  <dimension ref="A1:AF89"/>
  <sheetViews>
    <sheetView zoomScale="80" zoomScaleNormal="80" workbookViewId="0">
      <pane xSplit="1" ySplit="1" topLeftCell="B39" activePane="bottomRight" state="frozen"/>
      <selection activeCell="A15" sqref="A15"/>
      <selection pane="topRight" activeCell="A15" sqref="A15"/>
      <selection pane="bottomLeft" activeCell="A15" sqref="A15"/>
      <selection pane="bottomRight" activeCell="O61" sqref="O61"/>
    </sheetView>
  </sheetViews>
  <sheetFormatPr defaultColWidth="8.7265625" defaultRowHeight="14.5" zeroHeight="1" x14ac:dyDescent="0.35"/>
  <cols>
    <col min="1" max="1" width="45.7265625" bestFit="1" customWidth="1"/>
    <col min="2" max="2" width="5" style="1" bestFit="1" customWidth="1"/>
    <col min="3" max="5" width="5.54296875" style="1" bestFit="1" customWidth="1"/>
    <col min="6" max="10" width="5" style="1" bestFit="1" customWidth="1"/>
    <col min="11" max="14" width="5.7265625" style="1" bestFit="1" customWidth="1"/>
    <col min="15" max="15" width="6.26953125" style="1" bestFit="1" customWidth="1"/>
    <col min="16" max="35" width="5.7265625" style="1" bestFit="1" customWidth="1"/>
    <col min="36" max="16384" width="8.7265625" style="1"/>
  </cols>
  <sheetData>
    <row r="1" spans="1:32" customFormat="1" x14ac:dyDescent="0.35">
      <c r="A1" s="61" t="s">
        <v>386</v>
      </c>
      <c r="B1" s="61" t="s">
        <v>36</v>
      </c>
      <c r="C1" s="61" t="s">
        <v>37</v>
      </c>
      <c r="D1" s="61" t="s">
        <v>38</v>
      </c>
      <c r="E1" s="61" t="s">
        <v>39</v>
      </c>
      <c r="F1" s="61" t="s">
        <v>40</v>
      </c>
      <c r="G1" s="61" t="s">
        <v>41</v>
      </c>
      <c r="H1" s="61" t="s">
        <v>42</v>
      </c>
      <c r="I1" s="61" t="s">
        <v>43</v>
      </c>
      <c r="J1" s="61" t="s">
        <v>44</v>
      </c>
      <c r="K1" s="61" t="s">
        <v>45</v>
      </c>
      <c r="L1" s="61" t="s">
        <v>46</v>
      </c>
      <c r="M1" s="61" t="s">
        <v>47</v>
      </c>
      <c r="N1" s="61" t="s">
        <v>48</v>
      </c>
      <c r="O1" s="61" t="s">
        <v>49</v>
      </c>
      <c r="P1" s="61" t="s">
        <v>50</v>
      </c>
      <c r="Q1" s="61" t="s">
        <v>51</v>
      </c>
      <c r="R1" s="61" t="s">
        <v>52</v>
      </c>
      <c r="S1" s="61" t="s">
        <v>53</v>
      </c>
      <c r="T1" s="61" t="s">
        <v>54</v>
      </c>
      <c r="U1" s="61" t="s">
        <v>55</v>
      </c>
      <c r="V1" s="61" t="s">
        <v>56</v>
      </c>
      <c r="W1" s="61" t="s">
        <v>57</v>
      </c>
      <c r="X1" s="61" t="s">
        <v>58</v>
      </c>
      <c r="Y1" s="61" t="s">
        <v>59</v>
      </c>
      <c r="Z1" s="61" t="s">
        <v>60</v>
      </c>
      <c r="AA1" s="61" t="s">
        <v>61</v>
      </c>
      <c r="AB1" s="61" t="s">
        <v>62</v>
      </c>
      <c r="AC1" s="61" t="s">
        <v>63</v>
      </c>
      <c r="AD1" s="61" t="s">
        <v>64</v>
      </c>
      <c r="AE1" s="61" t="s">
        <v>65</v>
      </c>
      <c r="AF1" s="61" t="s">
        <v>66</v>
      </c>
    </row>
    <row r="2" spans="1:32" x14ac:dyDescent="0.35">
      <c r="A2" t="s">
        <v>514</v>
      </c>
    </row>
    <row r="3" spans="1:32" x14ac:dyDescent="0.35">
      <c r="A3" t="s">
        <v>483</v>
      </c>
      <c r="B3" s="1">
        <v>147</v>
      </c>
      <c r="C3" s="1">
        <v>132</v>
      </c>
      <c r="D3" s="1">
        <v>169</v>
      </c>
      <c r="E3" s="1">
        <v>182</v>
      </c>
      <c r="F3" s="1">
        <v>111</v>
      </c>
      <c r="G3" s="1">
        <v>113</v>
      </c>
      <c r="H3" s="1">
        <v>98</v>
      </c>
      <c r="I3" s="1">
        <v>91</v>
      </c>
      <c r="J3" s="1">
        <v>135</v>
      </c>
      <c r="K3" s="1">
        <v>151</v>
      </c>
      <c r="L3" s="1">
        <v>187</v>
      </c>
      <c r="M3" s="1">
        <v>93</v>
      </c>
      <c r="N3" s="1">
        <v>105</v>
      </c>
      <c r="O3" s="1">
        <v>94</v>
      </c>
    </row>
    <row r="4" spans="1:32" x14ac:dyDescent="0.35">
      <c r="A4" t="s">
        <v>489</v>
      </c>
      <c r="B4" s="1">
        <v>279</v>
      </c>
      <c r="C4" s="1">
        <v>299</v>
      </c>
      <c r="D4" s="1">
        <v>342</v>
      </c>
      <c r="E4" s="1">
        <v>392</v>
      </c>
      <c r="F4" s="1">
        <v>288</v>
      </c>
      <c r="G4" s="1">
        <v>259</v>
      </c>
      <c r="H4" s="1">
        <v>269</v>
      </c>
      <c r="I4" s="1">
        <v>252</v>
      </c>
      <c r="J4" s="1">
        <v>286</v>
      </c>
      <c r="K4" s="1">
        <v>349</v>
      </c>
      <c r="L4" s="1">
        <v>352</v>
      </c>
      <c r="M4" s="1">
        <v>264</v>
      </c>
      <c r="N4" s="1">
        <v>242</v>
      </c>
      <c r="O4" s="1">
        <v>221</v>
      </c>
    </row>
    <row r="5" spans="1:32" x14ac:dyDescent="0.35">
      <c r="A5" t="s">
        <v>491</v>
      </c>
      <c r="B5" s="1">
        <v>88</v>
      </c>
      <c r="C5" s="1">
        <v>98</v>
      </c>
      <c r="D5" s="1">
        <v>90</v>
      </c>
      <c r="E5" s="1">
        <v>95</v>
      </c>
      <c r="F5" s="1">
        <v>90</v>
      </c>
      <c r="G5" s="1">
        <v>83</v>
      </c>
      <c r="H5" s="1">
        <v>72</v>
      </c>
      <c r="I5" s="1">
        <v>69</v>
      </c>
      <c r="J5" s="1">
        <v>73</v>
      </c>
      <c r="K5" s="1">
        <v>106</v>
      </c>
      <c r="L5" s="1">
        <v>97</v>
      </c>
      <c r="M5" s="1">
        <v>52</v>
      </c>
      <c r="N5" s="1">
        <v>60</v>
      </c>
      <c r="O5" s="1">
        <v>69</v>
      </c>
    </row>
    <row r="6" spans="1:32" x14ac:dyDescent="0.35">
      <c r="A6" t="s">
        <v>493</v>
      </c>
    </row>
    <row r="7" spans="1:32" x14ac:dyDescent="0.35"/>
    <row r="8" spans="1:32" x14ac:dyDescent="0.35">
      <c r="A8" t="s">
        <v>1467</v>
      </c>
    </row>
    <row r="9" spans="1:32" x14ac:dyDescent="0.35">
      <c r="A9" t="s">
        <v>495</v>
      </c>
      <c r="B9" s="1">
        <v>411</v>
      </c>
      <c r="C9" s="1">
        <v>501</v>
      </c>
      <c r="D9" s="1">
        <v>567</v>
      </c>
      <c r="E9" s="1">
        <v>586</v>
      </c>
      <c r="F9" s="1">
        <v>388</v>
      </c>
      <c r="G9" s="1">
        <v>368</v>
      </c>
      <c r="H9" s="1">
        <v>383</v>
      </c>
      <c r="I9" s="1">
        <v>363</v>
      </c>
      <c r="J9" s="1">
        <v>405</v>
      </c>
      <c r="K9" s="1">
        <v>524</v>
      </c>
      <c r="L9" s="1">
        <v>627</v>
      </c>
      <c r="M9" s="1">
        <v>398</v>
      </c>
      <c r="N9" s="1">
        <v>377</v>
      </c>
      <c r="O9" s="1">
        <v>371</v>
      </c>
    </row>
    <row r="10" spans="1:32" x14ac:dyDescent="0.35">
      <c r="A10" t="s">
        <v>506</v>
      </c>
      <c r="B10" s="1">
        <v>507</v>
      </c>
      <c r="C10" s="1">
        <v>507</v>
      </c>
      <c r="D10" s="1">
        <v>525</v>
      </c>
      <c r="E10" s="1">
        <v>594</v>
      </c>
      <c r="F10" s="1">
        <v>477</v>
      </c>
      <c r="G10" s="1">
        <v>454</v>
      </c>
      <c r="H10" s="1">
        <v>466</v>
      </c>
      <c r="I10" s="1">
        <v>463</v>
      </c>
      <c r="J10" s="1">
        <v>470</v>
      </c>
      <c r="K10" s="1">
        <v>627</v>
      </c>
      <c r="L10" s="1">
        <v>628</v>
      </c>
      <c r="M10" s="1">
        <v>452</v>
      </c>
      <c r="N10" s="1">
        <v>409</v>
      </c>
      <c r="O10" s="1">
        <v>425</v>
      </c>
    </row>
    <row r="11" spans="1:32" x14ac:dyDescent="0.35">
      <c r="A11" t="s">
        <v>1337</v>
      </c>
      <c r="B11" s="1">
        <v>985</v>
      </c>
      <c r="C11" s="1">
        <v>1010</v>
      </c>
      <c r="D11" s="1">
        <v>1142</v>
      </c>
      <c r="E11" s="1">
        <v>1071</v>
      </c>
      <c r="F11" s="1">
        <v>909</v>
      </c>
      <c r="G11" s="1">
        <v>852</v>
      </c>
      <c r="H11" s="1">
        <v>934</v>
      </c>
      <c r="I11" s="1">
        <v>825</v>
      </c>
      <c r="J11" s="1">
        <v>926</v>
      </c>
      <c r="K11" s="1">
        <v>1091</v>
      </c>
      <c r="L11" s="1">
        <v>1233</v>
      </c>
      <c r="M11" s="1">
        <v>741</v>
      </c>
      <c r="N11" s="1">
        <v>806</v>
      </c>
      <c r="O11" s="1">
        <v>732</v>
      </c>
    </row>
    <row r="12" spans="1:32" x14ac:dyDescent="0.35"/>
    <row r="13" spans="1:32" x14ac:dyDescent="0.35">
      <c r="A13" t="s">
        <v>624</v>
      </c>
    </row>
    <row r="14" spans="1:32" x14ac:dyDescent="0.35">
      <c r="A14" t="s">
        <v>539</v>
      </c>
      <c r="B14" s="1">
        <v>620</v>
      </c>
      <c r="C14" s="1">
        <v>615</v>
      </c>
      <c r="D14" s="1">
        <v>713</v>
      </c>
      <c r="E14" s="1">
        <v>741</v>
      </c>
      <c r="F14" s="1">
        <v>505</v>
      </c>
      <c r="G14" s="1">
        <v>527</v>
      </c>
      <c r="H14" s="1">
        <v>523</v>
      </c>
      <c r="I14" s="1">
        <v>476</v>
      </c>
      <c r="J14" s="1">
        <v>513</v>
      </c>
      <c r="K14" s="1">
        <v>675</v>
      </c>
      <c r="L14" s="1">
        <v>779</v>
      </c>
      <c r="M14" s="1">
        <v>477</v>
      </c>
      <c r="N14" s="1">
        <v>430</v>
      </c>
      <c r="O14" s="1">
        <v>455</v>
      </c>
    </row>
    <row r="15" spans="1:32" x14ac:dyDescent="0.35"/>
    <row r="16" spans="1:32" x14ac:dyDescent="0.35">
      <c r="A16" t="s">
        <v>399</v>
      </c>
    </row>
    <row r="17" spans="1:15" x14ac:dyDescent="0.35">
      <c r="A17" t="s">
        <v>1153</v>
      </c>
      <c r="B17" s="1">
        <v>329</v>
      </c>
      <c r="C17" s="1">
        <v>316</v>
      </c>
      <c r="D17" s="1">
        <v>338</v>
      </c>
      <c r="E17" s="1">
        <v>368</v>
      </c>
      <c r="F17" s="1">
        <v>312</v>
      </c>
      <c r="G17" s="1">
        <v>271</v>
      </c>
      <c r="H17" s="1">
        <v>349</v>
      </c>
      <c r="I17" s="1">
        <v>264</v>
      </c>
      <c r="J17" s="1">
        <v>326</v>
      </c>
      <c r="K17" s="1">
        <v>376</v>
      </c>
      <c r="L17" s="1">
        <v>388</v>
      </c>
      <c r="M17" s="1">
        <v>277</v>
      </c>
      <c r="N17" s="1">
        <v>287</v>
      </c>
      <c r="O17" s="1">
        <v>264</v>
      </c>
    </row>
    <row r="18" spans="1:15" x14ac:dyDescent="0.35">
      <c r="A18" t="s">
        <v>1151</v>
      </c>
      <c r="B18" s="1">
        <v>339</v>
      </c>
      <c r="C18" s="1">
        <v>385</v>
      </c>
      <c r="D18" s="1">
        <v>373</v>
      </c>
      <c r="E18" s="1">
        <v>435</v>
      </c>
      <c r="F18" s="1">
        <v>307</v>
      </c>
      <c r="G18" s="1">
        <v>362</v>
      </c>
      <c r="H18" s="1">
        <v>290</v>
      </c>
      <c r="I18" s="1">
        <v>296</v>
      </c>
      <c r="J18" s="1">
        <v>314</v>
      </c>
      <c r="K18" s="1">
        <v>498</v>
      </c>
      <c r="L18" s="1">
        <v>505</v>
      </c>
      <c r="M18" s="1">
        <v>253</v>
      </c>
      <c r="N18" s="1">
        <v>306</v>
      </c>
      <c r="O18" s="1">
        <v>291</v>
      </c>
    </row>
    <row r="19" spans="1:15" x14ac:dyDescent="0.35">
      <c r="A19" t="s">
        <v>1149</v>
      </c>
      <c r="B19" s="1">
        <v>496</v>
      </c>
      <c r="C19" s="1">
        <v>501</v>
      </c>
      <c r="D19" s="1">
        <v>616</v>
      </c>
      <c r="E19" s="1">
        <v>611</v>
      </c>
      <c r="F19" s="1">
        <v>481</v>
      </c>
      <c r="G19" s="1">
        <v>427</v>
      </c>
      <c r="H19" s="1">
        <v>421</v>
      </c>
      <c r="I19" s="1">
        <v>400</v>
      </c>
      <c r="J19" s="1">
        <v>481</v>
      </c>
      <c r="K19" s="1">
        <v>567</v>
      </c>
      <c r="L19" s="1">
        <v>691</v>
      </c>
      <c r="M19" s="1">
        <v>429</v>
      </c>
      <c r="N19" s="1">
        <v>391</v>
      </c>
      <c r="O19" s="1">
        <v>412</v>
      </c>
    </row>
    <row r="20" spans="1:15" x14ac:dyDescent="0.35"/>
    <row r="21" spans="1:15" x14ac:dyDescent="0.35">
      <c r="A21" t="s">
        <v>515</v>
      </c>
    </row>
    <row r="22" spans="1:15" x14ac:dyDescent="0.35">
      <c r="A22" t="s">
        <v>487</v>
      </c>
      <c r="B22" s="1">
        <v>40</v>
      </c>
      <c r="C22" s="1">
        <v>32</v>
      </c>
      <c r="D22" s="1">
        <v>26</v>
      </c>
      <c r="E22" s="1">
        <v>31</v>
      </c>
      <c r="F22" s="1">
        <v>6</v>
      </c>
      <c r="G22" s="1">
        <v>31</v>
      </c>
      <c r="H22" s="1">
        <v>14</v>
      </c>
      <c r="I22" s="1">
        <v>13</v>
      </c>
      <c r="J22" s="1">
        <v>31</v>
      </c>
      <c r="K22" s="1">
        <v>28</v>
      </c>
      <c r="L22" s="1">
        <v>23</v>
      </c>
      <c r="M22" s="1">
        <v>16</v>
      </c>
      <c r="N22" s="1">
        <v>22</v>
      </c>
      <c r="O22" s="1">
        <v>22</v>
      </c>
    </row>
    <row r="23" spans="1:15" x14ac:dyDescent="0.35">
      <c r="A23" t="s">
        <v>490</v>
      </c>
      <c r="B23" s="1">
        <v>78</v>
      </c>
      <c r="C23" s="1">
        <v>40</v>
      </c>
      <c r="D23" s="1">
        <v>62</v>
      </c>
      <c r="E23" s="1">
        <v>49</v>
      </c>
      <c r="F23" s="1">
        <v>30</v>
      </c>
      <c r="G23" s="1">
        <v>45</v>
      </c>
      <c r="H23" s="1">
        <v>31</v>
      </c>
      <c r="I23" s="1">
        <v>39</v>
      </c>
      <c r="J23" s="1">
        <v>82</v>
      </c>
      <c r="K23" s="1">
        <v>45</v>
      </c>
      <c r="L23" s="1">
        <v>42</v>
      </c>
      <c r="M23" s="1">
        <v>30</v>
      </c>
      <c r="N23" s="1">
        <v>45</v>
      </c>
      <c r="O23" s="1">
        <v>32</v>
      </c>
    </row>
    <row r="24" spans="1:15" x14ac:dyDescent="0.35">
      <c r="A24" t="s">
        <v>492</v>
      </c>
      <c r="B24" s="1">
        <v>17</v>
      </c>
      <c r="C24" s="1">
        <v>12</v>
      </c>
      <c r="D24" s="1">
        <v>14</v>
      </c>
      <c r="E24" s="1">
        <v>19</v>
      </c>
      <c r="F24" s="1">
        <v>12</v>
      </c>
      <c r="G24" s="1">
        <v>16</v>
      </c>
      <c r="H24" s="1">
        <v>9</v>
      </c>
      <c r="I24" s="1">
        <v>12</v>
      </c>
      <c r="J24" s="1">
        <v>11</v>
      </c>
      <c r="K24" s="1">
        <v>9</v>
      </c>
      <c r="L24" s="1">
        <v>12</v>
      </c>
      <c r="M24" s="1">
        <v>15</v>
      </c>
      <c r="N24" s="1">
        <v>12</v>
      </c>
      <c r="O24" s="1">
        <v>11</v>
      </c>
    </row>
    <row r="25" spans="1:15" x14ac:dyDescent="0.35">
      <c r="A25" t="s">
        <v>494</v>
      </c>
    </row>
    <row r="26" spans="1:15" x14ac:dyDescent="0.35"/>
    <row r="27" spans="1:15" x14ac:dyDescent="0.35">
      <c r="A27" t="s">
        <v>1468</v>
      </c>
    </row>
    <row r="28" spans="1:15" x14ac:dyDescent="0.35">
      <c r="A28" t="s">
        <v>502</v>
      </c>
      <c r="B28" s="1">
        <v>92</v>
      </c>
      <c r="C28" s="1">
        <v>69</v>
      </c>
      <c r="D28" s="1">
        <v>56</v>
      </c>
      <c r="E28" s="1">
        <v>85</v>
      </c>
      <c r="F28" s="1">
        <v>44</v>
      </c>
      <c r="G28" s="1">
        <v>90</v>
      </c>
      <c r="H28" s="1">
        <v>30</v>
      </c>
      <c r="I28" s="1">
        <v>74</v>
      </c>
      <c r="J28" s="1">
        <v>81</v>
      </c>
      <c r="K28" s="1">
        <v>70</v>
      </c>
      <c r="L28" s="1">
        <v>44</v>
      </c>
      <c r="M28" s="1">
        <v>59</v>
      </c>
      <c r="N28" s="1">
        <v>48</v>
      </c>
      <c r="O28" s="1">
        <v>73</v>
      </c>
    </row>
    <row r="29" spans="1:15" x14ac:dyDescent="0.35">
      <c r="A29" t="s">
        <v>508</v>
      </c>
      <c r="B29" s="1">
        <v>85</v>
      </c>
      <c r="C29" s="1">
        <v>65</v>
      </c>
      <c r="D29" s="1">
        <v>65</v>
      </c>
      <c r="E29" s="1">
        <v>67</v>
      </c>
      <c r="F29" s="1">
        <v>48</v>
      </c>
      <c r="G29" s="1">
        <v>53</v>
      </c>
      <c r="H29" s="1">
        <v>34</v>
      </c>
      <c r="I29" s="1">
        <v>55</v>
      </c>
      <c r="J29" s="1">
        <v>58</v>
      </c>
      <c r="K29" s="1">
        <v>66</v>
      </c>
      <c r="L29" s="1">
        <v>67</v>
      </c>
      <c r="M29" s="1">
        <v>44</v>
      </c>
      <c r="N29" s="1">
        <v>36</v>
      </c>
      <c r="O29" s="1">
        <v>61</v>
      </c>
    </row>
    <row r="30" spans="1:15" x14ac:dyDescent="0.35">
      <c r="A30" t="s">
        <v>1338</v>
      </c>
      <c r="B30" s="1">
        <v>212</v>
      </c>
      <c r="C30" s="1">
        <v>193</v>
      </c>
      <c r="D30" s="1">
        <v>292</v>
      </c>
      <c r="E30" s="1">
        <v>246</v>
      </c>
      <c r="F30" s="1">
        <v>129</v>
      </c>
      <c r="G30" s="1">
        <v>226</v>
      </c>
      <c r="H30" s="1">
        <v>171</v>
      </c>
      <c r="I30" s="1">
        <v>123</v>
      </c>
      <c r="J30" s="1">
        <v>248</v>
      </c>
      <c r="K30" s="1">
        <v>199</v>
      </c>
      <c r="L30" s="1">
        <v>199</v>
      </c>
      <c r="M30" s="1">
        <v>243</v>
      </c>
      <c r="N30" s="1">
        <v>156</v>
      </c>
      <c r="O30" s="1">
        <v>170</v>
      </c>
    </row>
    <row r="31" spans="1:15" x14ac:dyDescent="0.35"/>
    <row r="32" spans="1:15" x14ac:dyDescent="0.35">
      <c r="A32" t="s">
        <v>750</v>
      </c>
    </row>
    <row r="33" spans="1:15" x14ac:dyDescent="0.35">
      <c r="A33" t="s">
        <v>543</v>
      </c>
      <c r="B33" s="1">
        <v>169</v>
      </c>
      <c r="C33" s="1">
        <v>123</v>
      </c>
      <c r="D33" s="1">
        <v>136</v>
      </c>
      <c r="E33" s="1">
        <v>140</v>
      </c>
      <c r="F33" s="1">
        <v>85</v>
      </c>
      <c r="G33" s="1">
        <v>143</v>
      </c>
      <c r="H33" s="1">
        <v>87</v>
      </c>
      <c r="I33" s="1">
        <v>91</v>
      </c>
      <c r="J33" s="1">
        <v>166</v>
      </c>
      <c r="K33" s="1">
        <v>95</v>
      </c>
      <c r="L33" s="1">
        <v>121</v>
      </c>
      <c r="M33" s="1">
        <v>85</v>
      </c>
      <c r="N33" s="1">
        <v>109</v>
      </c>
      <c r="O33" s="1">
        <v>120</v>
      </c>
    </row>
    <row r="34" spans="1:15" x14ac:dyDescent="0.35"/>
    <row r="35" spans="1:15" x14ac:dyDescent="0.35">
      <c r="A35" t="s">
        <v>402</v>
      </c>
    </row>
    <row r="36" spans="1:15" x14ac:dyDescent="0.35">
      <c r="A36" t="s">
        <v>1152</v>
      </c>
      <c r="B36" s="1">
        <v>9</v>
      </c>
      <c r="C36" s="1">
        <v>4</v>
      </c>
      <c r="D36" s="1">
        <v>8</v>
      </c>
      <c r="E36" s="1">
        <v>8</v>
      </c>
      <c r="F36" s="1">
        <v>6</v>
      </c>
      <c r="G36" s="1">
        <v>12</v>
      </c>
      <c r="H36" s="1">
        <v>2</v>
      </c>
      <c r="I36" s="1">
        <v>4</v>
      </c>
      <c r="J36" s="1">
        <v>10</v>
      </c>
      <c r="K36" s="1">
        <v>7</v>
      </c>
      <c r="L36" s="1">
        <v>8</v>
      </c>
      <c r="M36" s="1">
        <v>10</v>
      </c>
      <c r="N36" s="1">
        <v>8</v>
      </c>
      <c r="O36" s="1">
        <v>4</v>
      </c>
    </row>
    <row r="37" spans="1:15" x14ac:dyDescent="0.35">
      <c r="A37" t="s">
        <v>1150</v>
      </c>
      <c r="B37" s="1">
        <v>9</v>
      </c>
      <c r="C37" s="1">
        <v>12</v>
      </c>
      <c r="D37" s="1">
        <v>9</v>
      </c>
      <c r="E37" s="1">
        <v>13</v>
      </c>
      <c r="F37" s="1">
        <v>5</v>
      </c>
      <c r="G37" s="1">
        <v>4</v>
      </c>
      <c r="H37" s="1">
        <v>5</v>
      </c>
      <c r="I37" s="1">
        <v>2</v>
      </c>
      <c r="J37" s="1">
        <v>6</v>
      </c>
      <c r="K37" s="1">
        <v>6</v>
      </c>
      <c r="L37" s="1">
        <v>7</v>
      </c>
      <c r="M37" s="1">
        <v>5</v>
      </c>
      <c r="N37" s="1">
        <v>9</v>
      </c>
      <c r="O37" s="1">
        <v>9</v>
      </c>
    </row>
    <row r="38" spans="1:15" x14ac:dyDescent="0.35">
      <c r="A38" t="s">
        <v>1148</v>
      </c>
      <c r="B38" s="1">
        <v>11</v>
      </c>
      <c r="C38" s="1">
        <v>6</v>
      </c>
      <c r="D38" s="1">
        <v>14</v>
      </c>
      <c r="E38" s="1">
        <v>11</v>
      </c>
      <c r="F38" s="1">
        <v>14</v>
      </c>
      <c r="G38" s="1">
        <v>18</v>
      </c>
      <c r="H38" s="1">
        <v>9</v>
      </c>
      <c r="I38" s="1">
        <v>14</v>
      </c>
      <c r="J38" s="1">
        <v>11</v>
      </c>
      <c r="K38" s="1">
        <v>12</v>
      </c>
      <c r="L38" s="1">
        <v>16</v>
      </c>
      <c r="M38" s="1">
        <v>13</v>
      </c>
      <c r="N38" s="1">
        <v>20</v>
      </c>
      <c r="O38" s="1">
        <v>5</v>
      </c>
    </row>
    <row r="39" spans="1:15" x14ac:dyDescent="0.35"/>
    <row r="40" spans="1:15" x14ac:dyDescent="0.35">
      <c r="A40" t="s">
        <v>403</v>
      </c>
    </row>
    <row r="41" spans="1:15" x14ac:dyDescent="0.35">
      <c r="A41" t="s">
        <v>836</v>
      </c>
      <c r="B41" s="1">
        <v>348</v>
      </c>
      <c r="C41" s="1">
        <v>357</v>
      </c>
      <c r="D41" s="1">
        <v>393</v>
      </c>
      <c r="E41" s="1">
        <v>350</v>
      </c>
      <c r="F41" s="1">
        <v>293</v>
      </c>
      <c r="G41" s="1">
        <v>265</v>
      </c>
      <c r="H41" s="1">
        <v>297</v>
      </c>
      <c r="I41" s="1">
        <v>296</v>
      </c>
      <c r="J41" s="1">
        <v>284</v>
      </c>
      <c r="K41" s="1">
        <v>361</v>
      </c>
      <c r="L41" s="1">
        <v>393</v>
      </c>
      <c r="M41" s="1">
        <v>269</v>
      </c>
      <c r="N41" s="1">
        <v>270</v>
      </c>
      <c r="O41" s="1">
        <v>249</v>
      </c>
    </row>
    <row r="42" spans="1:15" x14ac:dyDescent="0.35">
      <c r="A42" t="s">
        <v>1144</v>
      </c>
      <c r="B42" s="1">
        <v>131</v>
      </c>
      <c r="C42" s="1">
        <v>140</v>
      </c>
      <c r="D42" s="1">
        <v>146</v>
      </c>
      <c r="E42" s="1">
        <v>172</v>
      </c>
      <c r="F42" s="1">
        <v>97</v>
      </c>
      <c r="G42" s="1">
        <v>108</v>
      </c>
      <c r="H42" s="1">
        <v>95</v>
      </c>
      <c r="I42" s="1">
        <v>103</v>
      </c>
      <c r="J42" s="1">
        <v>106</v>
      </c>
      <c r="K42" s="1">
        <v>131</v>
      </c>
      <c r="L42" s="1">
        <v>146</v>
      </c>
      <c r="M42" s="1">
        <v>92</v>
      </c>
      <c r="N42" s="1">
        <v>95</v>
      </c>
      <c r="O42" s="1">
        <v>81</v>
      </c>
    </row>
    <row r="43" spans="1:15" x14ac:dyDescent="0.35">
      <c r="A43" t="s">
        <v>1145</v>
      </c>
      <c r="B43" s="1">
        <v>140</v>
      </c>
      <c r="C43" s="1">
        <v>85</v>
      </c>
      <c r="D43" s="1">
        <v>99</v>
      </c>
      <c r="E43" s="1">
        <v>96</v>
      </c>
      <c r="F43" s="1">
        <v>69</v>
      </c>
      <c r="G43" s="1">
        <v>83</v>
      </c>
      <c r="H43" s="1">
        <v>70</v>
      </c>
      <c r="I43" s="1">
        <v>74</v>
      </c>
      <c r="J43" s="1">
        <v>52</v>
      </c>
      <c r="K43" s="1">
        <v>103</v>
      </c>
      <c r="L43" s="1">
        <v>99</v>
      </c>
      <c r="M43" s="1">
        <v>67</v>
      </c>
      <c r="N43" s="1">
        <v>58</v>
      </c>
      <c r="O43" s="1">
        <v>61</v>
      </c>
    </row>
    <row r="44" spans="1:15" x14ac:dyDescent="0.35">
      <c r="A44" t="s">
        <v>1192</v>
      </c>
      <c r="B44" s="1">
        <v>70</v>
      </c>
      <c r="C44" s="1">
        <v>81</v>
      </c>
      <c r="D44" s="1">
        <v>78</v>
      </c>
      <c r="E44" s="1">
        <v>80</v>
      </c>
      <c r="F44" s="1">
        <v>62</v>
      </c>
      <c r="G44" s="1">
        <v>75</v>
      </c>
      <c r="H44" s="1">
        <v>61</v>
      </c>
      <c r="I44" s="1">
        <v>67</v>
      </c>
      <c r="J44" s="1">
        <v>41</v>
      </c>
      <c r="K44" s="1">
        <v>79</v>
      </c>
      <c r="L44" s="1">
        <v>85</v>
      </c>
      <c r="M44" s="1">
        <v>57</v>
      </c>
      <c r="N44" s="1">
        <v>47</v>
      </c>
      <c r="O44" s="1">
        <v>56</v>
      </c>
    </row>
    <row r="45" spans="1:15" x14ac:dyDescent="0.35">
      <c r="A45" t="s">
        <v>1154</v>
      </c>
      <c r="B45" s="1">
        <v>53</v>
      </c>
      <c r="C45" s="1">
        <v>60</v>
      </c>
      <c r="D45" s="1">
        <v>70</v>
      </c>
      <c r="E45" s="1">
        <v>68</v>
      </c>
      <c r="F45" s="1">
        <v>49</v>
      </c>
      <c r="G45" s="1">
        <v>61</v>
      </c>
      <c r="H45" s="1">
        <v>48</v>
      </c>
      <c r="I45" s="1">
        <v>63</v>
      </c>
      <c r="J45" s="1">
        <v>49</v>
      </c>
      <c r="K45" s="1">
        <v>54</v>
      </c>
      <c r="L45" s="1">
        <v>74</v>
      </c>
      <c r="M45" s="1">
        <v>53</v>
      </c>
      <c r="N45" s="1">
        <v>39</v>
      </c>
      <c r="O45" s="1">
        <v>79</v>
      </c>
    </row>
    <row r="46" spans="1:15" x14ac:dyDescent="0.35">
      <c r="A46" t="s">
        <v>1334</v>
      </c>
      <c r="B46" s="1">
        <v>97</v>
      </c>
      <c r="C46" s="1">
        <v>115</v>
      </c>
      <c r="D46" s="1">
        <v>136</v>
      </c>
      <c r="E46" s="1">
        <v>120</v>
      </c>
      <c r="F46" s="1">
        <v>85</v>
      </c>
      <c r="G46" s="1">
        <v>74</v>
      </c>
      <c r="H46" s="1">
        <v>91</v>
      </c>
      <c r="I46" s="1">
        <v>67</v>
      </c>
      <c r="J46" s="1">
        <v>68</v>
      </c>
      <c r="K46" s="1">
        <v>83</v>
      </c>
      <c r="L46" s="1">
        <v>119</v>
      </c>
      <c r="M46" s="1">
        <v>84</v>
      </c>
      <c r="N46" s="1">
        <v>83</v>
      </c>
      <c r="O46" s="1">
        <v>59</v>
      </c>
    </row>
    <row r="47" spans="1:15" x14ac:dyDescent="0.35">
      <c r="A47" t="s">
        <v>1335</v>
      </c>
      <c r="B47" s="1">
        <v>145</v>
      </c>
      <c r="C47" s="1">
        <v>117</v>
      </c>
      <c r="D47" s="1">
        <v>136</v>
      </c>
      <c r="E47" s="1">
        <v>134</v>
      </c>
      <c r="F47" s="1">
        <v>91</v>
      </c>
      <c r="G47" s="1">
        <v>104</v>
      </c>
      <c r="H47" s="1">
        <v>123</v>
      </c>
      <c r="I47" s="1">
        <v>97</v>
      </c>
      <c r="J47" s="1">
        <v>89</v>
      </c>
      <c r="K47" s="1">
        <v>116</v>
      </c>
      <c r="L47" s="1">
        <v>124</v>
      </c>
      <c r="M47" s="1">
        <v>109</v>
      </c>
      <c r="N47" s="1">
        <v>87</v>
      </c>
      <c r="O47" s="1">
        <v>88</v>
      </c>
    </row>
    <row r="48" spans="1:15" x14ac:dyDescent="0.35">
      <c r="A48" t="s">
        <v>1336</v>
      </c>
      <c r="B48" s="1">
        <v>268</v>
      </c>
      <c r="C48" s="1">
        <v>266</v>
      </c>
      <c r="D48" s="1">
        <v>296</v>
      </c>
      <c r="E48" s="1">
        <v>319</v>
      </c>
      <c r="F48" s="1">
        <v>191</v>
      </c>
      <c r="G48" s="1">
        <v>200</v>
      </c>
      <c r="H48" s="1">
        <v>189</v>
      </c>
      <c r="I48" s="1">
        <v>201</v>
      </c>
      <c r="J48" s="1">
        <v>161</v>
      </c>
      <c r="K48" s="1">
        <v>232</v>
      </c>
      <c r="L48" s="1">
        <v>271</v>
      </c>
      <c r="M48" s="1">
        <v>205</v>
      </c>
      <c r="N48" s="1">
        <v>178</v>
      </c>
      <c r="O48" s="1">
        <v>162</v>
      </c>
    </row>
    <row r="49" spans="1:15" x14ac:dyDescent="0.35"/>
    <row r="50" spans="1:15" x14ac:dyDescent="0.35"/>
    <row r="51" spans="1:15" x14ac:dyDescent="0.35">
      <c r="A51" t="s">
        <v>404</v>
      </c>
    </row>
    <row r="52" spans="1:15" x14ac:dyDescent="0.35">
      <c r="A52" t="s">
        <v>488</v>
      </c>
      <c r="B52" s="1">
        <v>8</v>
      </c>
      <c r="C52" s="1">
        <v>28</v>
      </c>
      <c r="D52" s="1">
        <v>21</v>
      </c>
      <c r="E52" s="1">
        <v>11</v>
      </c>
      <c r="F52" s="1">
        <v>4</v>
      </c>
      <c r="G52" s="1">
        <v>13</v>
      </c>
      <c r="H52" s="1">
        <v>5</v>
      </c>
      <c r="I52" s="1">
        <v>9</v>
      </c>
      <c r="J52" s="1">
        <v>8</v>
      </c>
      <c r="K52" s="1">
        <v>21</v>
      </c>
      <c r="L52" s="1">
        <v>30</v>
      </c>
      <c r="M52" s="1">
        <v>5</v>
      </c>
      <c r="N52" s="1">
        <v>7</v>
      </c>
      <c r="O52" s="1">
        <v>0</v>
      </c>
    </row>
    <row r="53" spans="1:15" x14ac:dyDescent="0.35">
      <c r="A53" t="s">
        <v>986</v>
      </c>
      <c r="B53" s="1">
        <v>25</v>
      </c>
      <c r="C53" s="1">
        <v>46</v>
      </c>
      <c r="D53" s="1">
        <v>56</v>
      </c>
      <c r="E53" s="1">
        <v>24</v>
      </c>
      <c r="F53" s="1">
        <v>17</v>
      </c>
      <c r="G53" s="1">
        <v>22</v>
      </c>
      <c r="H53" s="1">
        <v>13</v>
      </c>
      <c r="I53" s="1">
        <v>24</v>
      </c>
      <c r="J53" s="1">
        <v>22</v>
      </c>
      <c r="K53" s="1">
        <v>25</v>
      </c>
      <c r="L53" s="1">
        <v>46</v>
      </c>
      <c r="M53" s="1">
        <v>11</v>
      </c>
      <c r="N53" s="1">
        <v>22</v>
      </c>
      <c r="O53" s="1">
        <v>15</v>
      </c>
    </row>
    <row r="54" spans="1:15" x14ac:dyDescent="0.35">
      <c r="A54" t="s">
        <v>485</v>
      </c>
      <c r="B54" s="1">
        <v>0</v>
      </c>
      <c r="C54" s="1">
        <v>0</v>
      </c>
      <c r="D54" s="1">
        <v>0</v>
      </c>
      <c r="E54" s="1">
        <v>0</v>
      </c>
      <c r="F54" s="1">
        <v>0</v>
      </c>
      <c r="G54" s="1">
        <v>0</v>
      </c>
      <c r="H54" s="1">
        <v>0</v>
      </c>
      <c r="I54" s="1">
        <v>0</v>
      </c>
      <c r="J54" s="1">
        <v>0</v>
      </c>
      <c r="K54" s="1">
        <v>0</v>
      </c>
      <c r="L54" s="1">
        <v>0</v>
      </c>
      <c r="M54" s="1">
        <v>0</v>
      </c>
      <c r="N54" s="1">
        <v>0</v>
      </c>
      <c r="O54" s="1">
        <v>0</v>
      </c>
    </row>
    <row r="55" spans="1:15" x14ac:dyDescent="0.35">
      <c r="A55" t="s">
        <v>922</v>
      </c>
      <c r="C55" s="1">
        <v>12</v>
      </c>
      <c r="D55" s="1">
        <v>5</v>
      </c>
      <c r="E55" s="1">
        <v>5</v>
      </c>
      <c r="F55" s="1">
        <v>5</v>
      </c>
      <c r="G55" s="1">
        <v>1</v>
      </c>
      <c r="H55" s="1">
        <v>0</v>
      </c>
      <c r="I55" s="1">
        <v>3</v>
      </c>
      <c r="J55" s="1">
        <v>4</v>
      </c>
      <c r="K55" s="1">
        <v>4</v>
      </c>
      <c r="L55" s="1">
        <v>2</v>
      </c>
      <c r="M55" s="1">
        <v>5</v>
      </c>
      <c r="N55" s="1">
        <v>4</v>
      </c>
      <c r="O55" s="1">
        <v>2</v>
      </c>
    </row>
    <row r="56" spans="1:15" x14ac:dyDescent="0.35"/>
    <row r="57" spans="1:15" x14ac:dyDescent="0.35"/>
    <row r="58" spans="1:15" x14ac:dyDescent="0.35"/>
    <row r="59" spans="1:15" x14ac:dyDescent="0.35"/>
    <row r="60" spans="1:15" x14ac:dyDescent="0.35"/>
    <row r="61" spans="1:15" x14ac:dyDescent="0.35"/>
    <row r="62" spans="1:15" x14ac:dyDescent="0.35"/>
    <row r="63" spans="1:15" x14ac:dyDescent="0.35"/>
    <row r="64" spans="1:15"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sheetData>
  <phoneticPr fontId="2" type="noConversion"/>
  <conditionalFormatting sqref="A2:A112">
    <cfRule type="cellIs" dxfId="437" priority="1" operator="equal">
      <formula>0</formula>
    </cfRule>
    <cfRule type="containsText" dxfId="436" priority="3" operator="containsText" text="DINE IN/TAKE AWAY|">
      <formula>NOT(ISERROR(SEARCH("DINE IN/TAKE AWAY|",A2)))</formula>
    </cfRule>
    <cfRule type="containsText" dxfId="435" priority="4" operator="containsText" text="TAKE AWAY|">
      <formula>NOT(ISERROR(SEARCH("TAKE AWAY|",A2)))</formula>
    </cfRule>
    <cfRule type="containsText" dxfId="434" priority="5" operator="containsText" text="DINE IN|">
      <formula>NOT(ISERROR(SEARCH("DINE IN|",A2)))</formula>
    </cfRule>
  </conditionalFormatting>
  <pageMargins left="0.7" right="0.7" top="0.75" bottom="0.75" header="0.3" footer="0.3"/>
  <pageSetup paperSize="9" orientation="portrait" horizontalDpi="300" verticalDpi="30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FAAE7-4BE3-410E-BFF9-12470B79BCAA}">
  <sheetPr codeName="Sheet3"/>
  <dimension ref="A1:AM1222"/>
  <sheetViews>
    <sheetView tabSelected="1" topLeftCell="D1" zoomScale="70" zoomScaleNormal="70" workbookViewId="0">
      <selection activeCell="G11" sqref="G11"/>
    </sheetView>
  </sheetViews>
  <sheetFormatPr defaultRowHeight="14.5" x14ac:dyDescent="0.35"/>
  <cols>
    <col min="1" max="1" width="27.26953125" bestFit="1" customWidth="1"/>
    <col min="2" max="2" width="42" bestFit="1" customWidth="1"/>
    <col min="3" max="3" width="14.7265625" bestFit="1" customWidth="1"/>
    <col min="4" max="4" width="10.26953125" bestFit="1" customWidth="1"/>
    <col min="5" max="5" width="36.26953125" bestFit="1" customWidth="1"/>
    <col min="6" max="6" width="15.453125" bestFit="1" customWidth="1"/>
    <col min="7" max="7" width="72.26953125" bestFit="1" customWidth="1"/>
    <col min="8" max="8" width="10.7265625" bestFit="1" customWidth="1"/>
    <col min="9" max="14" width="11.7265625" bestFit="1" customWidth="1"/>
    <col min="15" max="17" width="14.81640625" bestFit="1" customWidth="1"/>
    <col min="18" max="18" width="11.1796875" bestFit="1" customWidth="1"/>
    <col min="19" max="38" width="5.7265625" bestFit="1" customWidth="1"/>
    <col min="39" max="39" width="5.54296875" customWidth="1"/>
    <col min="40" max="43" width="5.7265625" customWidth="1"/>
  </cols>
  <sheetData>
    <row r="1" spans="1:39" x14ac:dyDescent="0.35">
      <c r="A1" t="s">
        <v>171</v>
      </c>
      <c r="B1" t="s">
        <v>334</v>
      </c>
      <c r="C1" t="s">
        <v>313</v>
      </c>
      <c r="D1" t="s">
        <v>314</v>
      </c>
      <c r="E1" t="s">
        <v>172</v>
      </c>
      <c r="F1" t="s">
        <v>177</v>
      </c>
      <c r="G1" t="s">
        <v>178</v>
      </c>
      <c r="H1" t="s">
        <v>1</v>
      </c>
      <c r="I1" t="s">
        <v>36</v>
      </c>
      <c r="J1" t="s">
        <v>37</v>
      </c>
      <c r="K1" t="s">
        <v>38</v>
      </c>
      <c r="L1" t="s">
        <v>39</v>
      </c>
      <c r="M1" t="s">
        <v>40</v>
      </c>
      <c r="N1" t="s">
        <v>41</v>
      </c>
      <c r="O1" t="s">
        <v>42</v>
      </c>
      <c r="P1" t="s">
        <v>43</v>
      </c>
      <c r="Q1" t="s">
        <v>44</v>
      </c>
      <c r="R1" t="s">
        <v>45</v>
      </c>
      <c r="S1" t="s">
        <v>46</v>
      </c>
      <c r="T1" t="s">
        <v>47</v>
      </c>
      <c r="U1" t="s">
        <v>48</v>
      </c>
      <c r="V1" t="s">
        <v>49</v>
      </c>
      <c r="W1" t="s">
        <v>50</v>
      </c>
      <c r="X1" t="s">
        <v>51</v>
      </c>
      <c r="Y1" t="s">
        <v>52</v>
      </c>
      <c r="Z1" t="s">
        <v>53</v>
      </c>
      <c r="AA1" t="s">
        <v>54</v>
      </c>
      <c r="AB1" t="s">
        <v>55</v>
      </c>
      <c r="AC1" t="s">
        <v>56</v>
      </c>
      <c r="AD1" t="s">
        <v>57</v>
      </c>
      <c r="AE1" t="s">
        <v>58</v>
      </c>
      <c r="AF1" t="s">
        <v>59</v>
      </c>
      <c r="AG1" t="s">
        <v>60</v>
      </c>
      <c r="AH1" t="s">
        <v>61</v>
      </c>
      <c r="AI1" t="s">
        <v>62</v>
      </c>
      <c r="AJ1" t="s">
        <v>63</v>
      </c>
      <c r="AK1" t="s">
        <v>64</v>
      </c>
      <c r="AL1" t="s">
        <v>65</v>
      </c>
      <c r="AM1" t="s">
        <v>66</v>
      </c>
    </row>
    <row r="2" spans="1:39" x14ac:dyDescent="0.35">
      <c r="A2" t="s">
        <v>1310</v>
      </c>
      <c r="B2" t="s">
        <v>339</v>
      </c>
      <c r="C2" t="s">
        <v>317</v>
      </c>
      <c r="D2" t="s">
        <v>623</v>
      </c>
      <c r="E2" t="s">
        <v>610</v>
      </c>
      <c r="F2" t="s">
        <v>317</v>
      </c>
      <c r="H2" t="s">
        <v>1471</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row>
    <row r="3" spans="1:39" x14ac:dyDescent="0.35">
      <c r="A3" t="s">
        <v>1310</v>
      </c>
      <c r="B3" t="s">
        <v>338</v>
      </c>
      <c r="C3" t="s">
        <v>316</v>
      </c>
      <c r="D3" t="s">
        <v>623</v>
      </c>
      <c r="E3" t="s">
        <v>610</v>
      </c>
      <c r="F3" t="s">
        <v>316</v>
      </c>
      <c r="H3" t="s">
        <v>1471</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row>
    <row r="4" spans="1:39" x14ac:dyDescent="0.35">
      <c r="A4" t="s">
        <v>1310</v>
      </c>
      <c r="B4" t="s">
        <v>337</v>
      </c>
      <c r="C4" t="s">
        <v>340</v>
      </c>
      <c r="D4" t="s">
        <v>623</v>
      </c>
      <c r="E4" t="s">
        <v>610</v>
      </c>
      <c r="F4" t="s">
        <v>340</v>
      </c>
      <c r="H4" t="s">
        <v>1471</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row>
    <row r="5" spans="1:39" x14ac:dyDescent="0.35">
      <c r="A5" t="s">
        <v>1310</v>
      </c>
      <c r="B5" t="s">
        <v>335</v>
      </c>
      <c r="C5" t="s">
        <v>335</v>
      </c>
      <c r="D5" t="s">
        <v>623</v>
      </c>
      <c r="E5" t="s">
        <v>610</v>
      </c>
      <c r="F5" t="s">
        <v>173</v>
      </c>
      <c r="H5" t="s">
        <v>1471</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row>
    <row r="6" spans="1:39" x14ac:dyDescent="0.35">
      <c r="A6" t="s">
        <v>620</v>
      </c>
      <c r="B6" t="s">
        <v>339</v>
      </c>
      <c r="C6" t="s">
        <v>317</v>
      </c>
      <c r="D6" t="s">
        <v>623</v>
      </c>
      <c r="E6" t="s">
        <v>574</v>
      </c>
      <c r="F6" t="s">
        <v>317</v>
      </c>
      <c r="H6" t="s">
        <v>67</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row>
    <row r="7" spans="1:39" x14ac:dyDescent="0.35">
      <c r="A7" t="s">
        <v>620</v>
      </c>
      <c r="B7" t="s">
        <v>338</v>
      </c>
      <c r="C7" t="s">
        <v>316</v>
      </c>
      <c r="D7" t="s">
        <v>623</v>
      </c>
      <c r="E7" t="s">
        <v>574</v>
      </c>
      <c r="F7" t="s">
        <v>316</v>
      </c>
      <c r="H7" t="s">
        <v>67</v>
      </c>
      <c r="I7">
        <v>0</v>
      </c>
      <c r="J7">
        <v>0</v>
      </c>
      <c r="K7">
        <v>0</v>
      </c>
      <c r="L7">
        <v>0</v>
      </c>
      <c r="M7">
        <v>0</v>
      </c>
      <c r="N7">
        <v>0</v>
      </c>
      <c r="O7">
        <v>0</v>
      </c>
      <c r="P7">
        <v>0</v>
      </c>
      <c r="Q7">
        <v>0</v>
      </c>
      <c r="R7">
        <v>50</v>
      </c>
      <c r="S7">
        <v>0</v>
      </c>
      <c r="T7">
        <v>0</v>
      </c>
      <c r="U7">
        <v>0</v>
      </c>
      <c r="V7">
        <v>0</v>
      </c>
      <c r="W7">
        <v>0</v>
      </c>
      <c r="X7">
        <v>0</v>
      </c>
      <c r="Y7">
        <v>0</v>
      </c>
      <c r="Z7">
        <v>0</v>
      </c>
      <c r="AA7">
        <v>0</v>
      </c>
      <c r="AB7">
        <v>0</v>
      </c>
      <c r="AC7">
        <v>0</v>
      </c>
      <c r="AD7">
        <v>0</v>
      </c>
      <c r="AE7">
        <v>0</v>
      </c>
      <c r="AF7">
        <v>0</v>
      </c>
      <c r="AG7">
        <v>0</v>
      </c>
      <c r="AH7">
        <v>0</v>
      </c>
      <c r="AI7">
        <v>0</v>
      </c>
      <c r="AJ7">
        <v>0</v>
      </c>
      <c r="AK7">
        <v>0</v>
      </c>
      <c r="AL7">
        <v>0</v>
      </c>
      <c r="AM7">
        <v>0</v>
      </c>
    </row>
    <row r="8" spans="1:39" x14ac:dyDescent="0.35">
      <c r="A8" t="s">
        <v>620</v>
      </c>
      <c r="B8" t="s">
        <v>337</v>
      </c>
      <c r="C8" t="s">
        <v>340</v>
      </c>
      <c r="D8" t="s">
        <v>623</v>
      </c>
      <c r="E8" t="s">
        <v>574</v>
      </c>
      <c r="F8" t="s">
        <v>340</v>
      </c>
      <c r="H8" t="s">
        <v>67</v>
      </c>
      <c r="I8">
        <v>109</v>
      </c>
      <c r="J8">
        <v>112</v>
      </c>
      <c r="K8">
        <v>104</v>
      </c>
      <c r="L8">
        <v>143</v>
      </c>
      <c r="M8">
        <v>88</v>
      </c>
      <c r="N8">
        <v>84</v>
      </c>
      <c r="O8">
        <v>80</v>
      </c>
      <c r="P8">
        <v>83</v>
      </c>
      <c r="Q8">
        <v>83</v>
      </c>
      <c r="R8">
        <v>129</v>
      </c>
      <c r="S8">
        <v>122</v>
      </c>
      <c r="T8">
        <v>120</v>
      </c>
      <c r="U8">
        <v>116</v>
      </c>
      <c r="V8">
        <v>109</v>
      </c>
      <c r="W8">
        <v>0</v>
      </c>
      <c r="X8">
        <v>0</v>
      </c>
      <c r="Y8">
        <v>0</v>
      </c>
      <c r="Z8">
        <v>0</v>
      </c>
      <c r="AA8">
        <v>0</v>
      </c>
      <c r="AB8">
        <v>0</v>
      </c>
      <c r="AC8">
        <v>0</v>
      </c>
      <c r="AD8">
        <v>0</v>
      </c>
      <c r="AE8">
        <v>0</v>
      </c>
      <c r="AF8">
        <v>0</v>
      </c>
      <c r="AG8">
        <v>0</v>
      </c>
      <c r="AH8">
        <v>0</v>
      </c>
      <c r="AI8">
        <v>0</v>
      </c>
      <c r="AJ8">
        <v>0</v>
      </c>
      <c r="AK8">
        <v>0</v>
      </c>
      <c r="AL8">
        <v>0</v>
      </c>
      <c r="AM8">
        <v>0</v>
      </c>
    </row>
    <row r="9" spans="1:39" x14ac:dyDescent="0.35">
      <c r="A9" t="s">
        <v>620</v>
      </c>
      <c r="B9" t="s">
        <v>335</v>
      </c>
      <c r="C9" t="s">
        <v>335</v>
      </c>
      <c r="D9" t="s">
        <v>623</v>
      </c>
      <c r="E9" t="s">
        <v>574</v>
      </c>
      <c r="F9" t="s">
        <v>173</v>
      </c>
      <c r="H9" t="s">
        <v>67</v>
      </c>
      <c r="I9">
        <v>120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row>
    <row r="10" spans="1:39" x14ac:dyDescent="0.35">
      <c r="A10" t="s">
        <v>621</v>
      </c>
      <c r="B10" t="s">
        <v>339</v>
      </c>
      <c r="C10" t="s">
        <v>317</v>
      </c>
      <c r="D10" t="s">
        <v>623</v>
      </c>
      <c r="E10" t="s">
        <v>598</v>
      </c>
      <c r="F10" t="s">
        <v>317</v>
      </c>
      <c r="H10" t="s">
        <v>67</v>
      </c>
      <c r="I10">
        <v>800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row>
    <row r="11" spans="1:39" x14ac:dyDescent="0.35">
      <c r="A11" t="s">
        <v>621</v>
      </c>
      <c r="B11" t="s">
        <v>339</v>
      </c>
      <c r="C11" t="s">
        <v>317</v>
      </c>
      <c r="D11" t="s">
        <v>623</v>
      </c>
      <c r="E11" t="s">
        <v>596</v>
      </c>
      <c r="F11" t="s">
        <v>317</v>
      </c>
      <c r="H11" t="s">
        <v>67</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row>
    <row r="12" spans="1:39" x14ac:dyDescent="0.35">
      <c r="A12" t="s">
        <v>621</v>
      </c>
      <c r="B12" t="s">
        <v>339</v>
      </c>
      <c r="C12" t="s">
        <v>317</v>
      </c>
      <c r="D12" t="s">
        <v>623</v>
      </c>
      <c r="E12" t="s">
        <v>601</v>
      </c>
      <c r="F12" t="s">
        <v>317</v>
      </c>
      <c r="H12" t="s">
        <v>151</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row>
    <row r="13" spans="1:39" x14ac:dyDescent="0.35">
      <c r="A13" t="s">
        <v>621</v>
      </c>
      <c r="B13" t="s">
        <v>339</v>
      </c>
      <c r="C13" t="s">
        <v>317</v>
      </c>
      <c r="D13" t="s">
        <v>623</v>
      </c>
      <c r="E13" t="s">
        <v>586</v>
      </c>
      <c r="F13" t="s">
        <v>317</v>
      </c>
      <c r="H13" t="s">
        <v>151</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row>
    <row r="14" spans="1:39" x14ac:dyDescent="0.35">
      <c r="A14" t="s">
        <v>621</v>
      </c>
      <c r="B14" t="s">
        <v>339</v>
      </c>
      <c r="C14" t="s">
        <v>317</v>
      </c>
      <c r="D14" t="s">
        <v>623</v>
      </c>
      <c r="E14" t="s">
        <v>593</v>
      </c>
      <c r="F14" t="s">
        <v>317</v>
      </c>
      <c r="H14" t="s">
        <v>69</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row>
    <row r="15" spans="1:39" x14ac:dyDescent="0.35">
      <c r="A15" t="s">
        <v>621</v>
      </c>
      <c r="B15" t="s">
        <v>339</v>
      </c>
      <c r="C15" t="s">
        <v>317</v>
      </c>
      <c r="D15" t="s">
        <v>623</v>
      </c>
      <c r="E15" t="s">
        <v>589</v>
      </c>
      <c r="F15" t="s">
        <v>317</v>
      </c>
      <c r="H15" t="s">
        <v>151</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row>
    <row r="16" spans="1:39" x14ac:dyDescent="0.35">
      <c r="A16" t="s">
        <v>621</v>
      </c>
      <c r="B16" t="s">
        <v>339</v>
      </c>
      <c r="C16" t="s">
        <v>317</v>
      </c>
      <c r="D16" t="s">
        <v>623</v>
      </c>
      <c r="E16" t="s">
        <v>24</v>
      </c>
      <c r="F16" t="s">
        <v>317</v>
      </c>
      <c r="H16" t="s">
        <v>556</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row>
    <row r="17" spans="1:39" x14ac:dyDescent="0.35">
      <c r="A17" t="s">
        <v>621</v>
      </c>
      <c r="B17" t="s">
        <v>339</v>
      </c>
      <c r="C17" t="s">
        <v>317</v>
      </c>
      <c r="D17" t="s">
        <v>623</v>
      </c>
      <c r="E17" t="s">
        <v>25</v>
      </c>
      <c r="F17" t="s">
        <v>317</v>
      </c>
      <c r="H17" t="s">
        <v>151</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row>
    <row r="18" spans="1:39" x14ac:dyDescent="0.35">
      <c r="A18" t="s">
        <v>621</v>
      </c>
      <c r="B18" t="s">
        <v>339</v>
      </c>
      <c r="C18" t="s">
        <v>317</v>
      </c>
      <c r="D18" t="s">
        <v>623</v>
      </c>
      <c r="E18" t="s">
        <v>583</v>
      </c>
      <c r="F18" t="s">
        <v>317</v>
      </c>
      <c r="H18" t="s">
        <v>151</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row>
    <row r="19" spans="1:39" x14ac:dyDescent="0.35">
      <c r="A19" t="s">
        <v>621</v>
      </c>
      <c r="B19" t="s">
        <v>339</v>
      </c>
      <c r="C19" t="s">
        <v>317</v>
      </c>
      <c r="D19" t="s">
        <v>623</v>
      </c>
      <c r="E19" t="s">
        <v>603</v>
      </c>
      <c r="F19" t="s">
        <v>317</v>
      </c>
      <c r="H19" t="s">
        <v>151</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row>
    <row r="20" spans="1:39" x14ac:dyDescent="0.35">
      <c r="A20" t="s">
        <v>621</v>
      </c>
      <c r="B20" t="s">
        <v>339</v>
      </c>
      <c r="C20" t="s">
        <v>317</v>
      </c>
      <c r="D20" t="s">
        <v>623</v>
      </c>
      <c r="E20" t="s">
        <v>32</v>
      </c>
      <c r="F20" t="s">
        <v>317</v>
      </c>
      <c r="H20" t="s">
        <v>67</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row>
    <row r="21" spans="1:39" x14ac:dyDescent="0.35">
      <c r="A21" t="s">
        <v>621</v>
      </c>
      <c r="B21" t="s">
        <v>339</v>
      </c>
      <c r="C21" t="s">
        <v>317</v>
      </c>
      <c r="D21" t="s">
        <v>623</v>
      </c>
      <c r="E21" t="s">
        <v>33</v>
      </c>
      <c r="F21" t="s">
        <v>317</v>
      </c>
      <c r="H21" t="s">
        <v>67</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row>
    <row r="22" spans="1:39" x14ac:dyDescent="0.35">
      <c r="A22" t="s">
        <v>621</v>
      </c>
      <c r="B22" t="s">
        <v>338</v>
      </c>
      <c r="C22" t="s">
        <v>316</v>
      </c>
      <c r="D22" t="s">
        <v>623</v>
      </c>
      <c r="E22" t="s">
        <v>598</v>
      </c>
      <c r="F22" t="s">
        <v>316</v>
      </c>
      <c r="H22" t="s">
        <v>67</v>
      </c>
      <c r="I22">
        <v>0</v>
      </c>
      <c r="J22">
        <v>0</v>
      </c>
      <c r="K22">
        <v>1900</v>
      </c>
      <c r="L22">
        <v>0</v>
      </c>
      <c r="M22">
        <v>0</v>
      </c>
      <c r="N22">
        <v>0</v>
      </c>
      <c r="O22">
        <v>2400</v>
      </c>
      <c r="P22">
        <v>0</v>
      </c>
      <c r="Q22">
        <v>0</v>
      </c>
      <c r="R22">
        <v>2900</v>
      </c>
      <c r="S22">
        <v>0</v>
      </c>
      <c r="T22">
        <v>0</v>
      </c>
      <c r="U22">
        <v>500</v>
      </c>
      <c r="V22">
        <v>1600</v>
      </c>
      <c r="W22">
        <v>0</v>
      </c>
      <c r="X22">
        <v>0</v>
      </c>
      <c r="Y22">
        <v>0</v>
      </c>
      <c r="Z22">
        <v>0</v>
      </c>
      <c r="AA22">
        <v>0</v>
      </c>
      <c r="AB22">
        <v>0</v>
      </c>
      <c r="AC22">
        <v>0</v>
      </c>
      <c r="AD22">
        <v>0</v>
      </c>
      <c r="AE22">
        <v>0</v>
      </c>
      <c r="AF22">
        <v>0</v>
      </c>
      <c r="AG22">
        <v>0</v>
      </c>
      <c r="AH22">
        <v>0</v>
      </c>
      <c r="AI22">
        <v>0</v>
      </c>
      <c r="AJ22">
        <v>0</v>
      </c>
      <c r="AK22">
        <v>0</v>
      </c>
      <c r="AL22">
        <v>0</v>
      </c>
      <c r="AM22">
        <v>0</v>
      </c>
    </row>
    <row r="23" spans="1:39" x14ac:dyDescent="0.35">
      <c r="A23" t="s">
        <v>621</v>
      </c>
      <c r="B23" t="s">
        <v>338</v>
      </c>
      <c r="C23" t="s">
        <v>316</v>
      </c>
      <c r="D23" t="s">
        <v>623</v>
      </c>
      <c r="E23" t="s">
        <v>596</v>
      </c>
      <c r="F23" t="s">
        <v>316</v>
      </c>
      <c r="H23" t="s">
        <v>67</v>
      </c>
      <c r="I23">
        <v>4000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row>
    <row r="24" spans="1:39" x14ac:dyDescent="0.35">
      <c r="A24" t="s">
        <v>621</v>
      </c>
      <c r="B24" t="s">
        <v>338</v>
      </c>
      <c r="C24" t="s">
        <v>316</v>
      </c>
      <c r="D24" t="s">
        <v>623</v>
      </c>
      <c r="E24" t="s">
        <v>601</v>
      </c>
      <c r="F24" t="s">
        <v>316</v>
      </c>
      <c r="H24" t="s">
        <v>151</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row>
    <row r="25" spans="1:39" x14ac:dyDescent="0.35">
      <c r="A25" t="s">
        <v>621</v>
      </c>
      <c r="B25" t="s">
        <v>338</v>
      </c>
      <c r="C25" t="s">
        <v>316</v>
      </c>
      <c r="D25" t="s">
        <v>623</v>
      </c>
      <c r="E25" t="s">
        <v>586</v>
      </c>
      <c r="F25" t="s">
        <v>316</v>
      </c>
      <c r="H25" t="s">
        <v>151</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row>
    <row r="26" spans="1:39" x14ac:dyDescent="0.35">
      <c r="A26" t="s">
        <v>621</v>
      </c>
      <c r="B26" t="s">
        <v>338</v>
      </c>
      <c r="C26" t="s">
        <v>316</v>
      </c>
      <c r="D26" t="s">
        <v>623</v>
      </c>
      <c r="E26" t="s">
        <v>593</v>
      </c>
      <c r="F26" t="s">
        <v>316</v>
      </c>
      <c r="H26" t="s">
        <v>69</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row>
    <row r="27" spans="1:39" x14ac:dyDescent="0.35">
      <c r="A27" t="s">
        <v>621</v>
      </c>
      <c r="B27" t="s">
        <v>338</v>
      </c>
      <c r="C27" t="s">
        <v>316</v>
      </c>
      <c r="D27" t="s">
        <v>623</v>
      </c>
      <c r="E27" t="s">
        <v>589</v>
      </c>
      <c r="F27" t="s">
        <v>316</v>
      </c>
      <c r="H27" t="s">
        <v>151</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row>
    <row r="28" spans="1:39" x14ac:dyDescent="0.35">
      <c r="A28" t="s">
        <v>621</v>
      </c>
      <c r="B28" t="s">
        <v>338</v>
      </c>
      <c r="C28" t="s">
        <v>316</v>
      </c>
      <c r="D28" t="s">
        <v>623</v>
      </c>
      <c r="E28" t="s">
        <v>24</v>
      </c>
      <c r="F28" t="s">
        <v>316</v>
      </c>
      <c r="H28" t="s">
        <v>556</v>
      </c>
      <c r="I28">
        <v>10</v>
      </c>
      <c r="J28">
        <v>0</v>
      </c>
      <c r="K28">
        <v>0</v>
      </c>
      <c r="L28">
        <v>0</v>
      </c>
      <c r="M28">
        <v>0</v>
      </c>
      <c r="N28">
        <v>0</v>
      </c>
      <c r="O28">
        <v>0</v>
      </c>
      <c r="P28">
        <v>35</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row>
    <row r="29" spans="1:39" x14ac:dyDescent="0.35">
      <c r="A29" t="s">
        <v>621</v>
      </c>
      <c r="B29" t="s">
        <v>338</v>
      </c>
      <c r="C29" t="s">
        <v>316</v>
      </c>
      <c r="D29" t="s">
        <v>623</v>
      </c>
      <c r="E29" t="s">
        <v>25</v>
      </c>
      <c r="F29" t="s">
        <v>316</v>
      </c>
      <c r="H29" t="s">
        <v>151</v>
      </c>
      <c r="I29">
        <v>25</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row>
    <row r="30" spans="1:39" x14ac:dyDescent="0.35">
      <c r="A30" t="s">
        <v>621</v>
      </c>
      <c r="B30" t="s">
        <v>338</v>
      </c>
      <c r="C30" t="s">
        <v>316</v>
      </c>
      <c r="D30" t="s">
        <v>623</v>
      </c>
      <c r="E30" t="s">
        <v>583</v>
      </c>
      <c r="F30" t="s">
        <v>316</v>
      </c>
      <c r="H30" t="s">
        <v>151</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row>
    <row r="31" spans="1:39" x14ac:dyDescent="0.35">
      <c r="A31" t="s">
        <v>621</v>
      </c>
      <c r="B31" t="s">
        <v>338</v>
      </c>
      <c r="C31" t="s">
        <v>316</v>
      </c>
      <c r="D31" t="s">
        <v>623</v>
      </c>
      <c r="E31" t="s">
        <v>603</v>
      </c>
      <c r="F31" t="s">
        <v>316</v>
      </c>
      <c r="H31" t="s">
        <v>151</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row>
    <row r="32" spans="1:39" x14ac:dyDescent="0.35">
      <c r="A32" t="s">
        <v>621</v>
      </c>
      <c r="B32" t="s">
        <v>338</v>
      </c>
      <c r="C32" t="s">
        <v>316</v>
      </c>
      <c r="D32" t="s">
        <v>623</v>
      </c>
      <c r="E32" t="s">
        <v>32</v>
      </c>
      <c r="F32" t="s">
        <v>316</v>
      </c>
      <c r="H32" t="s">
        <v>67</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row>
    <row r="33" spans="1:39" x14ac:dyDescent="0.35">
      <c r="A33" t="s">
        <v>621</v>
      </c>
      <c r="B33" t="s">
        <v>338</v>
      </c>
      <c r="C33" t="s">
        <v>316</v>
      </c>
      <c r="D33" t="s">
        <v>623</v>
      </c>
      <c r="E33" t="s">
        <v>33</v>
      </c>
      <c r="F33" t="s">
        <v>316</v>
      </c>
      <c r="H33" t="s">
        <v>67</v>
      </c>
      <c r="I33">
        <v>0</v>
      </c>
      <c r="J33">
        <v>0</v>
      </c>
      <c r="K33">
        <v>0</v>
      </c>
      <c r="L33">
        <v>0</v>
      </c>
      <c r="M33">
        <v>0</v>
      </c>
      <c r="N33">
        <v>0</v>
      </c>
      <c r="O33">
        <v>168</v>
      </c>
      <c r="P33">
        <v>0</v>
      </c>
      <c r="Q33">
        <v>0</v>
      </c>
      <c r="R33">
        <v>0</v>
      </c>
      <c r="S33">
        <v>0</v>
      </c>
      <c r="T33">
        <v>0</v>
      </c>
      <c r="U33">
        <v>0</v>
      </c>
      <c r="V33">
        <v>96</v>
      </c>
      <c r="W33">
        <v>0</v>
      </c>
      <c r="X33">
        <v>0</v>
      </c>
      <c r="Y33">
        <v>0</v>
      </c>
      <c r="Z33">
        <v>0</v>
      </c>
      <c r="AA33">
        <v>0</v>
      </c>
      <c r="AB33">
        <v>0</v>
      </c>
      <c r="AC33">
        <v>0</v>
      </c>
      <c r="AD33">
        <v>0</v>
      </c>
      <c r="AE33">
        <v>0</v>
      </c>
      <c r="AF33">
        <v>0</v>
      </c>
      <c r="AG33">
        <v>0</v>
      </c>
      <c r="AH33">
        <v>0</v>
      </c>
      <c r="AI33">
        <v>0</v>
      </c>
      <c r="AJ33">
        <v>0</v>
      </c>
      <c r="AK33">
        <v>0</v>
      </c>
      <c r="AL33">
        <v>0</v>
      </c>
      <c r="AM33">
        <v>0</v>
      </c>
    </row>
    <row r="34" spans="1:39" x14ac:dyDescent="0.35">
      <c r="A34" t="s">
        <v>621</v>
      </c>
      <c r="B34" t="s">
        <v>337</v>
      </c>
      <c r="C34" t="s">
        <v>340</v>
      </c>
      <c r="D34" t="s">
        <v>623</v>
      </c>
      <c r="E34" t="s">
        <v>598</v>
      </c>
      <c r="F34" t="s">
        <v>340</v>
      </c>
      <c r="H34" t="s">
        <v>67</v>
      </c>
      <c r="I34">
        <v>1800</v>
      </c>
      <c r="J34">
        <v>1200</v>
      </c>
      <c r="K34">
        <v>2500</v>
      </c>
      <c r="L34">
        <v>2000</v>
      </c>
      <c r="M34">
        <v>1200</v>
      </c>
      <c r="N34">
        <v>400</v>
      </c>
      <c r="O34">
        <v>2200</v>
      </c>
      <c r="P34">
        <v>1500</v>
      </c>
      <c r="Q34">
        <v>900</v>
      </c>
      <c r="R34">
        <v>3000</v>
      </c>
      <c r="S34">
        <v>2300</v>
      </c>
      <c r="T34">
        <v>1700</v>
      </c>
      <c r="U34">
        <v>1500</v>
      </c>
      <c r="V34">
        <v>2400</v>
      </c>
      <c r="W34">
        <v>0</v>
      </c>
      <c r="X34">
        <v>0</v>
      </c>
      <c r="Y34">
        <v>0</v>
      </c>
      <c r="Z34">
        <v>0</v>
      </c>
      <c r="AA34">
        <v>0</v>
      </c>
      <c r="AB34">
        <v>0</v>
      </c>
      <c r="AC34">
        <v>0</v>
      </c>
      <c r="AD34">
        <v>0</v>
      </c>
      <c r="AE34">
        <v>0</v>
      </c>
      <c r="AF34">
        <v>0</v>
      </c>
      <c r="AG34">
        <v>0</v>
      </c>
      <c r="AH34">
        <v>0</v>
      </c>
      <c r="AI34">
        <v>0</v>
      </c>
      <c r="AJ34">
        <v>0</v>
      </c>
      <c r="AK34">
        <v>0</v>
      </c>
      <c r="AL34">
        <v>0</v>
      </c>
      <c r="AM34">
        <v>0</v>
      </c>
    </row>
    <row r="35" spans="1:39" x14ac:dyDescent="0.35">
      <c r="A35" t="s">
        <v>621</v>
      </c>
      <c r="B35" t="s">
        <v>337</v>
      </c>
      <c r="C35" t="s">
        <v>340</v>
      </c>
      <c r="D35" t="s">
        <v>623</v>
      </c>
      <c r="E35" t="s">
        <v>596</v>
      </c>
      <c r="F35" t="s">
        <v>340</v>
      </c>
      <c r="H35" t="s">
        <v>67</v>
      </c>
      <c r="I35">
        <v>9800</v>
      </c>
      <c r="J35">
        <v>9400</v>
      </c>
      <c r="K35">
        <v>9100</v>
      </c>
      <c r="L35">
        <v>8600</v>
      </c>
      <c r="M35">
        <v>8100</v>
      </c>
      <c r="N35">
        <v>7600</v>
      </c>
      <c r="O35">
        <v>7000</v>
      </c>
      <c r="P35">
        <v>6300</v>
      </c>
      <c r="Q35">
        <v>5800</v>
      </c>
      <c r="R35">
        <v>5200</v>
      </c>
      <c r="S35">
        <v>4500</v>
      </c>
      <c r="T35">
        <v>3900</v>
      </c>
      <c r="U35">
        <v>3300</v>
      </c>
      <c r="V35">
        <v>2400</v>
      </c>
      <c r="W35">
        <v>0</v>
      </c>
      <c r="X35">
        <v>0</v>
      </c>
      <c r="Y35">
        <v>0</v>
      </c>
      <c r="Z35">
        <v>0</v>
      </c>
      <c r="AA35">
        <v>0</v>
      </c>
      <c r="AB35">
        <v>0</v>
      </c>
      <c r="AC35">
        <v>0</v>
      </c>
      <c r="AD35">
        <v>0</v>
      </c>
      <c r="AE35">
        <v>0</v>
      </c>
      <c r="AF35">
        <v>0</v>
      </c>
      <c r="AG35">
        <v>0</v>
      </c>
      <c r="AH35">
        <v>0</v>
      </c>
      <c r="AI35">
        <v>0</v>
      </c>
      <c r="AJ35">
        <v>0</v>
      </c>
      <c r="AK35">
        <v>0</v>
      </c>
      <c r="AL35">
        <v>0</v>
      </c>
      <c r="AM35">
        <v>0</v>
      </c>
    </row>
    <row r="36" spans="1:39" x14ac:dyDescent="0.35">
      <c r="A36" t="s">
        <v>621</v>
      </c>
      <c r="B36" t="s">
        <v>337</v>
      </c>
      <c r="C36" t="s">
        <v>340</v>
      </c>
      <c r="D36" t="s">
        <v>623</v>
      </c>
      <c r="E36" t="s">
        <v>601</v>
      </c>
      <c r="F36" t="s">
        <v>340</v>
      </c>
      <c r="H36" t="s">
        <v>151</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row>
    <row r="37" spans="1:39" x14ac:dyDescent="0.35">
      <c r="A37" t="s">
        <v>621</v>
      </c>
      <c r="B37" t="s">
        <v>337</v>
      </c>
      <c r="C37" t="s">
        <v>340</v>
      </c>
      <c r="D37" t="s">
        <v>623</v>
      </c>
      <c r="E37" t="s">
        <v>586</v>
      </c>
      <c r="F37" t="s">
        <v>340</v>
      </c>
      <c r="H37" t="s">
        <v>151</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row>
    <row r="38" spans="1:39" x14ac:dyDescent="0.35">
      <c r="A38" t="s">
        <v>621</v>
      </c>
      <c r="B38" t="s">
        <v>337</v>
      </c>
      <c r="C38" t="s">
        <v>340</v>
      </c>
      <c r="D38" t="s">
        <v>623</v>
      </c>
      <c r="E38" t="s">
        <v>593</v>
      </c>
      <c r="F38" t="s">
        <v>340</v>
      </c>
      <c r="H38" t="s">
        <v>69</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row>
    <row r="39" spans="1:39" x14ac:dyDescent="0.35">
      <c r="A39" t="s">
        <v>621</v>
      </c>
      <c r="B39" t="s">
        <v>337</v>
      </c>
      <c r="C39" t="s">
        <v>340</v>
      </c>
      <c r="D39" t="s">
        <v>623</v>
      </c>
      <c r="E39" t="s">
        <v>589</v>
      </c>
      <c r="F39" t="s">
        <v>340</v>
      </c>
      <c r="H39" t="s">
        <v>151</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row>
    <row r="40" spans="1:39" x14ac:dyDescent="0.35">
      <c r="A40" t="s">
        <v>621</v>
      </c>
      <c r="B40" t="s">
        <v>337</v>
      </c>
      <c r="C40" t="s">
        <v>340</v>
      </c>
      <c r="D40" t="s">
        <v>623</v>
      </c>
      <c r="E40" t="s">
        <v>24</v>
      </c>
      <c r="F40" t="s">
        <v>340</v>
      </c>
      <c r="H40" t="s">
        <v>556</v>
      </c>
      <c r="I40">
        <v>44</v>
      </c>
      <c r="J40">
        <v>43</v>
      </c>
      <c r="K40">
        <v>50</v>
      </c>
      <c r="L40">
        <v>45</v>
      </c>
      <c r="M40">
        <v>32</v>
      </c>
      <c r="N40">
        <v>27</v>
      </c>
      <c r="O40">
        <v>24</v>
      </c>
      <c r="P40">
        <v>57</v>
      </c>
      <c r="Q40">
        <v>57</v>
      </c>
      <c r="R40">
        <v>57</v>
      </c>
      <c r="S40">
        <v>52</v>
      </c>
      <c r="T40">
        <v>47</v>
      </c>
      <c r="U40">
        <v>48</v>
      </c>
      <c r="V40">
        <v>45</v>
      </c>
      <c r="W40">
        <v>0</v>
      </c>
      <c r="X40">
        <v>0</v>
      </c>
      <c r="Y40">
        <v>0</v>
      </c>
      <c r="Z40">
        <v>0</v>
      </c>
      <c r="AA40">
        <v>0</v>
      </c>
      <c r="AB40">
        <v>0</v>
      </c>
      <c r="AC40">
        <v>0</v>
      </c>
      <c r="AD40">
        <v>0</v>
      </c>
      <c r="AE40">
        <v>0</v>
      </c>
      <c r="AF40">
        <v>0</v>
      </c>
      <c r="AG40">
        <v>0</v>
      </c>
      <c r="AH40">
        <v>0</v>
      </c>
      <c r="AI40">
        <v>0</v>
      </c>
      <c r="AJ40">
        <v>0</v>
      </c>
      <c r="AK40">
        <v>0</v>
      </c>
      <c r="AL40">
        <v>0</v>
      </c>
      <c r="AM40">
        <v>0</v>
      </c>
    </row>
    <row r="41" spans="1:39" x14ac:dyDescent="0.35">
      <c r="A41" t="s">
        <v>621</v>
      </c>
      <c r="B41" t="s">
        <v>337</v>
      </c>
      <c r="C41" t="s">
        <v>340</v>
      </c>
      <c r="D41" t="s">
        <v>623</v>
      </c>
      <c r="E41" t="s">
        <v>25</v>
      </c>
      <c r="F41" t="s">
        <v>340</v>
      </c>
      <c r="H41" t="s">
        <v>151</v>
      </c>
      <c r="I41">
        <v>0</v>
      </c>
      <c r="J41">
        <v>22</v>
      </c>
      <c r="K41">
        <v>21</v>
      </c>
      <c r="L41">
        <v>0</v>
      </c>
      <c r="M41">
        <v>18</v>
      </c>
      <c r="N41">
        <v>16</v>
      </c>
      <c r="O41">
        <v>15</v>
      </c>
      <c r="P41">
        <v>15</v>
      </c>
      <c r="Q41">
        <v>12</v>
      </c>
      <c r="R41">
        <v>10</v>
      </c>
      <c r="S41">
        <v>7</v>
      </c>
      <c r="T41">
        <v>6</v>
      </c>
      <c r="U41">
        <v>4</v>
      </c>
      <c r="V41">
        <v>2</v>
      </c>
      <c r="W41">
        <v>0</v>
      </c>
      <c r="X41">
        <v>0</v>
      </c>
      <c r="Y41">
        <v>0</v>
      </c>
      <c r="Z41">
        <v>0</v>
      </c>
      <c r="AA41">
        <v>0</v>
      </c>
      <c r="AB41">
        <v>0</v>
      </c>
      <c r="AC41">
        <v>0</v>
      </c>
      <c r="AD41">
        <v>0</v>
      </c>
      <c r="AE41">
        <v>0</v>
      </c>
      <c r="AF41">
        <v>0</v>
      </c>
      <c r="AG41">
        <v>0</v>
      </c>
      <c r="AH41">
        <v>0</v>
      </c>
      <c r="AI41">
        <v>0</v>
      </c>
      <c r="AJ41">
        <v>0</v>
      </c>
      <c r="AK41">
        <v>0</v>
      </c>
      <c r="AL41">
        <v>0</v>
      </c>
      <c r="AM41">
        <v>0</v>
      </c>
    </row>
    <row r="42" spans="1:39" x14ac:dyDescent="0.35">
      <c r="A42" t="s">
        <v>621</v>
      </c>
      <c r="B42" t="s">
        <v>337</v>
      </c>
      <c r="C42" t="s">
        <v>340</v>
      </c>
      <c r="D42" t="s">
        <v>623</v>
      </c>
      <c r="E42" t="s">
        <v>583</v>
      </c>
      <c r="F42" t="s">
        <v>340</v>
      </c>
      <c r="H42" t="s">
        <v>151</v>
      </c>
      <c r="I42">
        <v>0</v>
      </c>
      <c r="J42">
        <v>15</v>
      </c>
      <c r="K42">
        <v>15</v>
      </c>
      <c r="L42">
        <v>0</v>
      </c>
      <c r="M42">
        <v>15</v>
      </c>
      <c r="N42">
        <v>17</v>
      </c>
      <c r="O42">
        <v>14</v>
      </c>
      <c r="P42">
        <v>14</v>
      </c>
      <c r="Q42">
        <v>14</v>
      </c>
      <c r="R42">
        <v>13</v>
      </c>
      <c r="S42">
        <v>13</v>
      </c>
      <c r="T42">
        <v>12</v>
      </c>
      <c r="U42">
        <v>11</v>
      </c>
      <c r="V42">
        <v>12</v>
      </c>
      <c r="W42">
        <v>0</v>
      </c>
      <c r="X42">
        <v>0</v>
      </c>
      <c r="Y42">
        <v>0</v>
      </c>
      <c r="Z42">
        <v>0</v>
      </c>
      <c r="AA42">
        <v>0</v>
      </c>
      <c r="AB42">
        <v>0</v>
      </c>
      <c r="AC42">
        <v>0</v>
      </c>
      <c r="AD42">
        <v>0</v>
      </c>
      <c r="AE42">
        <v>0</v>
      </c>
      <c r="AF42">
        <v>0</v>
      </c>
      <c r="AG42">
        <v>0</v>
      </c>
      <c r="AH42">
        <v>0</v>
      </c>
      <c r="AI42">
        <v>0</v>
      </c>
      <c r="AJ42">
        <v>0</v>
      </c>
      <c r="AK42">
        <v>0</v>
      </c>
      <c r="AL42">
        <v>0</v>
      </c>
      <c r="AM42">
        <v>0</v>
      </c>
    </row>
    <row r="43" spans="1:39" x14ac:dyDescent="0.35">
      <c r="A43" t="s">
        <v>621</v>
      </c>
      <c r="B43" t="s">
        <v>337</v>
      </c>
      <c r="C43" t="s">
        <v>340</v>
      </c>
      <c r="D43" t="s">
        <v>623</v>
      </c>
      <c r="E43" t="s">
        <v>603</v>
      </c>
      <c r="F43" t="s">
        <v>340</v>
      </c>
      <c r="H43" t="s">
        <v>151</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row>
    <row r="44" spans="1:39" x14ac:dyDescent="0.35">
      <c r="A44" t="s">
        <v>621</v>
      </c>
      <c r="B44" t="s">
        <v>337</v>
      </c>
      <c r="C44" t="s">
        <v>340</v>
      </c>
      <c r="D44" t="s">
        <v>623</v>
      </c>
      <c r="E44" t="s">
        <v>32</v>
      </c>
      <c r="F44" t="s">
        <v>340</v>
      </c>
      <c r="H44" t="s">
        <v>67</v>
      </c>
      <c r="I44">
        <v>260</v>
      </c>
      <c r="J44">
        <v>254</v>
      </c>
      <c r="K44">
        <v>244</v>
      </c>
      <c r="L44">
        <v>234</v>
      </c>
      <c r="M44">
        <v>229</v>
      </c>
      <c r="N44">
        <v>218</v>
      </c>
      <c r="O44">
        <v>204</v>
      </c>
      <c r="P44">
        <v>214</v>
      </c>
      <c r="Q44">
        <v>196</v>
      </c>
      <c r="R44">
        <v>194</v>
      </c>
      <c r="S44">
        <v>159</v>
      </c>
      <c r="T44">
        <v>159</v>
      </c>
      <c r="U44">
        <v>129</v>
      </c>
      <c r="V44">
        <v>139</v>
      </c>
      <c r="W44">
        <v>0</v>
      </c>
      <c r="X44">
        <v>0</v>
      </c>
      <c r="Y44">
        <v>0</v>
      </c>
      <c r="Z44">
        <v>0</v>
      </c>
      <c r="AA44">
        <v>0</v>
      </c>
      <c r="AB44">
        <v>0</v>
      </c>
      <c r="AC44">
        <v>0</v>
      </c>
      <c r="AD44">
        <v>0</v>
      </c>
      <c r="AE44">
        <v>0</v>
      </c>
      <c r="AF44">
        <v>0</v>
      </c>
      <c r="AG44">
        <v>0</v>
      </c>
      <c r="AH44">
        <v>0</v>
      </c>
      <c r="AI44">
        <v>0</v>
      </c>
      <c r="AJ44">
        <v>0</v>
      </c>
      <c r="AK44">
        <v>0</v>
      </c>
      <c r="AL44">
        <v>0</v>
      </c>
      <c r="AM44">
        <v>0</v>
      </c>
    </row>
    <row r="45" spans="1:39" x14ac:dyDescent="0.35">
      <c r="A45" t="s">
        <v>621</v>
      </c>
      <c r="B45" t="s">
        <v>337</v>
      </c>
      <c r="C45" t="s">
        <v>340</v>
      </c>
      <c r="D45" t="s">
        <v>623</v>
      </c>
      <c r="E45" t="s">
        <v>33</v>
      </c>
      <c r="F45" t="s">
        <v>340</v>
      </c>
      <c r="H45" t="s">
        <v>67</v>
      </c>
      <c r="I45">
        <v>250</v>
      </c>
      <c r="J45">
        <v>234</v>
      </c>
      <c r="K45">
        <v>216</v>
      </c>
      <c r="L45">
        <v>196</v>
      </c>
      <c r="M45">
        <v>180</v>
      </c>
      <c r="N45">
        <v>164</v>
      </c>
      <c r="O45">
        <v>305</v>
      </c>
      <c r="P45">
        <v>289</v>
      </c>
      <c r="Q45">
        <v>283</v>
      </c>
      <c r="R45">
        <v>267</v>
      </c>
      <c r="S45">
        <v>244</v>
      </c>
      <c r="T45">
        <v>231</v>
      </c>
      <c r="U45">
        <v>193</v>
      </c>
      <c r="V45">
        <v>298</v>
      </c>
      <c r="W45">
        <v>0</v>
      </c>
      <c r="X45">
        <v>0</v>
      </c>
      <c r="Y45">
        <v>0</v>
      </c>
      <c r="Z45">
        <v>0</v>
      </c>
      <c r="AA45">
        <v>0</v>
      </c>
      <c r="AB45">
        <v>0</v>
      </c>
      <c r="AC45">
        <v>0</v>
      </c>
      <c r="AD45">
        <v>0</v>
      </c>
      <c r="AE45">
        <v>0</v>
      </c>
      <c r="AF45">
        <v>0</v>
      </c>
      <c r="AG45">
        <v>0</v>
      </c>
      <c r="AH45">
        <v>0</v>
      </c>
      <c r="AI45">
        <v>0</v>
      </c>
      <c r="AJ45">
        <v>0</v>
      </c>
      <c r="AK45">
        <v>0</v>
      </c>
      <c r="AL45">
        <v>0</v>
      </c>
      <c r="AM45">
        <v>0</v>
      </c>
    </row>
    <row r="46" spans="1:39" x14ac:dyDescent="0.35">
      <c r="A46" t="s">
        <v>621</v>
      </c>
      <c r="B46" t="s">
        <v>335</v>
      </c>
      <c r="C46" t="s">
        <v>335</v>
      </c>
      <c r="D46" t="s">
        <v>623</v>
      </c>
      <c r="E46" t="s">
        <v>598</v>
      </c>
      <c r="F46" t="s">
        <v>173</v>
      </c>
      <c r="H46" t="s">
        <v>67</v>
      </c>
      <c r="I46">
        <v>3200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row>
    <row r="47" spans="1:39" x14ac:dyDescent="0.35">
      <c r="A47" t="s">
        <v>621</v>
      </c>
      <c r="B47" t="s">
        <v>335</v>
      </c>
      <c r="C47" t="s">
        <v>335</v>
      </c>
      <c r="D47" t="s">
        <v>623</v>
      </c>
      <c r="E47" t="s">
        <v>596</v>
      </c>
      <c r="F47" t="s">
        <v>173</v>
      </c>
      <c r="H47" t="s">
        <v>67</v>
      </c>
      <c r="I47">
        <v>6500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row>
    <row r="48" spans="1:39" x14ac:dyDescent="0.35">
      <c r="A48" t="s">
        <v>621</v>
      </c>
      <c r="B48" t="s">
        <v>335</v>
      </c>
      <c r="C48" t="s">
        <v>335</v>
      </c>
      <c r="D48" t="s">
        <v>623</v>
      </c>
      <c r="E48" t="s">
        <v>601</v>
      </c>
      <c r="F48" t="s">
        <v>173</v>
      </c>
      <c r="H48" t="s">
        <v>151</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row>
    <row r="49" spans="1:39" x14ac:dyDescent="0.35">
      <c r="A49" t="s">
        <v>621</v>
      </c>
      <c r="B49" t="s">
        <v>335</v>
      </c>
      <c r="C49" t="s">
        <v>335</v>
      </c>
      <c r="D49" t="s">
        <v>623</v>
      </c>
      <c r="E49" t="s">
        <v>586</v>
      </c>
      <c r="F49" t="s">
        <v>173</v>
      </c>
      <c r="H49" t="s">
        <v>151</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row>
    <row r="50" spans="1:39" x14ac:dyDescent="0.35">
      <c r="A50" t="s">
        <v>621</v>
      </c>
      <c r="B50" t="s">
        <v>335</v>
      </c>
      <c r="C50" t="s">
        <v>335</v>
      </c>
      <c r="D50" t="s">
        <v>623</v>
      </c>
      <c r="E50" t="s">
        <v>593</v>
      </c>
      <c r="F50" t="s">
        <v>173</v>
      </c>
      <c r="H50" t="s">
        <v>69</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row>
    <row r="51" spans="1:39" x14ac:dyDescent="0.35">
      <c r="A51" t="s">
        <v>621</v>
      </c>
      <c r="B51" t="s">
        <v>335</v>
      </c>
      <c r="C51" t="s">
        <v>335</v>
      </c>
      <c r="D51" t="s">
        <v>623</v>
      </c>
      <c r="E51" t="s">
        <v>589</v>
      </c>
      <c r="F51" t="s">
        <v>173</v>
      </c>
      <c r="H51" t="s">
        <v>151</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row>
    <row r="52" spans="1:39" x14ac:dyDescent="0.35">
      <c r="A52" t="s">
        <v>621</v>
      </c>
      <c r="B52" t="s">
        <v>335</v>
      </c>
      <c r="C52" t="s">
        <v>335</v>
      </c>
      <c r="D52" t="s">
        <v>623</v>
      </c>
      <c r="E52" t="s">
        <v>24</v>
      </c>
      <c r="F52" t="s">
        <v>173</v>
      </c>
      <c r="H52" t="s">
        <v>556</v>
      </c>
      <c r="I52">
        <v>34</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row>
    <row r="53" spans="1:39" x14ac:dyDescent="0.35">
      <c r="A53" t="s">
        <v>621</v>
      </c>
      <c r="B53" t="s">
        <v>335</v>
      </c>
      <c r="C53" t="s">
        <v>335</v>
      </c>
      <c r="D53" t="s">
        <v>623</v>
      </c>
      <c r="E53" t="s">
        <v>25</v>
      </c>
      <c r="F53" t="s">
        <v>173</v>
      </c>
      <c r="H53" t="s">
        <v>151</v>
      </c>
      <c r="I53">
        <v>3</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row>
    <row r="54" spans="1:39" x14ac:dyDescent="0.35">
      <c r="A54" t="s">
        <v>621</v>
      </c>
      <c r="B54" t="s">
        <v>335</v>
      </c>
      <c r="C54" t="s">
        <v>335</v>
      </c>
      <c r="D54" t="s">
        <v>623</v>
      </c>
      <c r="E54" t="s">
        <v>583</v>
      </c>
      <c r="F54" t="s">
        <v>173</v>
      </c>
      <c r="H54" t="s">
        <v>151</v>
      </c>
      <c r="I54">
        <v>4</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row>
    <row r="55" spans="1:39" x14ac:dyDescent="0.35">
      <c r="A55" t="s">
        <v>621</v>
      </c>
      <c r="B55" t="s">
        <v>335</v>
      </c>
      <c r="C55" t="s">
        <v>335</v>
      </c>
      <c r="D55" t="s">
        <v>623</v>
      </c>
      <c r="E55" t="s">
        <v>603</v>
      </c>
      <c r="F55" t="s">
        <v>173</v>
      </c>
      <c r="H55" t="s">
        <v>151</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row>
    <row r="56" spans="1:39" x14ac:dyDescent="0.35">
      <c r="A56" t="s">
        <v>621</v>
      </c>
      <c r="B56" t="s">
        <v>335</v>
      </c>
      <c r="C56" t="s">
        <v>335</v>
      </c>
      <c r="D56" t="s">
        <v>623</v>
      </c>
      <c r="E56" t="s">
        <v>32</v>
      </c>
      <c r="F56" t="s">
        <v>173</v>
      </c>
      <c r="H56" t="s">
        <v>67</v>
      </c>
      <c r="I56">
        <v>268</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row>
    <row r="57" spans="1:39" x14ac:dyDescent="0.35">
      <c r="A57" t="s">
        <v>621</v>
      </c>
      <c r="B57" t="s">
        <v>335</v>
      </c>
      <c r="C57" t="s">
        <v>335</v>
      </c>
      <c r="D57" t="s">
        <v>623</v>
      </c>
      <c r="E57" t="s">
        <v>33</v>
      </c>
      <c r="F57" t="s">
        <v>173</v>
      </c>
      <c r="H57" t="s">
        <v>67</v>
      </c>
      <c r="I57">
        <v>265</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row>
    <row r="58" spans="1:39" x14ac:dyDescent="0.35">
      <c r="A58" t="s">
        <v>622</v>
      </c>
      <c r="B58" t="s">
        <v>339</v>
      </c>
      <c r="C58" t="s">
        <v>317</v>
      </c>
      <c r="D58" t="s">
        <v>623</v>
      </c>
      <c r="E58" t="s">
        <v>613</v>
      </c>
      <c r="F58" t="s">
        <v>317</v>
      </c>
      <c r="H58" t="s">
        <v>147</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row>
    <row r="59" spans="1:39" x14ac:dyDescent="0.35">
      <c r="A59" t="s">
        <v>622</v>
      </c>
      <c r="B59" t="s">
        <v>339</v>
      </c>
      <c r="C59" t="s">
        <v>317</v>
      </c>
      <c r="D59" t="s">
        <v>623</v>
      </c>
      <c r="E59" t="s">
        <v>617</v>
      </c>
      <c r="F59" t="s">
        <v>317</v>
      </c>
      <c r="H59" t="s">
        <v>618</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row>
    <row r="60" spans="1:39" x14ac:dyDescent="0.35">
      <c r="A60" t="s">
        <v>622</v>
      </c>
      <c r="B60" t="s">
        <v>339</v>
      </c>
      <c r="C60" t="s">
        <v>317</v>
      </c>
      <c r="D60" t="s">
        <v>623</v>
      </c>
      <c r="E60" t="s">
        <v>4</v>
      </c>
      <c r="F60" t="s">
        <v>317</v>
      </c>
      <c r="H60" t="s">
        <v>35</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row>
    <row r="61" spans="1:39" x14ac:dyDescent="0.35">
      <c r="A61" t="s">
        <v>622</v>
      </c>
      <c r="B61" t="s">
        <v>338</v>
      </c>
      <c r="C61" t="s">
        <v>316</v>
      </c>
      <c r="D61" t="s">
        <v>623</v>
      </c>
      <c r="E61" t="s">
        <v>613</v>
      </c>
      <c r="F61" t="s">
        <v>316</v>
      </c>
      <c r="H61" t="s">
        <v>147</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row>
    <row r="62" spans="1:39" x14ac:dyDescent="0.35">
      <c r="A62" t="s">
        <v>622</v>
      </c>
      <c r="B62" t="s">
        <v>338</v>
      </c>
      <c r="C62" t="s">
        <v>316</v>
      </c>
      <c r="D62" t="s">
        <v>623</v>
      </c>
      <c r="E62" t="s">
        <v>617</v>
      </c>
      <c r="F62" t="s">
        <v>316</v>
      </c>
      <c r="H62" t="s">
        <v>618</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row>
    <row r="63" spans="1:39" x14ac:dyDescent="0.35">
      <c r="A63" t="s">
        <v>622</v>
      </c>
      <c r="B63" t="s">
        <v>338</v>
      </c>
      <c r="C63" t="s">
        <v>316</v>
      </c>
      <c r="D63" t="s">
        <v>623</v>
      </c>
      <c r="E63" t="s">
        <v>4</v>
      </c>
      <c r="F63" t="s">
        <v>316</v>
      </c>
      <c r="H63" t="s">
        <v>35</v>
      </c>
      <c r="I63">
        <v>0</v>
      </c>
      <c r="J63">
        <v>0</v>
      </c>
      <c r="K63">
        <v>5000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row>
    <row r="64" spans="1:39" x14ac:dyDescent="0.35">
      <c r="A64" t="s">
        <v>622</v>
      </c>
      <c r="B64" t="s">
        <v>337</v>
      </c>
      <c r="C64" t="s">
        <v>340</v>
      </c>
      <c r="D64" t="s">
        <v>623</v>
      </c>
      <c r="E64" t="s">
        <v>613</v>
      </c>
      <c r="F64" t="s">
        <v>340</v>
      </c>
      <c r="H64" t="s">
        <v>147</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row>
    <row r="65" spans="1:39" x14ac:dyDescent="0.35">
      <c r="A65" t="s">
        <v>622</v>
      </c>
      <c r="B65" t="s">
        <v>337</v>
      </c>
      <c r="C65" t="s">
        <v>340</v>
      </c>
      <c r="D65" t="s">
        <v>623</v>
      </c>
      <c r="E65" t="s">
        <v>617</v>
      </c>
      <c r="F65" t="s">
        <v>340</v>
      </c>
      <c r="H65" t="s">
        <v>618</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row>
    <row r="66" spans="1:39" x14ac:dyDescent="0.35">
      <c r="A66" t="s">
        <v>622</v>
      </c>
      <c r="B66" t="s">
        <v>337</v>
      </c>
      <c r="C66" t="s">
        <v>340</v>
      </c>
      <c r="D66" t="s">
        <v>623</v>
      </c>
      <c r="E66" t="s">
        <v>4</v>
      </c>
      <c r="F66" t="s">
        <v>340</v>
      </c>
      <c r="H66" t="s">
        <v>35</v>
      </c>
      <c r="I66">
        <v>4361</v>
      </c>
      <c r="J66">
        <v>4078</v>
      </c>
      <c r="K66">
        <v>8750</v>
      </c>
      <c r="L66">
        <v>8500</v>
      </c>
      <c r="M66">
        <v>8676</v>
      </c>
      <c r="N66">
        <v>8275</v>
      </c>
      <c r="O66">
        <v>8147</v>
      </c>
      <c r="P66">
        <v>8084</v>
      </c>
      <c r="Q66">
        <v>7942</v>
      </c>
      <c r="R66">
        <v>7721</v>
      </c>
      <c r="S66">
        <v>7318</v>
      </c>
      <c r="T66">
        <v>7172</v>
      </c>
      <c r="U66">
        <v>6992</v>
      </c>
      <c r="V66">
        <v>6500</v>
      </c>
      <c r="W66">
        <v>0</v>
      </c>
      <c r="X66">
        <v>0</v>
      </c>
      <c r="Y66">
        <v>0</v>
      </c>
      <c r="Z66">
        <v>0</v>
      </c>
      <c r="AA66">
        <v>0</v>
      </c>
      <c r="AB66">
        <v>0</v>
      </c>
      <c r="AC66">
        <v>0</v>
      </c>
      <c r="AD66">
        <v>0</v>
      </c>
      <c r="AE66">
        <v>0</v>
      </c>
      <c r="AF66">
        <v>0</v>
      </c>
      <c r="AG66">
        <v>0</v>
      </c>
      <c r="AH66">
        <v>0</v>
      </c>
      <c r="AI66">
        <v>0</v>
      </c>
      <c r="AJ66">
        <v>0</v>
      </c>
      <c r="AK66">
        <v>0</v>
      </c>
      <c r="AL66">
        <v>0</v>
      </c>
      <c r="AM66">
        <v>0</v>
      </c>
    </row>
    <row r="67" spans="1:39" x14ac:dyDescent="0.35">
      <c r="A67" t="s">
        <v>622</v>
      </c>
      <c r="B67" t="s">
        <v>335</v>
      </c>
      <c r="C67" t="s">
        <v>335</v>
      </c>
      <c r="D67" t="s">
        <v>623</v>
      </c>
      <c r="E67" t="s">
        <v>613</v>
      </c>
      <c r="F67" t="s">
        <v>173</v>
      </c>
      <c r="H67" t="s">
        <v>147</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row>
    <row r="68" spans="1:39" x14ac:dyDescent="0.35">
      <c r="A68" t="s">
        <v>622</v>
      </c>
      <c r="B68" t="s">
        <v>335</v>
      </c>
      <c r="C68" t="s">
        <v>335</v>
      </c>
      <c r="D68" t="s">
        <v>623</v>
      </c>
      <c r="E68" t="s">
        <v>617</v>
      </c>
      <c r="F68" t="s">
        <v>173</v>
      </c>
      <c r="H68" t="s">
        <v>618</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row>
    <row r="69" spans="1:39" x14ac:dyDescent="0.35">
      <c r="A69" t="s">
        <v>622</v>
      </c>
      <c r="B69" t="s">
        <v>335</v>
      </c>
      <c r="C69" t="s">
        <v>335</v>
      </c>
      <c r="D69" t="s">
        <v>623</v>
      </c>
      <c r="E69" t="s">
        <v>4</v>
      </c>
      <c r="F69" t="s">
        <v>173</v>
      </c>
      <c r="H69" t="s">
        <v>35</v>
      </c>
      <c r="I69">
        <v>4708</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row>
    <row r="70" spans="1:39" x14ac:dyDescent="0.35">
      <c r="A70" t="s">
        <v>175</v>
      </c>
      <c r="B70" t="s">
        <v>339</v>
      </c>
      <c r="C70" t="s">
        <v>317</v>
      </c>
      <c r="D70" t="s">
        <v>315</v>
      </c>
      <c r="E70" t="s">
        <v>922</v>
      </c>
      <c r="F70" t="s">
        <v>317</v>
      </c>
      <c r="H70" t="s">
        <v>67</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row>
    <row r="71" spans="1:39" x14ac:dyDescent="0.35">
      <c r="A71" t="s">
        <v>175</v>
      </c>
      <c r="B71" t="s">
        <v>339</v>
      </c>
      <c r="C71" t="s">
        <v>317</v>
      </c>
      <c r="D71" t="s">
        <v>315</v>
      </c>
      <c r="E71" t="s">
        <v>919</v>
      </c>
      <c r="F71" t="s">
        <v>317</v>
      </c>
      <c r="H71" t="s">
        <v>67</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row>
    <row r="72" spans="1:39" x14ac:dyDescent="0.35">
      <c r="A72" t="s">
        <v>175</v>
      </c>
      <c r="B72" t="s">
        <v>339</v>
      </c>
      <c r="C72" t="s">
        <v>317</v>
      </c>
      <c r="D72" t="s">
        <v>315</v>
      </c>
      <c r="E72" t="s">
        <v>1342</v>
      </c>
      <c r="F72" t="s">
        <v>317</v>
      </c>
      <c r="H72" t="s">
        <v>67</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row>
    <row r="73" spans="1:39" x14ac:dyDescent="0.35">
      <c r="A73" t="s">
        <v>175</v>
      </c>
      <c r="B73" t="s">
        <v>339</v>
      </c>
      <c r="C73" t="s">
        <v>317</v>
      </c>
      <c r="D73" t="s">
        <v>315</v>
      </c>
      <c r="E73" t="s">
        <v>554</v>
      </c>
      <c r="F73" t="s">
        <v>317</v>
      </c>
      <c r="H73" t="s">
        <v>67</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row>
    <row r="74" spans="1:39" x14ac:dyDescent="0.35">
      <c r="A74" t="s">
        <v>175</v>
      </c>
      <c r="B74" t="s">
        <v>339</v>
      </c>
      <c r="C74" t="s">
        <v>317</v>
      </c>
      <c r="D74" t="s">
        <v>315</v>
      </c>
      <c r="E74" t="s">
        <v>10</v>
      </c>
      <c r="F74" t="s">
        <v>317</v>
      </c>
      <c r="H74" t="s">
        <v>556</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row>
    <row r="75" spans="1:39" x14ac:dyDescent="0.35">
      <c r="A75" t="s">
        <v>175</v>
      </c>
      <c r="B75" t="s">
        <v>339</v>
      </c>
      <c r="C75" t="s">
        <v>317</v>
      </c>
      <c r="D75" t="s">
        <v>315</v>
      </c>
      <c r="E75" t="s">
        <v>503</v>
      </c>
      <c r="F75" t="s">
        <v>317</v>
      </c>
      <c r="H75" t="s">
        <v>150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row>
    <row r="76" spans="1:39" x14ac:dyDescent="0.35">
      <c r="A76" t="s">
        <v>175</v>
      </c>
      <c r="B76" t="s">
        <v>339</v>
      </c>
      <c r="C76" t="s">
        <v>317</v>
      </c>
      <c r="D76" t="s">
        <v>315</v>
      </c>
      <c r="E76" t="s">
        <v>499</v>
      </c>
      <c r="F76" t="s">
        <v>317</v>
      </c>
      <c r="H76" t="s">
        <v>67</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row>
    <row r="77" spans="1:39" x14ac:dyDescent="0.35">
      <c r="A77" t="s">
        <v>175</v>
      </c>
      <c r="B77" t="s">
        <v>339</v>
      </c>
      <c r="C77" t="s">
        <v>317</v>
      </c>
      <c r="D77" t="s">
        <v>315</v>
      </c>
      <c r="E77" t="s">
        <v>488</v>
      </c>
      <c r="F77" t="s">
        <v>317</v>
      </c>
      <c r="H77" t="s">
        <v>67</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row>
    <row r="78" spans="1:39" x14ac:dyDescent="0.35">
      <c r="A78" t="s">
        <v>175</v>
      </c>
      <c r="B78" t="s">
        <v>339</v>
      </c>
      <c r="C78" t="s">
        <v>317</v>
      </c>
      <c r="D78" t="s">
        <v>315</v>
      </c>
      <c r="E78" t="s">
        <v>485</v>
      </c>
      <c r="F78" t="s">
        <v>317</v>
      </c>
      <c r="H78" t="s">
        <v>67</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row>
    <row r="79" spans="1:39" x14ac:dyDescent="0.35">
      <c r="A79" t="s">
        <v>175</v>
      </c>
      <c r="B79" t="s">
        <v>339</v>
      </c>
      <c r="C79" t="s">
        <v>317</v>
      </c>
      <c r="D79" t="s">
        <v>315</v>
      </c>
      <c r="E79" t="s">
        <v>504</v>
      </c>
      <c r="F79" t="s">
        <v>317</v>
      </c>
      <c r="H79" t="s">
        <v>67</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row>
    <row r="80" spans="1:39" x14ac:dyDescent="0.35">
      <c r="A80" t="s">
        <v>175</v>
      </c>
      <c r="B80" t="s">
        <v>339</v>
      </c>
      <c r="C80" t="s">
        <v>317</v>
      </c>
      <c r="D80" t="s">
        <v>315</v>
      </c>
      <c r="E80" t="s">
        <v>1340</v>
      </c>
      <c r="F80" t="s">
        <v>317</v>
      </c>
      <c r="H80" t="s">
        <v>67</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row>
    <row r="81" spans="1:39" x14ac:dyDescent="0.35">
      <c r="A81" t="s">
        <v>175</v>
      </c>
      <c r="B81" t="s">
        <v>339</v>
      </c>
      <c r="C81" t="s">
        <v>317</v>
      </c>
      <c r="D81" t="s">
        <v>315</v>
      </c>
      <c r="E81" t="s">
        <v>505</v>
      </c>
      <c r="F81" t="s">
        <v>317</v>
      </c>
      <c r="H81" t="s">
        <v>150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row>
    <row r="82" spans="1:39" x14ac:dyDescent="0.35">
      <c r="A82" t="s">
        <v>175</v>
      </c>
      <c r="B82" t="s">
        <v>339</v>
      </c>
      <c r="C82" t="s">
        <v>317</v>
      </c>
      <c r="D82" t="s">
        <v>315</v>
      </c>
      <c r="E82" t="s">
        <v>512</v>
      </c>
      <c r="F82" t="s">
        <v>317</v>
      </c>
      <c r="H82" t="s">
        <v>150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row>
    <row r="83" spans="1:39" x14ac:dyDescent="0.35">
      <c r="A83" t="s">
        <v>175</v>
      </c>
      <c r="B83" t="s">
        <v>339</v>
      </c>
      <c r="C83" t="s">
        <v>317</v>
      </c>
      <c r="D83" t="s">
        <v>315</v>
      </c>
      <c r="E83" t="s">
        <v>26</v>
      </c>
      <c r="F83" t="s">
        <v>317</v>
      </c>
      <c r="H83" t="s">
        <v>35</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row>
    <row r="84" spans="1:39" x14ac:dyDescent="0.35">
      <c r="A84" t="s">
        <v>175</v>
      </c>
      <c r="B84" t="s">
        <v>339</v>
      </c>
      <c r="C84" t="s">
        <v>317</v>
      </c>
      <c r="D84" t="s">
        <v>315</v>
      </c>
      <c r="E84" t="s">
        <v>1299</v>
      </c>
      <c r="F84" t="s">
        <v>317</v>
      </c>
      <c r="H84" t="s">
        <v>67</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row>
    <row r="85" spans="1:39" x14ac:dyDescent="0.35">
      <c r="A85" t="s">
        <v>175</v>
      </c>
      <c r="B85" t="s">
        <v>339</v>
      </c>
      <c r="C85" t="s">
        <v>317</v>
      </c>
      <c r="D85" t="s">
        <v>315</v>
      </c>
      <c r="E85" t="s">
        <v>1341</v>
      </c>
      <c r="F85" t="s">
        <v>317</v>
      </c>
      <c r="H85" t="s">
        <v>67</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row>
    <row r="86" spans="1:39" x14ac:dyDescent="0.35">
      <c r="A86" t="s">
        <v>175</v>
      </c>
      <c r="B86" t="s">
        <v>339</v>
      </c>
      <c r="C86" t="s">
        <v>317</v>
      </c>
      <c r="D86" t="s">
        <v>315</v>
      </c>
      <c r="E86" t="s">
        <v>27</v>
      </c>
      <c r="F86" t="s">
        <v>317</v>
      </c>
      <c r="H86" t="s">
        <v>67</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row>
    <row r="87" spans="1:39" x14ac:dyDescent="0.35">
      <c r="A87" t="s">
        <v>175</v>
      </c>
      <c r="B87" t="s">
        <v>339</v>
      </c>
      <c r="C87" t="s">
        <v>317</v>
      </c>
      <c r="D87" t="s">
        <v>315</v>
      </c>
      <c r="E87" t="s">
        <v>486</v>
      </c>
      <c r="F87" t="s">
        <v>317</v>
      </c>
      <c r="H87" t="s">
        <v>67</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row>
    <row r="88" spans="1:39" x14ac:dyDescent="0.35">
      <c r="A88" t="s">
        <v>175</v>
      </c>
      <c r="B88" t="s">
        <v>339</v>
      </c>
      <c r="C88" t="s">
        <v>317</v>
      </c>
      <c r="D88" t="s">
        <v>315</v>
      </c>
      <c r="E88" t="s">
        <v>1191</v>
      </c>
      <c r="F88" t="s">
        <v>317</v>
      </c>
      <c r="H88" t="s">
        <v>67</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row>
    <row r="89" spans="1:39" x14ac:dyDescent="0.35">
      <c r="A89" t="s">
        <v>175</v>
      </c>
      <c r="B89" t="s">
        <v>339</v>
      </c>
      <c r="C89" t="s">
        <v>317</v>
      </c>
      <c r="D89" t="s">
        <v>315</v>
      </c>
      <c r="E89" t="s">
        <v>541</v>
      </c>
      <c r="F89" t="s">
        <v>317</v>
      </c>
      <c r="H89" t="s">
        <v>67</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row>
    <row r="90" spans="1:39" x14ac:dyDescent="0.35">
      <c r="A90" t="s">
        <v>175</v>
      </c>
      <c r="B90" t="s">
        <v>339</v>
      </c>
      <c r="C90" t="s">
        <v>317</v>
      </c>
      <c r="D90" t="s">
        <v>315</v>
      </c>
      <c r="E90" t="s">
        <v>920</v>
      </c>
      <c r="F90" t="s">
        <v>317</v>
      </c>
      <c r="H90" t="s">
        <v>67</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row>
    <row r="91" spans="1:39" x14ac:dyDescent="0.35">
      <c r="A91" t="s">
        <v>175</v>
      </c>
      <c r="B91" t="s">
        <v>339</v>
      </c>
      <c r="C91" t="s">
        <v>317</v>
      </c>
      <c r="D91" t="s">
        <v>623</v>
      </c>
      <c r="E91" t="s">
        <v>923</v>
      </c>
      <c r="F91" t="s">
        <v>317</v>
      </c>
      <c r="H91" t="s">
        <v>67</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row>
    <row r="92" spans="1:39" x14ac:dyDescent="0.35">
      <c r="A92" t="s">
        <v>175</v>
      </c>
      <c r="B92" t="s">
        <v>339</v>
      </c>
      <c r="C92" t="s">
        <v>317</v>
      </c>
      <c r="D92" t="s">
        <v>623</v>
      </c>
      <c r="E92" t="s">
        <v>606</v>
      </c>
      <c r="F92" t="s">
        <v>317</v>
      </c>
      <c r="H92" t="s">
        <v>67</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row>
    <row r="93" spans="1:39" x14ac:dyDescent="0.35">
      <c r="A93" t="s">
        <v>175</v>
      </c>
      <c r="B93" t="s">
        <v>339</v>
      </c>
      <c r="C93" t="s">
        <v>317</v>
      </c>
      <c r="D93" t="s">
        <v>623</v>
      </c>
      <c r="E93" t="s">
        <v>8</v>
      </c>
      <c r="F93" t="s">
        <v>317</v>
      </c>
      <c r="H93" t="s">
        <v>67</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row>
    <row r="94" spans="1:39" x14ac:dyDescent="0.35">
      <c r="A94" t="s">
        <v>175</v>
      </c>
      <c r="B94" t="s">
        <v>339</v>
      </c>
      <c r="C94" t="s">
        <v>317</v>
      </c>
      <c r="D94" t="s">
        <v>623</v>
      </c>
      <c r="E94" t="s">
        <v>9</v>
      </c>
      <c r="F94" t="s">
        <v>317</v>
      </c>
      <c r="H94" t="s">
        <v>556</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row>
    <row r="95" spans="1:39" x14ac:dyDescent="0.35">
      <c r="A95" t="s">
        <v>175</v>
      </c>
      <c r="B95" t="s">
        <v>339</v>
      </c>
      <c r="C95" t="s">
        <v>317</v>
      </c>
      <c r="D95" t="s">
        <v>623</v>
      </c>
      <c r="E95" t="s">
        <v>11</v>
      </c>
      <c r="F95" t="s">
        <v>317</v>
      </c>
      <c r="H95" t="s">
        <v>556</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row>
    <row r="96" spans="1:39" x14ac:dyDescent="0.35">
      <c r="A96" t="s">
        <v>175</v>
      </c>
      <c r="B96" t="s">
        <v>339</v>
      </c>
      <c r="C96" t="s">
        <v>317</v>
      </c>
      <c r="D96" t="s">
        <v>623</v>
      </c>
      <c r="E96" t="s">
        <v>12</v>
      </c>
      <c r="F96" t="s">
        <v>317</v>
      </c>
      <c r="H96" t="s">
        <v>556</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row>
    <row r="97" spans="1:39" x14ac:dyDescent="0.35">
      <c r="A97" t="s">
        <v>175</v>
      </c>
      <c r="B97" t="s">
        <v>339</v>
      </c>
      <c r="C97" t="s">
        <v>317</v>
      </c>
      <c r="D97" t="s">
        <v>623</v>
      </c>
      <c r="E97" t="s">
        <v>13</v>
      </c>
      <c r="F97" t="s">
        <v>317</v>
      </c>
      <c r="H97" t="s">
        <v>556</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row>
    <row r="98" spans="1:39" x14ac:dyDescent="0.35">
      <c r="A98" t="s">
        <v>175</v>
      </c>
      <c r="B98" t="s">
        <v>339</v>
      </c>
      <c r="C98" t="s">
        <v>317</v>
      </c>
      <c r="D98" t="s">
        <v>623</v>
      </c>
      <c r="E98" t="s">
        <v>14</v>
      </c>
      <c r="F98" t="s">
        <v>317</v>
      </c>
      <c r="H98" t="s">
        <v>556</v>
      </c>
      <c r="I98">
        <v>0</v>
      </c>
      <c r="J98">
        <v>20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row>
    <row r="99" spans="1:39" x14ac:dyDescent="0.35">
      <c r="A99" t="s">
        <v>175</v>
      </c>
      <c r="B99" t="s">
        <v>339</v>
      </c>
      <c r="C99" t="s">
        <v>317</v>
      </c>
      <c r="D99" t="s">
        <v>623</v>
      </c>
      <c r="E99" t="s">
        <v>636</v>
      </c>
      <c r="F99" t="s">
        <v>317</v>
      </c>
      <c r="H99" t="s">
        <v>67</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row>
    <row r="100" spans="1:39" x14ac:dyDescent="0.35">
      <c r="A100" t="s">
        <v>175</v>
      </c>
      <c r="B100" t="s">
        <v>339</v>
      </c>
      <c r="C100" t="s">
        <v>317</v>
      </c>
      <c r="D100" t="s">
        <v>623</v>
      </c>
      <c r="E100" t="s">
        <v>921</v>
      </c>
      <c r="F100" t="s">
        <v>317</v>
      </c>
      <c r="H100" t="s">
        <v>67</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row>
    <row r="101" spans="1:39" x14ac:dyDescent="0.35">
      <c r="A101" t="s">
        <v>175</v>
      </c>
      <c r="B101" t="s">
        <v>339</v>
      </c>
      <c r="C101" t="s">
        <v>317</v>
      </c>
      <c r="D101" t="s">
        <v>623</v>
      </c>
      <c r="E101" t="s">
        <v>21</v>
      </c>
      <c r="F101" t="s">
        <v>317</v>
      </c>
      <c r="H101" t="s">
        <v>556</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row>
    <row r="102" spans="1:39" x14ac:dyDescent="0.35">
      <c r="A102" t="s">
        <v>175</v>
      </c>
      <c r="B102" t="s">
        <v>339</v>
      </c>
      <c r="C102" t="s">
        <v>317</v>
      </c>
      <c r="D102" t="s">
        <v>623</v>
      </c>
      <c r="E102" t="s">
        <v>22</v>
      </c>
      <c r="F102" t="s">
        <v>317</v>
      </c>
      <c r="H102" t="s">
        <v>556</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row>
    <row r="103" spans="1:39" x14ac:dyDescent="0.35">
      <c r="A103" t="s">
        <v>175</v>
      </c>
      <c r="B103" t="s">
        <v>339</v>
      </c>
      <c r="C103" t="s">
        <v>317</v>
      </c>
      <c r="D103" t="s">
        <v>623</v>
      </c>
      <c r="E103" t="s">
        <v>23</v>
      </c>
      <c r="F103" t="s">
        <v>317</v>
      </c>
      <c r="H103" t="s">
        <v>556</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row>
    <row r="104" spans="1:39" x14ac:dyDescent="0.35">
      <c r="A104" t="s">
        <v>175</v>
      </c>
      <c r="B104" t="s">
        <v>338</v>
      </c>
      <c r="C104" t="s">
        <v>316</v>
      </c>
      <c r="D104" t="s">
        <v>315</v>
      </c>
      <c r="E104" t="s">
        <v>922</v>
      </c>
      <c r="F104" t="s">
        <v>316</v>
      </c>
      <c r="H104" t="s">
        <v>67</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row>
    <row r="105" spans="1:39" x14ac:dyDescent="0.35">
      <c r="A105" t="s">
        <v>175</v>
      </c>
      <c r="B105" t="s">
        <v>338</v>
      </c>
      <c r="C105" t="s">
        <v>316</v>
      </c>
      <c r="D105" t="s">
        <v>315</v>
      </c>
      <c r="E105" t="s">
        <v>919</v>
      </c>
      <c r="F105" t="s">
        <v>316</v>
      </c>
      <c r="H105" t="s">
        <v>67</v>
      </c>
      <c r="I105">
        <v>0</v>
      </c>
      <c r="J105">
        <v>0</v>
      </c>
      <c r="K105">
        <v>2500</v>
      </c>
      <c r="L105">
        <v>0</v>
      </c>
      <c r="M105">
        <v>0</v>
      </c>
      <c r="N105">
        <v>0</v>
      </c>
      <c r="O105">
        <v>3000</v>
      </c>
      <c r="P105">
        <v>0</v>
      </c>
      <c r="Q105">
        <v>0</v>
      </c>
      <c r="R105">
        <v>3000</v>
      </c>
      <c r="S105">
        <v>0</v>
      </c>
      <c r="T105">
        <v>0</v>
      </c>
      <c r="U105">
        <v>0</v>
      </c>
      <c r="V105">
        <v>2000</v>
      </c>
      <c r="W105">
        <v>0</v>
      </c>
      <c r="X105">
        <v>0</v>
      </c>
      <c r="Y105">
        <v>0</v>
      </c>
      <c r="Z105">
        <v>0</v>
      </c>
      <c r="AA105">
        <v>0</v>
      </c>
      <c r="AB105">
        <v>0</v>
      </c>
      <c r="AC105">
        <v>0</v>
      </c>
      <c r="AD105">
        <v>0</v>
      </c>
      <c r="AE105">
        <v>0</v>
      </c>
      <c r="AF105">
        <v>0</v>
      </c>
      <c r="AG105">
        <v>0</v>
      </c>
      <c r="AH105">
        <v>0</v>
      </c>
      <c r="AI105">
        <v>0</v>
      </c>
      <c r="AJ105">
        <v>0</v>
      </c>
      <c r="AK105">
        <v>0</v>
      </c>
      <c r="AL105">
        <v>0</v>
      </c>
      <c r="AM105">
        <v>0</v>
      </c>
    </row>
    <row r="106" spans="1:39" x14ac:dyDescent="0.35">
      <c r="A106" t="s">
        <v>175</v>
      </c>
      <c r="B106" t="s">
        <v>338</v>
      </c>
      <c r="C106" t="s">
        <v>316</v>
      </c>
      <c r="D106" t="s">
        <v>315</v>
      </c>
      <c r="E106" t="s">
        <v>1342</v>
      </c>
      <c r="F106" t="s">
        <v>316</v>
      </c>
      <c r="H106" t="s">
        <v>67</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row>
    <row r="107" spans="1:39" x14ac:dyDescent="0.35">
      <c r="A107" t="s">
        <v>175</v>
      </c>
      <c r="B107" t="s">
        <v>338</v>
      </c>
      <c r="C107" t="s">
        <v>316</v>
      </c>
      <c r="D107" t="s">
        <v>315</v>
      </c>
      <c r="E107" t="s">
        <v>554</v>
      </c>
      <c r="F107" t="s">
        <v>316</v>
      </c>
      <c r="H107" t="s">
        <v>67</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row>
    <row r="108" spans="1:39" x14ac:dyDescent="0.35">
      <c r="A108" t="s">
        <v>175</v>
      </c>
      <c r="B108" t="s">
        <v>338</v>
      </c>
      <c r="C108" t="s">
        <v>316</v>
      </c>
      <c r="D108" t="s">
        <v>315</v>
      </c>
      <c r="E108" t="s">
        <v>10</v>
      </c>
      <c r="F108" t="s">
        <v>316</v>
      </c>
      <c r="H108" t="s">
        <v>556</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row>
    <row r="109" spans="1:39" x14ac:dyDescent="0.35">
      <c r="A109" t="s">
        <v>175</v>
      </c>
      <c r="B109" t="s">
        <v>338</v>
      </c>
      <c r="C109" t="s">
        <v>316</v>
      </c>
      <c r="D109" t="s">
        <v>315</v>
      </c>
      <c r="E109" t="s">
        <v>503</v>
      </c>
      <c r="F109" t="s">
        <v>316</v>
      </c>
      <c r="H109" t="s">
        <v>150</v>
      </c>
      <c r="I109">
        <v>10000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row>
    <row r="110" spans="1:39" x14ac:dyDescent="0.35">
      <c r="A110" t="s">
        <v>175</v>
      </c>
      <c r="B110" t="s">
        <v>338</v>
      </c>
      <c r="C110" t="s">
        <v>316</v>
      </c>
      <c r="D110" t="s">
        <v>315</v>
      </c>
      <c r="E110" t="s">
        <v>499</v>
      </c>
      <c r="F110" t="s">
        <v>316</v>
      </c>
      <c r="H110" t="s">
        <v>67</v>
      </c>
      <c r="I110">
        <v>0</v>
      </c>
      <c r="J110">
        <v>0</v>
      </c>
      <c r="K110">
        <v>0</v>
      </c>
      <c r="L110">
        <v>0</v>
      </c>
      <c r="M110">
        <v>0</v>
      </c>
      <c r="N110">
        <v>0</v>
      </c>
      <c r="O110">
        <v>0</v>
      </c>
      <c r="P110">
        <v>0</v>
      </c>
      <c r="Q110">
        <v>0</v>
      </c>
      <c r="R110">
        <v>2500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row>
    <row r="111" spans="1:39" x14ac:dyDescent="0.35">
      <c r="A111" t="s">
        <v>175</v>
      </c>
      <c r="B111" t="s">
        <v>338</v>
      </c>
      <c r="C111" t="s">
        <v>316</v>
      </c>
      <c r="D111" t="s">
        <v>315</v>
      </c>
      <c r="E111" t="s">
        <v>488</v>
      </c>
      <c r="F111" t="s">
        <v>316</v>
      </c>
      <c r="H111" t="s">
        <v>67</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row>
    <row r="112" spans="1:39" x14ac:dyDescent="0.35">
      <c r="A112" t="s">
        <v>175</v>
      </c>
      <c r="B112" t="s">
        <v>338</v>
      </c>
      <c r="C112" t="s">
        <v>316</v>
      </c>
      <c r="D112" t="s">
        <v>315</v>
      </c>
      <c r="E112" t="s">
        <v>485</v>
      </c>
      <c r="F112" t="s">
        <v>316</v>
      </c>
      <c r="H112" t="s">
        <v>67</v>
      </c>
      <c r="I112">
        <v>0</v>
      </c>
      <c r="J112">
        <v>0</v>
      </c>
      <c r="K112">
        <v>1000</v>
      </c>
      <c r="L112">
        <v>0</v>
      </c>
      <c r="M112">
        <v>0</v>
      </c>
      <c r="N112">
        <v>0</v>
      </c>
      <c r="O112">
        <v>1000</v>
      </c>
      <c r="P112">
        <v>0</v>
      </c>
      <c r="Q112">
        <v>0</v>
      </c>
      <c r="R112">
        <v>2000</v>
      </c>
      <c r="S112">
        <v>0</v>
      </c>
      <c r="T112">
        <v>0</v>
      </c>
      <c r="U112">
        <v>0</v>
      </c>
      <c r="V112">
        <v>1000</v>
      </c>
      <c r="W112">
        <v>0</v>
      </c>
      <c r="X112">
        <v>0</v>
      </c>
      <c r="Y112">
        <v>0</v>
      </c>
      <c r="Z112">
        <v>0</v>
      </c>
      <c r="AA112">
        <v>0</v>
      </c>
      <c r="AB112">
        <v>0</v>
      </c>
      <c r="AC112">
        <v>0</v>
      </c>
      <c r="AD112">
        <v>0</v>
      </c>
      <c r="AE112">
        <v>0</v>
      </c>
      <c r="AF112">
        <v>0</v>
      </c>
      <c r="AG112">
        <v>0</v>
      </c>
      <c r="AH112">
        <v>0</v>
      </c>
      <c r="AI112">
        <v>0</v>
      </c>
      <c r="AJ112">
        <v>0</v>
      </c>
      <c r="AK112">
        <v>0</v>
      </c>
      <c r="AL112">
        <v>0</v>
      </c>
      <c r="AM112">
        <v>0</v>
      </c>
    </row>
    <row r="113" spans="1:39" x14ac:dyDescent="0.35">
      <c r="A113" t="s">
        <v>175</v>
      </c>
      <c r="B113" t="s">
        <v>338</v>
      </c>
      <c r="C113" t="s">
        <v>316</v>
      </c>
      <c r="D113" t="s">
        <v>315</v>
      </c>
      <c r="E113" t="s">
        <v>504</v>
      </c>
      <c r="F113" t="s">
        <v>316</v>
      </c>
      <c r="H113" t="s">
        <v>67</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row>
    <row r="114" spans="1:39" x14ac:dyDescent="0.35">
      <c r="A114" t="s">
        <v>175</v>
      </c>
      <c r="B114" t="s">
        <v>338</v>
      </c>
      <c r="C114" t="s">
        <v>316</v>
      </c>
      <c r="D114" t="s">
        <v>315</v>
      </c>
      <c r="E114" t="s">
        <v>1340</v>
      </c>
      <c r="F114" t="s">
        <v>316</v>
      </c>
      <c r="H114" t="s">
        <v>67</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row>
    <row r="115" spans="1:39" x14ac:dyDescent="0.35">
      <c r="A115" t="s">
        <v>175</v>
      </c>
      <c r="B115" t="s">
        <v>338</v>
      </c>
      <c r="C115" t="s">
        <v>316</v>
      </c>
      <c r="D115" t="s">
        <v>315</v>
      </c>
      <c r="E115" t="s">
        <v>505</v>
      </c>
      <c r="F115" t="s">
        <v>316</v>
      </c>
      <c r="H115" t="s">
        <v>150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row>
    <row r="116" spans="1:39" x14ac:dyDescent="0.35">
      <c r="A116" t="s">
        <v>175</v>
      </c>
      <c r="B116" t="s">
        <v>338</v>
      </c>
      <c r="C116" t="s">
        <v>316</v>
      </c>
      <c r="D116" t="s">
        <v>315</v>
      </c>
      <c r="E116" t="s">
        <v>512</v>
      </c>
      <c r="F116" t="s">
        <v>316</v>
      </c>
      <c r="H116" t="s">
        <v>150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row>
    <row r="117" spans="1:39" x14ac:dyDescent="0.35">
      <c r="A117" t="s">
        <v>175</v>
      </c>
      <c r="B117" t="s">
        <v>338</v>
      </c>
      <c r="C117" t="s">
        <v>316</v>
      </c>
      <c r="D117" t="s">
        <v>315</v>
      </c>
      <c r="E117" t="s">
        <v>26</v>
      </c>
      <c r="F117" t="s">
        <v>316</v>
      </c>
      <c r="H117" t="s">
        <v>35</v>
      </c>
      <c r="I117">
        <v>0</v>
      </c>
      <c r="J117">
        <v>0</v>
      </c>
      <c r="K117">
        <v>0</v>
      </c>
      <c r="L117">
        <v>0</v>
      </c>
      <c r="M117">
        <v>0</v>
      </c>
      <c r="N117">
        <v>0</v>
      </c>
      <c r="O117">
        <v>8400</v>
      </c>
      <c r="P117">
        <v>0</v>
      </c>
      <c r="Q117">
        <v>0</v>
      </c>
      <c r="R117">
        <v>8400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row>
    <row r="118" spans="1:39" x14ac:dyDescent="0.35">
      <c r="A118" t="s">
        <v>175</v>
      </c>
      <c r="B118" t="s">
        <v>338</v>
      </c>
      <c r="C118" t="s">
        <v>316</v>
      </c>
      <c r="D118" t="s">
        <v>315</v>
      </c>
      <c r="E118" t="s">
        <v>1299</v>
      </c>
      <c r="F118" t="s">
        <v>316</v>
      </c>
      <c r="H118" t="s">
        <v>67</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row>
    <row r="119" spans="1:39" x14ac:dyDescent="0.35">
      <c r="A119" t="s">
        <v>175</v>
      </c>
      <c r="B119" t="s">
        <v>338</v>
      </c>
      <c r="C119" t="s">
        <v>316</v>
      </c>
      <c r="D119" t="s">
        <v>315</v>
      </c>
      <c r="E119" t="s">
        <v>1341</v>
      </c>
      <c r="F119" t="s">
        <v>316</v>
      </c>
      <c r="H119" t="s">
        <v>67</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row>
    <row r="120" spans="1:39" x14ac:dyDescent="0.35">
      <c r="A120" t="s">
        <v>175</v>
      </c>
      <c r="B120" t="s">
        <v>338</v>
      </c>
      <c r="C120" t="s">
        <v>316</v>
      </c>
      <c r="D120" t="s">
        <v>315</v>
      </c>
      <c r="E120" t="s">
        <v>27</v>
      </c>
      <c r="F120" t="s">
        <v>316</v>
      </c>
      <c r="H120" t="s">
        <v>67</v>
      </c>
      <c r="I120">
        <v>0</v>
      </c>
      <c r="J120">
        <v>0</v>
      </c>
      <c r="K120">
        <v>0</v>
      </c>
      <c r="L120">
        <v>0</v>
      </c>
      <c r="M120">
        <v>0</v>
      </c>
      <c r="N120">
        <v>0</v>
      </c>
      <c r="O120">
        <v>3000</v>
      </c>
      <c r="P120">
        <v>0</v>
      </c>
      <c r="Q120">
        <v>0</v>
      </c>
      <c r="R120">
        <v>6000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row>
    <row r="121" spans="1:39" x14ac:dyDescent="0.35">
      <c r="A121" t="s">
        <v>175</v>
      </c>
      <c r="B121" t="s">
        <v>338</v>
      </c>
      <c r="C121" t="s">
        <v>316</v>
      </c>
      <c r="D121" t="s">
        <v>315</v>
      </c>
      <c r="E121" t="s">
        <v>486</v>
      </c>
      <c r="F121" t="s">
        <v>316</v>
      </c>
      <c r="H121" t="s">
        <v>67</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row>
    <row r="122" spans="1:39" x14ac:dyDescent="0.35">
      <c r="A122" t="s">
        <v>175</v>
      </c>
      <c r="B122" t="s">
        <v>338</v>
      </c>
      <c r="C122" t="s">
        <v>316</v>
      </c>
      <c r="D122" t="s">
        <v>315</v>
      </c>
      <c r="E122" t="s">
        <v>1191</v>
      </c>
      <c r="F122" t="s">
        <v>316</v>
      </c>
      <c r="H122" t="s">
        <v>67</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row>
    <row r="123" spans="1:39" x14ac:dyDescent="0.35">
      <c r="A123" t="s">
        <v>175</v>
      </c>
      <c r="B123" t="s">
        <v>338</v>
      </c>
      <c r="C123" t="s">
        <v>316</v>
      </c>
      <c r="D123" t="s">
        <v>315</v>
      </c>
      <c r="E123" t="s">
        <v>541</v>
      </c>
      <c r="F123" t="s">
        <v>316</v>
      </c>
      <c r="H123" t="s">
        <v>67</v>
      </c>
      <c r="I123">
        <v>0</v>
      </c>
      <c r="J123">
        <v>0</v>
      </c>
      <c r="K123">
        <v>0</v>
      </c>
      <c r="L123">
        <v>0</v>
      </c>
      <c r="M123">
        <v>0</v>
      </c>
      <c r="N123">
        <v>0</v>
      </c>
      <c r="O123">
        <v>0</v>
      </c>
      <c r="P123">
        <v>0</v>
      </c>
      <c r="Q123">
        <v>0</v>
      </c>
      <c r="R123">
        <v>3000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row>
    <row r="124" spans="1:39" x14ac:dyDescent="0.35">
      <c r="A124" t="s">
        <v>175</v>
      </c>
      <c r="B124" t="s">
        <v>338</v>
      </c>
      <c r="C124" t="s">
        <v>316</v>
      </c>
      <c r="D124" t="s">
        <v>315</v>
      </c>
      <c r="E124" t="s">
        <v>920</v>
      </c>
      <c r="F124" t="s">
        <v>316</v>
      </c>
      <c r="H124" t="s">
        <v>67</v>
      </c>
      <c r="I124">
        <v>0</v>
      </c>
      <c r="J124">
        <v>0</v>
      </c>
      <c r="K124">
        <v>2500</v>
      </c>
      <c r="L124">
        <v>0</v>
      </c>
      <c r="M124">
        <v>0</v>
      </c>
      <c r="N124">
        <v>0</v>
      </c>
      <c r="O124">
        <v>2500</v>
      </c>
      <c r="P124">
        <v>0</v>
      </c>
      <c r="Q124">
        <v>0</v>
      </c>
      <c r="R124">
        <v>3000</v>
      </c>
      <c r="S124">
        <v>0</v>
      </c>
      <c r="T124">
        <v>0</v>
      </c>
      <c r="U124">
        <v>0</v>
      </c>
      <c r="V124">
        <v>1000</v>
      </c>
      <c r="W124">
        <v>0</v>
      </c>
      <c r="X124">
        <v>0</v>
      </c>
      <c r="Y124">
        <v>0</v>
      </c>
      <c r="Z124">
        <v>0</v>
      </c>
      <c r="AA124">
        <v>0</v>
      </c>
      <c r="AB124">
        <v>0</v>
      </c>
      <c r="AC124">
        <v>0</v>
      </c>
      <c r="AD124">
        <v>0</v>
      </c>
      <c r="AE124">
        <v>0</v>
      </c>
      <c r="AF124">
        <v>0</v>
      </c>
      <c r="AG124">
        <v>0</v>
      </c>
      <c r="AH124">
        <v>0</v>
      </c>
      <c r="AI124">
        <v>0</v>
      </c>
      <c r="AJ124">
        <v>0</v>
      </c>
      <c r="AK124">
        <v>0</v>
      </c>
      <c r="AL124">
        <v>0</v>
      </c>
      <c r="AM124">
        <v>0</v>
      </c>
    </row>
    <row r="125" spans="1:39" x14ac:dyDescent="0.35">
      <c r="A125" t="s">
        <v>175</v>
      </c>
      <c r="B125" t="s">
        <v>338</v>
      </c>
      <c r="C125" t="s">
        <v>316</v>
      </c>
      <c r="D125" t="s">
        <v>623</v>
      </c>
      <c r="E125" t="s">
        <v>923</v>
      </c>
      <c r="F125" t="s">
        <v>316</v>
      </c>
      <c r="H125" t="s">
        <v>67</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row>
    <row r="126" spans="1:39" x14ac:dyDescent="0.35">
      <c r="A126" t="s">
        <v>175</v>
      </c>
      <c r="B126" t="s">
        <v>338</v>
      </c>
      <c r="C126" t="s">
        <v>316</v>
      </c>
      <c r="D126" t="s">
        <v>623</v>
      </c>
      <c r="E126" t="s">
        <v>606</v>
      </c>
      <c r="F126" t="s">
        <v>316</v>
      </c>
      <c r="H126" t="s">
        <v>67</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row>
    <row r="127" spans="1:39" x14ac:dyDescent="0.35">
      <c r="A127" t="s">
        <v>175</v>
      </c>
      <c r="B127" t="s">
        <v>338</v>
      </c>
      <c r="C127" t="s">
        <v>316</v>
      </c>
      <c r="D127" t="s">
        <v>623</v>
      </c>
      <c r="E127" t="s">
        <v>8</v>
      </c>
      <c r="F127" t="s">
        <v>316</v>
      </c>
      <c r="H127" t="s">
        <v>67</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row>
    <row r="128" spans="1:39" x14ac:dyDescent="0.35">
      <c r="A128" t="s">
        <v>175</v>
      </c>
      <c r="B128" t="s">
        <v>338</v>
      </c>
      <c r="C128" t="s">
        <v>316</v>
      </c>
      <c r="D128" t="s">
        <v>623</v>
      </c>
      <c r="E128" t="s">
        <v>9</v>
      </c>
      <c r="F128" t="s">
        <v>316</v>
      </c>
      <c r="H128" t="s">
        <v>556</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row>
    <row r="129" spans="1:39" x14ac:dyDescent="0.35">
      <c r="A129" t="s">
        <v>175</v>
      </c>
      <c r="B129" t="s">
        <v>338</v>
      </c>
      <c r="C129" t="s">
        <v>316</v>
      </c>
      <c r="D129" t="s">
        <v>623</v>
      </c>
      <c r="E129" t="s">
        <v>11</v>
      </c>
      <c r="F129" t="s">
        <v>316</v>
      </c>
      <c r="H129" t="s">
        <v>556</v>
      </c>
      <c r="I129">
        <v>20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row>
    <row r="130" spans="1:39" x14ac:dyDescent="0.35">
      <c r="A130" t="s">
        <v>175</v>
      </c>
      <c r="B130" t="s">
        <v>338</v>
      </c>
      <c r="C130" t="s">
        <v>316</v>
      </c>
      <c r="D130" t="s">
        <v>623</v>
      </c>
      <c r="E130" t="s">
        <v>12</v>
      </c>
      <c r="F130" t="s">
        <v>316</v>
      </c>
      <c r="H130" t="s">
        <v>556</v>
      </c>
      <c r="I130">
        <v>20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row>
    <row r="131" spans="1:39" x14ac:dyDescent="0.35">
      <c r="A131" t="s">
        <v>175</v>
      </c>
      <c r="B131" t="s">
        <v>338</v>
      </c>
      <c r="C131" t="s">
        <v>316</v>
      </c>
      <c r="D131" t="s">
        <v>623</v>
      </c>
      <c r="E131" t="s">
        <v>13</v>
      </c>
      <c r="F131" t="s">
        <v>316</v>
      </c>
      <c r="H131" t="s">
        <v>556</v>
      </c>
      <c r="I131">
        <v>20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row>
    <row r="132" spans="1:39" x14ac:dyDescent="0.35">
      <c r="A132" t="s">
        <v>175</v>
      </c>
      <c r="B132" t="s">
        <v>338</v>
      </c>
      <c r="C132" t="s">
        <v>316</v>
      </c>
      <c r="D132" t="s">
        <v>623</v>
      </c>
      <c r="E132" t="s">
        <v>14</v>
      </c>
      <c r="F132" t="s">
        <v>316</v>
      </c>
      <c r="H132" t="s">
        <v>556</v>
      </c>
      <c r="I132">
        <v>15</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row>
    <row r="133" spans="1:39" x14ac:dyDescent="0.35">
      <c r="A133" t="s">
        <v>175</v>
      </c>
      <c r="B133" t="s">
        <v>338</v>
      </c>
      <c r="C133" t="s">
        <v>316</v>
      </c>
      <c r="D133" t="s">
        <v>623</v>
      </c>
      <c r="E133" t="s">
        <v>636</v>
      </c>
      <c r="F133" t="s">
        <v>316</v>
      </c>
      <c r="H133" t="s">
        <v>67</v>
      </c>
      <c r="I133">
        <v>48000</v>
      </c>
      <c r="J133">
        <v>0</v>
      </c>
      <c r="K133">
        <v>0</v>
      </c>
      <c r="L133">
        <v>0</v>
      </c>
      <c r="M133">
        <v>0</v>
      </c>
      <c r="N133">
        <v>0</v>
      </c>
      <c r="O133">
        <v>0</v>
      </c>
      <c r="P133">
        <v>24000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row>
    <row r="134" spans="1:39" x14ac:dyDescent="0.35">
      <c r="A134" t="s">
        <v>175</v>
      </c>
      <c r="B134" t="s">
        <v>338</v>
      </c>
      <c r="C134" t="s">
        <v>316</v>
      </c>
      <c r="D134" t="s">
        <v>623</v>
      </c>
      <c r="E134" t="s">
        <v>921</v>
      </c>
      <c r="F134" t="s">
        <v>316</v>
      </c>
      <c r="H134" t="s">
        <v>67</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row>
    <row r="135" spans="1:39" x14ac:dyDescent="0.35">
      <c r="A135" t="s">
        <v>175</v>
      </c>
      <c r="B135" t="s">
        <v>338</v>
      </c>
      <c r="C135" t="s">
        <v>316</v>
      </c>
      <c r="D135" t="s">
        <v>623</v>
      </c>
      <c r="E135" t="s">
        <v>21</v>
      </c>
      <c r="F135" t="s">
        <v>316</v>
      </c>
      <c r="H135" t="s">
        <v>556</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row>
    <row r="136" spans="1:39" x14ac:dyDescent="0.35">
      <c r="A136" t="s">
        <v>175</v>
      </c>
      <c r="B136" t="s">
        <v>338</v>
      </c>
      <c r="C136" t="s">
        <v>316</v>
      </c>
      <c r="D136" t="s">
        <v>623</v>
      </c>
      <c r="E136" t="s">
        <v>22</v>
      </c>
      <c r="F136" t="s">
        <v>316</v>
      </c>
      <c r="H136" t="s">
        <v>556</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row>
    <row r="137" spans="1:39" x14ac:dyDescent="0.35">
      <c r="A137" t="s">
        <v>175</v>
      </c>
      <c r="B137" t="s">
        <v>338</v>
      </c>
      <c r="C137" t="s">
        <v>316</v>
      </c>
      <c r="D137" t="s">
        <v>623</v>
      </c>
      <c r="E137" t="s">
        <v>23</v>
      </c>
      <c r="F137" t="s">
        <v>316</v>
      </c>
      <c r="H137" t="s">
        <v>556</v>
      </c>
      <c r="I137">
        <v>1</v>
      </c>
      <c r="J137">
        <v>0</v>
      </c>
      <c r="K137">
        <v>0</v>
      </c>
      <c r="L137">
        <v>0</v>
      </c>
      <c r="M137">
        <v>0</v>
      </c>
      <c r="N137">
        <v>0</v>
      </c>
      <c r="O137">
        <v>0</v>
      </c>
      <c r="P137">
        <v>12</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row>
    <row r="138" spans="1:39" x14ac:dyDescent="0.35">
      <c r="A138" t="s">
        <v>175</v>
      </c>
      <c r="B138" t="s">
        <v>308</v>
      </c>
      <c r="C138" t="s">
        <v>100</v>
      </c>
      <c r="D138" t="s">
        <v>315</v>
      </c>
      <c r="E138" t="s">
        <v>922</v>
      </c>
      <c r="F138" t="s">
        <v>100</v>
      </c>
      <c r="G138" t="s">
        <v>1201</v>
      </c>
      <c r="H138" t="s">
        <v>67</v>
      </c>
      <c r="I138">
        <v>29</v>
      </c>
      <c r="J138">
        <v>22</v>
      </c>
      <c r="K138">
        <v>31</v>
      </c>
      <c r="L138">
        <v>32</v>
      </c>
      <c r="M138">
        <v>25</v>
      </c>
      <c r="N138">
        <v>34</v>
      </c>
      <c r="O138">
        <v>16</v>
      </c>
      <c r="P138">
        <v>20</v>
      </c>
      <c r="Q138">
        <v>27</v>
      </c>
      <c r="R138">
        <v>25</v>
      </c>
      <c r="S138">
        <v>31</v>
      </c>
      <c r="T138">
        <v>28</v>
      </c>
      <c r="U138">
        <v>37</v>
      </c>
      <c r="V138">
        <v>18</v>
      </c>
      <c r="W138">
        <v>0</v>
      </c>
      <c r="X138">
        <v>0</v>
      </c>
      <c r="Y138">
        <v>0</v>
      </c>
      <c r="Z138">
        <v>0</v>
      </c>
      <c r="AA138">
        <v>0</v>
      </c>
      <c r="AB138">
        <v>0</v>
      </c>
      <c r="AC138">
        <v>0</v>
      </c>
      <c r="AD138">
        <v>0</v>
      </c>
      <c r="AE138">
        <v>0</v>
      </c>
      <c r="AF138">
        <v>0</v>
      </c>
      <c r="AG138">
        <v>0</v>
      </c>
      <c r="AH138">
        <v>0</v>
      </c>
      <c r="AI138">
        <v>0</v>
      </c>
      <c r="AJ138">
        <v>0</v>
      </c>
      <c r="AK138">
        <v>0</v>
      </c>
      <c r="AL138">
        <v>0</v>
      </c>
      <c r="AM138">
        <v>0</v>
      </c>
    </row>
    <row r="139" spans="1:39" x14ac:dyDescent="0.35">
      <c r="A139" t="s">
        <v>175</v>
      </c>
      <c r="B139" t="s">
        <v>308</v>
      </c>
      <c r="C139" t="s">
        <v>100</v>
      </c>
      <c r="D139" t="s">
        <v>315</v>
      </c>
      <c r="E139" t="s">
        <v>919</v>
      </c>
      <c r="F139" t="s">
        <v>100</v>
      </c>
      <c r="G139" t="s">
        <v>1201</v>
      </c>
      <c r="H139" t="s">
        <v>67</v>
      </c>
      <c r="I139">
        <v>904</v>
      </c>
      <c r="J139">
        <v>864</v>
      </c>
      <c r="K139">
        <v>961</v>
      </c>
      <c r="L139">
        <v>989</v>
      </c>
      <c r="M139">
        <v>644</v>
      </c>
      <c r="N139">
        <v>705</v>
      </c>
      <c r="O139">
        <v>677</v>
      </c>
      <c r="P139">
        <v>672</v>
      </c>
      <c r="Q139">
        <v>566</v>
      </c>
      <c r="R139">
        <v>798</v>
      </c>
      <c r="S139">
        <v>918</v>
      </c>
      <c r="T139">
        <v>667</v>
      </c>
      <c r="U139">
        <v>587</v>
      </c>
      <c r="V139">
        <v>586</v>
      </c>
      <c r="W139">
        <v>0</v>
      </c>
      <c r="X139">
        <v>0</v>
      </c>
      <c r="Y139">
        <v>0</v>
      </c>
      <c r="Z139">
        <v>0</v>
      </c>
      <c r="AA139">
        <v>0</v>
      </c>
      <c r="AB139">
        <v>0</v>
      </c>
      <c r="AC139">
        <v>0</v>
      </c>
      <c r="AD139">
        <v>0</v>
      </c>
      <c r="AE139">
        <v>0</v>
      </c>
      <c r="AF139">
        <v>0</v>
      </c>
      <c r="AG139">
        <v>0</v>
      </c>
      <c r="AH139">
        <v>0</v>
      </c>
      <c r="AI139">
        <v>0</v>
      </c>
      <c r="AJ139">
        <v>0</v>
      </c>
      <c r="AK139">
        <v>0</v>
      </c>
      <c r="AL139">
        <v>0</v>
      </c>
      <c r="AM139">
        <v>0</v>
      </c>
    </row>
    <row r="140" spans="1:39" x14ac:dyDescent="0.35">
      <c r="A140" t="s">
        <v>175</v>
      </c>
      <c r="B140" t="s">
        <v>308</v>
      </c>
      <c r="C140" t="s">
        <v>100</v>
      </c>
      <c r="D140" t="s">
        <v>315</v>
      </c>
      <c r="E140" t="s">
        <v>1342</v>
      </c>
      <c r="F140" t="s">
        <v>100</v>
      </c>
      <c r="G140" t="s">
        <v>1201</v>
      </c>
      <c r="H140" t="s">
        <v>67</v>
      </c>
      <c r="I140">
        <v>389</v>
      </c>
      <c r="J140">
        <v>327</v>
      </c>
      <c r="K140">
        <v>413</v>
      </c>
      <c r="L140">
        <v>398</v>
      </c>
      <c r="M140">
        <v>221</v>
      </c>
      <c r="N140">
        <v>369</v>
      </c>
      <c r="O140">
        <v>235</v>
      </c>
      <c r="P140">
        <v>252</v>
      </c>
      <c r="Q140">
        <v>387</v>
      </c>
      <c r="R140">
        <v>335</v>
      </c>
      <c r="S140">
        <v>310</v>
      </c>
      <c r="T140">
        <v>346</v>
      </c>
      <c r="U140">
        <v>240</v>
      </c>
      <c r="V140">
        <v>304</v>
      </c>
      <c r="W140">
        <v>0</v>
      </c>
      <c r="X140">
        <v>0</v>
      </c>
      <c r="Y140">
        <v>0</v>
      </c>
      <c r="Z140">
        <v>0</v>
      </c>
      <c r="AA140">
        <v>0</v>
      </c>
      <c r="AB140">
        <v>0</v>
      </c>
      <c r="AC140">
        <v>0</v>
      </c>
      <c r="AD140">
        <v>0</v>
      </c>
      <c r="AE140">
        <v>0</v>
      </c>
      <c r="AF140">
        <v>0</v>
      </c>
      <c r="AG140">
        <v>0</v>
      </c>
      <c r="AH140">
        <v>0</v>
      </c>
      <c r="AI140">
        <v>0</v>
      </c>
      <c r="AJ140">
        <v>0</v>
      </c>
      <c r="AK140">
        <v>0</v>
      </c>
      <c r="AL140">
        <v>0</v>
      </c>
      <c r="AM140">
        <v>0</v>
      </c>
    </row>
    <row r="141" spans="1:39" x14ac:dyDescent="0.35">
      <c r="A141" t="s">
        <v>175</v>
      </c>
      <c r="B141" t="s">
        <v>308</v>
      </c>
      <c r="C141" t="s">
        <v>100</v>
      </c>
      <c r="D141" t="s">
        <v>315</v>
      </c>
      <c r="E141" t="s">
        <v>503</v>
      </c>
      <c r="F141" t="s">
        <v>100</v>
      </c>
      <c r="G141" t="s">
        <v>1201</v>
      </c>
      <c r="H141" t="s">
        <v>150</v>
      </c>
      <c r="I141">
        <v>778</v>
      </c>
      <c r="J141">
        <v>654</v>
      </c>
      <c r="K141">
        <v>826</v>
      </c>
      <c r="L141">
        <v>796</v>
      </c>
      <c r="M141">
        <v>442</v>
      </c>
      <c r="N141">
        <v>738</v>
      </c>
      <c r="O141">
        <v>470</v>
      </c>
      <c r="P141">
        <v>504</v>
      </c>
      <c r="Q141">
        <v>774</v>
      </c>
      <c r="R141">
        <v>670</v>
      </c>
      <c r="S141">
        <v>620</v>
      </c>
      <c r="T141">
        <v>692</v>
      </c>
      <c r="U141">
        <v>480</v>
      </c>
      <c r="V141">
        <v>608</v>
      </c>
      <c r="W141">
        <v>0</v>
      </c>
      <c r="X141">
        <v>0</v>
      </c>
      <c r="Y141">
        <v>0</v>
      </c>
      <c r="Z141">
        <v>0</v>
      </c>
      <c r="AA141">
        <v>0</v>
      </c>
      <c r="AB141">
        <v>0</v>
      </c>
      <c r="AC141">
        <v>0</v>
      </c>
      <c r="AD141">
        <v>0</v>
      </c>
      <c r="AE141">
        <v>0</v>
      </c>
      <c r="AF141">
        <v>0</v>
      </c>
      <c r="AG141">
        <v>0</v>
      </c>
      <c r="AH141">
        <v>0</v>
      </c>
      <c r="AI141">
        <v>0</v>
      </c>
      <c r="AJ141">
        <v>0</v>
      </c>
      <c r="AK141">
        <v>0</v>
      </c>
      <c r="AL141">
        <v>0</v>
      </c>
      <c r="AM141">
        <v>0</v>
      </c>
    </row>
    <row r="142" spans="1:39" x14ac:dyDescent="0.35">
      <c r="A142" t="s">
        <v>175</v>
      </c>
      <c r="B142" t="s">
        <v>308</v>
      </c>
      <c r="C142" t="s">
        <v>100</v>
      </c>
      <c r="D142" t="s">
        <v>315</v>
      </c>
      <c r="E142" t="s">
        <v>499</v>
      </c>
      <c r="F142" t="s">
        <v>100</v>
      </c>
      <c r="G142" t="s">
        <v>1201</v>
      </c>
      <c r="H142" t="s">
        <v>67</v>
      </c>
      <c r="I142">
        <v>389</v>
      </c>
      <c r="J142">
        <v>327</v>
      </c>
      <c r="K142">
        <v>413</v>
      </c>
      <c r="L142">
        <v>398</v>
      </c>
      <c r="M142">
        <v>221</v>
      </c>
      <c r="N142">
        <v>369</v>
      </c>
      <c r="O142">
        <v>235</v>
      </c>
      <c r="P142">
        <v>252</v>
      </c>
      <c r="Q142">
        <v>387</v>
      </c>
      <c r="R142">
        <v>335</v>
      </c>
      <c r="S142">
        <v>310</v>
      </c>
      <c r="T142">
        <v>346</v>
      </c>
      <c r="U142">
        <v>240</v>
      </c>
      <c r="V142">
        <v>304</v>
      </c>
      <c r="W142">
        <v>0</v>
      </c>
      <c r="X142">
        <v>0</v>
      </c>
      <c r="Y142">
        <v>0</v>
      </c>
      <c r="Z142">
        <v>0</v>
      </c>
      <c r="AA142">
        <v>0</v>
      </c>
      <c r="AB142">
        <v>0</v>
      </c>
      <c r="AC142">
        <v>0</v>
      </c>
      <c r="AD142">
        <v>0</v>
      </c>
      <c r="AE142">
        <v>0</v>
      </c>
      <c r="AF142">
        <v>0</v>
      </c>
      <c r="AG142">
        <v>0</v>
      </c>
      <c r="AH142">
        <v>0</v>
      </c>
      <c r="AI142">
        <v>0</v>
      </c>
      <c r="AJ142">
        <v>0</v>
      </c>
      <c r="AK142">
        <v>0</v>
      </c>
      <c r="AL142">
        <v>0</v>
      </c>
      <c r="AM142">
        <v>0</v>
      </c>
    </row>
    <row r="143" spans="1:39" x14ac:dyDescent="0.35">
      <c r="A143" t="s">
        <v>175</v>
      </c>
      <c r="B143" t="s">
        <v>308</v>
      </c>
      <c r="C143" t="s">
        <v>100</v>
      </c>
      <c r="D143" t="s">
        <v>315</v>
      </c>
      <c r="E143" t="s">
        <v>488</v>
      </c>
      <c r="F143" t="s">
        <v>100</v>
      </c>
      <c r="G143" t="s">
        <v>1201</v>
      </c>
      <c r="H143" t="s">
        <v>67</v>
      </c>
      <c r="I143">
        <v>312</v>
      </c>
      <c r="J143">
        <v>235</v>
      </c>
      <c r="K143">
        <v>259</v>
      </c>
      <c r="L143">
        <v>250</v>
      </c>
      <c r="M143">
        <v>137</v>
      </c>
      <c r="N143">
        <v>248</v>
      </c>
      <c r="O143">
        <v>146</v>
      </c>
      <c r="P143">
        <v>164</v>
      </c>
      <c r="Q143">
        <v>298</v>
      </c>
      <c r="R143">
        <v>198</v>
      </c>
      <c r="S143">
        <v>228</v>
      </c>
      <c r="T143">
        <v>151</v>
      </c>
      <c r="U143">
        <v>195</v>
      </c>
      <c r="V143">
        <v>185</v>
      </c>
      <c r="W143">
        <v>0</v>
      </c>
      <c r="X143">
        <v>0</v>
      </c>
      <c r="Y143">
        <v>0</v>
      </c>
      <c r="Z143">
        <v>0</v>
      </c>
      <c r="AA143">
        <v>0</v>
      </c>
      <c r="AB143">
        <v>0</v>
      </c>
      <c r="AC143">
        <v>0</v>
      </c>
      <c r="AD143">
        <v>0</v>
      </c>
      <c r="AE143">
        <v>0</v>
      </c>
      <c r="AF143">
        <v>0</v>
      </c>
      <c r="AG143">
        <v>0</v>
      </c>
      <c r="AH143">
        <v>0</v>
      </c>
      <c r="AI143">
        <v>0</v>
      </c>
      <c r="AJ143">
        <v>0</v>
      </c>
      <c r="AK143">
        <v>0</v>
      </c>
      <c r="AL143">
        <v>0</v>
      </c>
      <c r="AM143">
        <v>0</v>
      </c>
    </row>
    <row r="144" spans="1:39" x14ac:dyDescent="0.35">
      <c r="A144" t="s">
        <v>175</v>
      </c>
      <c r="B144" t="s">
        <v>308</v>
      </c>
      <c r="C144" t="s">
        <v>100</v>
      </c>
      <c r="D144" t="s">
        <v>315</v>
      </c>
      <c r="E144" t="s">
        <v>986</v>
      </c>
      <c r="F144" t="s">
        <v>100</v>
      </c>
      <c r="G144" t="s">
        <v>1201</v>
      </c>
      <c r="H144" t="s">
        <v>67</v>
      </c>
      <c r="I144">
        <v>25</v>
      </c>
      <c r="J144">
        <v>46</v>
      </c>
      <c r="K144">
        <v>56</v>
      </c>
      <c r="L144">
        <v>24</v>
      </c>
      <c r="M144">
        <v>17</v>
      </c>
      <c r="N144">
        <v>22</v>
      </c>
      <c r="O144">
        <v>13</v>
      </c>
      <c r="P144">
        <v>24</v>
      </c>
      <c r="Q144">
        <v>22</v>
      </c>
      <c r="R144">
        <v>25</v>
      </c>
      <c r="S144">
        <v>46</v>
      </c>
      <c r="T144">
        <v>11</v>
      </c>
      <c r="U144">
        <v>22</v>
      </c>
      <c r="V144">
        <v>15</v>
      </c>
      <c r="W144">
        <v>0</v>
      </c>
      <c r="X144">
        <v>0</v>
      </c>
      <c r="Y144">
        <v>0</v>
      </c>
      <c r="Z144">
        <v>0</v>
      </c>
      <c r="AA144">
        <v>0</v>
      </c>
      <c r="AB144">
        <v>0</v>
      </c>
      <c r="AC144">
        <v>0</v>
      </c>
      <c r="AD144">
        <v>0</v>
      </c>
      <c r="AE144">
        <v>0</v>
      </c>
      <c r="AF144">
        <v>0</v>
      </c>
      <c r="AG144">
        <v>0</v>
      </c>
      <c r="AH144">
        <v>0</v>
      </c>
      <c r="AI144">
        <v>0</v>
      </c>
      <c r="AJ144">
        <v>0</v>
      </c>
      <c r="AK144">
        <v>0</v>
      </c>
      <c r="AL144">
        <v>0</v>
      </c>
      <c r="AM144">
        <v>0</v>
      </c>
    </row>
    <row r="145" spans="1:39" x14ac:dyDescent="0.35">
      <c r="A145" t="s">
        <v>175</v>
      </c>
      <c r="B145" t="s">
        <v>308</v>
      </c>
      <c r="C145" t="s">
        <v>100</v>
      </c>
      <c r="D145" t="s">
        <v>315</v>
      </c>
      <c r="E145" t="s">
        <v>485</v>
      </c>
      <c r="F145" t="s">
        <v>100</v>
      </c>
      <c r="G145" t="s">
        <v>1201</v>
      </c>
      <c r="H145" t="s">
        <v>67</v>
      </c>
      <c r="I145">
        <v>514</v>
      </c>
      <c r="J145">
        <v>529</v>
      </c>
      <c r="K145">
        <v>601</v>
      </c>
      <c r="L145">
        <v>669</v>
      </c>
      <c r="M145">
        <v>489</v>
      </c>
      <c r="N145">
        <v>455</v>
      </c>
      <c r="O145">
        <v>439</v>
      </c>
      <c r="P145">
        <v>412</v>
      </c>
      <c r="Q145">
        <v>494</v>
      </c>
      <c r="R145">
        <v>606</v>
      </c>
      <c r="S145">
        <v>636</v>
      </c>
      <c r="T145">
        <v>409</v>
      </c>
      <c r="U145">
        <v>407</v>
      </c>
      <c r="V145">
        <v>384</v>
      </c>
      <c r="W145">
        <v>0</v>
      </c>
      <c r="X145">
        <v>0</v>
      </c>
      <c r="Y145">
        <v>0</v>
      </c>
      <c r="Z145">
        <v>0</v>
      </c>
      <c r="AA145">
        <v>0</v>
      </c>
      <c r="AB145">
        <v>0</v>
      </c>
      <c r="AC145">
        <v>0</v>
      </c>
      <c r="AD145">
        <v>0</v>
      </c>
      <c r="AE145">
        <v>0</v>
      </c>
      <c r="AF145">
        <v>0</v>
      </c>
      <c r="AG145">
        <v>0</v>
      </c>
      <c r="AH145">
        <v>0</v>
      </c>
      <c r="AI145">
        <v>0</v>
      </c>
      <c r="AJ145">
        <v>0</v>
      </c>
      <c r="AK145">
        <v>0</v>
      </c>
      <c r="AL145">
        <v>0</v>
      </c>
      <c r="AM145">
        <v>0</v>
      </c>
    </row>
    <row r="146" spans="1:39" x14ac:dyDescent="0.35">
      <c r="A146" t="s">
        <v>175</v>
      </c>
      <c r="B146" t="s">
        <v>308</v>
      </c>
      <c r="C146" t="s">
        <v>100</v>
      </c>
      <c r="D146" t="s">
        <v>315</v>
      </c>
      <c r="E146" t="s">
        <v>504</v>
      </c>
      <c r="F146" t="s">
        <v>100</v>
      </c>
      <c r="G146" t="s">
        <v>1201</v>
      </c>
      <c r="H146" t="s">
        <v>67</v>
      </c>
      <c r="I146">
        <v>389</v>
      </c>
      <c r="J146">
        <v>327</v>
      </c>
      <c r="K146">
        <v>413</v>
      </c>
      <c r="L146">
        <v>398</v>
      </c>
      <c r="M146">
        <v>221</v>
      </c>
      <c r="N146">
        <v>369</v>
      </c>
      <c r="O146">
        <v>235</v>
      </c>
      <c r="P146">
        <v>252</v>
      </c>
      <c r="Q146">
        <v>387</v>
      </c>
      <c r="R146">
        <v>335</v>
      </c>
      <c r="S146">
        <v>310</v>
      </c>
      <c r="T146">
        <v>346</v>
      </c>
      <c r="U146">
        <v>240</v>
      </c>
      <c r="V146">
        <v>304</v>
      </c>
      <c r="W146">
        <v>0</v>
      </c>
      <c r="X146">
        <v>0</v>
      </c>
      <c r="Y146">
        <v>0</v>
      </c>
      <c r="Z146">
        <v>0</v>
      </c>
      <c r="AA146">
        <v>0</v>
      </c>
      <c r="AB146">
        <v>0</v>
      </c>
      <c r="AC146">
        <v>0</v>
      </c>
      <c r="AD146">
        <v>0</v>
      </c>
      <c r="AE146">
        <v>0</v>
      </c>
      <c r="AF146">
        <v>0</v>
      </c>
      <c r="AG146">
        <v>0</v>
      </c>
      <c r="AH146">
        <v>0</v>
      </c>
      <c r="AI146">
        <v>0</v>
      </c>
      <c r="AJ146">
        <v>0</v>
      </c>
      <c r="AK146">
        <v>0</v>
      </c>
      <c r="AL146">
        <v>0</v>
      </c>
      <c r="AM146">
        <v>0</v>
      </c>
    </row>
    <row r="147" spans="1:39" x14ac:dyDescent="0.35">
      <c r="A147" t="s">
        <v>175</v>
      </c>
      <c r="B147" t="s">
        <v>308</v>
      </c>
      <c r="C147" t="s">
        <v>100</v>
      </c>
      <c r="D147" t="s">
        <v>315</v>
      </c>
      <c r="E147" t="s">
        <v>1340</v>
      </c>
      <c r="F147" t="s">
        <v>100</v>
      </c>
      <c r="G147" t="s">
        <v>1201</v>
      </c>
      <c r="H147" t="s">
        <v>67</v>
      </c>
      <c r="I147">
        <v>389</v>
      </c>
      <c r="J147">
        <v>327</v>
      </c>
      <c r="K147">
        <v>413</v>
      </c>
      <c r="L147">
        <v>398</v>
      </c>
      <c r="M147">
        <v>221</v>
      </c>
      <c r="N147">
        <v>369</v>
      </c>
      <c r="O147">
        <v>235</v>
      </c>
      <c r="P147">
        <v>252</v>
      </c>
      <c r="Q147">
        <v>387</v>
      </c>
      <c r="R147">
        <v>335</v>
      </c>
      <c r="S147">
        <v>310</v>
      </c>
      <c r="T147">
        <v>346</v>
      </c>
      <c r="U147">
        <v>240</v>
      </c>
      <c r="V147">
        <v>304</v>
      </c>
      <c r="W147">
        <v>0</v>
      </c>
      <c r="X147">
        <v>0</v>
      </c>
      <c r="Y147">
        <v>0</v>
      </c>
      <c r="Z147">
        <v>0</v>
      </c>
      <c r="AA147">
        <v>0</v>
      </c>
      <c r="AB147">
        <v>0</v>
      </c>
      <c r="AC147">
        <v>0</v>
      </c>
      <c r="AD147">
        <v>0</v>
      </c>
      <c r="AE147">
        <v>0</v>
      </c>
      <c r="AF147">
        <v>0</v>
      </c>
      <c r="AG147">
        <v>0</v>
      </c>
      <c r="AH147">
        <v>0</v>
      </c>
      <c r="AI147">
        <v>0</v>
      </c>
      <c r="AJ147">
        <v>0</v>
      </c>
      <c r="AK147">
        <v>0</v>
      </c>
      <c r="AL147">
        <v>0</v>
      </c>
      <c r="AM147">
        <v>0</v>
      </c>
    </row>
    <row r="148" spans="1:39" x14ac:dyDescent="0.35">
      <c r="A148" t="s">
        <v>175</v>
      </c>
      <c r="B148" t="s">
        <v>308</v>
      </c>
      <c r="C148" t="s">
        <v>100</v>
      </c>
      <c r="D148" t="s">
        <v>315</v>
      </c>
      <c r="E148" t="s">
        <v>512</v>
      </c>
      <c r="F148" t="s">
        <v>100</v>
      </c>
      <c r="G148" t="s">
        <v>1201</v>
      </c>
      <c r="H148" t="s">
        <v>150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row>
    <row r="149" spans="1:39" x14ac:dyDescent="0.35">
      <c r="A149" t="s">
        <v>175</v>
      </c>
      <c r="B149" t="s">
        <v>308</v>
      </c>
      <c r="C149" t="s">
        <v>100</v>
      </c>
      <c r="D149" t="s">
        <v>315</v>
      </c>
      <c r="E149" t="s">
        <v>26</v>
      </c>
      <c r="F149" t="s">
        <v>100</v>
      </c>
      <c r="G149" t="s">
        <v>1201</v>
      </c>
      <c r="H149" t="s">
        <v>35</v>
      </c>
      <c r="I149">
        <v>954.40000000000009</v>
      </c>
      <c r="J149">
        <v>979.19999999999993</v>
      </c>
      <c r="K149">
        <v>1086.4000000000001</v>
      </c>
      <c r="L149">
        <v>1156.8</v>
      </c>
      <c r="M149">
        <v>900.00000000000011</v>
      </c>
      <c r="N149">
        <v>875.2</v>
      </c>
      <c r="O149">
        <v>860.8</v>
      </c>
      <c r="P149">
        <v>784.00000000000011</v>
      </c>
      <c r="Q149">
        <v>918.39999999999986</v>
      </c>
      <c r="R149">
        <v>1172.8</v>
      </c>
      <c r="S149">
        <v>1292.0000000000002</v>
      </c>
      <c r="T149">
        <v>789.6</v>
      </c>
      <c r="U149">
        <v>816.80000000000007</v>
      </c>
      <c r="V149">
        <v>788.00000000000023</v>
      </c>
      <c r="W149">
        <v>0</v>
      </c>
      <c r="X149">
        <v>0</v>
      </c>
      <c r="Y149">
        <v>0</v>
      </c>
      <c r="Z149">
        <v>0</v>
      </c>
      <c r="AA149">
        <v>0</v>
      </c>
      <c r="AB149">
        <v>0</v>
      </c>
      <c r="AC149">
        <v>0</v>
      </c>
      <c r="AD149">
        <v>0</v>
      </c>
      <c r="AE149">
        <v>0</v>
      </c>
      <c r="AF149">
        <v>0</v>
      </c>
      <c r="AG149">
        <v>0</v>
      </c>
      <c r="AH149">
        <v>0</v>
      </c>
      <c r="AI149">
        <v>0</v>
      </c>
      <c r="AJ149">
        <v>0</v>
      </c>
      <c r="AK149">
        <v>0</v>
      </c>
      <c r="AL149">
        <v>0</v>
      </c>
      <c r="AM149">
        <v>0</v>
      </c>
    </row>
    <row r="150" spans="1:39" x14ac:dyDescent="0.35">
      <c r="A150" t="s">
        <v>175</v>
      </c>
      <c r="B150" t="s">
        <v>308</v>
      </c>
      <c r="C150" t="s">
        <v>100</v>
      </c>
      <c r="D150" t="s">
        <v>315</v>
      </c>
      <c r="E150" t="s">
        <v>1341</v>
      </c>
      <c r="F150" t="s">
        <v>100</v>
      </c>
      <c r="G150" t="s">
        <v>1201</v>
      </c>
      <c r="H150" t="s">
        <v>67</v>
      </c>
      <c r="I150">
        <v>389</v>
      </c>
      <c r="J150">
        <v>327</v>
      </c>
      <c r="K150">
        <v>413</v>
      </c>
      <c r="L150">
        <v>398</v>
      </c>
      <c r="M150">
        <v>221</v>
      </c>
      <c r="N150">
        <v>369</v>
      </c>
      <c r="O150">
        <v>235</v>
      </c>
      <c r="P150">
        <v>252</v>
      </c>
      <c r="Q150">
        <v>387</v>
      </c>
      <c r="R150">
        <v>335</v>
      </c>
      <c r="S150">
        <v>310</v>
      </c>
      <c r="T150">
        <v>346</v>
      </c>
      <c r="U150">
        <v>240</v>
      </c>
      <c r="V150">
        <v>304</v>
      </c>
      <c r="W150">
        <v>0</v>
      </c>
      <c r="X150">
        <v>0</v>
      </c>
      <c r="Y150">
        <v>0</v>
      </c>
      <c r="Z150">
        <v>0</v>
      </c>
      <c r="AA150">
        <v>0</v>
      </c>
      <c r="AB150">
        <v>0</v>
      </c>
      <c r="AC150">
        <v>0</v>
      </c>
      <c r="AD150">
        <v>0</v>
      </c>
      <c r="AE150">
        <v>0</v>
      </c>
      <c r="AF150">
        <v>0</v>
      </c>
      <c r="AG150">
        <v>0</v>
      </c>
      <c r="AH150">
        <v>0</v>
      </c>
      <c r="AI150">
        <v>0</v>
      </c>
      <c r="AJ150">
        <v>0</v>
      </c>
      <c r="AK150">
        <v>0</v>
      </c>
      <c r="AL150">
        <v>0</v>
      </c>
      <c r="AM150">
        <v>0</v>
      </c>
    </row>
    <row r="151" spans="1:39" x14ac:dyDescent="0.35">
      <c r="A151" t="s">
        <v>175</v>
      </c>
      <c r="B151" t="s">
        <v>308</v>
      </c>
      <c r="C151" t="s">
        <v>100</v>
      </c>
      <c r="D151" t="s">
        <v>315</v>
      </c>
      <c r="E151" t="s">
        <v>27</v>
      </c>
      <c r="F151" t="s">
        <v>100</v>
      </c>
      <c r="G151" t="s">
        <v>1201</v>
      </c>
      <c r="H151" t="s">
        <v>67</v>
      </c>
      <c r="I151">
        <v>904</v>
      </c>
      <c r="J151">
        <v>864</v>
      </c>
      <c r="K151">
        <v>961</v>
      </c>
      <c r="L151">
        <v>989</v>
      </c>
      <c r="M151">
        <v>644</v>
      </c>
      <c r="N151">
        <v>705</v>
      </c>
      <c r="O151">
        <v>677</v>
      </c>
      <c r="P151">
        <v>672</v>
      </c>
      <c r="Q151">
        <v>566</v>
      </c>
      <c r="R151">
        <v>798</v>
      </c>
      <c r="S151">
        <v>918</v>
      </c>
      <c r="T151">
        <v>667</v>
      </c>
      <c r="U151">
        <v>587</v>
      </c>
      <c r="V151">
        <v>586</v>
      </c>
      <c r="W151">
        <v>0</v>
      </c>
      <c r="X151">
        <v>0</v>
      </c>
      <c r="Y151">
        <v>0</v>
      </c>
      <c r="Z151">
        <v>0</v>
      </c>
      <c r="AA151">
        <v>0</v>
      </c>
      <c r="AB151">
        <v>0</v>
      </c>
      <c r="AC151">
        <v>0</v>
      </c>
      <c r="AD151">
        <v>0</v>
      </c>
      <c r="AE151">
        <v>0</v>
      </c>
      <c r="AF151">
        <v>0</v>
      </c>
      <c r="AG151">
        <v>0</v>
      </c>
      <c r="AH151">
        <v>0</v>
      </c>
      <c r="AI151">
        <v>0</v>
      </c>
      <c r="AJ151">
        <v>0</v>
      </c>
      <c r="AK151">
        <v>0</v>
      </c>
      <c r="AL151">
        <v>0</v>
      </c>
      <c r="AM151">
        <v>0</v>
      </c>
    </row>
    <row r="152" spans="1:39" x14ac:dyDescent="0.35">
      <c r="A152" t="s">
        <v>175</v>
      </c>
      <c r="B152" t="s">
        <v>308</v>
      </c>
      <c r="C152" t="s">
        <v>100</v>
      </c>
      <c r="D152" t="s">
        <v>315</v>
      </c>
      <c r="E152" t="s">
        <v>486</v>
      </c>
      <c r="F152" t="s">
        <v>100</v>
      </c>
      <c r="G152" t="s">
        <v>1201</v>
      </c>
      <c r="H152" t="s">
        <v>67</v>
      </c>
      <c r="I152">
        <v>649</v>
      </c>
      <c r="J152">
        <v>613</v>
      </c>
      <c r="K152">
        <v>703</v>
      </c>
      <c r="L152">
        <v>768</v>
      </c>
      <c r="M152">
        <v>537</v>
      </c>
      <c r="N152">
        <v>547</v>
      </c>
      <c r="O152">
        <v>493</v>
      </c>
      <c r="P152">
        <v>476</v>
      </c>
      <c r="Q152">
        <v>618</v>
      </c>
      <c r="R152">
        <v>688</v>
      </c>
      <c r="S152">
        <v>713</v>
      </c>
      <c r="T152">
        <v>470</v>
      </c>
      <c r="U152">
        <v>486</v>
      </c>
      <c r="V152">
        <v>449</v>
      </c>
      <c r="W152">
        <v>0</v>
      </c>
      <c r="X152">
        <v>0</v>
      </c>
      <c r="Y152">
        <v>0</v>
      </c>
      <c r="Z152">
        <v>0</v>
      </c>
      <c r="AA152">
        <v>0</v>
      </c>
      <c r="AB152">
        <v>0</v>
      </c>
      <c r="AC152">
        <v>0</v>
      </c>
      <c r="AD152">
        <v>0</v>
      </c>
      <c r="AE152">
        <v>0</v>
      </c>
      <c r="AF152">
        <v>0</v>
      </c>
      <c r="AG152">
        <v>0</v>
      </c>
      <c r="AH152">
        <v>0</v>
      </c>
      <c r="AI152">
        <v>0</v>
      </c>
      <c r="AJ152">
        <v>0</v>
      </c>
      <c r="AK152">
        <v>0</v>
      </c>
      <c r="AL152">
        <v>0</v>
      </c>
      <c r="AM152">
        <v>0</v>
      </c>
    </row>
    <row r="153" spans="1:39" x14ac:dyDescent="0.35">
      <c r="A153" t="s">
        <v>175</v>
      </c>
      <c r="B153" t="s">
        <v>308</v>
      </c>
      <c r="C153" t="s">
        <v>100</v>
      </c>
      <c r="D153" t="s">
        <v>315</v>
      </c>
      <c r="E153" t="s">
        <v>541</v>
      </c>
      <c r="F153" t="s">
        <v>100</v>
      </c>
      <c r="G153" t="s">
        <v>1201</v>
      </c>
      <c r="H153" t="s">
        <v>67</v>
      </c>
      <c r="I153">
        <v>789</v>
      </c>
      <c r="J153">
        <v>738</v>
      </c>
      <c r="K153">
        <v>849</v>
      </c>
      <c r="L153">
        <v>881</v>
      </c>
      <c r="M153">
        <v>590</v>
      </c>
      <c r="N153">
        <v>670</v>
      </c>
      <c r="O153">
        <v>610</v>
      </c>
      <c r="P153">
        <v>567</v>
      </c>
      <c r="Q153">
        <v>679</v>
      </c>
      <c r="R153">
        <v>770</v>
      </c>
      <c r="S153">
        <v>900</v>
      </c>
      <c r="T153">
        <v>562</v>
      </c>
      <c r="U153">
        <v>539</v>
      </c>
      <c r="V153">
        <v>575</v>
      </c>
      <c r="W153">
        <v>0</v>
      </c>
      <c r="X153">
        <v>0</v>
      </c>
      <c r="Y153">
        <v>0</v>
      </c>
      <c r="Z153">
        <v>0</v>
      </c>
      <c r="AA153">
        <v>0</v>
      </c>
      <c r="AB153">
        <v>0</v>
      </c>
      <c r="AC153">
        <v>0</v>
      </c>
      <c r="AD153">
        <v>0</v>
      </c>
      <c r="AE153">
        <v>0</v>
      </c>
      <c r="AF153">
        <v>0</v>
      </c>
      <c r="AG153">
        <v>0</v>
      </c>
      <c r="AH153">
        <v>0</v>
      </c>
      <c r="AI153">
        <v>0</v>
      </c>
      <c r="AJ153">
        <v>0</v>
      </c>
      <c r="AK153">
        <v>0</v>
      </c>
      <c r="AL153">
        <v>0</v>
      </c>
      <c r="AM153">
        <v>0</v>
      </c>
    </row>
    <row r="154" spans="1:39" x14ac:dyDescent="0.35">
      <c r="A154" t="s">
        <v>175</v>
      </c>
      <c r="B154" t="s">
        <v>308</v>
      </c>
      <c r="C154" t="s">
        <v>100</v>
      </c>
      <c r="D154" t="s">
        <v>315</v>
      </c>
      <c r="E154" t="s">
        <v>920</v>
      </c>
      <c r="F154" t="s">
        <v>100</v>
      </c>
      <c r="G154" t="s">
        <v>1201</v>
      </c>
      <c r="H154" t="s">
        <v>67</v>
      </c>
      <c r="I154">
        <v>904</v>
      </c>
      <c r="J154">
        <v>864</v>
      </c>
      <c r="K154">
        <v>961</v>
      </c>
      <c r="L154">
        <v>989</v>
      </c>
      <c r="M154">
        <v>644</v>
      </c>
      <c r="N154">
        <v>705</v>
      </c>
      <c r="O154">
        <v>677</v>
      </c>
      <c r="P154">
        <v>672</v>
      </c>
      <c r="Q154">
        <v>566</v>
      </c>
      <c r="R154">
        <v>798</v>
      </c>
      <c r="S154">
        <v>918</v>
      </c>
      <c r="T154">
        <v>667</v>
      </c>
      <c r="U154">
        <v>587</v>
      </c>
      <c r="V154">
        <v>586</v>
      </c>
      <c r="W154">
        <v>0</v>
      </c>
      <c r="X154">
        <v>0</v>
      </c>
      <c r="Y154">
        <v>0</v>
      </c>
      <c r="Z154">
        <v>0</v>
      </c>
      <c r="AA154">
        <v>0</v>
      </c>
      <c r="AB154">
        <v>0</v>
      </c>
      <c r="AC154">
        <v>0</v>
      </c>
      <c r="AD154">
        <v>0</v>
      </c>
      <c r="AE154">
        <v>0</v>
      </c>
      <c r="AF154">
        <v>0</v>
      </c>
      <c r="AG154">
        <v>0</v>
      </c>
      <c r="AH154">
        <v>0</v>
      </c>
      <c r="AI154">
        <v>0</v>
      </c>
      <c r="AJ154">
        <v>0</v>
      </c>
      <c r="AK154">
        <v>0</v>
      </c>
      <c r="AL154">
        <v>0</v>
      </c>
      <c r="AM154">
        <v>0</v>
      </c>
    </row>
    <row r="155" spans="1:39" x14ac:dyDescent="0.35">
      <c r="A155" t="s">
        <v>175</v>
      </c>
      <c r="B155" t="s">
        <v>309</v>
      </c>
      <c r="C155" t="s">
        <v>340</v>
      </c>
      <c r="D155" t="s">
        <v>315</v>
      </c>
      <c r="E155" t="s">
        <v>922</v>
      </c>
      <c r="F155" t="s">
        <v>340</v>
      </c>
      <c r="G155" t="s">
        <v>1201</v>
      </c>
      <c r="H155" t="s">
        <v>67</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row>
    <row r="156" spans="1:39" x14ac:dyDescent="0.35">
      <c r="A156" t="s">
        <v>175</v>
      </c>
      <c r="B156" t="s">
        <v>309</v>
      </c>
      <c r="C156" t="s">
        <v>340</v>
      </c>
      <c r="D156" t="s">
        <v>315</v>
      </c>
      <c r="E156" t="s">
        <v>919</v>
      </c>
      <c r="F156" t="s">
        <v>340</v>
      </c>
      <c r="G156" t="s">
        <v>1201</v>
      </c>
      <c r="H156" t="s">
        <v>67</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row>
    <row r="157" spans="1:39" x14ac:dyDescent="0.35">
      <c r="A157" t="s">
        <v>175</v>
      </c>
      <c r="B157" t="s">
        <v>309</v>
      </c>
      <c r="C157" t="s">
        <v>340</v>
      </c>
      <c r="D157" t="s">
        <v>315</v>
      </c>
      <c r="E157" t="s">
        <v>1342</v>
      </c>
      <c r="F157" t="s">
        <v>340</v>
      </c>
      <c r="G157" t="s">
        <v>1201</v>
      </c>
      <c r="H157" t="s">
        <v>67</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row>
    <row r="158" spans="1:39" x14ac:dyDescent="0.35">
      <c r="A158" t="s">
        <v>175</v>
      </c>
      <c r="B158" t="s">
        <v>309</v>
      </c>
      <c r="C158" t="s">
        <v>340</v>
      </c>
      <c r="D158" t="s">
        <v>315</v>
      </c>
      <c r="E158" t="s">
        <v>503</v>
      </c>
      <c r="F158" t="s">
        <v>340</v>
      </c>
      <c r="G158" t="s">
        <v>1201</v>
      </c>
      <c r="H158" t="s">
        <v>150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row>
    <row r="159" spans="1:39" x14ac:dyDescent="0.35">
      <c r="A159" t="s">
        <v>175</v>
      </c>
      <c r="B159" t="s">
        <v>309</v>
      </c>
      <c r="C159" t="s">
        <v>340</v>
      </c>
      <c r="D159" t="s">
        <v>315</v>
      </c>
      <c r="E159" t="s">
        <v>499</v>
      </c>
      <c r="F159" t="s">
        <v>340</v>
      </c>
      <c r="G159" t="s">
        <v>1201</v>
      </c>
      <c r="H159" t="s">
        <v>67</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row>
    <row r="160" spans="1:39" x14ac:dyDescent="0.35">
      <c r="A160" t="s">
        <v>175</v>
      </c>
      <c r="B160" t="s">
        <v>309</v>
      </c>
      <c r="C160" t="s">
        <v>340</v>
      </c>
      <c r="D160" t="s">
        <v>315</v>
      </c>
      <c r="E160" t="s">
        <v>488</v>
      </c>
      <c r="F160" t="s">
        <v>340</v>
      </c>
      <c r="G160" t="s">
        <v>1201</v>
      </c>
      <c r="H160" t="s">
        <v>67</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row>
    <row r="161" spans="1:39" x14ac:dyDescent="0.35">
      <c r="A161" t="s">
        <v>175</v>
      </c>
      <c r="B161" t="s">
        <v>309</v>
      </c>
      <c r="C161" t="s">
        <v>340</v>
      </c>
      <c r="D161" t="s">
        <v>315</v>
      </c>
      <c r="E161" t="s">
        <v>986</v>
      </c>
      <c r="F161" t="s">
        <v>340</v>
      </c>
      <c r="G161" t="s">
        <v>1201</v>
      </c>
      <c r="H161" t="s">
        <v>67</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row>
    <row r="162" spans="1:39" x14ac:dyDescent="0.35">
      <c r="A162" t="s">
        <v>175</v>
      </c>
      <c r="B162" t="s">
        <v>309</v>
      </c>
      <c r="C162" t="s">
        <v>340</v>
      </c>
      <c r="D162" t="s">
        <v>315</v>
      </c>
      <c r="E162" t="s">
        <v>485</v>
      </c>
      <c r="F162" t="s">
        <v>340</v>
      </c>
      <c r="G162" t="s">
        <v>1201</v>
      </c>
      <c r="H162" t="s">
        <v>67</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row>
    <row r="163" spans="1:39" x14ac:dyDescent="0.35">
      <c r="A163" t="s">
        <v>175</v>
      </c>
      <c r="B163" t="s">
        <v>309</v>
      </c>
      <c r="C163" t="s">
        <v>340</v>
      </c>
      <c r="D163" t="s">
        <v>315</v>
      </c>
      <c r="E163" t="s">
        <v>504</v>
      </c>
      <c r="F163" t="s">
        <v>340</v>
      </c>
      <c r="G163" t="s">
        <v>1201</v>
      </c>
      <c r="H163" t="s">
        <v>67</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row>
    <row r="164" spans="1:39" x14ac:dyDescent="0.35">
      <c r="A164" t="s">
        <v>175</v>
      </c>
      <c r="B164" t="s">
        <v>309</v>
      </c>
      <c r="C164" t="s">
        <v>340</v>
      </c>
      <c r="D164" t="s">
        <v>315</v>
      </c>
      <c r="E164" t="s">
        <v>1340</v>
      </c>
      <c r="F164" t="s">
        <v>340</v>
      </c>
      <c r="G164" t="s">
        <v>1201</v>
      </c>
      <c r="H164" t="s">
        <v>67</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row>
    <row r="165" spans="1:39" x14ac:dyDescent="0.35">
      <c r="A165" t="s">
        <v>175</v>
      </c>
      <c r="B165" t="s">
        <v>309</v>
      </c>
      <c r="C165" t="s">
        <v>340</v>
      </c>
      <c r="D165" t="s">
        <v>315</v>
      </c>
      <c r="E165" t="s">
        <v>512</v>
      </c>
      <c r="F165" t="s">
        <v>340</v>
      </c>
      <c r="G165" t="s">
        <v>1201</v>
      </c>
      <c r="H165" t="s">
        <v>150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row>
    <row r="166" spans="1:39" x14ac:dyDescent="0.35">
      <c r="A166" t="s">
        <v>175</v>
      </c>
      <c r="B166" t="s">
        <v>309</v>
      </c>
      <c r="C166" t="s">
        <v>340</v>
      </c>
      <c r="D166" t="s">
        <v>315</v>
      </c>
      <c r="E166" t="s">
        <v>26</v>
      </c>
      <c r="F166" t="s">
        <v>340</v>
      </c>
      <c r="G166" t="s">
        <v>1201</v>
      </c>
      <c r="H166" t="s">
        <v>35</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row>
    <row r="167" spans="1:39" x14ac:dyDescent="0.35">
      <c r="A167" t="s">
        <v>175</v>
      </c>
      <c r="B167" t="s">
        <v>309</v>
      </c>
      <c r="C167" t="s">
        <v>340</v>
      </c>
      <c r="D167" t="s">
        <v>315</v>
      </c>
      <c r="E167" t="s">
        <v>1341</v>
      </c>
      <c r="F167" t="s">
        <v>340</v>
      </c>
      <c r="G167" t="s">
        <v>1201</v>
      </c>
      <c r="H167" t="s">
        <v>67</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row>
    <row r="168" spans="1:39" x14ac:dyDescent="0.35">
      <c r="A168" t="s">
        <v>175</v>
      </c>
      <c r="B168" t="s">
        <v>309</v>
      </c>
      <c r="C168" t="s">
        <v>340</v>
      </c>
      <c r="D168" t="s">
        <v>315</v>
      </c>
      <c r="E168" t="s">
        <v>27</v>
      </c>
      <c r="F168" t="s">
        <v>340</v>
      </c>
      <c r="G168" t="s">
        <v>1201</v>
      </c>
      <c r="H168" t="s">
        <v>67</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row>
    <row r="169" spans="1:39" x14ac:dyDescent="0.35">
      <c r="A169" t="s">
        <v>175</v>
      </c>
      <c r="B169" t="s">
        <v>309</v>
      </c>
      <c r="C169" t="s">
        <v>340</v>
      </c>
      <c r="D169" t="s">
        <v>315</v>
      </c>
      <c r="E169" t="s">
        <v>486</v>
      </c>
      <c r="F169" t="s">
        <v>340</v>
      </c>
      <c r="G169" t="s">
        <v>1201</v>
      </c>
      <c r="H169" t="s">
        <v>67</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row>
    <row r="170" spans="1:39" x14ac:dyDescent="0.35">
      <c r="A170" t="s">
        <v>175</v>
      </c>
      <c r="B170" t="s">
        <v>309</v>
      </c>
      <c r="C170" t="s">
        <v>340</v>
      </c>
      <c r="D170" t="s">
        <v>315</v>
      </c>
      <c r="E170" t="s">
        <v>541</v>
      </c>
      <c r="F170" t="s">
        <v>340</v>
      </c>
      <c r="G170" t="s">
        <v>1201</v>
      </c>
      <c r="H170" t="s">
        <v>67</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row>
    <row r="171" spans="1:39" x14ac:dyDescent="0.35">
      <c r="A171" t="s">
        <v>175</v>
      </c>
      <c r="B171" t="s">
        <v>309</v>
      </c>
      <c r="C171" t="s">
        <v>340</v>
      </c>
      <c r="D171" t="s">
        <v>315</v>
      </c>
      <c r="E171" t="s">
        <v>920</v>
      </c>
      <c r="F171" t="s">
        <v>340</v>
      </c>
      <c r="G171" t="s">
        <v>1201</v>
      </c>
      <c r="H171" t="s">
        <v>67</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row>
    <row r="172" spans="1:39" x14ac:dyDescent="0.35">
      <c r="A172" t="s">
        <v>175</v>
      </c>
      <c r="B172" t="s">
        <v>337</v>
      </c>
      <c r="C172" t="s">
        <v>340</v>
      </c>
      <c r="D172" t="s">
        <v>315</v>
      </c>
      <c r="E172" t="s">
        <v>922</v>
      </c>
      <c r="F172" t="s">
        <v>340</v>
      </c>
      <c r="H172" t="s">
        <v>67</v>
      </c>
      <c r="I172">
        <v>5843</v>
      </c>
      <c r="J172">
        <v>5662</v>
      </c>
      <c r="K172">
        <v>5600</v>
      </c>
      <c r="L172">
        <v>5550</v>
      </c>
      <c r="M172">
        <v>5662</v>
      </c>
      <c r="N172">
        <v>5522</v>
      </c>
      <c r="O172">
        <v>5503</v>
      </c>
      <c r="P172">
        <v>5332</v>
      </c>
      <c r="Q172">
        <v>5399</v>
      </c>
      <c r="R172">
        <v>5418</v>
      </c>
      <c r="S172">
        <v>5385</v>
      </c>
      <c r="T172">
        <v>5353</v>
      </c>
      <c r="U172">
        <v>5310</v>
      </c>
      <c r="V172">
        <v>5235</v>
      </c>
      <c r="W172">
        <v>0</v>
      </c>
      <c r="X172">
        <v>0</v>
      </c>
      <c r="Y172">
        <v>0</v>
      </c>
      <c r="Z172">
        <v>0</v>
      </c>
      <c r="AA172">
        <v>0</v>
      </c>
      <c r="AB172">
        <v>0</v>
      </c>
      <c r="AC172">
        <v>0</v>
      </c>
      <c r="AD172">
        <v>0</v>
      </c>
      <c r="AE172">
        <v>0</v>
      </c>
      <c r="AF172">
        <v>0</v>
      </c>
      <c r="AG172">
        <v>0</v>
      </c>
      <c r="AH172">
        <v>0</v>
      </c>
      <c r="AI172">
        <v>0</v>
      </c>
      <c r="AJ172">
        <v>0</v>
      </c>
      <c r="AK172">
        <v>0</v>
      </c>
      <c r="AL172">
        <v>0</v>
      </c>
      <c r="AM172">
        <v>0</v>
      </c>
    </row>
    <row r="173" spans="1:39" x14ac:dyDescent="0.35">
      <c r="A173" t="s">
        <v>175</v>
      </c>
      <c r="B173" t="s">
        <v>337</v>
      </c>
      <c r="C173" t="s">
        <v>340</v>
      </c>
      <c r="D173" t="s">
        <v>315</v>
      </c>
      <c r="E173" t="s">
        <v>919</v>
      </c>
      <c r="F173" t="s">
        <v>340</v>
      </c>
      <c r="H173" t="s">
        <v>67</v>
      </c>
      <c r="I173">
        <v>4575</v>
      </c>
      <c r="J173">
        <v>3795</v>
      </c>
      <c r="K173">
        <v>5250</v>
      </c>
      <c r="L173">
        <v>4251</v>
      </c>
      <c r="M173">
        <v>3548</v>
      </c>
      <c r="N173">
        <v>2896</v>
      </c>
      <c r="O173">
        <v>5059</v>
      </c>
      <c r="P173">
        <v>4353</v>
      </c>
      <c r="Q173">
        <v>3723</v>
      </c>
      <c r="R173">
        <v>5340</v>
      </c>
      <c r="S173">
        <v>4831</v>
      </c>
      <c r="T173">
        <v>4108</v>
      </c>
      <c r="U173">
        <v>3448</v>
      </c>
      <c r="V173">
        <v>2817</v>
      </c>
      <c r="W173">
        <v>0</v>
      </c>
      <c r="X173">
        <v>0</v>
      </c>
      <c r="Y173">
        <v>0</v>
      </c>
      <c r="Z173">
        <v>0</v>
      </c>
      <c r="AA173">
        <v>0</v>
      </c>
      <c r="AB173">
        <v>0</v>
      </c>
      <c r="AC173">
        <v>0</v>
      </c>
      <c r="AD173">
        <v>0</v>
      </c>
      <c r="AE173">
        <v>0</v>
      </c>
      <c r="AF173">
        <v>0</v>
      </c>
      <c r="AG173">
        <v>0</v>
      </c>
      <c r="AH173">
        <v>0</v>
      </c>
      <c r="AI173">
        <v>0</v>
      </c>
      <c r="AJ173">
        <v>0</v>
      </c>
      <c r="AK173">
        <v>0</v>
      </c>
      <c r="AL173">
        <v>0</v>
      </c>
      <c r="AM173">
        <v>0</v>
      </c>
    </row>
    <row r="174" spans="1:39" x14ac:dyDescent="0.35">
      <c r="A174" t="s">
        <v>175</v>
      </c>
      <c r="B174" t="s">
        <v>337</v>
      </c>
      <c r="C174" t="s">
        <v>340</v>
      </c>
      <c r="D174" t="s">
        <v>315</v>
      </c>
      <c r="E174" t="s">
        <v>1342</v>
      </c>
      <c r="F174" t="s">
        <v>340</v>
      </c>
      <c r="H174" t="s">
        <v>67</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row>
    <row r="175" spans="1:39" x14ac:dyDescent="0.35">
      <c r="A175" t="s">
        <v>175</v>
      </c>
      <c r="B175" t="s">
        <v>337</v>
      </c>
      <c r="C175" t="s">
        <v>340</v>
      </c>
      <c r="D175" t="s">
        <v>315</v>
      </c>
      <c r="E175" t="s">
        <v>554</v>
      </c>
      <c r="F175" t="s">
        <v>340</v>
      </c>
      <c r="H175" t="s">
        <v>67</v>
      </c>
      <c r="I175">
        <v>17000</v>
      </c>
      <c r="J175">
        <v>17000</v>
      </c>
      <c r="K175">
        <v>17000</v>
      </c>
      <c r="L175">
        <v>17000</v>
      </c>
      <c r="M175">
        <v>17000</v>
      </c>
      <c r="N175">
        <v>17000</v>
      </c>
      <c r="O175">
        <v>17000</v>
      </c>
      <c r="P175">
        <v>17000</v>
      </c>
      <c r="Q175">
        <v>17000</v>
      </c>
      <c r="R175">
        <v>17000</v>
      </c>
      <c r="S175">
        <v>17000</v>
      </c>
      <c r="T175">
        <v>17000</v>
      </c>
      <c r="U175">
        <v>17000</v>
      </c>
      <c r="V175">
        <v>17000</v>
      </c>
      <c r="W175">
        <v>0</v>
      </c>
      <c r="X175">
        <v>0</v>
      </c>
      <c r="Y175">
        <v>0</v>
      </c>
      <c r="Z175">
        <v>0</v>
      </c>
      <c r="AA175">
        <v>0</v>
      </c>
      <c r="AB175">
        <v>0</v>
      </c>
      <c r="AC175">
        <v>0</v>
      </c>
      <c r="AD175">
        <v>0</v>
      </c>
      <c r="AE175">
        <v>0</v>
      </c>
      <c r="AF175">
        <v>0</v>
      </c>
      <c r="AG175">
        <v>0</v>
      </c>
      <c r="AH175">
        <v>0</v>
      </c>
      <c r="AI175">
        <v>0</v>
      </c>
      <c r="AJ175">
        <v>0</v>
      </c>
      <c r="AK175">
        <v>0</v>
      </c>
      <c r="AL175">
        <v>0</v>
      </c>
      <c r="AM175">
        <v>0</v>
      </c>
    </row>
    <row r="176" spans="1:39" x14ac:dyDescent="0.35">
      <c r="A176" t="s">
        <v>175</v>
      </c>
      <c r="B176" t="s">
        <v>337</v>
      </c>
      <c r="C176" t="s">
        <v>340</v>
      </c>
      <c r="D176" t="s">
        <v>315</v>
      </c>
      <c r="E176" t="s">
        <v>10</v>
      </c>
      <c r="F176" t="s">
        <v>340</v>
      </c>
      <c r="H176" t="s">
        <v>556</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row>
    <row r="177" spans="1:39" x14ac:dyDescent="0.35">
      <c r="A177" t="s">
        <v>175</v>
      </c>
      <c r="B177" t="s">
        <v>337</v>
      </c>
      <c r="C177" t="s">
        <v>340</v>
      </c>
      <c r="D177" t="s">
        <v>315</v>
      </c>
      <c r="E177" t="s">
        <v>503</v>
      </c>
      <c r="F177" t="s">
        <v>340</v>
      </c>
      <c r="H177" t="s">
        <v>150</v>
      </c>
      <c r="I177">
        <v>13325</v>
      </c>
      <c r="J177">
        <v>12900</v>
      </c>
      <c r="K177">
        <v>11900</v>
      </c>
      <c r="L177">
        <v>11000</v>
      </c>
      <c r="M177">
        <v>10614</v>
      </c>
      <c r="N177">
        <v>9834</v>
      </c>
      <c r="O177">
        <v>9272</v>
      </c>
      <c r="P177">
        <v>8600</v>
      </c>
      <c r="Q177">
        <v>7900</v>
      </c>
      <c r="R177">
        <v>7167</v>
      </c>
      <c r="S177">
        <v>6478</v>
      </c>
      <c r="T177">
        <v>5727</v>
      </c>
      <c r="U177">
        <v>5211</v>
      </c>
      <c r="V177">
        <v>4579</v>
      </c>
      <c r="W177">
        <v>0</v>
      </c>
      <c r="X177">
        <v>0</v>
      </c>
      <c r="Y177">
        <v>0</v>
      </c>
      <c r="Z177">
        <v>0</v>
      </c>
      <c r="AA177">
        <v>0</v>
      </c>
      <c r="AB177">
        <v>0</v>
      </c>
      <c r="AC177">
        <v>0</v>
      </c>
      <c r="AD177">
        <v>0</v>
      </c>
      <c r="AE177">
        <v>0</v>
      </c>
      <c r="AF177">
        <v>0</v>
      </c>
      <c r="AG177">
        <v>0</v>
      </c>
      <c r="AH177">
        <v>0</v>
      </c>
      <c r="AI177">
        <v>0</v>
      </c>
      <c r="AJ177">
        <v>0</v>
      </c>
      <c r="AK177">
        <v>0</v>
      </c>
      <c r="AL177">
        <v>0</v>
      </c>
      <c r="AM177">
        <v>0</v>
      </c>
    </row>
    <row r="178" spans="1:39" x14ac:dyDescent="0.35">
      <c r="A178" t="s">
        <v>175</v>
      </c>
      <c r="B178" t="s">
        <v>337</v>
      </c>
      <c r="C178" t="s">
        <v>340</v>
      </c>
      <c r="D178" t="s">
        <v>315</v>
      </c>
      <c r="E178" t="s">
        <v>499</v>
      </c>
      <c r="F178" t="s">
        <v>340</v>
      </c>
      <c r="H178" t="s">
        <v>67</v>
      </c>
      <c r="I178">
        <v>10500</v>
      </c>
      <c r="J178">
        <v>10023</v>
      </c>
      <c r="K178">
        <v>9450</v>
      </c>
      <c r="L178">
        <v>9050</v>
      </c>
      <c r="M178">
        <v>8850</v>
      </c>
      <c r="N178">
        <v>8525</v>
      </c>
      <c r="O178">
        <v>8025</v>
      </c>
      <c r="P178">
        <v>7975</v>
      </c>
      <c r="Q178">
        <v>7600</v>
      </c>
      <c r="R178">
        <v>9772</v>
      </c>
      <c r="S178">
        <v>9425</v>
      </c>
      <c r="T178">
        <v>9025</v>
      </c>
      <c r="U178">
        <v>8775</v>
      </c>
      <c r="V178">
        <v>8425</v>
      </c>
      <c r="W178">
        <v>0</v>
      </c>
      <c r="X178">
        <v>0</v>
      </c>
      <c r="Y178">
        <v>0</v>
      </c>
      <c r="Z178">
        <v>0</v>
      </c>
      <c r="AA178">
        <v>0</v>
      </c>
      <c r="AB178">
        <v>0</v>
      </c>
      <c r="AC178">
        <v>0</v>
      </c>
      <c r="AD178">
        <v>0</v>
      </c>
      <c r="AE178">
        <v>0</v>
      </c>
      <c r="AF178">
        <v>0</v>
      </c>
      <c r="AG178">
        <v>0</v>
      </c>
      <c r="AH178">
        <v>0</v>
      </c>
      <c r="AI178">
        <v>0</v>
      </c>
      <c r="AJ178">
        <v>0</v>
      </c>
      <c r="AK178">
        <v>0</v>
      </c>
      <c r="AL178">
        <v>0</v>
      </c>
      <c r="AM178">
        <v>0</v>
      </c>
    </row>
    <row r="179" spans="1:39" x14ac:dyDescent="0.35">
      <c r="A179" t="s">
        <v>175</v>
      </c>
      <c r="B179" t="s">
        <v>337</v>
      </c>
      <c r="C179" t="s">
        <v>340</v>
      </c>
      <c r="D179" t="s">
        <v>315</v>
      </c>
      <c r="E179" t="s">
        <v>488</v>
      </c>
      <c r="F179" t="s">
        <v>340</v>
      </c>
      <c r="H179" t="s">
        <v>67</v>
      </c>
      <c r="I179">
        <v>14680</v>
      </c>
      <c r="J179">
        <v>14650</v>
      </c>
      <c r="K179">
        <v>14000</v>
      </c>
      <c r="L179">
        <v>13310</v>
      </c>
      <c r="M179">
        <v>13359</v>
      </c>
      <c r="N179">
        <v>13202</v>
      </c>
      <c r="O179">
        <v>13245</v>
      </c>
      <c r="P179">
        <v>13165</v>
      </c>
      <c r="Q179">
        <v>12744</v>
      </c>
      <c r="R179">
        <v>12234</v>
      </c>
      <c r="S179">
        <v>12194</v>
      </c>
      <c r="T179">
        <v>12238</v>
      </c>
      <c r="U179">
        <v>12125</v>
      </c>
      <c r="V179">
        <v>12205</v>
      </c>
      <c r="W179">
        <v>0</v>
      </c>
      <c r="X179">
        <v>0</v>
      </c>
      <c r="Y179">
        <v>0</v>
      </c>
      <c r="Z179">
        <v>0</v>
      </c>
      <c r="AA179">
        <v>0</v>
      </c>
      <c r="AB179">
        <v>0</v>
      </c>
      <c r="AC179">
        <v>0</v>
      </c>
      <c r="AD179">
        <v>0</v>
      </c>
      <c r="AE179">
        <v>0</v>
      </c>
      <c r="AF179">
        <v>0</v>
      </c>
      <c r="AG179">
        <v>0</v>
      </c>
      <c r="AH179">
        <v>0</v>
      </c>
      <c r="AI179">
        <v>0</v>
      </c>
      <c r="AJ179">
        <v>0</v>
      </c>
      <c r="AK179">
        <v>0</v>
      </c>
      <c r="AL179">
        <v>0</v>
      </c>
      <c r="AM179">
        <v>0</v>
      </c>
    </row>
    <row r="180" spans="1:39" x14ac:dyDescent="0.35">
      <c r="A180" t="s">
        <v>175</v>
      </c>
      <c r="B180" t="s">
        <v>337</v>
      </c>
      <c r="C180" t="s">
        <v>340</v>
      </c>
      <c r="D180" t="s">
        <v>315</v>
      </c>
      <c r="E180" t="s">
        <v>485</v>
      </c>
      <c r="F180" t="s">
        <v>340</v>
      </c>
      <c r="H180" t="s">
        <v>67</v>
      </c>
      <c r="I180">
        <v>5335</v>
      </c>
      <c r="J180">
        <v>4633</v>
      </c>
      <c r="K180">
        <v>4000</v>
      </c>
      <c r="L180">
        <v>4826</v>
      </c>
      <c r="M180">
        <v>4078</v>
      </c>
      <c r="N180">
        <v>3525</v>
      </c>
      <c r="O180">
        <v>3983</v>
      </c>
      <c r="P180">
        <v>3818</v>
      </c>
      <c r="Q180">
        <v>3064</v>
      </c>
      <c r="R180">
        <v>4659</v>
      </c>
      <c r="S180">
        <v>3869</v>
      </c>
      <c r="T180">
        <v>3609</v>
      </c>
      <c r="U180">
        <v>3094</v>
      </c>
      <c r="V180">
        <v>3860</v>
      </c>
      <c r="W180">
        <v>0</v>
      </c>
      <c r="X180">
        <v>0</v>
      </c>
      <c r="Y180">
        <v>0</v>
      </c>
      <c r="Z180">
        <v>0</v>
      </c>
      <c r="AA180">
        <v>0</v>
      </c>
      <c r="AB180">
        <v>0</v>
      </c>
      <c r="AC180">
        <v>0</v>
      </c>
      <c r="AD180">
        <v>0</v>
      </c>
      <c r="AE180">
        <v>0</v>
      </c>
      <c r="AF180">
        <v>0</v>
      </c>
      <c r="AG180">
        <v>0</v>
      </c>
      <c r="AH180">
        <v>0</v>
      </c>
      <c r="AI180">
        <v>0</v>
      </c>
      <c r="AJ180">
        <v>0</v>
      </c>
      <c r="AK180">
        <v>0</v>
      </c>
      <c r="AL180">
        <v>0</v>
      </c>
      <c r="AM180">
        <v>0</v>
      </c>
    </row>
    <row r="181" spans="1:39" x14ac:dyDescent="0.35">
      <c r="A181" t="s">
        <v>175</v>
      </c>
      <c r="B181" t="s">
        <v>337</v>
      </c>
      <c r="C181" t="s">
        <v>340</v>
      </c>
      <c r="D181" t="s">
        <v>315</v>
      </c>
      <c r="E181" t="s">
        <v>504</v>
      </c>
      <c r="F181" t="s">
        <v>340</v>
      </c>
      <c r="H181" t="s">
        <v>67</v>
      </c>
      <c r="I181">
        <v>26893</v>
      </c>
      <c r="J181">
        <v>26400</v>
      </c>
      <c r="K181">
        <v>25675</v>
      </c>
      <c r="L181">
        <v>25200</v>
      </c>
      <c r="M181">
        <v>25153</v>
      </c>
      <c r="N181">
        <v>25087</v>
      </c>
      <c r="O181">
        <v>25080</v>
      </c>
      <c r="P181">
        <v>24408</v>
      </c>
      <c r="Q181">
        <v>24172</v>
      </c>
      <c r="R181">
        <v>23654</v>
      </c>
      <c r="S181">
        <v>23258</v>
      </c>
      <c r="T181">
        <v>23010</v>
      </c>
      <c r="U181">
        <v>21255</v>
      </c>
      <c r="V181">
        <v>20068</v>
      </c>
      <c r="W181">
        <v>0</v>
      </c>
      <c r="X181">
        <v>0</v>
      </c>
      <c r="Y181">
        <v>0</v>
      </c>
      <c r="Z181">
        <v>0</v>
      </c>
      <c r="AA181">
        <v>0</v>
      </c>
      <c r="AB181">
        <v>0</v>
      </c>
      <c r="AC181">
        <v>0</v>
      </c>
      <c r="AD181">
        <v>0</v>
      </c>
      <c r="AE181">
        <v>0</v>
      </c>
      <c r="AF181">
        <v>0</v>
      </c>
      <c r="AG181">
        <v>0</v>
      </c>
      <c r="AH181">
        <v>0</v>
      </c>
      <c r="AI181">
        <v>0</v>
      </c>
      <c r="AJ181">
        <v>0</v>
      </c>
      <c r="AK181">
        <v>0</v>
      </c>
      <c r="AL181">
        <v>0</v>
      </c>
      <c r="AM181">
        <v>0</v>
      </c>
    </row>
    <row r="182" spans="1:39" x14ac:dyDescent="0.35">
      <c r="A182" t="s">
        <v>175</v>
      </c>
      <c r="B182" t="s">
        <v>337</v>
      </c>
      <c r="C182" t="s">
        <v>340</v>
      </c>
      <c r="D182" t="s">
        <v>315</v>
      </c>
      <c r="E182" t="s">
        <v>1340</v>
      </c>
      <c r="F182" t="s">
        <v>340</v>
      </c>
      <c r="H182" t="s">
        <v>67</v>
      </c>
      <c r="I182">
        <v>150423</v>
      </c>
      <c r="J182">
        <v>149575</v>
      </c>
      <c r="K182">
        <v>148996</v>
      </c>
      <c r="L182">
        <v>148031</v>
      </c>
      <c r="M182">
        <v>147723</v>
      </c>
      <c r="N182">
        <v>135497</v>
      </c>
      <c r="O182">
        <v>146563</v>
      </c>
      <c r="P182">
        <v>145963</v>
      </c>
      <c r="Q182">
        <v>145391</v>
      </c>
      <c r="R182">
        <v>146294</v>
      </c>
      <c r="S182">
        <v>143867</v>
      </c>
      <c r="T182">
        <v>143417</v>
      </c>
      <c r="U182">
        <v>142843</v>
      </c>
      <c r="V182">
        <v>141855</v>
      </c>
      <c r="W182">
        <v>0</v>
      </c>
      <c r="X182">
        <v>0</v>
      </c>
      <c r="Y182">
        <v>0</v>
      </c>
      <c r="Z182">
        <v>0</v>
      </c>
      <c r="AA182">
        <v>0</v>
      </c>
      <c r="AB182">
        <v>0</v>
      </c>
      <c r="AC182">
        <v>0</v>
      </c>
      <c r="AD182">
        <v>0</v>
      </c>
      <c r="AE182">
        <v>0</v>
      </c>
      <c r="AF182">
        <v>0</v>
      </c>
      <c r="AG182">
        <v>0</v>
      </c>
      <c r="AH182">
        <v>0</v>
      </c>
      <c r="AI182">
        <v>0</v>
      </c>
      <c r="AJ182">
        <v>0</v>
      </c>
      <c r="AK182">
        <v>0</v>
      </c>
      <c r="AL182">
        <v>0</v>
      </c>
      <c r="AM182">
        <v>0</v>
      </c>
    </row>
    <row r="183" spans="1:39" x14ac:dyDescent="0.35">
      <c r="A183" t="s">
        <v>175</v>
      </c>
      <c r="B183" t="s">
        <v>337</v>
      </c>
      <c r="C183" t="s">
        <v>340</v>
      </c>
      <c r="D183" t="s">
        <v>315</v>
      </c>
      <c r="E183" t="s">
        <v>505</v>
      </c>
      <c r="F183" t="s">
        <v>340</v>
      </c>
      <c r="H183" t="s">
        <v>150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row>
    <row r="184" spans="1:39" x14ac:dyDescent="0.35">
      <c r="A184" t="s">
        <v>175</v>
      </c>
      <c r="B184" t="s">
        <v>337</v>
      </c>
      <c r="C184" t="s">
        <v>340</v>
      </c>
      <c r="D184" t="s">
        <v>315</v>
      </c>
      <c r="E184" t="s">
        <v>512</v>
      </c>
      <c r="F184" t="s">
        <v>340</v>
      </c>
      <c r="H184" t="s">
        <v>150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row>
    <row r="185" spans="1:39" x14ac:dyDescent="0.35">
      <c r="A185" t="s">
        <v>175</v>
      </c>
      <c r="B185" t="s">
        <v>337</v>
      </c>
      <c r="C185" t="s">
        <v>340</v>
      </c>
      <c r="D185" t="s">
        <v>315</v>
      </c>
      <c r="E185" t="s">
        <v>26</v>
      </c>
      <c r="F185" t="s">
        <v>340</v>
      </c>
      <c r="H185" t="s">
        <v>35</v>
      </c>
      <c r="I185">
        <v>7984</v>
      </c>
      <c r="J185">
        <v>5838</v>
      </c>
      <c r="K185">
        <v>3979</v>
      </c>
      <c r="L185">
        <v>2520</v>
      </c>
      <c r="M185">
        <v>2191</v>
      </c>
      <c r="N185">
        <v>1061</v>
      </c>
      <c r="O185">
        <v>8322</v>
      </c>
      <c r="P185">
        <v>7393</v>
      </c>
      <c r="Q185">
        <v>8754</v>
      </c>
      <c r="R185">
        <v>13453</v>
      </c>
      <c r="S185">
        <v>11994</v>
      </c>
      <c r="T185">
        <v>11222</v>
      </c>
      <c r="U185">
        <v>9992</v>
      </c>
      <c r="V185">
        <v>8682</v>
      </c>
      <c r="W185">
        <v>0</v>
      </c>
      <c r="X185">
        <v>0</v>
      </c>
      <c r="Y185">
        <v>0</v>
      </c>
      <c r="Z185">
        <v>0</v>
      </c>
      <c r="AA185">
        <v>0</v>
      </c>
      <c r="AB185">
        <v>0</v>
      </c>
      <c r="AC185">
        <v>0</v>
      </c>
      <c r="AD185">
        <v>0</v>
      </c>
      <c r="AE185">
        <v>0</v>
      </c>
      <c r="AF185">
        <v>0</v>
      </c>
      <c r="AG185">
        <v>0</v>
      </c>
      <c r="AH185">
        <v>0</v>
      </c>
      <c r="AI185">
        <v>0</v>
      </c>
      <c r="AJ185">
        <v>0</v>
      </c>
      <c r="AK185">
        <v>0</v>
      </c>
      <c r="AL185">
        <v>0</v>
      </c>
      <c r="AM185">
        <v>0</v>
      </c>
    </row>
    <row r="186" spans="1:39" x14ac:dyDescent="0.35">
      <c r="A186" t="s">
        <v>175</v>
      </c>
      <c r="B186" t="s">
        <v>337</v>
      </c>
      <c r="C186" t="s">
        <v>340</v>
      </c>
      <c r="D186" t="s">
        <v>315</v>
      </c>
      <c r="E186" t="s">
        <v>1299</v>
      </c>
      <c r="F186" t="s">
        <v>340</v>
      </c>
      <c r="H186" t="s">
        <v>67</v>
      </c>
      <c r="I186">
        <v>18835</v>
      </c>
      <c r="J186">
        <v>18483</v>
      </c>
      <c r="K186">
        <v>16030</v>
      </c>
      <c r="L186">
        <v>17571</v>
      </c>
      <c r="M186">
        <v>17328</v>
      </c>
      <c r="N186">
        <v>16916</v>
      </c>
      <c r="O186">
        <v>16866</v>
      </c>
      <c r="P186">
        <v>18385</v>
      </c>
      <c r="Q186">
        <v>16060</v>
      </c>
      <c r="R186">
        <v>15587</v>
      </c>
      <c r="S186">
        <v>15239</v>
      </c>
      <c r="T186">
        <v>14876</v>
      </c>
      <c r="U186">
        <v>14616</v>
      </c>
      <c r="V186">
        <v>14270</v>
      </c>
      <c r="W186">
        <v>0</v>
      </c>
      <c r="X186">
        <v>0</v>
      </c>
      <c r="Y186">
        <v>0</v>
      </c>
      <c r="Z186">
        <v>0</v>
      </c>
      <c r="AA186">
        <v>0</v>
      </c>
      <c r="AB186">
        <v>0</v>
      </c>
      <c r="AC186">
        <v>0</v>
      </c>
      <c r="AD186">
        <v>0</v>
      </c>
      <c r="AE186">
        <v>0</v>
      </c>
      <c r="AF186">
        <v>0</v>
      </c>
      <c r="AG186">
        <v>0</v>
      </c>
      <c r="AH186">
        <v>0</v>
      </c>
      <c r="AI186">
        <v>0</v>
      </c>
      <c r="AJ186">
        <v>0</v>
      </c>
      <c r="AK186">
        <v>0</v>
      </c>
      <c r="AL186">
        <v>0</v>
      </c>
      <c r="AM186">
        <v>0</v>
      </c>
    </row>
    <row r="187" spans="1:39" x14ac:dyDescent="0.35">
      <c r="A187" t="s">
        <v>175</v>
      </c>
      <c r="B187" t="s">
        <v>337</v>
      </c>
      <c r="C187" t="s">
        <v>340</v>
      </c>
      <c r="D187" t="s">
        <v>315</v>
      </c>
      <c r="E187" t="s">
        <v>1341</v>
      </c>
      <c r="F187" t="s">
        <v>340</v>
      </c>
      <c r="H187" t="s">
        <v>67</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row>
    <row r="188" spans="1:39" x14ac:dyDescent="0.35">
      <c r="A188" t="s">
        <v>175</v>
      </c>
      <c r="B188" t="s">
        <v>337</v>
      </c>
      <c r="C188" t="s">
        <v>340</v>
      </c>
      <c r="D188" t="s">
        <v>315</v>
      </c>
      <c r="E188" t="s">
        <v>27</v>
      </c>
      <c r="F188" t="s">
        <v>340</v>
      </c>
      <c r="H188" t="s">
        <v>67</v>
      </c>
      <c r="I188">
        <v>14668</v>
      </c>
      <c r="J188">
        <v>12144</v>
      </c>
      <c r="K188">
        <v>12000</v>
      </c>
      <c r="L188">
        <v>11191</v>
      </c>
      <c r="M188">
        <v>10300</v>
      </c>
      <c r="N188">
        <v>9498</v>
      </c>
      <c r="O188">
        <v>10903</v>
      </c>
      <c r="P188">
        <v>9900</v>
      </c>
      <c r="Q188">
        <v>9061</v>
      </c>
      <c r="R188">
        <v>14752</v>
      </c>
      <c r="S188">
        <v>12240</v>
      </c>
      <c r="T188">
        <v>12123</v>
      </c>
      <c r="U188">
        <v>11416</v>
      </c>
      <c r="V188">
        <v>10000</v>
      </c>
      <c r="W188">
        <v>0</v>
      </c>
      <c r="X188">
        <v>0</v>
      </c>
      <c r="Y188">
        <v>0</v>
      </c>
      <c r="Z188">
        <v>0</v>
      </c>
      <c r="AA188">
        <v>0</v>
      </c>
      <c r="AB188">
        <v>0</v>
      </c>
      <c r="AC188">
        <v>0</v>
      </c>
      <c r="AD188">
        <v>0</v>
      </c>
      <c r="AE188">
        <v>0</v>
      </c>
      <c r="AF188">
        <v>0</v>
      </c>
      <c r="AG188">
        <v>0</v>
      </c>
      <c r="AH188">
        <v>0</v>
      </c>
      <c r="AI188">
        <v>0</v>
      </c>
      <c r="AJ188">
        <v>0</v>
      </c>
      <c r="AK188">
        <v>0</v>
      </c>
      <c r="AL188">
        <v>0</v>
      </c>
      <c r="AM188">
        <v>0</v>
      </c>
    </row>
    <row r="189" spans="1:39" x14ac:dyDescent="0.35">
      <c r="A189" t="s">
        <v>175</v>
      </c>
      <c r="B189" t="s">
        <v>337</v>
      </c>
      <c r="C189" t="s">
        <v>340</v>
      </c>
      <c r="D189" t="s">
        <v>315</v>
      </c>
      <c r="E189" t="s">
        <v>486</v>
      </c>
      <c r="F189" t="s">
        <v>340</v>
      </c>
      <c r="H189" t="s">
        <v>67</v>
      </c>
      <c r="I189">
        <v>0</v>
      </c>
      <c r="J189">
        <v>31453</v>
      </c>
      <c r="K189">
        <v>28591</v>
      </c>
      <c r="L189">
        <v>32156</v>
      </c>
      <c r="M189">
        <v>29447</v>
      </c>
      <c r="N189">
        <v>29340</v>
      </c>
      <c r="O189">
        <v>29048</v>
      </c>
      <c r="P189">
        <v>28516</v>
      </c>
      <c r="Q189">
        <v>28292</v>
      </c>
      <c r="R189">
        <v>27767</v>
      </c>
      <c r="S189">
        <v>27340</v>
      </c>
      <c r="T189">
        <v>26915</v>
      </c>
      <c r="U189">
        <v>26579</v>
      </c>
      <c r="V189">
        <v>26238</v>
      </c>
      <c r="W189">
        <v>0</v>
      </c>
      <c r="X189">
        <v>0</v>
      </c>
      <c r="Y189">
        <v>0</v>
      </c>
      <c r="Z189">
        <v>0</v>
      </c>
      <c r="AA189">
        <v>0</v>
      </c>
      <c r="AB189">
        <v>0</v>
      </c>
      <c r="AC189">
        <v>0</v>
      </c>
      <c r="AD189">
        <v>0</v>
      </c>
      <c r="AE189">
        <v>0</v>
      </c>
      <c r="AF189">
        <v>0</v>
      </c>
      <c r="AG189">
        <v>0</v>
      </c>
      <c r="AH189">
        <v>0</v>
      </c>
      <c r="AI189">
        <v>0</v>
      </c>
      <c r="AJ189">
        <v>0</v>
      </c>
      <c r="AK189">
        <v>0</v>
      </c>
      <c r="AL189">
        <v>0</v>
      </c>
      <c r="AM189">
        <v>0</v>
      </c>
    </row>
    <row r="190" spans="1:39" x14ac:dyDescent="0.35">
      <c r="A190" t="s">
        <v>175</v>
      </c>
      <c r="B190" t="s">
        <v>337</v>
      </c>
      <c r="C190" t="s">
        <v>340</v>
      </c>
      <c r="D190" t="s">
        <v>315</v>
      </c>
      <c r="E190" t="s">
        <v>1191</v>
      </c>
      <c r="F190" t="s">
        <v>340</v>
      </c>
      <c r="H190" t="s">
        <v>67</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row>
    <row r="191" spans="1:39" x14ac:dyDescent="0.35">
      <c r="A191" t="s">
        <v>175</v>
      </c>
      <c r="B191" t="s">
        <v>337</v>
      </c>
      <c r="C191" t="s">
        <v>340</v>
      </c>
      <c r="D191" t="s">
        <v>315</v>
      </c>
      <c r="E191" t="s">
        <v>541</v>
      </c>
      <c r="F191" t="s">
        <v>340</v>
      </c>
      <c r="H191" t="s">
        <v>67</v>
      </c>
      <c r="I191">
        <v>10546</v>
      </c>
      <c r="J191">
        <v>10994</v>
      </c>
      <c r="K191">
        <v>9850</v>
      </c>
      <c r="L191">
        <v>9017</v>
      </c>
      <c r="M191">
        <v>9881</v>
      </c>
      <c r="N191">
        <v>10281</v>
      </c>
      <c r="O191">
        <v>8704</v>
      </c>
      <c r="P191">
        <v>7874</v>
      </c>
      <c r="Q191">
        <v>7694</v>
      </c>
      <c r="R191">
        <v>10441</v>
      </c>
      <c r="S191">
        <v>10043</v>
      </c>
      <c r="T191">
        <v>10920</v>
      </c>
      <c r="U191">
        <v>10633</v>
      </c>
      <c r="V191">
        <v>10313</v>
      </c>
      <c r="W191">
        <v>0</v>
      </c>
      <c r="X191">
        <v>0</v>
      </c>
      <c r="Y191">
        <v>0</v>
      </c>
      <c r="Z191">
        <v>0</v>
      </c>
      <c r="AA191">
        <v>0</v>
      </c>
      <c r="AB191">
        <v>0</v>
      </c>
      <c r="AC191">
        <v>0</v>
      </c>
      <c r="AD191">
        <v>0</v>
      </c>
      <c r="AE191">
        <v>0</v>
      </c>
      <c r="AF191">
        <v>0</v>
      </c>
      <c r="AG191">
        <v>0</v>
      </c>
      <c r="AH191">
        <v>0</v>
      </c>
      <c r="AI191">
        <v>0</v>
      </c>
      <c r="AJ191">
        <v>0</v>
      </c>
      <c r="AK191">
        <v>0</v>
      </c>
      <c r="AL191">
        <v>0</v>
      </c>
      <c r="AM191">
        <v>0</v>
      </c>
    </row>
    <row r="192" spans="1:39" x14ac:dyDescent="0.35">
      <c r="A192" t="s">
        <v>175</v>
      </c>
      <c r="B192" t="s">
        <v>337</v>
      </c>
      <c r="C192" t="s">
        <v>340</v>
      </c>
      <c r="D192" t="s">
        <v>315</v>
      </c>
      <c r="E192" t="s">
        <v>920</v>
      </c>
      <c r="F192" t="s">
        <v>340</v>
      </c>
      <c r="H192" t="s">
        <v>67</v>
      </c>
      <c r="I192">
        <v>4948</v>
      </c>
      <c r="J192">
        <v>4002</v>
      </c>
      <c r="K192">
        <v>5650</v>
      </c>
      <c r="L192">
        <v>4675</v>
      </c>
      <c r="M192">
        <v>3943</v>
      </c>
      <c r="N192">
        <v>3066</v>
      </c>
      <c r="O192">
        <v>4958</v>
      </c>
      <c r="P192">
        <v>4350</v>
      </c>
      <c r="Q192">
        <v>3595</v>
      </c>
      <c r="R192">
        <v>5895</v>
      </c>
      <c r="S192">
        <v>4947</v>
      </c>
      <c r="T192">
        <v>4302</v>
      </c>
      <c r="U192">
        <v>3491</v>
      </c>
      <c r="V192">
        <v>3901</v>
      </c>
      <c r="W192">
        <v>0</v>
      </c>
      <c r="X192">
        <v>0</v>
      </c>
      <c r="Y192">
        <v>0</v>
      </c>
      <c r="Z192">
        <v>0</v>
      </c>
      <c r="AA192">
        <v>0</v>
      </c>
      <c r="AB192">
        <v>0</v>
      </c>
      <c r="AC192">
        <v>0</v>
      </c>
      <c r="AD192">
        <v>0</v>
      </c>
      <c r="AE192">
        <v>0</v>
      </c>
      <c r="AF192">
        <v>0</v>
      </c>
      <c r="AG192">
        <v>0</v>
      </c>
      <c r="AH192">
        <v>0</v>
      </c>
      <c r="AI192">
        <v>0</v>
      </c>
      <c r="AJ192">
        <v>0</v>
      </c>
      <c r="AK192">
        <v>0</v>
      </c>
      <c r="AL192">
        <v>0</v>
      </c>
      <c r="AM192">
        <v>0</v>
      </c>
    </row>
    <row r="193" spans="1:39" x14ac:dyDescent="0.35">
      <c r="A193" t="s">
        <v>175</v>
      </c>
      <c r="B193" t="s">
        <v>337</v>
      </c>
      <c r="C193" t="s">
        <v>340</v>
      </c>
      <c r="D193" t="s">
        <v>623</v>
      </c>
      <c r="E193" t="s">
        <v>923</v>
      </c>
      <c r="F193" t="s">
        <v>340</v>
      </c>
      <c r="H193" t="s">
        <v>67</v>
      </c>
      <c r="I193">
        <v>13</v>
      </c>
      <c r="J193">
        <v>13</v>
      </c>
      <c r="K193">
        <v>13</v>
      </c>
      <c r="L193">
        <v>120</v>
      </c>
      <c r="M193">
        <v>13</v>
      </c>
      <c r="N193">
        <v>13</v>
      </c>
      <c r="O193">
        <v>13</v>
      </c>
      <c r="P193">
        <v>13</v>
      </c>
      <c r="Q193">
        <v>13</v>
      </c>
      <c r="R193">
        <v>123</v>
      </c>
      <c r="S193">
        <v>123</v>
      </c>
      <c r="T193">
        <v>123</v>
      </c>
      <c r="U193">
        <v>123</v>
      </c>
      <c r="V193">
        <v>13</v>
      </c>
      <c r="W193">
        <v>0</v>
      </c>
      <c r="X193">
        <v>0</v>
      </c>
      <c r="Y193">
        <v>0</v>
      </c>
      <c r="Z193">
        <v>0</v>
      </c>
      <c r="AA193">
        <v>0</v>
      </c>
      <c r="AB193">
        <v>0</v>
      </c>
      <c r="AC193">
        <v>0</v>
      </c>
      <c r="AD193">
        <v>0</v>
      </c>
      <c r="AE193">
        <v>0</v>
      </c>
      <c r="AF193">
        <v>0</v>
      </c>
      <c r="AG193">
        <v>0</v>
      </c>
      <c r="AH193">
        <v>0</v>
      </c>
      <c r="AI193">
        <v>0</v>
      </c>
      <c r="AJ193">
        <v>0</v>
      </c>
      <c r="AK193">
        <v>0</v>
      </c>
      <c r="AL193">
        <v>0</v>
      </c>
      <c r="AM193">
        <v>0</v>
      </c>
    </row>
    <row r="194" spans="1:39" x14ac:dyDescent="0.35">
      <c r="A194" t="s">
        <v>175</v>
      </c>
      <c r="B194" t="s">
        <v>337</v>
      </c>
      <c r="C194" t="s">
        <v>340</v>
      </c>
      <c r="D194" t="s">
        <v>623</v>
      </c>
      <c r="E194" t="s">
        <v>606</v>
      </c>
      <c r="F194" t="s">
        <v>340</v>
      </c>
      <c r="H194" t="s">
        <v>67</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row>
    <row r="195" spans="1:39" x14ac:dyDescent="0.35">
      <c r="A195" t="s">
        <v>175</v>
      </c>
      <c r="B195" t="s">
        <v>337</v>
      </c>
      <c r="C195" t="s">
        <v>340</v>
      </c>
      <c r="D195" t="s">
        <v>623</v>
      </c>
      <c r="E195" t="s">
        <v>8</v>
      </c>
      <c r="F195" t="s">
        <v>340</v>
      </c>
      <c r="H195" t="s">
        <v>67</v>
      </c>
      <c r="I195">
        <v>4500</v>
      </c>
      <c r="J195">
        <v>4400</v>
      </c>
      <c r="K195">
        <v>4400</v>
      </c>
      <c r="L195">
        <v>4500</v>
      </c>
      <c r="M195">
        <v>4500</v>
      </c>
      <c r="N195">
        <v>4500</v>
      </c>
      <c r="O195">
        <v>4500</v>
      </c>
      <c r="P195">
        <v>4500</v>
      </c>
      <c r="Q195">
        <v>4500</v>
      </c>
      <c r="R195">
        <v>4400</v>
      </c>
      <c r="S195">
        <v>4400</v>
      </c>
      <c r="T195">
        <v>4400</v>
      </c>
      <c r="U195">
        <v>4400</v>
      </c>
      <c r="V195">
        <v>4500</v>
      </c>
      <c r="W195">
        <v>0</v>
      </c>
      <c r="X195">
        <v>0</v>
      </c>
      <c r="Y195">
        <v>0</v>
      </c>
      <c r="Z195">
        <v>0</v>
      </c>
      <c r="AA195">
        <v>0</v>
      </c>
      <c r="AB195">
        <v>0</v>
      </c>
      <c r="AC195">
        <v>0</v>
      </c>
      <c r="AD195">
        <v>0</v>
      </c>
      <c r="AE195">
        <v>0</v>
      </c>
      <c r="AF195">
        <v>0</v>
      </c>
      <c r="AG195">
        <v>0</v>
      </c>
      <c r="AH195">
        <v>0</v>
      </c>
      <c r="AI195">
        <v>0</v>
      </c>
      <c r="AJ195">
        <v>0</v>
      </c>
      <c r="AK195">
        <v>0</v>
      </c>
      <c r="AL195">
        <v>0</v>
      </c>
      <c r="AM195">
        <v>0</v>
      </c>
    </row>
    <row r="196" spans="1:39" x14ac:dyDescent="0.35">
      <c r="A196" t="s">
        <v>175</v>
      </c>
      <c r="B196" t="s">
        <v>337</v>
      </c>
      <c r="C196" t="s">
        <v>340</v>
      </c>
      <c r="D196" t="s">
        <v>623</v>
      </c>
      <c r="E196" t="s">
        <v>9</v>
      </c>
      <c r="F196" t="s">
        <v>340</v>
      </c>
      <c r="H196" t="s">
        <v>556</v>
      </c>
      <c r="I196">
        <v>25</v>
      </c>
      <c r="J196">
        <v>25</v>
      </c>
      <c r="K196">
        <v>25</v>
      </c>
      <c r="L196">
        <v>25</v>
      </c>
      <c r="M196">
        <v>25</v>
      </c>
      <c r="N196">
        <v>25</v>
      </c>
      <c r="O196">
        <v>25</v>
      </c>
      <c r="P196">
        <v>25</v>
      </c>
      <c r="Q196">
        <v>25</v>
      </c>
      <c r="R196">
        <v>25</v>
      </c>
      <c r="S196">
        <v>25</v>
      </c>
      <c r="T196">
        <v>25</v>
      </c>
      <c r="U196">
        <v>25</v>
      </c>
      <c r="V196">
        <v>25</v>
      </c>
      <c r="W196">
        <v>0</v>
      </c>
      <c r="X196">
        <v>0</v>
      </c>
      <c r="Y196">
        <v>0</v>
      </c>
      <c r="Z196">
        <v>0</v>
      </c>
      <c r="AA196">
        <v>0</v>
      </c>
      <c r="AB196">
        <v>0</v>
      </c>
      <c r="AC196">
        <v>0</v>
      </c>
      <c r="AD196">
        <v>0</v>
      </c>
      <c r="AE196">
        <v>0</v>
      </c>
      <c r="AF196">
        <v>0</v>
      </c>
      <c r="AG196">
        <v>0</v>
      </c>
      <c r="AH196">
        <v>0</v>
      </c>
      <c r="AI196">
        <v>0</v>
      </c>
      <c r="AJ196">
        <v>0</v>
      </c>
      <c r="AK196">
        <v>0</v>
      </c>
      <c r="AL196">
        <v>0</v>
      </c>
      <c r="AM196">
        <v>0</v>
      </c>
    </row>
    <row r="197" spans="1:39" x14ac:dyDescent="0.35">
      <c r="A197" t="s">
        <v>175</v>
      </c>
      <c r="B197" t="s">
        <v>337</v>
      </c>
      <c r="C197" t="s">
        <v>340</v>
      </c>
      <c r="D197" t="s">
        <v>623</v>
      </c>
      <c r="E197" t="s">
        <v>11</v>
      </c>
      <c r="F197" t="s">
        <v>340</v>
      </c>
      <c r="H197" t="s">
        <v>556</v>
      </c>
      <c r="I197">
        <v>93</v>
      </c>
      <c r="J197">
        <v>91</v>
      </c>
      <c r="K197">
        <v>80</v>
      </c>
      <c r="L197">
        <v>88</v>
      </c>
      <c r="M197">
        <v>73</v>
      </c>
      <c r="N197">
        <v>86</v>
      </c>
      <c r="O197">
        <v>82</v>
      </c>
      <c r="P197">
        <v>82</v>
      </c>
      <c r="Q197">
        <v>79</v>
      </c>
      <c r="R197">
        <v>78</v>
      </c>
      <c r="S197">
        <v>78</v>
      </c>
      <c r="T197">
        <v>76</v>
      </c>
      <c r="U197">
        <v>76</v>
      </c>
      <c r="V197">
        <v>74</v>
      </c>
      <c r="W197">
        <v>0</v>
      </c>
      <c r="X197">
        <v>0</v>
      </c>
      <c r="Y197">
        <v>0</v>
      </c>
      <c r="Z197">
        <v>0</v>
      </c>
      <c r="AA197">
        <v>0</v>
      </c>
      <c r="AB197">
        <v>0</v>
      </c>
      <c r="AC197">
        <v>0</v>
      </c>
      <c r="AD197">
        <v>0</v>
      </c>
      <c r="AE197">
        <v>0</v>
      </c>
      <c r="AF197">
        <v>0</v>
      </c>
      <c r="AG197">
        <v>0</v>
      </c>
      <c r="AH197">
        <v>0</v>
      </c>
      <c r="AI197">
        <v>0</v>
      </c>
      <c r="AJ197">
        <v>0</v>
      </c>
      <c r="AK197">
        <v>0</v>
      </c>
      <c r="AL197">
        <v>0</v>
      </c>
      <c r="AM197">
        <v>0</v>
      </c>
    </row>
    <row r="198" spans="1:39" x14ac:dyDescent="0.35">
      <c r="A198" t="s">
        <v>175</v>
      </c>
      <c r="B198" t="s">
        <v>337</v>
      </c>
      <c r="C198" t="s">
        <v>340</v>
      </c>
      <c r="D198" t="s">
        <v>623</v>
      </c>
      <c r="E198" t="s">
        <v>12</v>
      </c>
      <c r="F198" t="s">
        <v>340</v>
      </c>
      <c r="H198" t="s">
        <v>556</v>
      </c>
      <c r="I198">
        <v>64</v>
      </c>
      <c r="J198">
        <v>59</v>
      </c>
      <c r="K198">
        <v>58</v>
      </c>
      <c r="L198">
        <v>57</v>
      </c>
      <c r="M198">
        <v>80</v>
      </c>
      <c r="N198">
        <v>55</v>
      </c>
      <c r="O198">
        <v>53</v>
      </c>
      <c r="P198">
        <v>59</v>
      </c>
      <c r="Q198">
        <v>51</v>
      </c>
      <c r="R198">
        <v>48</v>
      </c>
      <c r="S198">
        <v>49</v>
      </c>
      <c r="T198">
        <v>46</v>
      </c>
      <c r="U198">
        <v>42</v>
      </c>
      <c r="V198">
        <v>52</v>
      </c>
      <c r="W198">
        <v>0</v>
      </c>
      <c r="X198">
        <v>0</v>
      </c>
      <c r="Y198">
        <v>0</v>
      </c>
      <c r="Z198">
        <v>0</v>
      </c>
      <c r="AA198">
        <v>0</v>
      </c>
      <c r="AB198">
        <v>0</v>
      </c>
      <c r="AC198">
        <v>0</v>
      </c>
      <c r="AD198">
        <v>0</v>
      </c>
      <c r="AE198">
        <v>0</v>
      </c>
      <c r="AF198">
        <v>0</v>
      </c>
      <c r="AG198">
        <v>0</v>
      </c>
      <c r="AH198">
        <v>0</v>
      </c>
      <c r="AI198">
        <v>0</v>
      </c>
      <c r="AJ198">
        <v>0</v>
      </c>
      <c r="AK198">
        <v>0</v>
      </c>
      <c r="AL198">
        <v>0</v>
      </c>
      <c r="AM198">
        <v>0</v>
      </c>
    </row>
    <row r="199" spans="1:39" x14ac:dyDescent="0.35">
      <c r="A199" t="s">
        <v>175</v>
      </c>
      <c r="B199" t="s">
        <v>337</v>
      </c>
      <c r="C199" t="s">
        <v>340</v>
      </c>
      <c r="D199" t="s">
        <v>623</v>
      </c>
      <c r="E199" t="s">
        <v>13</v>
      </c>
      <c r="F199" t="s">
        <v>340</v>
      </c>
      <c r="H199" t="s">
        <v>556</v>
      </c>
      <c r="I199">
        <v>115</v>
      </c>
      <c r="J199">
        <v>112</v>
      </c>
      <c r="K199">
        <v>109</v>
      </c>
      <c r="L199">
        <v>107</v>
      </c>
      <c r="M199">
        <v>105</v>
      </c>
      <c r="N199">
        <v>105</v>
      </c>
      <c r="O199">
        <v>103</v>
      </c>
      <c r="P199">
        <v>99</v>
      </c>
      <c r="Q199">
        <v>99</v>
      </c>
      <c r="R199">
        <v>94</v>
      </c>
      <c r="S199">
        <v>94</v>
      </c>
      <c r="T199">
        <v>91</v>
      </c>
      <c r="U199">
        <v>91</v>
      </c>
      <c r="V199">
        <v>85</v>
      </c>
      <c r="W199">
        <v>0</v>
      </c>
      <c r="X199">
        <v>0</v>
      </c>
      <c r="Y199">
        <v>0</v>
      </c>
      <c r="Z199">
        <v>0</v>
      </c>
      <c r="AA199">
        <v>0</v>
      </c>
      <c r="AB199">
        <v>0</v>
      </c>
      <c r="AC199">
        <v>0</v>
      </c>
      <c r="AD199">
        <v>0</v>
      </c>
      <c r="AE199">
        <v>0</v>
      </c>
      <c r="AF199">
        <v>0</v>
      </c>
      <c r="AG199">
        <v>0</v>
      </c>
      <c r="AH199">
        <v>0</v>
      </c>
      <c r="AI199">
        <v>0</v>
      </c>
      <c r="AJ199">
        <v>0</v>
      </c>
      <c r="AK199">
        <v>0</v>
      </c>
      <c r="AL199">
        <v>0</v>
      </c>
      <c r="AM199">
        <v>0</v>
      </c>
    </row>
    <row r="200" spans="1:39" x14ac:dyDescent="0.35">
      <c r="A200" t="s">
        <v>175</v>
      </c>
      <c r="B200" t="s">
        <v>337</v>
      </c>
      <c r="C200" t="s">
        <v>340</v>
      </c>
      <c r="D200" t="s">
        <v>623</v>
      </c>
      <c r="E200" t="s">
        <v>14</v>
      </c>
      <c r="F200" t="s">
        <v>340</v>
      </c>
      <c r="H200" t="s">
        <v>556</v>
      </c>
      <c r="I200">
        <v>165</v>
      </c>
      <c r="J200">
        <v>143</v>
      </c>
      <c r="K200">
        <v>137</v>
      </c>
      <c r="L200">
        <v>155</v>
      </c>
      <c r="M200">
        <v>152</v>
      </c>
      <c r="N200">
        <v>150</v>
      </c>
      <c r="O200">
        <v>146</v>
      </c>
      <c r="P200">
        <v>152</v>
      </c>
      <c r="Q200">
        <v>141</v>
      </c>
      <c r="R200">
        <v>140</v>
      </c>
      <c r="S200">
        <v>139</v>
      </c>
      <c r="T200">
        <v>121</v>
      </c>
      <c r="U200">
        <v>136</v>
      </c>
      <c r="V200">
        <v>123</v>
      </c>
      <c r="W200">
        <v>0</v>
      </c>
      <c r="X200">
        <v>0</v>
      </c>
      <c r="Y200">
        <v>0</v>
      </c>
      <c r="Z200">
        <v>0</v>
      </c>
      <c r="AA200">
        <v>0</v>
      </c>
      <c r="AB200">
        <v>0</v>
      </c>
      <c r="AC200">
        <v>0</v>
      </c>
      <c r="AD200">
        <v>0</v>
      </c>
      <c r="AE200">
        <v>0</v>
      </c>
      <c r="AF200">
        <v>0</v>
      </c>
      <c r="AG200">
        <v>0</v>
      </c>
      <c r="AH200">
        <v>0</v>
      </c>
      <c r="AI200">
        <v>0</v>
      </c>
      <c r="AJ200">
        <v>0</v>
      </c>
      <c r="AK200">
        <v>0</v>
      </c>
      <c r="AL200">
        <v>0</v>
      </c>
      <c r="AM200">
        <v>0</v>
      </c>
    </row>
    <row r="201" spans="1:39" x14ac:dyDescent="0.35">
      <c r="A201" t="s">
        <v>175</v>
      </c>
      <c r="B201" t="s">
        <v>337</v>
      </c>
      <c r="C201" t="s">
        <v>340</v>
      </c>
      <c r="D201" t="s">
        <v>623</v>
      </c>
      <c r="E201" t="s">
        <v>636</v>
      </c>
      <c r="F201" t="s">
        <v>340</v>
      </c>
      <c r="H201" t="s">
        <v>67</v>
      </c>
      <c r="I201">
        <v>48448</v>
      </c>
      <c r="J201">
        <v>41925</v>
      </c>
      <c r="K201">
        <v>39600</v>
      </c>
      <c r="L201">
        <v>27293</v>
      </c>
      <c r="M201">
        <v>37323</v>
      </c>
      <c r="N201">
        <v>31452</v>
      </c>
      <c r="O201">
        <v>25924</v>
      </c>
      <c r="P201">
        <v>44896</v>
      </c>
      <c r="Q201">
        <v>40354</v>
      </c>
      <c r="R201">
        <v>33600</v>
      </c>
      <c r="S201">
        <v>25088</v>
      </c>
      <c r="T201">
        <v>20578</v>
      </c>
      <c r="U201">
        <v>17024</v>
      </c>
      <c r="V201">
        <v>11488</v>
      </c>
      <c r="W201">
        <v>0</v>
      </c>
      <c r="X201">
        <v>0</v>
      </c>
      <c r="Y201">
        <v>0</v>
      </c>
      <c r="Z201">
        <v>0</v>
      </c>
      <c r="AA201">
        <v>0</v>
      </c>
      <c r="AB201">
        <v>0</v>
      </c>
      <c r="AC201">
        <v>0</v>
      </c>
      <c r="AD201">
        <v>0</v>
      </c>
      <c r="AE201">
        <v>0</v>
      </c>
      <c r="AF201">
        <v>0</v>
      </c>
      <c r="AG201">
        <v>0</v>
      </c>
      <c r="AH201">
        <v>0</v>
      </c>
      <c r="AI201">
        <v>0</v>
      </c>
      <c r="AJ201">
        <v>0</v>
      </c>
      <c r="AK201">
        <v>0</v>
      </c>
      <c r="AL201">
        <v>0</v>
      </c>
      <c r="AM201">
        <v>0</v>
      </c>
    </row>
    <row r="202" spans="1:39" x14ac:dyDescent="0.35">
      <c r="A202" t="s">
        <v>175</v>
      </c>
      <c r="B202" t="s">
        <v>337</v>
      </c>
      <c r="C202" t="s">
        <v>340</v>
      </c>
      <c r="D202" t="s">
        <v>623</v>
      </c>
      <c r="E202" t="s">
        <v>921</v>
      </c>
      <c r="F202" t="s">
        <v>340</v>
      </c>
      <c r="H202" t="s">
        <v>67</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row>
    <row r="203" spans="1:39" x14ac:dyDescent="0.35">
      <c r="A203" t="s">
        <v>175</v>
      </c>
      <c r="B203" t="s">
        <v>337</v>
      </c>
      <c r="C203" t="s">
        <v>340</v>
      </c>
      <c r="D203" t="s">
        <v>623</v>
      </c>
      <c r="E203" t="s">
        <v>21</v>
      </c>
      <c r="F203" t="s">
        <v>340</v>
      </c>
      <c r="H203" t="s">
        <v>556</v>
      </c>
      <c r="I203">
        <v>76</v>
      </c>
      <c r="J203">
        <v>76</v>
      </c>
      <c r="K203">
        <v>76</v>
      </c>
      <c r="L203">
        <v>76</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row>
    <row r="204" spans="1:39" x14ac:dyDescent="0.35">
      <c r="A204" t="s">
        <v>175</v>
      </c>
      <c r="B204" t="s">
        <v>337</v>
      </c>
      <c r="C204" t="s">
        <v>340</v>
      </c>
      <c r="D204" t="s">
        <v>623</v>
      </c>
      <c r="E204" t="s">
        <v>22</v>
      </c>
      <c r="F204" t="s">
        <v>340</v>
      </c>
      <c r="H204" t="s">
        <v>556</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row>
    <row r="205" spans="1:39" x14ac:dyDescent="0.35">
      <c r="A205" t="s">
        <v>175</v>
      </c>
      <c r="B205" t="s">
        <v>337</v>
      </c>
      <c r="C205" t="s">
        <v>340</v>
      </c>
      <c r="D205" t="s">
        <v>623</v>
      </c>
      <c r="E205" t="s">
        <v>23</v>
      </c>
      <c r="F205" t="s">
        <v>340</v>
      </c>
      <c r="H205" t="s">
        <v>556</v>
      </c>
      <c r="I205">
        <v>19</v>
      </c>
      <c r="J205">
        <v>19</v>
      </c>
      <c r="K205">
        <v>18</v>
      </c>
      <c r="L205">
        <v>18</v>
      </c>
      <c r="M205">
        <v>18</v>
      </c>
      <c r="N205">
        <v>18</v>
      </c>
      <c r="O205">
        <v>17</v>
      </c>
      <c r="P205">
        <v>19</v>
      </c>
      <c r="Q205">
        <v>19</v>
      </c>
      <c r="R205">
        <v>19</v>
      </c>
      <c r="S205">
        <v>19</v>
      </c>
      <c r="T205">
        <v>19</v>
      </c>
      <c r="U205">
        <v>19</v>
      </c>
      <c r="V205">
        <v>19</v>
      </c>
      <c r="W205">
        <v>0</v>
      </c>
      <c r="X205">
        <v>0</v>
      </c>
      <c r="Y205">
        <v>0</v>
      </c>
      <c r="Z205">
        <v>0</v>
      </c>
      <c r="AA205">
        <v>0</v>
      </c>
      <c r="AB205">
        <v>0</v>
      </c>
      <c r="AC205">
        <v>0</v>
      </c>
      <c r="AD205">
        <v>0</v>
      </c>
      <c r="AE205">
        <v>0</v>
      </c>
      <c r="AF205">
        <v>0</v>
      </c>
      <c r="AG205">
        <v>0</v>
      </c>
      <c r="AH205">
        <v>0</v>
      </c>
      <c r="AI205">
        <v>0</v>
      </c>
      <c r="AJ205">
        <v>0</v>
      </c>
      <c r="AK205">
        <v>0</v>
      </c>
      <c r="AL205">
        <v>0</v>
      </c>
      <c r="AM205">
        <v>0</v>
      </c>
    </row>
    <row r="206" spans="1:39" x14ac:dyDescent="0.35">
      <c r="A206" t="s">
        <v>175</v>
      </c>
      <c r="B206" t="s">
        <v>335</v>
      </c>
      <c r="C206" t="s">
        <v>335</v>
      </c>
      <c r="D206" t="s">
        <v>315</v>
      </c>
      <c r="E206" t="s">
        <v>922</v>
      </c>
      <c r="F206" t="s">
        <v>173</v>
      </c>
      <c r="H206" t="s">
        <v>67</v>
      </c>
      <c r="I206">
        <v>5728</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row>
    <row r="207" spans="1:39" x14ac:dyDescent="0.35">
      <c r="A207" t="s">
        <v>175</v>
      </c>
      <c r="B207" t="s">
        <v>335</v>
      </c>
      <c r="C207" t="s">
        <v>335</v>
      </c>
      <c r="D207" t="s">
        <v>315</v>
      </c>
      <c r="E207" t="s">
        <v>919</v>
      </c>
      <c r="F207" t="s">
        <v>173</v>
      </c>
      <c r="H207" t="s">
        <v>67</v>
      </c>
      <c r="I207">
        <v>5628</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row>
    <row r="208" spans="1:39" x14ac:dyDescent="0.35">
      <c r="A208" t="s">
        <v>175</v>
      </c>
      <c r="B208" t="s">
        <v>335</v>
      </c>
      <c r="C208" t="s">
        <v>335</v>
      </c>
      <c r="D208" t="s">
        <v>315</v>
      </c>
      <c r="E208" t="s">
        <v>1342</v>
      </c>
      <c r="F208" t="s">
        <v>173</v>
      </c>
      <c r="H208" t="s">
        <v>67</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row>
    <row r="209" spans="1:39" x14ac:dyDescent="0.35">
      <c r="A209" t="s">
        <v>175</v>
      </c>
      <c r="B209" t="s">
        <v>335</v>
      </c>
      <c r="C209" t="s">
        <v>335</v>
      </c>
      <c r="D209" t="s">
        <v>315</v>
      </c>
      <c r="E209" t="s">
        <v>554</v>
      </c>
      <c r="F209" t="s">
        <v>173</v>
      </c>
      <c r="H209" t="s">
        <v>67</v>
      </c>
      <c r="I209">
        <v>17000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row>
    <row r="210" spans="1:39" x14ac:dyDescent="0.35">
      <c r="A210" t="s">
        <v>175</v>
      </c>
      <c r="B210" t="s">
        <v>335</v>
      </c>
      <c r="C210" t="s">
        <v>335</v>
      </c>
      <c r="D210" t="s">
        <v>315</v>
      </c>
      <c r="E210" t="s">
        <v>10</v>
      </c>
      <c r="F210" t="s">
        <v>173</v>
      </c>
      <c r="H210" t="s">
        <v>556</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row>
    <row r="211" spans="1:39" x14ac:dyDescent="0.35">
      <c r="A211" t="s">
        <v>175</v>
      </c>
      <c r="B211" t="s">
        <v>335</v>
      </c>
      <c r="C211" t="s">
        <v>335</v>
      </c>
      <c r="D211" t="s">
        <v>315</v>
      </c>
      <c r="E211" t="s">
        <v>503</v>
      </c>
      <c r="F211" t="s">
        <v>173</v>
      </c>
      <c r="H211" t="s">
        <v>150</v>
      </c>
      <c r="I211">
        <v>4100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row>
    <row r="212" spans="1:39" x14ac:dyDescent="0.35">
      <c r="A212" t="s">
        <v>175</v>
      </c>
      <c r="B212" t="s">
        <v>335</v>
      </c>
      <c r="C212" t="s">
        <v>335</v>
      </c>
      <c r="D212" t="s">
        <v>315</v>
      </c>
      <c r="E212" t="s">
        <v>499</v>
      </c>
      <c r="F212" t="s">
        <v>173</v>
      </c>
      <c r="H212" t="s">
        <v>67</v>
      </c>
      <c r="I212">
        <v>11000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row>
    <row r="213" spans="1:39" x14ac:dyDescent="0.35">
      <c r="A213" t="s">
        <v>175</v>
      </c>
      <c r="B213" t="s">
        <v>335</v>
      </c>
      <c r="C213" t="s">
        <v>335</v>
      </c>
      <c r="D213" t="s">
        <v>315</v>
      </c>
      <c r="E213" t="s">
        <v>488</v>
      </c>
      <c r="F213" t="s">
        <v>173</v>
      </c>
      <c r="H213" t="s">
        <v>67</v>
      </c>
      <c r="I213">
        <v>14911</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row>
    <row r="214" spans="1:39" x14ac:dyDescent="0.35">
      <c r="A214" t="s">
        <v>175</v>
      </c>
      <c r="B214" t="s">
        <v>335</v>
      </c>
      <c r="C214" t="s">
        <v>335</v>
      </c>
      <c r="D214" t="s">
        <v>315</v>
      </c>
      <c r="E214" t="s">
        <v>485</v>
      </c>
      <c r="F214" t="s">
        <v>173</v>
      </c>
      <c r="H214" t="s">
        <v>67</v>
      </c>
      <c r="I214">
        <v>5008</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row>
    <row r="215" spans="1:39" x14ac:dyDescent="0.35">
      <c r="A215" t="s">
        <v>175</v>
      </c>
      <c r="B215" t="s">
        <v>335</v>
      </c>
      <c r="C215" t="s">
        <v>335</v>
      </c>
      <c r="D215" t="s">
        <v>315</v>
      </c>
      <c r="E215" t="s">
        <v>504</v>
      </c>
      <c r="F215" t="s">
        <v>173</v>
      </c>
      <c r="H215" t="s">
        <v>67</v>
      </c>
      <c r="I215">
        <v>27000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row>
    <row r="216" spans="1:39" x14ac:dyDescent="0.35">
      <c r="A216" t="s">
        <v>175</v>
      </c>
      <c r="B216" t="s">
        <v>335</v>
      </c>
      <c r="C216" t="s">
        <v>335</v>
      </c>
      <c r="D216" t="s">
        <v>315</v>
      </c>
      <c r="E216" t="s">
        <v>1340</v>
      </c>
      <c r="F216" t="s">
        <v>173</v>
      </c>
      <c r="H216" t="s">
        <v>67</v>
      </c>
      <c r="I216">
        <v>79300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row>
    <row r="217" spans="1:39" x14ac:dyDescent="0.35">
      <c r="A217" t="s">
        <v>175</v>
      </c>
      <c r="B217" t="s">
        <v>335</v>
      </c>
      <c r="C217" t="s">
        <v>335</v>
      </c>
      <c r="D217" t="s">
        <v>315</v>
      </c>
      <c r="E217" t="s">
        <v>505</v>
      </c>
      <c r="F217" t="s">
        <v>173</v>
      </c>
      <c r="H217" t="s">
        <v>150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row>
    <row r="218" spans="1:39" x14ac:dyDescent="0.35">
      <c r="A218" t="s">
        <v>175</v>
      </c>
      <c r="B218" t="s">
        <v>335</v>
      </c>
      <c r="C218" t="s">
        <v>335</v>
      </c>
      <c r="D218" t="s">
        <v>315</v>
      </c>
      <c r="E218" t="s">
        <v>512</v>
      </c>
      <c r="F218" t="s">
        <v>173</v>
      </c>
      <c r="H218" t="s">
        <v>150</v>
      </c>
      <c r="I218">
        <v>1500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row>
    <row r="219" spans="1:39" x14ac:dyDescent="0.35">
      <c r="A219" t="s">
        <v>175</v>
      </c>
      <c r="B219" t="s">
        <v>335</v>
      </c>
      <c r="C219" t="s">
        <v>335</v>
      </c>
      <c r="D219" t="s">
        <v>315</v>
      </c>
      <c r="E219" t="s">
        <v>26</v>
      </c>
      <c r="F219" t="s">
        <v>173</v>
      </c>
      <c r="H219" t="s">
        <v>35</v>
      </c>
      <c r="I219">
        <v>9024</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row>
    <row r="220" spans="1:39" x14ac:dyDescent="0.35">
      <c r="A220" t="s">
        <v>175</v>
      </c>
      <c r="B220" t="s">
        <v>335</v>
      </c>
      <c r="C220" t="s">
        <v>335</v>
      </c>
      <c r="D220" t="s">
        <v>315</v>
      </c>
      <c r="E220" t="s">
        <v>1299</v>
      </c>
      <c r="F220" t="s">
        <v>173</v>
      </c>
      <c r="H220" t="s">
        <v>67</v>
      </c>
      <c r="I220">
        <v>21178</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row>
    <row r="221" spans="1:39" x14ac:dyDescent="0.35">
      <c r="A221" t="s">
        <v>175</v>
      </c>
      <c r="B221" t="s">
        <v>335</v>
      </c>
      <c r="C221" t="s">
        <v>335</v>
      </c>
      <c r="D221" t="s">
        <v>315</v>
      </c>
      <c r="E221" t="s">
        <v>1341</v>
      </c>
      <c r="F221" t="s">
        <v>173</v>
      </c>
      <c r="H221" t="s">
        <v>67</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row>
    <row r="222" spans="1:39" x14ac:dyDescent="0.35">
      <c r="A222" t="s">
        <v>175</v>
      </c>
      <c r="B222" t="s">
        <v>335</v>
      </c>
      <c r="C222" t="s">
        <v>335</v>
      </c>
      <c r="D222" t="s">
        <v>315</v>
      </c>
      <c r="E222" t="s">
        <v>27</v>
      </c>
      <c r="F222" t="s">
        <v>173</v>
      </c>
      <c r="H222" t="s">
        <v>67</v>
      </c>
      <c r="I222">
        <v>15540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row>
    <row r="223" spans="1:39" x14ac:dyDescent="0.35">
      <c r="A223" t="s">
        <v>175</v>
      </c>
      <c r="B223" t="s">
        <v>335</v>
      </c>
      <c r="C223" t="s">
        <v>335</v>
      </c>
      <c r="D223" t="s">
        <v>315</v>
      </c>
      <c r="E223" t="s">
        <v>486</v>
      </c>
      <c r="F223" t="s">
        <v>173</v>
      </c>
      <c r="H223" t="s">
        <v>67</v>
      </c>
      <c r="I223">
        <v>32666</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row>
    <row r="224" spans="1:39" x14ac:dyDescent="0.35">
      <c r="A224" t="s">
        <v>175</v>
      </c>
      <c r="B224" t="s">
        <v>335</v>
      </c>
      <c r="C224" t="s">
        <v>335</v>
      </c>
      <c r="D224" t="s">
        <v>315</v>
      </c>
      <c r="E224" t="s">
        <v>1191</v>
      </c>
      <c r="F224" t="s">
        <v>173</v>
      </c>
      <c r="H224" t="s">
        <v>67</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row>
    <row r="225" spans="1:39" x14ac:dyDescent="0.35">
      <c r="A225" t="s">
        <v>175</v>
      </c>
      <c r="B225" t="s">
        <v>335</v>
      </c>
      <c r="C225" t="s">
        <v>335</v>
      </c>
      <c r="D225" t="s">
        <v>315</v>
      </c>
      <c r="E225" t="s">
        <v>541</v>
      </c>
      <c r="F225" t="s">
        <v>173</v>
      </c>
      <c r="H225" t="s">
        <v>67</v>
      </c>
      <c r="I225">
        <v>12372</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row>
    <row r="226" spans="1:39" x14ac:dyDescent="0.35">
      <c r="A226" t="s">
        <v>175</v>
      </c>
      <c r="B226" t="s">
        <v>335</v>
      </c>
      <c r="C226" t="s">
        <v>335</v>
      </c>
      <c r="D226" t="s">
        <v>315</v>
      </c>
      <c r="E226" t="s">
        <v>920</v>
      </c>
      <c r="F226" t="s">
        <v>173</v>
      </c>
      <c r="H226" t="s">
        <v>67</v>
      </c>
      <c r="I226">
        <v>5623</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row>
    <row r="227" spans="1:39" x14ac:dyDescent="0.35">
      <c r="A227" t="s">
        <v>175</v>
      </c>
      <c r="B227" t="s">
        <v>335</v>
      </c>
      <c r="C227" t="s">
        <v>335</v>
      </c>
      <c r="D227" t="s">
        <v>623</v>
      </c>
      <c r="E227" t="s">
        <v>923</v>
      </c>
      <c r="F227" t="s">
        <v>173</v>
      </c>
      <c r="H227" t="s">
        <v>67</v>
      </c>
      <c r="I227">
        <v>13</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row>
    <row r="228" spans="1:39" x14ac:dyDescent="0.35">
      <c r="A228" t="s">
        <v>175</v>
      </c>
      <c r="B228" t="s">
        <v>335</v>
      </c>
      <c r="C228" t="s">
        <v>335</v>
      </c>
      <c r="D228" t="s">
        <v>623</v>
      </c>
      <c r="E228" t="s">
        <v>606</v>
      </c>
      <c r="F228" t="s">
        <v>173</v>
      </c>
      <c r="H228" t="s">
        <v>67</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row>
    <row r="229" spans="1:39" x14ac:dyDescent="0.35">
      <c r="A229" t="s">
        <v>175</v>
      </c>
      <c r="B229" t="s">
        <v>335</v>
      </c>
      <c r="C229" t="s">
        <v>335</v>
      </c>
      <c r="D229" t="s">
        <v>623</v>
      </c>
      <c r="E229" t="s">
        <v>8</v>
      </c>
      <c r="F229" t="s">
        <v>173</v>
      </c>
      <c r="H229" t="s">
        <v>67</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row>
    <row r="230" spans="1:39" x14ac:dyDescent="0.35">
      <c r="A230" t="s">
        <v>175</v>
      </c>
      <c r="B230" t="s">
        <v>335</v>
      </c>
      <c r="C230" t="s">
        <v>335</v>
      </c>
      <c r="D230" t="s">
        <v>623</v>
      </c>
      <c r="E230" t="s">
        <v>9</v>
      </c>
      <c r="F230" t="s">
        <v>173</v>
      </c>
      <c r="H230" t="s">
        <v>556</v>
      </c>
      <c r="I230">
        <v>25</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row>
    <row r="231" spans="1:39" x14ac:dyDescent="0.35">
      <c r="A231" t="s">
        <v>175</v>
      </c>
      <c r="B231" t="s">
        <v>335</v>
      </c>
      <c r="C231" t="s">
        <v>335</v>
      </c>
      <c r="D231" t="s">
        <v>623</v>
      </c>
      <c r="E231" t="s">
        <v>11</v>
      </c>
      <c r="F231" t="s">
        <v>173</v>
      </c>
      <c r="H231" t="s">
        <v>556</v>
      </c>
      <c r="I231">
        <v>71</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row>
    <row r="232" spans="1:39" x14ac:dyDescent="0.35">
      <c r="A232" t="s">
        <v>175</v>
      </c>
      <c r="B232" t="s">
        <v>335</v>
      </c>
      <c r="C232" t="s">
        <v>335</v>
      </c>
      <c r="D232" t="s">
        <v>623</v>
      </c>
      <c r="E232" t="s">
        <v>12</v>
      </c>
      <c r="F232" t="s">
        <v>173</v>
      </c>
      <c r="H232" t="s">
        <v>556</v>
      </c>
      <c r="I232">
        <v>45</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row>
    <row r="233" spans="1:39" x14ac:dyDescent="0.35">
      <c r="A233" t="s">
        <v>175</v>
      </c>
      <c r="B233" t="s">
        <v>335</v>
      </c>
      <c r="C233" t="s">
        <v>335</v>
      </c>
      <c r="D233" t="s">
        <v>623</v>
      </c>
      <c r="E233" t="s">
        <v>13</v>
      </c>
      <c r="F233" t="s">
        <v>173</v>
      </c>
      <c r="H233" t="s">
        <v>556</v>
      </c>
      <c r="I233">
        <v>97</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row>
    <row r="234" spans="1:39" x14ac:dyDescent="0.35">
      <c r="A234" t="s">
        <v>175</v>
      </c>
      <c r="B234" t="s">
        <v>335</v>
      </c>
      <c r="C234" t="s">
        <v>335</v>
      </c>
      <c r="D234" t="s">
        <v>623</v>
      </c>
      <c r="E234" t="s">
        <v>14</v>
      </c>
      <c r="F234" t="s">
        <v>173</v>
      </c>
      <c r="H234" t="s">
        <v>556</v>
      </c>
      <c r="I234">
        <v>147</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row>
    <row r="235" spans="1:39" x14ac:dyDescent="0.35">
      <c r="A235" t="s">
        <v>175</v>
      </c>
      <c r="B235" t="s">
        <v>335</v>
      </c>
      <c r="C235" t="s">
        <v>335</v>
      </c>
      <c r="D235" t="s">
        <v>623</v>
      </c>
      <c r="E235" t="s">
        <v>636</v>
      </c>
      <c r="F235" t="s">
        <v>173</v>
      </c>
      <c r="H235" t="s">
        <v>67</v>
      </c>
      <c r="I235">
        <v>9554</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row>
    <row r="236" spans="1:39" x14ac:dyDescent="0.35">
      <c r="A236" t="s">
        <v>175</v>
      </c>
      <c r="B236" t="s">
        <v>335</v>
      </c>
      <c r="C236" t="s">
        <v>335</v>
      </c>
      <c r="D236" t="s">
        <v>623</v>
      </c>
      <c r="E236" t="s">
        <v>921</v>
      </c>
      <c r="F236" t="s">
        <v>173</v>
      </c>
      <c r="H236" t="s">
        <v>67</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row>
    <row r="237" spans="1:39" x14ac:dyDescent="0.35">
      <c r="A237" t="s">
        <v>175</v>
      </c>
      <c r="B237" t="s">
        <v>335</v>
      </c>
      <c r="C237" t="s">
        <v>335</v>
      </c>
      <c r="D237" t="s">
        <v>623</v>
      </c>
      <c r="E237" t="s">
        <v>21</v>
      </c>
      <c r="F237" t="s">
        <v>173</v>
      </c>
      <c r="H237" t="s">
        <v>556</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row>
    <row r="238" spans="1:39" x14ac:dyDescent="0.35">
      <c r="A238" t="s">
        <v>175</v>
      </c>
      <c r="B238" t="s">
        <v>335</v>
      </c>
      <c r="C238" t="s">
        <v>335</v>
      </c>
      <c r="D238" t="s">
        <v>623</v>
      </c>
      <c r="E238" t="s">
        <v>22</v>
      </c>
      <c r="F238" t="s">
        <v>173</v>
      </c>
      <c r="H238" t="s">
        <v>556</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row>
    <row r="239" spans="1:39" x14ac:dyDescent="0.35">
      <c r="A239" t="s">
        <v>175</v>
      </c>
      <c r="B239" t="s">
        <v>335</v>
      </c>
      <c r="C239" t="s">
        <v>335</v>
      </c>
      <c r="D239" t="s">
        <v>623</v>
      </c>
      <c r="E239" t="s">
        <v>23</v>
      </c>
      <c r="F239" t="s">
        <v>173</v>
      </c>
      <c r="H239" t="s">
        <v>556</v>
      </c>
      <c r="I239">
        <v>19</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row>
    <row r="240" spans="1:39" x14ac:dyDescent="0.35">
      <c r="A240" t="s">
        <v>175</v>
      </c>
      <c r="B240" t="s">
        <v>312</v>
      </c>
      <c r="C240" t="s">
        <v>312</v>
      </c>
      <c r="D240" t="s">
        <v>315</v>
      </c>
      <c r="E240" t="s">
        <v>922</v>
      </c>
      <c r="F240" t="s">
        <v>312</v>
      </c>
      <c r="H240" t="s">
        <v>67</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row>
    <row r="241" spans="1:39" x14ac:dyDescent="0.35">
      <c r="A241" t="s">
        <v>175</v>
      </c>
      <c r="B241" t="s">
        <v>312</v>
      </c>
      <c r="C241" t="s">
        <v>312</v>
      </c>
      <c r="D241" t="s">
        <v>315</v>
      </c>
      <c r="E241" t="s">
        <v>919</v>
      </c>
      <c r="F241" t="s">
        <v>312</v>
      </c>
      <c r="H241" t="s">
        <v>67</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row>
    <row r="242" spans="1:39" x14ac:dyDescent="0.35">
      <c r="A242" t="s">
        <v>175</v>
      </c>
      <c r="B242" t="s">
        <v>312</v>
      </c>
      <c r="C242" t="s">
        <v>312</v>
      </c>
      <c r="D242" t="s">
        <v>315</v>
      </c>
      <c r="E242" t="s">
        <v>554</v>
      </c>
      <c r="F242" t="s">
        <v>312</v>
      </c>
      <c r="H242" t="s">
        <v>67</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row>
    <row r="243" spans="1:39" x14ac:dyDescent="0.35">
      <c r="A243" t="s">
        <v>175</v>
      </c>
      <c r="B243" t="s">
        <v>312</v>
      </c>
      <c r="C243" t="s">
        <v>312</v>
      </c>
      <c r="D243" t="s">
        <v>315</v>
      </c>
      <c r="E243" t="s">
        <v>10</v>
      </c>
      <c r="F243" t="s">
        <v>312</v>
      </c>
      <c r="H243" t="s">
        <v>556</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row>
    <row r="244" spans="1:39" x14ac:dyDescent="0.35">
      <c r="A244" t="s">
        <v>175</v>
      </c>
      <c r="B244" t="s">
        <v>312</v>
      </c>
      <c r="C244" t="s">
        <v>312</v>
      </c>
      <c r="D244" t="s">
        <v>315</v>
      </c>
      <c r="E244" t="s">
        <v>503</v>
      </c>
      <c r="F244" t="s">
        <v>312</v>
      </c>
      <c r="H244" t="s">
        <v>150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row>
    <row r="245" spans="1:39" x14ac:dyDescent="0.35">
      <c r="A245" t="s">
        <v>175</v>
      </c>
      <c r="B245" t="s">
        <v>312</v>
      </c>
      <c r="C245" t="s">
        <v>312</v>
      </c>
      <c r="D245" t="s">
        <v>315</v>
      </c>
      <c r="E245" t="s">
        <v>499</v>
      </c>
      <c r="F245" t="s">
        <v>312</v>
      </c>
      <c r="H245" t="s">
        <v>67</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row>
    <row r="246" spans="1:39" x14ac:dyDescent="0.35">
      <c r="A246" t="s">
        <v>175</v>
      </c>
      <c r="B246" t="s">
        <v>312</v>
      </c>
      <c r="C246" t="s">
        <v>312</v>
      </c>
      <c r="D246" t="s">
        <v>315</v>
      </c>
      <c r="E246" t="s">
        <v>488</v>
      </c>
      <c r="F246" t="s">
        <v>312</v>
      </c>
      <c r="H246" t="s">
        <v>67</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row>
    <row r="247" spans="1:39" x14ac:dyDescent="0.35">
      <c r="A247" t="s">
        <v>175</v>
      </c>
      <c r="B247" t="s">
        <v>312</v>
      </c>
      <c r="C247" t="s">
        <v>312</v>
      </c>
      <c r="D247" t="s">
        <v>315</v>
      </c>
      <c r="E247" t="s">
        <v>485</v>
      </c>
      <c r="F247" t="s">
        <v>312</v>
      </c>
      <c r="H247" t="s">
        <v>67</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row>
    <row r="248" spans="1:39" x14ac:dyDescent="0.35">
      <c r="A248" t="s">
        <v>175</v>
      </c>
      <c r="B248" t="s">
        <v>312</v>
      </c>
      <c r="C248" t="s">
        <v>312</v>
      </c>
      <c r="D248" t="s">
        <v>315</v>
      </c>
      <c r="E248" t="s">
        <v>504</v>
      </c>
      <c r="F248" t="s">
        <v>312</v>
      </c>
      <c r="H248" t="s">
        <v>67</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row>
    <row r="249" spans="1:39" x14ac:dyDescent="0.35">
      <c r="A249" t="s">
        <v>175</v>
      </c>
      <c r="B249" t="s">
        <v>312</v>
      </c>
      <c r="C249" t="s">
        <v>312</v>
      </c>
      <c r="D249" t="s">
        <v>315</v>
      </c>
      <c r="E249" t="s">
        <v>505</v>
      </c>
      <c r="F249" t="s">
        <v>312</v>
      </c>
      <c r="H249" t="s">
        <v>150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row>
    <row r="250" spans="1:39" x14ac:dyDescent="0.35">
      <c r="A250" t="s">
        <v>175</v>
      </c>
      <c r="B250" t="s">
        <v>312</v>
      </c>
      <c r="C250" t="s">
        <v>312</v>
      </c>
      <c r="D250" t="s">
        <v>315</v>
      </c>
      <c r="E250" t="s">
        <v>512</v>
      </c>
      <c r="F250" t="s">
        <v>312</v>
      </c>
      <c r="H250" t="s">
        <v>150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row>
    <row r="251" spans="1:39" x14ac:dyDescent="0.35">
      <c r="A251" t="s">
        <v>175</v>
      </c>
      <c r="B251" t="s">
        <v>312</v>
      </c>
      <c r="C251" t="s">
        <v>312</v>
      </c>
      <c r="D251" t="s">
        <v>315</v>
      </c>
      <c r="E251" t="s">
        <v>26</v>
      </c>
      <c r="F251" t="s">
        <v>312</v>
      </c>
      <c r="H251" t="s">
        <v>35</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row>
    <row r="252" spans="1:39" x14ac:dyDescent="0.35">
      <c r="A252" t="s">
        <v>175</v>
      </c>
      <c r="B252" t="s">
        <v>312</v>
      </c>
      <c r="C252" t="s">
        <v>312</v>
      </c>
      <c r="D252" t="s">
        <v>315</v>
      </c>
      <c r="E252" t="s">
        <v>27</v>
      </c>
      <c r="F252" t="s">
        <v>312</v>
      </c>
      <c r="H252" t="s">
        <v>67</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row>
    <row r="253" spans="1:39" x14ac:dyDescent="0.35">
      <c r="A253" t="s">
        <v>175</v>
      </c>
      <c r="B253" t="s">
        <v>312</v>
      </c>
      <c r="C253" t="s">
        <v>312</v>
      </c>
      <c r="D253" t="s">
        <v>315</v>
      </c>
      <c r="E253" t="s">
        <v>486</v>
      </c>
      <c r="F253" t="s">
        <v>312</v>
      </c>
      <c r="H253" t="s">
        <v>67</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row>
    <row r="254" spans="1:39" x14ac:dyDescent="0.35">
      <c r="A254" t="s">
        <v>175</v>
      </c>
      <c r="B254" t="s">
        <v>312</v>
      </c>
      <c r="C254" t="s">
        <v>312</v>
      </c>
      <c r="D254" t="s">
        <v>315</v>
      </c>
      <c r="E254" t="s">
        <v>541</v>
      </c>
      <c r="F254" t="s">
        <v>312</v>
      </c>
      <c r="H254" t="s">
        <v>67</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row>
    <row r="255" spans="1:39" x14ac:dyDescent="0.35">
      <c r="A255" t="s">
        <v>175</v>
      </c>
      <c r="B255" t="s">
        <v>312</v>
      </c>
      <c r="C255" t="s">
        <v>312</v>
      </c>
      <c r="D255" t="s">
        <v>315</v>
      </c>
      <c r="E255" t="s">
        <v>920</v>
      </c>
      <c r="F255" t="s">
        <v>312</v>
      </c>
      <c r="H255" t="s">
        <v>67</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row>
    <row r="256" spans="1:39" x14ac:dyDescent="0.35">
      <c r="A256" t="s">
        <v>175</v>
      </c>
      <c r="B256" t="s">
        <v>312</v>
      </c>
      <c r="C256" t="s">
        <v>312</v>
      </c>
      <c r="D256" t="s">
        <v>623</v>
      </c>
      <c r="E256" t="s">
        <v>923</v>
      </c>
      <c r="F256" t="s">
        <v>312</v>
      </c>
      <c r="H256" t="s">
        <v>67</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row>
    <row r="257" spans="1:39" x14ac:dyDescent="0.35">
      <c r="A257" t="s">
        <v>175</v>
      </c>
      <c r="B257" t="s">
        <v>306</v>
      </c>
      <c r="C257" t="s">
        <v>336</v>
      </c>
      <c r="D257" t="s">
        <v>315</v>
      </c>
      <c r="E257" t="s">
        <v>922</v>
      </c>
      <c r="F257" t="s">
        <v>336</v>
      </c>
      <c r="H257" t="s">
        <v>67</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row>
    <row r="258" spans="1:39" x14ac:dyDescent="0.35">
      <c r="A258" t="s">
        <v>175</v>
      </c>
      <c r="B258" t="s">
        <v>306</v>
      </c>
      <c r="C258" t="s">
        <v>336</v>
      </c>
      <c r="D258" t="s">
        <v>315</v>
      </c>
      <c r="E258" t="s">
        <v>919</v>
      </c>
      <c r="F258" t="s">
        <v>336</v>
      </c>
      <c r="H258" t="s">
        <v>67</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row>
    <row r="259" spans="1:39" x14ac:dyDescent="0.35">
      <c r="A259" t="s">
        <v>175</v>
      </c>
      <c r="B259" t="s">
        <v>306</v>
      </c>
      <c r="C259" t="s">
        <v>336</v>
      </c>
      <c r="D259" t="s">
        <v>315</v>
      </c>
      <c r="E259" t="s">
        <v>554</v>
      </c>
      <c r="F259" t="s">
        <v>336</v>
      </c>
      <c r="H259" t="s">
        <v>67</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row>
    <row r="260" spans="1:39" x14ac:dyDescent="0.35">
      <c r="A260" t="s">
        <v>175</v>
      </c>
      <c r="B260" t="s">
        <v>306</v>
      </c>
      <c r="C260" t="s">
        <v>336</v>
      </c>
      <c r="D260" t="s">
        <v>315</v>
      </c>
      <c r="E260" t="s">
        <v>10</v>
      </c>
      <c r="F260" t="s">
        <v>336</v>
      </c>
      <c r="H260" t="s">
        <v>556</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row>
    <row r="261" spans="1:39" x14ac:dyDescent="0.35">
      <c r="A261" t="s">
        <v>175</v>
      </c>
      <c r="B261" t="s">
        <v>306</v>
      </c>
      <c r="C261" t="s">
        <v>336</v>
      </c>
      <c r="D261" t="s">
        <v>315</v>
      </c>
      <c r="E261" t="s">
        <v>503</v>
      </c>
      <c r="F261" t="s">
        <v>336</v>
      </c>
      <c r="H261" t="s">
        <v>150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row>
    <row r="262" spans="1:39" x14ac:dyDescent="0.35">
      <c r="A262" t="s">
        <v>175</v>
      </c>
      <c r="B262" t="s">
        <v>306</v>
      </c>
      <c r="C262" t="s">
        <v>336</v>
      </c>
      <c r="D262" t="s">
        <v>315</v>
      </c>
      <c r="E262" t="s">
        <v>499</v>
      </c>
      <c r="F262" t="s">
        <v>336</v>
      </c>
      <c r="H262" t="s">
        <v>67</v>
      </c>
      <c r="I262">
        <v>0</v>
      </c>
      <c r="J262">
        <v>0</v>
      </c>
      <c r="K262">
        <v>0</v>
      </c>
      <c r="L262">
        <v>0</v>
      </c>
      <c r="M262">
        <v>0</v>
      </c>
      <c r="N262">
        <v>0</v>
      </c>
      <c r="O262">
        <v>0</v>
      </c>
      <c r="P262">
        <v>0</v>
      </c>
      <c r="Q262">
        <v>0</v>
      </c>
      <c r="R262">
        <v>0</v>
      </c>
      <c r="S262">
        <v>0</v>
      </c>
      <c r="T262">
        <v>0</v>
      </c>
      <c r="U262">
        <v>0</v>
      </c>
      <c r="V262">
        <v>10</v>
      </c>
      <c r="W262">
        <v>0</v>
      </c>
      <c r="X262">
        <v>0</v>
      </c>
      <c r="Y262">
        <v>0</v>
      </c>
      <c r="Z262">
        <v>0</v>
      </c>
      <c r="AA262">
        <v>0</v>
      </c>
      <c r="AB262">
        <v>0</v>
      </c>
      <c r="AC262">
        <v>0</v>
      </c>
      <c r="AD262">
        <v>0</v>
      </c>
      <c r="AE262">
        <v>0</v>
      </c>
      <c r="AF262">
        <v>0</v>
      </c>
      <c r="AG262">
        <v>0</v>
      </c>
      <c r="AH262">
        <v>0</v>
      </c>
      <c r="AI262">
        <v>0</v>
      </c>
      <c r="AJ262">
        <v>0</v>
      </c>
      <c r="AK262">
        <v>0</v>
      </c>
      <c r="AL262">
        <v>0</v>
      </c>
      <c r="AM262">
        <v>0</v>
      </c>
    </row>
    <row r="263" spans="1:39" x14ac:dyDescent="0.35">
      <c r="A263" t="s">
        <v>175</v>
      </c>
      <c r="B263" t="s">
        <v>306</v>
      </c>
      <c r="C263" t="s">
        <v>336</v>
      </c>
      <c r="D263" t="s">
        <v>315</v>
      </c>
      <c r="E263" t="s">
        <v>488</v>
      </c>
      <c r="F263" t="s">
        <v>336</v>
      </c>
      <c r="H263" t="s">
        <v>67</v>
      </c>
      <c r="I263">
        <v>0</v>
      </c>
      <c r="J263">
        <v>0</v>
      </c>
      <c r="K263">
        <v>0</v>
      </c>
      <c r="L263">
        <v>0</v>
      </c>
      <c r="M263">
        <v>0</v>
      </c>
      <c r="N263">
        <v>0</v>
      </c>
      <c r="O263">
        <v>0</v>
      </c>
      <c r="P263">
        <v>0</v>
      </c>
      <c r="Q263">
        <v>0</v>
      </c>
      <c r="R263">
        <v>0</v>
      </c>
      <c r="S263">
        <v>0</v>
      </c>
      <c r="T263">
        <v>0</v>
      </c>
      <c r="U263">
        <v>0</v>
      </c>
      <c r="V263">
        <v>8</v>
      </c>
      <c r="W263">
        <v>0</v>
      </c>
      <c r="X263">
        <v>0</v>
      </c>
      <c r="Y263">
        <v>0</v>
      </c>
      <c r="Z263">
        <v>0</v>
      </c>
      <c r="AA263">
        <v>0</v>
      </c>
      <c r="AB263">
        <v>0</v>
      </c>
      <c r="AC263">
        <v>0</v>
      </c>
      <c r="AD263">
        <v>0</v>
      </c>
      <c r="AE263">
        <v>0</v>
      </c>
      <c r="AF263">
        <v>0</v>
      </c>
      <c r="AG263">
        <v>0</v>
      </c>
      <c r="AH263">
        <v>0</v>
      </c>
      <c r="AI263">
        <v>0</v>
      </c>
      <c r="AJ263">
        <v>0</v>
      </c>
      <c r="AK263">
        <v>0</v>
      </c>
      <c r="AL263">
        <v>0</v>
      </c>
      <c r="AM263">
        <v>0</v>
      </c>
    </row>
    <row r="264" spans="1:39" x14ac:dyDescent="0.35">
      <c r="A264" t="s">
        <v>175</v>
      </c>
      <c r="B264" t="s">
        <v>306</v>
      </c>
      <c r="C264" t="s">
        <v>336</v>
      </c>
      <c r="D264" t="s">
        <v>315</v>
      </c>
      <c r="E264" t="s">
        <v>485</v>
      </c>
      <c r="F264" t="s">
        <v>336</v>
      </c>
      <c r="H264" t="s">
        <v>67</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row>
    <row r="265" spans="1:39" x14ac:dyDescent="0.35">
      <c r="A265" t="s">
        <v>175</v>
      </c>
      <c r="B265" t="s">
        <v>306</v>
      </c>
      <c r="C265" t="s">
        <v>336</v>
      </c>
      <c r="D265" t="s">
        <v>315</v>
      </c>
      <c r="E265" t="s">
        <v>504</v>
      </c>
      <c r="F265" t="s">
        <v>336</v>
      </c>
      <c r="H265" t="s">
        <v>67</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row>
    <row r="266" spans="1:39" x14ac:dyDescent="0.35">
      <c r="A266" t="s">
        <v>175</v>
      </c>
      <c r="B266" t="s">
        <v>306</v>
      </c>
      <c r="C266" t="s">
        <v>336</v>
      </c>
      <c r="D266" t="s">
        <v>315</v>
      </c>
      <c r="E266" t="s">
        <v>505</v>
      </c>
      <c r="F266" t="s">
        <v>336</v>
      </c>
      <c r="H266" t="s">
        <v>150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row>
    <row r="267" spans="1:39" x14ac:dyDescent="0.35">
      <c r="A267" t="s">
        <v>175</v>
      </c>
      <c r="B267" t="s">
        <v>306</v>
      </c>
      <c r="C267" t="s">
        <v>336</v>
      </c>
      <c r="D267" t="s">
        <v>315</v>
      </c>
      <c r="E267" t="s">
        <v>512</v>
      </c>
      <c r="F267" t="s">
        <v>336</v>
      </c>
      <c r="H267" t="s">
        <v>150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row>
    <row r="268" spans="1:39" x14ac:dyDescent="0.35">
      <c r="A268" t="s">
        <v>175</v>
      </c>
      <c r="B268" t="s">
        <v>306</v>
      </c>
      <c r="C268" t="s">
        <v>336</v>
      </c>
      <c r="D268" t="s">
        <v>315</v>
      </c>
      <c r="E268" t="s">
        <v>26</v>
      </c>
      <c r="F268" t="s">
        <v>336</v>
      </c>
      <c r="H268" t="s">
        <v>35</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row>
    <row r="269" spans="1:39" x14ac:dyDescent="0.35">
      <c r="A269" t="s">
        <v>175</v>
      </c>
      <c r="B269" t="s">
        <v>306</v>
      </c>
      <c r="C269" t="s">
        <v>336</v>
      </c>
      <c r="D269" t="s">
        <v>315</v>
      </c>
      <c r="E269" t="s">
        <v>27</v>
      </c>
      <c r="F269" t="s">
        <v>336</v>
      </c>
      <c r="H269" t="s">
        <v>67</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row>
    <row r="270" spans="1:39" x14ac:dyDescent="0.35">
      <c r="A270" t="s">
        <v>175</v>
      </c>
      <c r="B270" t="s">
        <v>306</v>
      </c>
      <c r="C270" t="s">
        <v>336</v>
      </c>
      <c r="D270" t="s">
        <v>315</v>
      </c>
      <c r="E270" t="s">
        <v>486</v>
      </c>
      <c r="F270" t="s">
        <v>336</v>
      </c>
      <c r="H270" t="s">
        <v>67</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row>
    <row r="271" spans="1:39" x14ac:dyDescent="0.35">
      <c r="A271" t="s">
        <v>175</v>
      </c>
      <c r="B271" t="s">
        <v>306</v>
      </c>
      <c r="C271" t="s">
        <v>336</v>
      </c>
      <c r="D271" t="s">
        <v>315</v>
      </c>
      <c r="E271" t="s">
        <v>541</v>
      </c>
      <c r="F271" t="s">
        <v>336</v>
      </c>
      <c r="H271" t="s">
        <v>67</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row>
    <row r="272" spans="1:39" x14ac:dyDescent="0.35">
      <c r="A272" t="s">
        <v>175</v>
      </c>
      <c r="B272" t="s">
        <v>306</v>
      </c>
      <c r="C272" t="s">
        <v>336</v>
      </c>
      <c r="D272" t="s">
        <v>315</v>
      </c>
      <c r="E272" t="s">
        <v>920</v>
      </c>
      <c r="F272" t="s">
        <v>336</v>
      </c>
      <c r="H272" t="s">
        <v>67</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row>
    <row r="273" spans="1:39" x14ac:dyDescent="0.35">
      <c r="A273" t="s">
        <v>175</v>
      </c>
      <c r="B273" t="s">
        <v>306</v>
      </c>
      <c r="C273" t="s">
        <v>336</v>
      </c>
      <c r="D273" t="s">
        <v>623</v>
      </c>
      <c r="E273" t="s">
        <v>923</v>
      </c>
      <c r="F273" t="s">
        <v>336</v>
      </c>
      <c r="H273" t="s">
        <v>67</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row>
    <row r="274" spans="1:39" x14ac:dyDescent="0.35">
      <c r="A274" t="s">
        <v>175</v>
      </c>
      <c r="B274" t="s">
        <v>307</v>
      </c>
      <c r="C274" t="s">
        <v>336</v>
      </c>
      <c r="D274" t="s">
        <v>315</v>
      </c>
      <c r="E274" t="s">
        <v>503</v>
      </c>
      <c r="F274" t="s">
        <v>336</v>
      </c>
      <c r="G274" t="s">
        <v>1201</v>
      </c>
      <c r="H274" t="s">
        <v>150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row>
    <row r="275" spans="1:39" x14ac:dyDescent="0.35">
      <c r="A275" t="s">
        <v>175</v>
      </c>
      <c r="B275" t="s">
        <v>482</v>
      </c>
      <c r="C275" t="s">
        <v>176</v>
      </c>
      <c r="D275" t="s">
        <v>315</v>
      </c>
      <c r="E275" t="s">
        <v>922</v>
      </c>
      <c r="F275" t="s">
        <v>182</v>
      </c>
      <c r="G275" t="s">
        <v>959</v>
      </c>
      <c r="H275" t="s">
        <v>67</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row>
    <row r="276" spans="1:39" x14ac:dyDescent="0.35">
      <c r="A276" t="s">
        <v>175</v>
      </c>
      <c r="B276" t="s">
        <v>482</v>
      </c>
      <c r="C276" t="s">
        <v>176</v>
      </c>
      <c r="D276" t="s">
        <v>315</v>
      </c>
      <c r="E276" t="s">
        <v>922</v>
      </c>
      <c r="F276" t="s">
        <v>180</v>
      </c>
      <c r="G276" t="s">
        <v>957</v>
      </c>
      <c r="H276" t="s">
        <v>67</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row>
    <row r="277" spans="1:39" x14ac:dyDescent="0.35">
      <c r="A277" t="s">
        <v>175</v>
      </c>
      <c r="B277" t="s">
        <v>482</v>
      </c>
      <c r="C277" t="s">
        <v>176</v>
      </c>
      <c r="D277" t="s">
        <v>315</v>
      </c>
      <c r="E277" t="s">
        <v>922</v>
      </c>
      <c r="F277" t="s">
        <v>181</v>
      </c>
      <c r="G277" t="s">
        <v>958</v>
      </c>
      <c r="H277" t="s">
        <v>67</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row>
    <row r="278" spans="1:39" x14ac:dyDescent="0.35">
      <c r="A278" t="s">
        <v>175</v>
      </c>
      <c r="B278" t="s">
        <v>482</v>
      </c>
      <c r="C278" t="s">
        <v>176</v>
      </c>
      <c r="D278" t="s">
        <v>315</v>
      </c>
      <c r="E278" t="s">
        <v>922</v>
      </c>
      <c r="F278" t="s">
        <v>179</v>
      </c>
      <c r="G278" t="s">
        <v>956</v>
      </c>
      <c r="H278" t="s">
        <v>67</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row>
    <row r="279" spans="1:39" x14ac:dyDescent="0.35">
      <c r="A279" t="s">
        <v>175</v>
      </c>
      <c r="B279" t="s">
        <v>482</v>
      </c>
      <c r="C279" t="s">
        <v>176</v>
      </c>
      <c r="D279" t="s">
        <v>315</v>
      </c>
      <c r="E279" t="s">
        <v>919</v>
      </c>
      <c r="F279" t="s">
        <v>182</v>
      </c>
      <c r="G279" t="s">
        <v>951</v>
      </c>
      <c r="H279" t="s">
        <v>67</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row>
    <row r="280" spans="1:39" x14ac:dyDescent="0.35">
      <c r="A280" t="s">
        <v>175</v>
      </c>
      <c r="B280" t="s">
        <v>482</v>
      </c>
      <c r="C280" t="s">
        <v>176</v>
      </c>
      <c r="D280" t="s">
        <v>315</v>
      </c>
      <c r="E280" t="s">
        <v>919</v>
      </c>
      <c r="F280" t="s">
        <v>180</v>
      </c>
      <c r="G280" t="s">
        <v>949</v>
      </c>
      <c r="H280" t="s">
        <v>67</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row>
    <row r="281" spans="1:39" x14ac:dyDescent="0.35">
      <c r="A281" t="s">
        <v>175</v>
      </c>
      <c r="B281" t="s">
        <v>482</v>
      </c>
      <c r="C281" t="s">
        <v>176</v>
      </c>
      <c r="D281" t="s">
        <v>315</v>
      </c>
      <c r="E281" t="s">
        <v>919</v>
      </c>
      <c r="F281" t="s">
        <v>181</v>
      </c>
      <c r="G281" t="s">
        <v>950</v>
      </c>
      <c r="H281" t="s">
        <v>67</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row>
    <row r="282" spans="1:39" x14ac:dyDescent="0.35">
      <c r="A282" t="s">
        <v>175</v>
      </c>
      <c r="B282" t="s">
        <v>482</v>
      </c>
      <c r="C282" t="s">
        <v>176</v>
      </c>
      <c r="D282" t="s">
        <v>315</v>
      </c>
      <c r="E282" t="s">
        <v>919</v>
      </c>
      <c r="F282" t="s">
        <v>179</v>
      </c>
      <c r="G282" t="s">
        <v>948</v>
      </c>
      <c r="H282" t="s">
        <v>67</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row>
    <row r="283" spans="1:39" x14ac:dyDescent="0.35">
      <c r="A283" t="s">
        <v>175</v>
      </c>
      <c r="B283" t="s">
        <v>482</v>
      </c>
      <c r="C283" t="s">
        <v>176</v>
      </c>
      <c r="D283" t="s">
        <v>315</v>
      </c>
      <c r="E283" t="s">
        <v>1342</v>
      </c>
      <c r="F283" t="s">
        <v>182</v>
      </c>
      <c r="G283" t="s">
        <v>1447</v>
      </c>
      <c r="H283" t="s">
        <v>67</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row>
    <row r="284" spans="1:39" x14ac:dyDescent="0.35">
      <c r="A284" t="s">
        <v>175</v>
      </c>
      <c r="B284" t="s">
        <v>482</v>
      </c>
      <c r="C284" t="s">
        <v>176</v>
      </c>
      <c r="D284" t="s">
        <v>315</v>
      </c>
      <c r="E284" t="s">
        <v>1342</v>
      </c>
      <c r="F284" t="s">
        <v>180</v>
      </c>
      <c r="G284" t="s">
        <v>1429</v>
      </c>
      <c r="H284" t="s">
        <v>67</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row>
    <row r="285" spans="1:39" x14ac:dyDescent="0.35">
      <c r="A285" t="s">
        <v>175</v>
      </c>
      <c r="B285" t="s">
        <v>482</v>
      </c>
      <c r="C285" t="s">
        <v>176</v>
      </c>
      <c r="D285" t="s">
        <v>315</v>
      </c>
      <c r="E285" t="s">
        <v>1342</v>
      </c>
      <c r="F285" t="s">
        <v>181</v>
      </c>
      <c r="G285" t="s">
        <v>1446</v>
      </c>
      <c r="H285" t="s">
        <v>67</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row>
    <row r="286" spans="1:39" x14ac:dyDescent="0.35">
      <c r="A286" t="s">
        <v>175</v>
      </c>
      <c r="B286" t="s">
        <v>482</v>
      </c>
      <c r="C286" t="s">
        <v>176</v>
      </c>
      <c r="D286" t="s">
        <v>315</v>
      </c>
      <c r="E286" t="s">
        <v>1342</v>
      </c>
      <c r="F286" t="s">
        <v>179</v>
      </c>
      <c r="G286" t="s">
        <v>1445</v>
      </c>
      <c r="H286" t="s">
        <v>67</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row>
    <row r="287" spans="1:39" x14ac:dyDescent="0.35">
      <c r="A287" t="s">
        <v>175</v>
      </c>
      <c r="B287" t="s">
        <v>482</v>
      </c>
      <c r="C287" t="s">
        <v>176</v>
      </c>
      <c r="D287" t="s">
        <v>315</v>
      </c>
      <c r="E287" t="s">
        <v>554</v>
      </c>
      <c r="F287" t="s">
        <v>182</v>
      </c>
      <c r="G287" t="s">
        <v>738</v>
      </c>
      <c r="H287" t="s">
        <v>67</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row>
    <row r="288" spans="1:39" x14ac:dyDescent="0.35">
      <c r="A288" t="s">
        <v>175</v>
      </c>
      <c r="B288" t="s">
        <v>482</v>
      </c>
      <c r="C288" t="s">
        <v>176</v>
      </c>
      <c r="D288" t="s">
        <v>315</v>
      </c>
      <c r="E288" t="s">
        <v>554</v>
      </c>
      <c r="F288" t="s">
        <v>180</v>
      </c>
      <c r="G288" t="s">
        <v>736</v>
      </c>
      <c r="H288" t="s">
        <v>67</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row>
    <row r="289" spans="1:39" x14ac:dyDescent="0.35">
      <c r="A289" t="s">
        <v>175</v>
      </c>
      <c r="B289" t="s">
        <v>482</v>
      </c>
      <c r="C289" t="s">
        <v>176</v>
      </c>
      <c r="D289" t="s">
        <v>315</v>
      </c>
      <c r="E289" t="s">
        <v>554</v>
      </c>
      <c r="F289" t="s">
        <v>181</v>
      </c>
      <c r="G289" t="s">
        <v>737</v>
      </c>
      <c r="H289" t="s">
        <v>67</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row>
    <row r="290" spans="1:39" x14ac:dyDescent="0.35">
      <c r="A290" t="s">
        <v>175</v>
      </c>
      <c r="B290" t="s">
        <v>482</v>
      </c>
      <c r="C290" t="s">
        <v>176</v>
      </c>
      <c r="D290" t="s">
        <v>315</v>
      </c>
      <c r="E290" t="s">
        <v>554</v>
      </c>
      <c r="F290" t="s">
        <v>179</v>
      </c>
      <c r="G290" t="s">
        <v>735</v>
      </c>
      <c r="H290" t="s">
        <v>67</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row>
    <row r="291" spans="1:39" x14ac:dyDescent="0.35">
      <c r="A291" t="s">
        <v>175</v>
      </c>
      <c r="B291" t="s">
        <v>482</v>
      </c>
      <c r="C291" t="s">
        <v>176</v>
      </c>
      <c r="D291" t="s">
        <v>315</v>
      </c>
      <c r="E291" t="s">
        <v>10</v>
      </c>
      <c r="F291" t="s">
        <v>182</v>
      </c>
      <c r="G291" t="s">
        <v>690</v>
      </c>
      <c r="H291" t="s">
        <v>556</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row>
    <row r="292" spans="1:39" x14ac:dyDescent="0.35">
      <c r="A292" t="s">
        <v>175</v>
      </c>
      <c r="B292" t="s">
        <v>482</v>
      </c>
      <c r="C292" t="s">
        <v>176</v>
      </c>
      <c r="D292" t="s">
        <v>315</v>
      </c>
      <c r="E292" t="s">
        <v>10</v>
      </c>
      <c r="F292" t="s">
        <v>180</v>
      </c>
      <c r="G292" t="s">
        <v>688</v>
      </c>
      <c r="H292" t="s">
        <v>556</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row>
    <row r="293" spans="1:39" x14ac:dyDescent="0.35">
      <c r="A293" t="s">
        <v>175</v>
      </c>
      <c r="B293" t="s">
        <v>482</v>
      </c>
      <c r="C293" t="s">
        <v>176</v>
      </c>
      <c r="D293" t="s">
        <v>315</v>
      </c>
      <c r="E293" t="s">
        <v>10</v>
      </c>
      <c r="F293" t="s">
        <v>181</v>
      </c>
      <c r="G293" t="s">
        <v>689</v>
      </c>
      <c r="H293" t="s">
        <v>556</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row>
    <row r="294" spans="1:39" x14ac:dyDescent="0.35">
      <c r="A294" t="s">
        <v>175</v>
      </c>
      <c r="B294" t="s">
        <v>482</v>
      </c>
      <c r="C294" t="s">
        <v>176</v>
      </c>
      <c r="D294" t="s">
        <v>315</v>
      </c>
      <c r="E294" t="s">
        <v>10</v>
      </c>
      <c r="F294" t="s">
        <v>179</v>
      </c>
      <c r="G294" t="s">
        <v>687</v>
      </c>
      <c r="H294" t="s">
        <v>556</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row>
    <row r="295" spans="1:39" x14ac:dyDescent="0.35">
      <c r="A295" t="s">
        <v>175</v>
      </c>
      <c r="B295" t="s">
        <v>482</v>
      </c>
      <c r="C295" t="s">
        <v>176</v>
      </c>
      <c r="D295" t="s">
        <v>315</v>
      </c>
      <c r="E295" t="s">
        <v>503</v>
      </c>
      <c r="F295" t="s">
        <v>182</v>
      </c>
      <c r="G295" t="s">
        <v>1135</v>
      </c>
      <c r="H295" t="s">
        <v>150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row>
    <row r="296" spans="1:39" x14ac:dyDescent="0.35">
      <c r="A296" t="s">
        <v>175</v>
      </c>
      <c r="B296" t="s">
        <v>482</v>
      </c>
      <c r="C296" t="s">
        <v>176</v>
      </c>
      <c r="D296" t="s">
        <v>315</v>
      </c>
      <c r="E296" t="s">
        <v>503</v>
      </c>
      <c r="F296" t="s">
        <v>180</v>
      </c>
      <c r="G296" t="s">
        <v>1133</v>
      </c>
      <c r="H296" t="s">
        <v>150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row>
    <row r="297" spans="1:39" x14ac:dyDescent="0.35">
      <c r="A297" t="s">
        <v>175</v>
      </c>
      <c r="B297" t="s">
        <v>482</v>
      </c>
      <c r="C297" t="s">
        <v>176</v>
      </c>
      <c r="D297" t="s">
        <v>315</v>
      </c>
      <c r="E297" t="s">
        <v>503</v>
      </c>
      <c r="F297" t="s">
        <v>181</v>
      </c>
      <c r="G297" t="s">
        <v>1134</v>
      </c>
      <c r="H297" t="s">
        <v>150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row>
    <row r="298" spans="1:39" x14ac:dyDescent="0.35">
      <c r="A298" t="s">
        <v>175</v>
      </c>
      <c r="B298" t="s">
        <v>482</v>
      </c>
      <c r="C298" t="s">
        <v>176</v>
      </c>
      <c r="D298" t="s">
        <v>315</v>
      </c>
      <c r="E298" t="s">
        <v>503</v>
      </c>
      <c r="F298" t="s">
        <v>179</v>
      </c>
      <c r="G298" t="s">
        <v>1132</v>
      </c>
      <c r="H298" t="s">
        <v>150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row>
    <row r="299" spans="1:39" x14ac:dyDescent="0.35">
      <c r="A299" t="s">
        <v>175</v>
      </c>
      <c r="B299" t="s">
        <v>482</v>
      </c>
      <c r="C299" t="s">
        <v>176</v>
      </c>
      <c r="D299" t="s">
        <v>315</v>
      </c>
      <c r="E299" t="s">
        <v>499</v>
      </c>
      <c r="F299" t="s">
        <v>182</v>
      </c>
      <c r="G299" t="s">
        <v>664</v>
      </c>
      <c r="H299" t="s">
        <v>67</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row>
    <row r="300" spans="1:39" x14ac:dyDescent="0.35">
      <c r="A300" t="s">
        <v>175</v>
      </c>
      <c r="B300" t="s">
        <v>482</v>
      </c>
      <c r="C300" t="s">
        <v>176</v>
      </c>
      <c r="D300" t="s">
        <v>315</v>
      </c>
      <c r="E300" t="s">
        <v>499</v>
      </c>
      <c r="F300" t="s">
        <v>180</v>
      </c>
      <c r="G300" t="s">
        <v>662</v>
      </c>
      <c r="H300" t="s">
        <v>67</v>
      </c>
      <c r="I300">
        <v>2</v>
      </c>
      <c r="J300">
        <v>18</v>
      </c>
      <c r="K300">
        <v>10</v>
      </c>
      <c r="L300">
        <v>5</v>
      </c>
      <c r="M300">
        <v>9</v>
      </c>
      <c r="N300">
        <v>8</v>
      </c>
      <c r="O300">
        <v>0</v>
      </c>
      <c r="P300">
        <v>2</v>
      </c>
      <c r="Q300">
        <v>9</v>
      </c>
      <c r="R300">
        <v>0</v>
      </c>
      <c r="S300">
        <v>0</v>
      </c>
      <c r="T300">
        <v>0</v>
      </c>
      <c r="U300">
        <v>0</v>
      </c>
      <c r="V300">
        <v>2</v>
      </c>
      <c r="W300">
        <v>0</v>
      </c>
      <c r="X300">
        <v>0</v>
      </c>
      <c r="Y300">
        <v>0</v>
      </c>
      <c r="Z300">
        <v>0</v>
      </c>
      <c r="AA300">
        <v>0</v>
      </c>
      <c r="AB300">
        <v>0</v>
      </c>
      <c r="AC300">
        <v>0</v>
      </c>
      <c r="AD300">
        <v>0</v>
      </c>
      <c r="AE300">
        <v>0</v>
      </c>
      <c r="AF300">
        <v>0</v>
      </c>
      <c r="AG300">
        <v>0</v>
      </c>
      <c r="AH300">
        <v>0</v>
      </c>
      <c r="AI300">
        <v>0</v>
      </c>
      <c r="AJ300">
        <v>0</v>
      </c>
      <c r="AK300">
        <v>0</v>
      </c>
      <c r="AL300">
        <v>0</v>
      </c>
      <c r="AM300">
        <v>0</v>
      </c>
    </row>
    <row r="301" spans="1:39" x14ac:dyDescent="0.35">
      <c r="A301" t="s">
        <v>175</v>
      </c>
      <c r="B301" t="s">
        <v>482</v>
      </c>
      <c r="C301" t="s">
        <v>176</v>
      </c>
      <c r="D301" t="s">
        <v>315</v>
      </c>
      <c r="E301" t="s">
        <v>499</v>
      </c>
      <c r="F301" t="s">
        <v>181</v>
      </c>
      <c r="G301" t="s">
        <v>663</v>
      </c>
      <c r="H301" t="s">
        <v>67</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row>
    <row r="302" spans="1:39" x14ac:dyDescent="0.35">
      <c r="A302" t="s">
        <v>175</v>
      </c>
      <c r="B302" t="s">
        <v>482</v>
      </c>
      <c r="C302" t="s">
        <v>176</v>
      </c>
      <c r="D302" t="s">
        <v>315</v>
      </c>
      <c r="E302" t="s">
        <v>499</v>
      </c>
      <c r="F302" t="s">
        <v>179</v>
      </c>
      <c r="G302" t="s">
        <v>661</v>
      </c>
      <c r="H302" t="s">
        <v>67</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row>
    <row r="303" spans="1:39" x14ac:dyDescent="0.35">
      <c r="A303" t="s">
        <v>175</v>
      </c>
      <c r="B303" t="s">
        <v>482</v>
      </c>
      <c r="C303" t="s">
        <v>176</v>
      </c>
      <c r="D303" t="s">
        <v>315</v>
      </c>
      <c r="E303" t="s">
        <v>488</v>
      </c>
      <c r="F303" t="s">
        <v>182</v>
      </c>
      <c r="G303" t="s">
        <v>656</v>
      </c>
      <c r="H303" t="s">
        <v>67</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row>
    <row r="304" spans="1:39" x14ac:dyDescent="0.35">
      <c r="A304" t="s">
        <v>175</v>
      </c>
      <c r="B304" t="s">
        <v>482</v>
      </c>
      <c r="C304" t="s">
        <v>176</v>
      </c>
      <c r="D304" t="s">
        <v>315</v>
      </c>
      <c r="E304" t="s">
        <v>488</v>
      </c>
      <c r="F304" t="s">
        <v>180</v>
      </c>
      <c r="G304" t="s">
        <v>654</v>
      </c>
      <c r="H304" t="s">
        <v>67</v>
      </c>
      <c r="I304">
        <v>7</v>
      </c>
      <c r="J304">
        <v>2</v>
      </c>
      <c r="K304">
        <v>8</v>
      </c>
      <c r="L304">
        <v>1</v>
      </c>
      <c r="M304">
        <v>1</v>
      </c>
      <c r="N304">
        <v>2</v>
      </c>
      <c r="O304">
        <v>0</v>
      </c>
      <c r="P304">
        <v>0</v>
      </c>
      <c r="Q304">
        <v>1</v>
      </c>
      <c r="R304">
        <v>3</v>
      </c>
      <c r="S304">
        <v>2</v>
      </c>
      <c r="T304">
        <v>0</v>
      </c>
      <c r="U304">
        <v>3</v>
      </c>
      <c r="V304">
        <v>1</v>
      </c>
      <c r="W304">
        <v>0</v>
      </c>
      <c r="X304">
        <v>0</v>
      </c>
      <c r="Y304">
        <v>0</v>
      </c>
      <c r="Z304">
        <v>0</v>
      </c>
      <c r="AA304">
        <v>0</v>
      </c>
      <c r="AB304">
        <v>0</v>
      </c>
      <c r="AC304">
        <v>0</v>
      </c>
      <c r="AD304">
        <v>0</v>
      </c>
      <c r="AE304">
        <v>0</v>
      </c>
      <c r="AF304">
        <v>0</v>
      </c>
      <c r="AG304">
        <v>0</v>
      </c>
      <c r="AH304">
        <v>0</v>
      </c>
      <c r="AI304">
        <v>0</v>
      </c>
      <c r="AJ304">
        <v>0</v>
      </c>
      <c r="AK304">
        <v>0</v>
      </c>
      <c r="AL304">
        <v>0</v>
      </c>
      <c r="AM304">
        <v>0</v>
      </c>
    </row>
    <row r="305" spans="1:39" x14ac:dyDescent="0.35">
      <c r="A305" t="s">
        <v>175</v>
      </c>
      <c r="B305" t="s">
        <v>482</v>
      </c>
      <c r="C305" t="s">
        <v>176</v>
      </c>
      <c r="D305" t="s">
        <v>315</v>
      </c>
      <c r="E305" t="s">
        <v>488</v>
      </c>
      <c r="F305" t="s">
        <v>181</v>
      </c>
      <c r="G305" t="s">
        <v>655</v>
      </c>
      <c r="H305" t="s">
        <v>67</v>
      </c>
      <c r="I305">
        <v>0</v>
      </c>
      <c r="J305">
        <v>0</v>
      </c>
      <c r="K305">
        <v>0</v>
      </c>
      <c r="L305">
        <v>0</v>
      </c>
      <c r="M305">
        <v>0</v>
      </c>
      <c r="N305">
        <v>0</v>
      </c>
      <c r="O305">
        <v>0</v>
      </c>
      <c r="P305">
        <v>0</v>
      </c>
      <c r="Q305">
        <v>0</v>
      </c>
      <c r="R305">
        <v>0</v>
      </c>
      <c r="S305">
        <v>0</v>
      </c>
      <c r="T305">
        <v>1</v>
      </c>
      <c r="U305">
        <v>0</v>
      </c>
      <c r="V305">
        <v>3</v>
      </c>
      <c r="W305">
        <v>0</v>
      </c>
      <c r="X305">
        <v>0</v>
      </c>
      <c r="Y305">
        <v>0</v>
      </c>
      <c r="Z305">
        <v>0</v>
      </c>
      <c r="AA305">
        <v>0</v>
      </c>
      <c r="AB305">
        <v>0</v>
      </c>
      <c r="AC305">
        <v>0</v>
      </c>
      <c r="AD305">
        <v>0</v>
      </c>
      <c r="AE305">
        <v>0</v>
      </c>
      <c r="AF305">
        <v>0</v>
      </c>
      <c r="AG305">
        <v>0</v>
      </c>
      <c r="AH305">
        <v>0</v>
      </c>
      <c r="AI305">
        <v>0</v>
      </c>
      <c r="AJ305">
        <v>0</v>
      </c>
      <c r="AK305">
        <v>0</v>
      </c>
      <c r="AL305">
        <v>0</v>
      </c>
      <c r="AM305">
        <v>0</v>
      </c>
    </row>
    <row r="306" spans="1:39" x14ac:dyDescent="0.35">
      <c r="A306" t="s">
        <v>175</v>
      </c>
      <c r="B306" t="s">
        <v>482</v>
      </c>
      <c r="C306" t="s">
        <v>176</v>
      </c>
      <c r="D306" t="s">
        <v>315</v>
      </c>
      <c r="E306" t="s">
        <v>488</v>
      </c>
      <c r="F306" t="s">
        <v>179</v>
      </c>
      <c r="G306" t="s">
        <v>653</v>
      </c>
      <c r="H306" t="s">
        <v>67</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row>
    <row r="307" spans="1:39" x14ac:dyDescent="0.35">
      <c r="A307" t="s">
        <v>175</v>
      </c>
      <c r="B307" t="s">
        <v>482</v>
      </c>
      <c r="C307" t="s">
        <v>176</v>
      </c>
      <c r="D307" t="s">
        <v>315</v>
      </c>
      <c r="E307" t="s">
        <v>485</v>
      </c>
      <c r="F307" t="s">
        <v>182</v>
      </c>
      <c r="G307" t="s">
        <v>652</v>
      </c>
      <c r="H307" t="s">
        <v>67</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row>
    <row r="308" spans="1:39" x14ac:dyDescent="0.35">
      <c r="A308" t="s">
        <v>175</v>
      </c>
      <c r="B308" t="s">
        <v>482</v>
      </c>
      <c r="C308" t="s">
        <v>176</v>
      </c>
      <c r="D308" t="s">
        <v>315</v>
      </c>
      <c r="E308" t="s">
        <v>485</v>
      </c>
      <c r="F308" t="s">
        <v>180</v>
      </c>
      <c r="G308" t="s">
        <v>650</v>
      </c>
      <c r="H308" t="s">
        <v>67</v>
      </c>
      <c r="I308">
        <v>12</v>
      </c>
      <c r="J308">
        <v>16</v>
      </c>
      <c r="K308">
        <v>0</v>
      </c>
      <c r="L308">
        <v>9</v>
      </c>
      <c r="M308">
        <v>5</v>
      </c>
      <c r="N308">
        <v>0</v>
      </c>
      <c r="O308">
        <v>1</v>
      </c>
      <c r="P308">
        <v>3</v>
      </c>
      <c r="Q308">
        <v>3</v>
      </c>
      <c r="R308">
        <v>2</v>
      </c>
      <c r="S308">
        <v>3</v>
      </c>
      <c r="T308">
        <v>1</v>
      </c>
      <c r="U308">
        <v>8</v>
      </c>
      <c r="V308">
        <v>1</v>
      </c>
      <c r="W308">
        <v>0</v>
      </c>
      <c r="X308">
        <v>0</v>
      </c>
      <c r="Y308">
        <v>0</v>
      </c>
      <c r="Z308">
        <v>0</v>
      </c>
      <c r="AA308">
        <v>0</v>
      </c>
      <c r="AB308">
        <v>0</v>
      </c>
      <c r="AC308">
        <v>0</v>
      </c>
      <c r="AD308">
        <v>0</v>
      </c>
      <c r="AE308">
        <v>0</v>
      </c>
      <c r="AF308">
        <v>0</v>
      </c>
      <c r="AG308">
        <v>0</v>
      </c>
      <c r="AH308">
        <v>0</v>
      </c>
      <c r="AI308">
        <v>0</v>
      </c>
      <c r="AJ308">
        <v>0</v>
      </c>
      <c r="AK308">
        <v>0</v>
      </c>
      <c r="AL308">
        <v>0</v>
      </c>
      <c r="AM308">
        <v>0</v>
      </c>
    </row>
    <row r="309" spans="1:39" x14ac:dyDescent="0.35">
      <c r="A309" t="s">
        <v>175</v>
      </c>
      <c r="B309" t="s">
        <v>482</v>
      </c>
      <c r="C309" t="s">
        <v>176</v>
      </c>
      <c r="D309" t="s">
        <v>315</v>
      </c>
      <c r="E309" t="s">
        <v>485</v>
      </c>
      <c r="F309" t="s">
        <v>181</v>
      </c>
      <c r="G309" t="s">
        <v>651</v>
      </c>
      <c r="H309" t="s">
        <v>67</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row>
    <row r="310" spans="1:39" x14ac:dyDescent="0.35">
      <c r="A310" t="s">
        <v>175</v>
      </c>
      <c r="B310" t="s">
        <v>482</v>
      </c>
      <c r="C310" t="s">
        <v>176</v>
      </c>
      <c r="D310" t="s">
        <v>315</v>
      </c>
      <c r="E310" t="s">
        <v>485</v>
      </c>
      <c r="F310" t="s">
        <v>179</v>
      </c>
      <c r="G310" t="s">
        <v>649</v>
      </c>
      <c r="H310" t="s">
        <v>67</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row>
    <row r="311" spans="1:39" x14ac:dyDescent="0.35">
      <c r="A311" t="s">
        <v>175</v>
      </c>
      <c r="B311" t="s">
        <v>482</v>
      </c>
      <c r="C311" t="s">
        <v>176</v>
      </c>
      <c r="D311" t="s">
        <v>315</v>
      </c>
      <c r="E311" t="s">
        <v>504</v>
      </c>
      <c r="F311" t="s">
        <v>182</v>
      </c>
      <c r="G311" t="s">
        <v>718</v>
      </c>
      <c r="H311" t="s">
        <v>67</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row>
    <row r="312" spans="1:39" x14ac:dyDescent="0.35">
      <c r="A312" t="s">
        <v>175</v>
      </c>
      <c r="B312" t="s">
        <v>482</v>
      </c>
      <c r="C312" t="s">
        <v>176</v>
      </c>
      <c r="D312" t="s">
        <v>315</v>
      </c>
      <c r="E312" t="s">
        <v>504</v>
      </c>
      <c r="F312" t="s">
        <v>180</v>
      </c>
      <c r="G312" t="s">
        <v>716</v>
      </c>
      <c r="H312" t="s">
        <v>67</v>
      </c>
      <c r="I312">
        <v>0</v>
      </c>
      <c r="J312">
        <v>0</v>
      </c>
      <c r="K312">
        <v>5</v>
      </c>
      <c r="L312">
        <v>3</v>
      </c>
      <c r="M312">
        <v>4</v>
      </c>
      <c r="N312">
        <v>0</v>
      </c>
      <c r="O312">
        <v>0</v>
      </c>
      <c r="P312">
        <v>0</v>
      </c>
      <c r="Q312">
        <v>0</v>
      </c>
      <c r="R312">
        <v>2</v>
      </c>
      <c r="S312">
        <v>0</v>
      </c>
      <c r="T312">
        <v>0</v>
      </c>
      <c r="U312">
        <v>1</v>
      </c>
      <c r="V312">
        <v>0</v>
      </c>
      <c r="W312">
        <v>0</v>
      </c>
      <c r="X312">
        <v>0</v>
      </c>
      <c r="Y312">
        <v>0</v>
      </c>
      <c r="Z312">
        <v>0</v>
      </c>
      <c r="AA312">
        <v>0</v>
      </c>
      <c r="AB312">
        <v>0</v>
      </c>
      <c r="AC312">
        <v>0</v>
      </c>
      <c r="AD312">
        <v>0</v>
      </c>
      <c r="AE312">
        <v>0</v>
      </c>
      <c r="AF312">
        <v>0</v>
      </c>
      <c r="AG312">
        <v>0</v>
      </c>
      <c r="AH312">
        <v>0</v>
      </c>
      <c r="AI312">
        <v>0</v>
      </c>
      <c r="AJ312">
        <v>0</v>
      </c>
      <c r="AK312">
        <v>0</v>
      </c>
      <c r="AL312">
        <v>0</v>
      </c>
      <c r="AM312">
        <v>0</v>
      </c>
    </row>
    <row r="313" spans="1:39" x14ac:dyDescent="0.35">
      <c r="A313" t="s">
        <v>175</v>
      </c>
      <c r="B313" t="s">
        <v>482</v>
      </c>
      <c r="C313" t="s">
        <v>176</v>
      </c>
      <c r="D313" t="s">
        <v>315</v>
      </c>
      <c r="E313" t="s">
        <v>504</v>
      </c>
      <c r="F313" t="s">
        <v>181</v>
      </c>
      <c r="G313" t="s">
        <v>717</v>
      </c>
      <c r="H313" t="s">
        <v>67</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row>
    <row r="314" spans="1:39" x14ac:dyDescent="0.35">
      <c r="A314" t="s">
        <v>175</v>
      </c>
      <c r="B314" t="s">
        <v>482</v>
      </c>
      <c r="C314" t="s">
        <v>176</v>
      </c>
      <c r="D314" t="s">
        <v>315</v>
      </c>
      <c r="E314" t="s">
        <v>504</v>
      </c>
      <c r="F314" t="s">
        <v>179</v>
      </c>
      <c r="G314" t="s">
        <v>715</v>
      </c>
      <c r="H314" t="s">
        <v>67</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row>
    <row r="315" spans="1:39" x14ac:dyDescent="0.35">
      <c r="A315" t="s">
        <v>175</v>
      </c>
      <c r="B315" t="s">
        <v>482</v>
      </c>
      <c r="C315" t="s">
        <v>176</v>
      </c>
      <c r="D315" t="s">
        <v>315</v>
      </c>
      <c r="E315" t="s">
        <v>1340</v>
      </c>
      <c r="F315" t="s">
        <v>182</v>
      </c>
      <c r="G315" t="s">
        <v>1450</v>
      </c>
      <c r="H315" t="s">
        <v>67</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row>
    <row r="316" spans="1:39" x14ac:dyDescent="0.35">
      <c r="A316" t="s">
        <v>175</v>
      </c>
      <c r="B316" t="s">
        <v>482</v>
      </c>
      <c r="C316" t="s">
        <v>176</v>
      </c>
      <c r="D316" t="s">
        <v>315</v>
      </c>
      <c r="E316" t="s">
        <v>1340</v>
      </c>
      <c r="F316" t="s">
        <v>180</v>
      </c>
      <c r="G316" t="s">
        <v>1430</v>
      </c>
      <c r="H316" t="s">
        <v>67</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row>
    <row r="317" spans="1:39" x14ac:dyDescent="0.35">
      <c r="A317" t="s">
        <v>175</v>
      </c>
      <c r="B317" t="s">
        <v>482</v>
      </c>
      <c r="C317" t="s">
        <v>176</v>
      </c>
      <c r="D317" t="s">
        <v>315</v>
      </c>
      <c r="E317" t="s">
        <v>1340</v>
      </c>
      <c r="F317" t="s">
        <v>181</v>
      </c>
      <c r="G317" t="s">
        <v>1449</v>
      </c>
      <c r="H317" t="s">
        <v>67</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row>
    <row r="318" spans="1:39" x14ac:dyDescent="0.35">
      <c r="A318" t="s">
        <v>175</v>
      </c>
      <c r="B318" t="s">
        <v>482</v>
      </c>
      <c r="C318" t="s">
        <v>176</v>
      </c>
      <c r="D318" t="s">
        <v>315</v>
      </c>
      <c r="E318" t="s">
        <v>1340</v>
      </c>
      <c r="F318" t="s">
        <v>179</v>
      </c>
      <c r="G318" t="s">
        <v>1448</v>
      </c>
      <c r="H318" t="s">
        <v>67</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row>
    <row r="319" spans="1:39" x14ac:dyDescent="0.35">
      <c r="A319" t="s">
        <v>175</v>
      </c>
      <c r="B319" t="s">
        <v>482</v>
      </c>
      <c r="C319" t="s">
        <v>176</v>
      </c>
      <c r="D319" t="s">
        <v>315</v>
      </c>
      <c r="E319" t="s">
        <v>505</v>
      </c>
      <c r="F319" t="s">
        <v>182</v>
      </c>
      <c r="G319" t="s">
        <v>1139</v>
      </c>
      <c r="H319" t="s">
        <v>150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row>
    <row r="320" spans="1:39" x14ac:dyDescent="0.35">
      <c r="A320" t="s">
        <v>175</v>
      </c>
      <c r="B320" t="s">
        <v>482</v>
      </c>
      <c r="C320" t="s">
        <v>176</v>
      </c>
      <c r="D320" t="s">
        <v>315</v>
      </c>
      <c r="E320" t="s">
        <v>505</v>
      </c>
      <c r="F320" t="s">
        <v>180</v>
      </c>
      <c r="G320" t="s">
        <v>1137</v>
      </c>
      <c r="H320" t="s">
        <v>150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row>
    <row r="321" spans="1:39" x14ac:dyDescent="0.35">
      <c r="A321" t="s">
        <v>175</v>
      </c>
      <c r="B321" t="s">
        <v>482</v>
      </c>
      <c r="C321" t="s">
        <v>176</v>
      </c>
      <c r="D321" t="s">
        <v>315</v>
      </c>
      <c r="E321" t="s">
        <v>505</v>
      </c>
      <c r="F321" t="s">
        <v>181</v>
      </c>
      <c r="G321" t="s">
        <v>1138</v>
      </c>
      <c r="H321" t="s">
        <v>150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row>
    <row r="322" spans="1:39" x14ac:dyDescent="0.35">
      <c r="A322" t="s">
        <v>175</v>
      </c>
      <c r="B322" t="s">
        <v>482</v>
      </c>
      <c r="C322" t="s">
        <v>176</v>
      </c>
      <c r="D322" t="s">
        <v>315</v>
      </c>
      <c r="E322" t="s">
        <v>505</v>
      </c>
      <c r="F322" t="s">
        <v>179</v>
      </c>
      <c r="G322" t="s">
        <v>1136</v>
      </c>
      <c r="H322" t="s">
        <v>150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row>
    <row r="323" spans="1:39" x14ac:dyDescent="0.35">
      <c r="A323" t="s">
        <v>175</v>
      </c>
      <c r="B323" t="s">
        <v>482</v>
      </c>
      <c r="C323" t="s">
        <v>176</v>
      </c>
      <c r="D323" t="s">
        <v>315</v>
      </c>
      <c r="E323" t="s">
        <v>512</v>
      </c>
      <c r="F323" t="s">
        <v>182</v>
      </c>
      <c r="G323" t="s">
        <v>730</v>
      </c>
      <c r="H323" t="s">
        <v>150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row>
    <row r="324" spans="1:39" x14ac:dyDescent="0.35">
      <c r="A324" t="s">
        <v>175</v>
      </c>
      <c r="B324" t="s">
        <v>482</v>
      </c>
      <c r="C324" t="s">
        <v>176</v>
      </c>
      <c r="D324" t="s">
        <v>315</v>
      </c>
      <c r="E324" t="s">
        <v>512</v>
      </c>
      <c r="F324" t="s">
        <v>182</v>
      </c>
      <c r="G324" t="s">
        <v>847</v>
      </c>
      <c r="H324" t="s">
        <v>150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row>
    <row r="325" spans="1:39" x14ac:dyDescent="0.35">
      <c r="A325" t="s">
        <v>175</v>
      </c>
      <c r="B325" t="s">
        <v>482</v>
      </c>
      <c r="C325" t="s">
        <v>176</v>
      </c>
      <c r="D325" t="s">
        <v>315</v>
      </c>
      <c r="E325" t="s">
        <v>512</v>
      </c>
      <c r="F325" t="s">
        <v>180</v>
      </c>
      <c r="G325" t="s">
        <v>728</v>
      </c>
      <c r="H325" t="s">
        <v>150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row>
    <row r="326" spans="1:39" x14ac:dyDescent="0.35">
      <c r="A326" t="s">
        <v>175</v>
      </c>
      <c r="B326" t="s">
        <v>482</v>
      </c>
      <c r="C326" t="s">
        <v>176</v>
      </c>
      <c r="D326" t="s">
        <v>315</v>
      </c>
      <c r="E326" t="s">
        <v>512</v>
      </c>
      <c r="F326" t="s">
        <v>180</v>
      </c>
      <c r="G326" t="s">
        <v>845</v>
      </c>
      <c r="H326" t="s">
        <v>150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row>
    <row r="327" spans="1:39" x14ac:dyDescent="0.35">
      <c r="A327" t="s">
        <v>175</v>
      </c>
      <c r="B327" t="s">
        <v>482</v>
      </c>
      <c r="C327" t="s">
        <v>176</v>
      </c>
      <c r="D327" t="s">
        <v>315</v>
      </c>
      <c r="E327" t="s">
        <v>512</v>
      </c>
      <c r="F327" t="s">
        <v>181</v>
      </c>
      <c r="G327" t="s">
        <v>729</v>
      </c>
      <c r="H327" t="s">
        <v>150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row>
    <row r="328" spans="1:39" x14ac:dyDescent="0.35">
      <c r="A328" t="s">
        <v>175</v>
      </c>
      <c r="B328" t="s">
        <v>482</v>
      </c>
      <c r="C328" t="s">
        <v>176</v>
      </c>
      <c r="D328" t="s">
        <v>315</v>
      </c>
      <c r="E328" t="s">
        <v>512</v>
      </c>
      <c r="F328" t="s">
        <v>181</v>
      </c>
      <c r="G328" t="s">
        <v>846</v>
      </c>
      <c r="H328" t="s">
        <v>150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row>
    <row r="329" spans="1:39" x14ac:dyDescent="0.35">
      <c r="A329" t="s">
        <v>175</v>
      </c>
      <c r="B329" t="s">
        <v>482</v>
      </c>
      <c r="C329" t="s">
        <v>176</v>
      </c>
      <c r="D329" t="s">
        <v>315</v>
      </c>
      <c r="E329" t="s">
        <v>512</v>
      </c>
      <c r="F329" t="s">
        <v>179</v>
      </c>
      <c r="G329" t="s">
        <v>727</v>
      </c>
      <c r="H329" t="s">
        <v>150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row>
    <row r="330" spans="1:39" x14ac:dyDescent="0.35">
      <c r="A330" t="s">
        <v>175</v>
      </c>
      <c r="B330" t="s">
        <v>482</v>
      </c>
      <c r="C330" t="s">
        <v>176</v>
      </c>
      <c r="D330" t="s">
        <v>315</v>
      </c>
      <c r="E330" t="s">
        <v>512</v>
      </c>
      <c r="F330" t="s">
        <v>179</v>
      </c>
      <c r="G330" t="s">
        <v>844</v>
      </c>
      <c r="H330" t="s">
        <v>150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row>
    <row r="331" spans="1:39" x14ac:dyDescent="0.35">
      <c r="A331" t="s">
        <v>175</v>
      </c>
      <c r="B331" t="s">
        <v>482</v>
      </c>
      <c r="C331" t="s">
        <v>176</v>
      </c>
      <c r="D331" t="s">
        <v>315</v>
      </c>
      <c r="E331" t="s">
        <v>26</v>
      </c>
      <c r="F331" t="s">
        <v>182</v>
      </c>
      <c r="G331" t="s">
        <v>235</v>
      </c>
      <c r="H331" t="s">
        <v>35</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row>
    <row r="332" spans="1:39" x14ac:dyDescent="0.35">
      <c r="A332" t="s">
        <v>175</v>
      </c>
      <c r="B332" t="s">
        <v>482</v>
      </c>
      <c r="C332" t="s">
        <v>176</v>
      </c>
      <c r="D332" t="s">
        <v>315</v>
      </c>
      <c r="E332" t="s">
        <v>26</v>
      </c>
      <c r="F332" t="s">
        <v>180</v>
      </c>
      <c r="G332" t="s">
        <v>233</v>
      </c>
      <c r="H332" t="s">
        <v>35</v>
      </c>
      <c r="I332">
        <v>0</v>
      </c>
      <c r="J332">
        <v>0</v>
      </c>
      <c r="K332">
        <v>0</v>
      </c>
      <c r="L332">
        <v>0</v>
      </c>
      <c r="M332">
        <v>0</v>
      </c>
      <c r="N332">
        <v>0</v>
      </c>
      <c r="O332">
        <v>0</v>
      </c>
      <c r="P332">
        <v>0</v>
      </c>
      <c r="Q332">
        <v>0</v>
      </c>
      <c r="R332">
        <v>18</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row>
    <row r="333" spans="1:39" x14ac:dyDescent="0.35">
      <c r="A333" t="s">
        <v>175</v>
      </c>
      <c r="B333" t="s">
        <v>482</v>
      </c>
      <c r="C333" t="s">
        <v>176</v>
      </c>
      <c r="D333" t="s">
        <v>315</v>
      </c>
      <c r="E333" t="s">
        <v>26</v>
      </c>
      <c r="F333" t="s">
        <v>183</v>
      </c>
      <c r="G333" t="s">
        <v>234</v>
      </c>
      <c r="H333" t="s">
        <v>35</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row>
    <row r="334" spans="1:39" x14ac:dyDescent="0.35">
      <c r="A334" t="s">
        <v>175</v>
      </c>
      <c r="B334" t="s">
        <v>482</v>
      </c>
      <c r="C334" t="s">
        <v>176</v>
      </c>
      <c r="D334" t="s">
        <v>315</v>
      </c>
      <c r="E334" t="s">
        <v>26</v>
      </c>
      <c r="F334" t="s">
        <v>179</v>
      </c>
      <c r="G334" t="s">
        <v>232</v>
      </c>
      <c r="H334" t="s">
        <v>35</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row>
    <row r="335" spans="1:39" x14ac:dyDescent="0.35">
      <c r="A335" t="s">
        <v>175</v>
      </c>
      <c r="B335" t="s">
        <v>482</v>
      </c>
      <c r="C335" t="s">
        <v>176</v>
      </c>
      <c r="D335" t="s">
        <v>315</v>
      </c>
      <c r="E335" t="s">
        <v>1341</v>
      </c>
      <c r="F335" t="s">
        <v>182</v>
      </c>
      <c r="G335" t="s">
        <v>1444</v>
      </c>
      <c r="H335" t="s">
        <v>67</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row>
    <row r="336" spans="1:39" x14ac:dyDescent="0.35">
      <c r="A336" t="s">
        <v>175</v>
      </c>
      <c r="B336" t="s">
        <v>482</v>
      </c>
      <c r="C336" t="s">
        <v>176</v>
      </c>
      <c r="D336" t="s">
        <v>315</v>
      </c>
      <c r="E336" t="s">
        <v>1341</v>
      </c>
      <c r="F336" t="s">
        <v>180</v>
      </c>
      <c r="G336" t="s">
        <v>1442</v>
      </c>
      <c r="H336" t="s">
        <v>67</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row>
    <row r="337" spans="1:39" x14ac:dyDescent="0.35">
      <c r="A337" t="s">
        <v>175</v>
      </c>
      <c r="B337" t="s">
        <v>482</v>
      </c>
      <c r="C337" t="s">
        <v>176</v>
      </c>
      <c r="D337" t="s">
        <v>315</v>
      </c>
      <c r="E337" t="s">
        <v>1341</v>
      </c>
      <c r="F337" t="s">
        <v>181</v>
      </c>
      <c r="G337" t="s">
        <v>1443</v>
      </c>
      <c r="H337" t="s">
        <v>67</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row>
    <row r="338" spans="1:39" x14ac:dyDescent="0.35">
      <c r="A338" t="s">
        <v>175</v>
      </c>
      <c r="B338" t="s">
        <v>482</v>
      </c>
      <c r="C338" t="s">
        <v>176</v>
      </c>
      <c r="D338" t="s">
        <v>315</v>
      </c>
      <c r="E338" t="s">
        <v>1341</v>
      </c>
      <c r="F338" t="s">
        <v>179</v>
      </c>
      <c r="G338" t="s">
        <v>1441</v>
      </c>
      <c r="H338" t="s">
        <v>67</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row>
    <row r="339" spans="1:39" x14ac:dyDescent="0.35">
      <c r="A339" t="s">
        <v>175</v>
      </c>
      <c r="B339" t="s">
        <v>482</v>
      </c>
      <c r="C339" t="s">
        <v>176</v>
      </c>
      <c r="D339" t="s">
        <v>315</v>
      </c>
      <c r="E339" t="s">
        <v>27</v>
      </c>
      <c r="F339" t="s">
        <v>182</v>
      </c>
      <c r="G339" t="s">
        <v>231</v>
      </c>
      <c r="H339" t="s">
        <v>67</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row>
    <row r="340" spans="1:39" x14ac:dyDescent="0.35">
      <c r="A340" t="s">
        <v>175</v>
      </c>
      <c r="B340" t="s">
        <v>482</v>
      </c>
      <c r="C340" t="s">
        <v>176</v>
      </c>
      <c r="D340" t="s">
        <v>315</v>
      </c>
      <c r="E340" t="s">
        <v>27</v>
      </c>
      <c r="F340" t="s">
        <v>180</v>
      </c>
      <c r="G340" t="s">
        <v>229</v>
      </c>
      <c r="H340" t="s">
        <v>67</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row>
    <row r="341" spans="1:39" x14ac:dyDescent="0.35">
      <c r="A341" t="s">
        <v>175</v>
      </c>
      <c r="B341" t="s">
        <v>482</v>
      </c>
      <c r="C341" t="s">
        <v>176</v>
      </c>
      <c r="D341" t="s">
        <v>315</v>
      </c>
      <c r="E341" t="s">
        <v>27</v>
      </c>
      <c r="F341" t="s">
        <v>181</v>
      </c>
      <c r="G341" t="s">
        <v>230</v>
      </c>
      <c r="H341" t="s">
        <v>67</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row>
    <row r="342" spans="1:39" x14ac:dyDescent="0.35">
      <c r="A342" t="s">
        <v>175</v>
      </c>
      <c r="B342" t="s">
        <v>482</v>
      </c>
      <c r="C342" t="s">
        <v>176</v>
      </c>
      <c r="D342" t="s">
        <v>315</v>
      </c>
      <c r="E342" t="s">
        <v>27</v>
      </c>
      <c r="F342" t="s">
        <v>179</v>
      </c>
      <c r="G342" t="s">
        <v>228</v>
      </c>
      <c r="H342" t="s">
        <v>67</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row>
    <row r="343" spans="1:39" x14ac:dyDescent="0.35">
      <c r="A343" t="s">
        <v>175</v>
      </c>
      <c r="B343" t="s">
        <v>482</v>
      </c>
      <c r="C343" t="s">
        <v>176</v>
      </c>
      <c r="D343" t="s">
        <v>315</v>
      </c>
      <c r="E343" t="s">
        <v>486</v>
      </c>
      <c r="F343" t="s">
        <v>182</v>
      </c>
      <c r="G343" t="s">
        <v>702</v>
      </c>
      <c r="H343" t="s">
        <v>67</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row>
    <row r="344" spans="1:39" x14ac:dyDescent="0.35">
      <c r="A344" t="s">
        <v>175</v>
      </c>
      <c r="B344" t="s">
        <v>482</v>
      </c>
      <c r="C344" t="s">
        <v>176</v>
      </c>
      <c r="D344" t="s">
        <v>315</v>
      </c>
      <c r="E344" t="s">
        <v>486</v>
      </c>
      <c r="F344" t="s">
        <v>180</v>
      </c>
      <c r="G344" t="s">
        <v>700</v>
      </c>
      <c r="H344" t="s">
        <v>67</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row>
    <row r="345" spans="1:39" x14ac:dyDescent="0.35">
      <c r="A345" t="s">
        <v>175</v>
      </c>
      <c r="B345" t="s">
        <v>482</v>
      </c>
      <c r="C345" t="s">
        <v>176</v>
      </c>
      <c r="D345" t="s">
        <v>315</v>
      </c>
      <c r="E345" t="s">
        <v>486</v>
      </c>
      <c r="F345" t="s">
        <v>181</v>
      </c>
      <c r="G345" t="s">
        <v>701</v>
      </c>
      <c r="H345" t="s">
        <v>67</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row>
    <row r="346" spans="1:39" x14ac:dyDescent="0.35">
      <c r="A346" t="s">
        <v>175</v>
      </c>
      <c r="B346" t="s">
        <v>482</v>
      </c>
      <c r="C346" t="s">
        <v>176</v>
      </c>
      <c r="D346" t="s">
        <v>315</v>
      </c>
      <c r="E346" t="s">
        <v>486</v>
      </c>
      <c r="F346" t="s">
        <v>179</v>
      </c>
      <c r="G346" t="s">
        <v>699</v>
      </c>
      <c r="H346" t="s">
        <v>67</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row>
    <row r="347" spans="1:39" x14ac:dyDescent="0.35">
      <c r="A347" t="s">
        <v>175</v>
      </c>
      <c r="B347" t="s">
        <v>482</v>
      </c>
      <c r="C347" t="s">
        <v>176</v>
      </c>
      <c r="D347" t="s">
        <v>315</v>
      </c>
      <c r="E347" t="s">
        <v>541</v>
      </c>
      <c r="F347" t="s">
        <v>182</v>
      </c>
      <c r="G347" t="s">
        <v>734</v>
      </c>
      <c r="H347" t="s">
        <v>67</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row>
    <row r="348" spans="1:39" x14ac:dyDescent="0.35">
      <c r="A348" t="s">
        <v>175</v>
      </c>
      <c r="B348" t="s">
        <v>482</v>
      </c>
      <c r="C348" t="s">
        <v>176</v>
      </c>
      <c r="D348" t="s">
        <v>315</v>
      </c>
      <c r="E348" t="s">
        <v>541</v>
      </c>
      <c r="F348" t="s">
        <v>180</v>
      </c>
      <c r="G348" t="s">
        <v>732</v>
      </c>
      <c r="H348" t="s">
        <v>67</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row>
    <row r="349" spans="1:39" x14ac:dyDescent="0.35">
      <c r="A349" t="s">
        <v>175</v>
      </c>
      <c r="B349" t="s">
        <v>482</v>
      </c>
      <c r="C349" t="s">
        <v>176</v>
      </c>
      <c r="D349" t="s">
        <v>315</v>
      </c>
      <c r="E349" t="s">
        <v>541</v>
      </c>
      <c r="F349" t="s">
        <v>181</v>
      </c>
      <c r="G349" t="s">
        <v>733</v>
      </c>
      <c r="H349" t="s">
        <v>67</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row>
    <row r="350" spans="1:39" x14ac:dyDescent="0.35">
      <c r="A350" t="s">
        <v>175</v>
      </c>
      <c r="B350" t="s">
        <v>482</v>
      </c>
      <c r="C350" t="s">
        <v>176</v>
      </c>
      <c r="D350" t="s">
        <v>315</v>
      </c>
      <c r="E350" t="s">
        <v>541</v>
      </c>
      <c r="F350" t="s">
        <v>179</v>
      </c>
      <c r="G350" t="s">
        <v>731</v>
      </c>
      <c r="H350" t="s">
        <v>67</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row>
    <row r="351" spans="1:39" x14ac:dyDescent="0.35">
      <c r="A351" t="s">
        <v>175</v>
      </c>
      <c r="B351" t="s">
        <v>482</v>
      </c>
      <c r="C351" t="s">
        <v>176</v>
      </c>
      <c r="D351" t="s">
        <v>315</v>
      </c>
      <c r="E351" t="s">
        <v>920</v>
      </c>
      <c r="F351" t="s">
        <v>182</v>
      </c>
      <c r="G351" t="s">
        <v>955</v>
      </c>
      <c r="H351" t="s">
        <v>67</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row>
    <row r="352" spans="1:39" x14ac:dyDescent="0.35">
      <c r="A352" t="s">
        <v>175</v>
      </c>
      <c r="B352" t="s">
        <v>482</v>
      </c>
      <c r="C352" t="s">
        <v>176</v>
      </c>
      <c r="D352" t="s">
        <v>315</v>
      </c>
      <c r="E352" t="s">
        <v>920</v>
      </c>
      <c r="F352" t="s">
        <v>180</v>
      </c>
      <c r="G352" t="s">
        <v>953</v>
      </c>
      <c r="H352" t="s">
        <v>67</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row>
    <row r="353" spans="1:39" x14ac:dyDescent="0.35">
      <c r="A353" t="s">
        <v>175</v>
      </c>
      <c r="B353" t="s">
        <v>482</v>
      </c>
      <c r="C353" t="s">
        <v>176</v>
      </c>
      <c r="D353" t="s">
        <v>315</v>
      </c>
      <c r="E353" t="s">
        <v>920</v>
      </c>
      <c r="F353" t="s">
        <v>181</v>
      </c>
      <c r="G353" t="s">
        <v>954</v>
      </c>
      <c r="H353" t="s">
        <v>67</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row>
    <row r="354" spans="1:39" x14ac:dyDescent="0.35">
      <c r="A354" t="s">
        <v>175</v>
      </c>
      <c r="B354" t="s">
        <v>482</v>
      </c>
      <c r="C354" t="s">
        <v>176</v>
      </c>
      <c r="D354" t="s">
        <v>315</v>
      </c>
      <c r="E354" t="s">
        <v>920</v>
      </c>
      <c r="F354" t="s">
        <v>179</v>
      </c>
      <c r="G354" t="s">
        <v>952</v>
      </c>
      <c r="H354" t="s">
        <v>67</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row>
    <row r="355" spans="1:39" x14ac:dyDescent="0.35">
      <c r="A355" t="s">
        <v>175</v>
      </c>
      <c r="B355" t="s">
        <v>482</v>
      </c>
      <c r="C355" t="s">
        <v>176</v>
      </c>
      <c r="D355" t="s">
        <v>623</v>
      </c>
      <c r="E355" t="s">
        <v>923</v>
      </c>
      <c r="F355" t="s">
        <v>182</v>
      </c>
      <c r="G355" t="s">
        <v>963</v>
      </c>
      <c r="H355" t="s">
        <v>67</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row>
    <row r="356" spans="1:39" x14ac:dyDescent="0.35">
      <c r="A356" t="s">
        <v>175</v>
      </c>
      <c r="B356" t="s">
        <v>482</v>
      </c>
      <c r="C356" t="s">
        <v>176</v>
      </c>
      <c r="D356" t="s">
        <v>623</v>
      </c>
      <c r="E356" t="s">
        <v>923</v>
      </c>
      <c r="F356" t="s">
        <v>180</v>
      </c>
      <c r="G356" t="s">
        <v>961</v>
      </c>
      <c r="H356" t="s">
        <v>67</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row>
    <row r="357" spans="1:39" x14ac:dyDescent="0.35">
      <c r="A357" t="s">
        <v>175</v>
      </c>
      <c r="B357" t="s">
        <v>482</v>
      </c>
      <c r="C357" t="s">
        <v>176</v>
      </c>
      <c r="D357" t="s">
        <v>623</v>
      </c>
      <c r="E357" t="s">
        <v>923</v>
      </c>
      <c r="F357" t="s">
        <v>181</v>
      </c>
      <c r="G357" t="s">
        <v>962</v>
      </c>
      <c r="H357" t="s">
        <v>67</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row>
    <row r="358" spans="1:39" x14ac:dyDescent="0.35">
      <c r="A358" t="s">
        <v>175</v>
      </c>
      <c r="B358" t="s">
        <v>482</v>
      </c>
      <c r="C358" t="s">
        <v>176</v>
      </c>
      <c r="D358" t="s">
        <v>623</v>
      </c>
      <c r="E358" t="s">
        <v>923</v>
      </c>
      <c r="F358" t="s">
        <v>179</v>
      </c>
      <c r="G358" t="s">
        <v>960</v>
      </c>
      <c r="H358" t="s">
        <v>67</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row>
    <row r="359" spans="1:39" x14ac:dyDescent="0.35">
      <c r="A359" t="s">
        <v>175</v>
      </c>
      <c r="B359" t="s">
        <v>482</v>
      </c>
      <c r="C359" t="s">
        <v>176</v>
      </c>
      <c r="D359" t="s">
        <v>623</v>
      </c>
      <c r="E359" t="s">
        <v>606</v>
      </c>
      <c r="F359" t="s">
        <v>182</v>
      </c>
      <c r="G359" t="s">
        <v>1131</v>
      </c>
      <c r="H359" t="s">
        <v>67</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row>
    <row r="360" spans="1:39" x14ac:dyDescent="0.35">
      <c r="A360" t="s">
        <v>175</v>
      </c>
      <c r="B360" t="s">
        <v>482</v>
      </c>
      <c r="C360" t="s">
        <v>176</v>
      </c>
      <c r="D360" t="s">
        <v>623</v>
      </c>
      <c r="E360" t="s">
        <v>606</v>
      </c>
      <c r="F360" t="s">
        <v>180</v>
      </c>
      <c r="G360" t="s">
        <v>1129</v>
      </c>
      <c r="H360" t="s">
        <v>67</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row>
    <row r="361" spans="1:39" x14ac:dyDescent="0.35">
      <c r="A361" t="s">
        <v>175</v>
      </c>
      <c r="B361" t="s">
        <v>482</v>
      </c>
      <c r="C361" t="s">
        <v>176</v>
      </c>
      <c r="D361" t="s">
        <v>623</v>
      </c>
      <c r="E361" t="s">
        <v>606</v>
      </c>
      <c r="F361" t="s">
        <v>181</v>
      </c>
      <c r="G361" t="s">
        <v>1130</v>
      </c>
      <c r="H361" t="s">
        <v>67</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row>
    <row r="362" spans="1:39" x14ac:dyDescent="0.35">
      <c r="A362" t="s">
        <v>175</v>
      </c>
      <c r="B362" t="s">
        <v>482</v>
      </c>
      <c r="C362" t="s">
        <v>176</v>
      </c>
      <c r="D362" t="s">
        <v>623</v>
      </c>
      <c r="E362" t="s">
        <v>606</v>
      </c>
      <c r="F362" t="s">
        <v>179</v>
      </c>
      <c r="G362" t="s">
        <v>1128</v>
      </c>
      <c r="H362" t="s">
        <v>67</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row>
    <row r="363" spans="1:39" x14ac:dyDescent="0.35">
      <c r="A363" t="s">
        <v>175</v>
      </c>
      <c r="B363" t="s">
        <v>310</v>
      </c>
      <c r="C363" t="s">
        <v>176</v>
      </c>
      <c r="D363" t="s">
        <v>315</v>
      </c>
      <c r="E363" t="s">
        <v>922</v>
      </c>
      <c r="F363" t="s">
        <v>1202</v>
      </c>
      <c r="G363" t="s">
        <v>1203</v>
      </c>
      <c r="H363" t="s">
        <v>67</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row>
    <row r="364" spans="1:39" x14ac:dyDescent="0.35">
      <c r="A364" t="s">
        <v>175</v>
      </c>
      <c r="B364" t="s">
        <v>310</v>
      </c>
      <c r="C364" t="s">
        <v>176</v>
      </c>
      <c r="D364" t="s">
        <v>315</v>
      </c>
      <c r="E364" t="s">
        <v>919</v>
      </c>
      <c r="F364" t="s">
        <v>1202</v>
      </c>
      <c r="G364" t="s">
        <v>1204</v>
      </c>
      <c r="H364" t="s">
        <v>67</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row>
    <row r="365" spans="1:39" x14ac:dyDescent="0.35">
      <c r="A365" t="s">
        <v>175</v>
      </c>
      <c r="B365" t="s">
        <v>310</v>
      </c>
      <c r="C365" t="s">
        <v>176</v>
      </c>
      <c r="D365" t="s">
        <v>315</v>
      </c>
      <c r="E365" t="s">
        <v>1342</v>
      </c>
      <c r="F365" t="s">
        <v>1202</v>
      </c>
      <c r="G365" t="s">
        <v>1427</v>
      </c>
      <c r="H365" t="s">
        <v>67</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row>
    <row r="366" spans="1:39" x14ac:dyDescent="0.35">
      <c r="A366" t="s">
        <v>175</v>
      </c>
      <c r="B366" t="s">
        <v>310</v>
      </c>
      <c r="C366" t="s">
        <v>176</v>
      </c>
      <c r="D366" t="s">
        <v>315</v>
      </c>
      <c r="E366" t="s">
        <v>503</v>
      </c>
      <c r="F366" t="s">
        <v>1202</v>
      </c>
      <c r="G366" t="s">
        <v>1205</v>
      </c>
      <c r="H366" t="s">
        <v>150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row>
    <row r="367" spans="1:39" x14ac:dyDescent="0.35">
      <c r="A367" t="s">
        <v>175</v>
      </c>
      <c r="B367" t="s">
        <v>310</v>
      </c>
      <c r="C367" t="s">
        <v>176</v>
      </c>
      <c r="D367" t="s">
        <v>315</v>
      </c>
      <c r="E367" t="s">
        <v>499</v>
      </c>
      <c r="F367" t="s">
        <v>1202</v>
      </c>
      <c r="G367" t="s">
        <v>1206</v>
      </c>
      <c r="H367" t="s">
        <v>67</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row>
    <row r="368" spans="1:39" x14ac:dyDescent="0.35">
      <c r="A368" t="s">
        <v>175</v>
      </c>
      <c r="B368" t="s">
        <v>310</v>
      </c>
      <c r="C368" t="s">
        <v>176</v>
      </c>
      <c r="D368" t="s">
        <v>315</v>
      </c>
      <c r="E368" t="s">
        <v>488</v>
      </c>
      <c r="F368" t="s">
        <v>1202</v>
      </c>
      <c r="G368" t="s">
        <v>1207</v>
      </c>
      <c r="H368" t="s">
        <v>67</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row>
    <row r="369" spans="1:39" x14ac:dyDescent="0.35">
      <c r="A369" t="s">
        <v>175</v>
      </c>
      <c r="B369" t="s">
        <v>310</v>
      </c>
      <c r="C369" t="s">
        <v>176</v>
      </c>
      <c r="D369" t="s">
        <v>315</v>
      </c>
      <c r="E369" t="s">
        <v>986</v>
      </c>
      <c r="F369" t="s">
        <v>1202</v>
      </c>
      <c r="G369" t="s">
        <v>1470</v>
      </c>
      <c r="H369" t="s">
        <v>67</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row>
    <row r="370" spans="1:39" x14ac:dyDescent="0.35">
      <c r="A370" t="s">
        <v>175</v>
      </c>
      <c r="B370" t="s">
        <v>310</v>
      </c>
      <c r="C370" t="s">
        <v>176</v>
      </c>
      <c r="D370" t="s">
        <v>315</v>
      </c>
      <c r="E370" t="s">
        <v>485</v>
      </c>
      <c r="F370" t="s">
        <v>1202</v>
      </c>
      <c r="G370" t="s">
        <v>1208</v>
      </c>
      <c r="H370" t="s">
        <v>67</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row>
    <row r="371" spans="1:39" x14ac:dyDescent="0.35">
      <c r="A371" t="s">
        <v>175</v>
      </c>
      <c r="B371" t="s">
        <v>310</v>
      </c>
      <c r="C371" t="s">
        <v>176</v>
      </c>
      <c r="D371" t="s">
        <v>315</v>
      </c>
      <c r="E371" t="s">
        <v>504</v>
      </c>
      <c r="F371" t="s">
        <v>1202</v>
      </c>
      <c r="G371" t="s">
        <v>1209</v>
      </c>
      <c r="H371" t="s">
        <v>67</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row>
    <row r="372" spans="1:39" x14ac:dyDescent="0.35">
      <c r="A372" t="s">
        <v>175</v>
      </c>
      <c r="B372" t="s">
        <v>310</v>
      </c>
      <c r="C372" t="s">
        <v>176</v>
      </c>
      <c r="D372" t="s">
        <v>315</v>
      </c>
      <c r="E372" t="s">
        <v>1340</v>
      </c>
      <c r="F372" t="s">
        <v>1202</v>
      </c>
      <c r="G372" t="s">
        <v>1428</v>
      </c>
      <c r="H372" t="s">
        <v>67</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row>
    <row r="373" spans="1:39" x14ac:dyDescent="0.35">
      <c r="A373" t="s">
        <v>175</v>
      </c>
      <c r="B373" t="s">
        <v>310</v>
      </c>
      <c r="C373" t="s">
        <v>176</v>
      </c>
      <c r="D373" t="s">
        <v>315</v>
      </c>
      <c r="E373" t="s">
        <v>512</v>
      </c>
      <c r="F373" t="s">
        <v>1202</v>
      </c>
      <c r="G373" t="s">
        <v>1458</v>
      </c>
      <c r="H373" t="s">
        <v>150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row>
    <row r="374" spans="1:39" x14ac:dyDescent="0.35">
      <c r="A374" t="s">
        <v>175</v>
      </c>
      <c r="B374" t="s">
        <v>310</v>
      </c>
      <c r="C374" t="s">
        <v>176</v>
      </c>
      <c r="D374" t="s">
        <v>315</v>
      </c>
      <c r="E374" t="s">
        <v>27</v>
      </c>
      <c r="F374" t="s">
        <v>1202</v>
      </c>
      <c r="G374" t="s">
        <v>1210</v>
      </c>
      <c r="H374" t="s">
        <v>67</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row>
    <row r="375" spans="1:39" x14ac:dyDescent="0.35">
      <c r="A375" t="s">
        <v>175</v>
      </c>
      <c r="B375" t="s">
        <v>310</v>
      </c>
      <c r="C375" t="s">
        <v>176</v>
      </c>
      <c r="D375" t="s">
        <v>315</v>
      </c>
      <c r="E375" t="s">
        <v>486</v>
      </c>
      <c r="F375" t="s">
        <v>1202</v>
      </c>
      <c r="G375" t="s">
        <v>1211</v>
      </c>
      <c r="H375" t="s">
        <v>67</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row>
    <row r="376" spans="1:39" x14ac:dyDescent="0.35">
      <c r="A376" t="s">
        <v>175</v>
      </c>
      <c r="B376" t="s">
        <v>310</v>
      </c>
      <c r="C376" t="s">
        <v>176</v>
      </c>
      <c r="D376" t="s">
        <v>315</v>
      </c>
      <c r="E376" t="s">
        <v>920</v>
      </c>
      <c r="F376" t="s">
        <v>1202</v>
      </c>
      <c r="G376" t="s">
        <v>1212</v>
      </c>
      <c r="H376" t="s">
        <v>67</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row>
    <row r="377" spans="1:39" x14ac:dyDescent="0.35">
      <c r="A377" t="s">
        <v>175</v>
      </c>
      <c r="B377" t="s">
        <v>311</v>
      </c>
      <c r="C377" t="s">
        <v>176</v>
      </c>
      <c r="D377" t="s">
        <v>315</v>
      </c>
      <c r="E377" t="s">
        <v>1342</v>
      </c>
      <c r="F377" t="s">
        <v>180</v>
      </c>
      <c r="G377" t="s">
        <v>1429</v>
      </c>
      <c r="H377" t="s">
        <v>67</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row>
    <row r="378" spans="1:39" x14ac:dyDescent="0.35">
      <c r="A378" t="s">
        <v>175</v>
      </c>
      <c r="B378" t="s">
        <v>311</v>
      </c>
      <c r="C378" t="s">
        <v>176</v>
      </c>
      <c r="D378" t="s">
        <v>315</v>
      </c>
      <c r="E378" t="s">
        <v>503</v>
      </c>
      <c r="F378" t="s">
        <v>180</v>
      </c>
      <c r="G378" t="s">
        <v>1133</v>
      </c>
      <c r="H378" t="s">
        <v>150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row>
    <row r="379" spans="1:39" x14ac:dyDescent="0.35">
      <c r="A379" t="s">
        <v>175</v>
      </c>
      <c r="B379" t="s">
        <v>311</v>
      </c>
      <c r="C379" t="s">
        <v>176</v>
      </c>
      <c r="D379" t="s">
        <v>315</v>
      </c>
      <c r="E379" t="s">
        <v>1340</v>
      </c>
      <c r="F379" t="s">
        <v>180</v>
      </c>
      <c r="G379" t="s">
        <v>1430</v>
      </c>
      <c r="H379" t="s">
        <v>67</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row>
    <row r="380" spans="1:39" x14ac:dyDescent="0.35">
      <c r="A380" t="s">
        <v>744</v>
      </c>
      <c r="B380" t="s">
        <v>339</v>
      </c>
      <c r="C380" t="s">
        <v>317</v>
      </c>
      <c r="D380" t="s">
        <v>623</v>
      </c>
      <c r="E380" t="s">
        <v>550</v>
      </c>
      <c r="F380" t="s">
        <v>317</v>
      </c>
      <c r="H380" t="s">
        <v>35</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row>
    <row r="381" spans="1:39" x14ac:dyDescent="0.35">
      <c r="A381" t="s">
        <v>744</v>
      </c>
      <c r="B381" t="s">
        <v>339</v>
      </c>
      <c r="C381" t="s">
        <v>317</v>
      </c>
      <c r="D381" t="s">
        <v>623</v>
      </c>
      <c r="E381" t="s">
        <v>743</v>
      </c>
      <c r="F381" t="s">
        <v>317</v>
      </c>
      <c r="H381" t="s">
        <v>35</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row>
    <row r="382" spans="1:39" x14ac:dyDescent="0.35">
      <c r="A382" t="s">
        <v>744</v>
      </c>
      <c r="B382" t="s">
        <v>338</v>
      </c>
      <c r="C382" t="s">
        <v>316</v>
      </c>
      <c r="D382" t="s">
        <v>623</v>
      </c>
      <c r="E382" t="s">
        <v>550</v>
      </c>
      <c r="F382" t="s">
        <v>316</v>
      </c>
      <c r="H382" t="s">
        <v>35</v>
      </c>
      <c r="I382">
        <v>0</v>
      </c>
      <c r="J382">
        <v>0</v>
      </c>
      <c r="K382">
        <v>0</v>
      </c>
      <c r="L382">
        <v>0</v>
      </c>
      <c r="M382">
        <v>20000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row>
    <row r="383" spans="1:39" x14ac:dyDescent="0.35">
      <c r="A383" t="s">
        <v>744</v>
      </c>
      <c r="B383" t="s">
        <v>338</v>
      </c>
      <c r="C383" t="s">
        <v>316</v>
      </c>
      <c r="D383" t="s">
        <v>623</v>
      </c>
      <c r="E383" t="s">
        <v>743</v>
      </c>
      <c r="F383" t="s">
        <v>316</v>
      </c>
      <c r="H383" t="s">
        <v>35</v>
      </c>
      <c r="I383">
        <v>0</v>
      </c>
      <c r="J383">
        <v>0</v>
      </c>
      <c r="K383">
        <v>0</v>
      </c>
      <c r="L383">
        <v>0</v>
      </c>
      <c r="M383">
        <v>0</v>
      </c>
      <c r="N383">
        <v>0</v>
      </c>
      <c r="O383">
        <v>0</v>
      </c>
      <c r="P383">
        <v>0</v>
      </c>
      <c r="Q383">
        <v>0</v>
      </c>
      <c r="R383">
        <v>0</v>
      </c>
      <c r="S383">
        <v>0</v>
      </c>
      <c r="T383">
        <v>0</v>
      </c>
      <c r="U383">
        <v>0</v>
      </c>
      <c r="V383">
        <v>194400</v>
      </c>
      <c r="W383">
        <v>0</v>
      </c>
      <c r="X383">
        <v>0</v>
      </c>
      <c r="Y383">
        <v>0</v>
      </c>
      <c r="Z383">
        <v>0</v>
      </c>
      <c r="AA383">
        <v>0</v>
      </c>
      <c r="AB383">
        <v>0</v>
      </c>
      <c r="AC383">
        <v>0</v>
      </c>
      <c r="AD383">
        <v>0</v>
      </c>
      <c r="AE383">
        <v>0</v>
      </c>
      <c r="AF383">
        <v>0</v>
      </c>
      <c r="AG383">
        <v>0</v>
      </c>
      <c r="AH383">
        <v>0</v>
      </c>
      <c r="AI383">
        <v>0</v>
      </c>
      <c r="AJ383">
        <v>0</v>
      </c>
      <c r="AK383">
        <v>0</v>
      </c>
      <c r="AL383">
        <v>0</v>
      </c>
      <c r="AM383">
        <v>0</v>
      </c>
    </row>
    <row r="384" spans="1:39" x14ac:dyDescent="0.35">
      <c r="A384" t="s">
        <v>744</v>
      </c>
      <c r="B384" t="s">
        <v>337</v>
      </c>
      <c r="C384" t="s">
        <v>340</v>
      </c>
      <c r="D384" t="s">
        <v>623</v>
      </c>
      <c r="E384" t="s">
        <v>550</v>
      </c>
      <c r="F384" t="s">
        <v>340</v>
      </c>
      <c r="H384" t="s">
        <v>35</v>
      </c>
      <c r="I384">
        <v>553860</v>
      </c>
      <c r="J384">
        <v>526460</v>
      </c>
      <c r="K384">
        <v>496270</v>
      </c>
      <c r="L384">
        <v>465440</v>
      </c>
      <c r="M384">
        <v>435457</v>
      </c>
      <c r="N384">
        <v>395933</v>
      </c>
      <c r="O384">
        <v>371602</v>
      </c>
      <c r="P384">
        <v>344455</v>
      </c>
      <c r="Q384">
        <v>311391</v>
      </c>
      <c r="R384">
        <v>279660</v>
      </c>
      <c r="S384">
        <v>250145</v>
      </c>
      <c r="T384">
        <v>226499</v>
      </c>
      <c r="U384">
        <v>20353</v>
      </c>
      <c r="V384">
        <v>153000</v>
      </c>
      <c r="W384">
        <v>0</v>
      </c>
      <c r="X384">
        <v>0</v>
      </c>
      <c r="Y384">
        <v>0</v>
      </c>
      <c r="Z384">
        <v>0</v>
      </c>
      <c r="AA384">
        <v>0</v>
      </c>
      <c r="AB384">
        <v>0</v>
      </c>
      <c r="AC384">
        <v>0</v>
      </c>
      <c r="AD384">
        <v>0</v>
      </c>
      <c r="AE384">
        <v>0</v>
      </c>
      <c r="AF384">
        <v>0</v>
      </c>
      <c r="AG384">
        <v>0</v>
      </c>
      <c r="AH384">
        <v>0</v>
      </c>
      <c r="AI384">
        <v>0</v>
      </c>
      <c r="AJ384">
        <v>0</v>
      </c>
      <c r="AK384">
        <v>0</v>
      </c>
      <c r="AL384">
        <v>0</v>
      </c>
      <c r="AM384">
        <v>0</v>
      </c>
    </row>
    <row r="385" spans="1:39" x14ac:dyDescent="0.35">
      <c r="A385" t="s">
        <v>744</v>
      </c>
      <c r="B385" t="s">
        <v>337</v>
      </c>
      <c r="C385" t="s">
        <v>340</v>
      </c>
      <c r="D385" t="s">
        <v>623</v>
      </c>
      <c r="E385" t="s">
        <v>743</v>
      </c>
      <c r="F385" t="s">
        <v>340</v>
      </c>
      <c r="H385" t="s">
        <v>35</v>
      </c>
      <c r="I385">
        <v>619600</v>
      </c>
      <c r="J385">
        <v>586080</v>
      </c>
      <c r="K385">
        <v>647450</v>
      </c>
      <c r="L385">
        <v>623740</v>
      </c>
      <c r="M385">
        <v>523260</v>
      </c>
      <c r="N385">
        <v>594025</v>
      </c>
      <c r="O385">
        <v>545950</v>
      </c>
      <c r="P385">
        <v>506323</v>
      </c>
      <c r="Q385">
        <v>511940</v>
      </c>
      <c r="R385">
        <v>432055</v>
      </c>
      <c r="S385">
        <v>443290</v>
      </c>
      <c r="T385">
        <v>155350</v>
      </c>
      <c r="U385">
        <v>399250</v>
      </c>
      <c r="V385">
        <v>614520</v>
      </c>
      <c r="W385">
        <v>0</v>
      </c>
      <c r="X385">
        <v>0</v>
      </c>
      <c r="Y385">
        <v>0</v>
      </c>
      <c r="Z385">
        <v>0</v>
      </c>
      <c r="AA385">
        <v>0</v>
      </c>
      <c r="AB385">
        <v>0</v>
      </c>
      <c r="AC385">
        <v>0</v>
      </c>
      <c r="AD385">
        <v>0</v>
      </c>
      <c r="AE385">
        <v>0</v>
      </c>
      <c r="AF385">
        <v>0</v>
      </c>
      <c r="AG385">
        <v>0</v>
      </c>
      <c r="AH385">
        <v>0</v>
      </c>
      <c r="AI385">
        <v>0</v>
      </c>
      <c r="AJ385">
        <v>0</v>
      </c>
      <c r="AK385">
        <v>0</v>
      </c>
      <c r="AL385">
        <v>0</v>
      </c>
      <c r="AM385">
        <v>0</v>
      </c>
    </row>
    <row r="386" spans="1:39" x14ac:dyDescent="0.35">
      <c r="A386" t="s">
        <v>744</v>
      </c>
      <c r="B386" t="s">
        <v>335</v>
      </c>
      <c r="C386" t="s">
        <v>335</v>
      </c>
      <c r="D386" t="s">
        <v>623</v>
      </c>
      <c r="E386" t="s">
        <v>550</v>
      </c>
      <c r="F386" t="s">
        <v>173</v>
      </c>
      <c r="H386" t="s">
        <v>35</v>
      </c>
      <c r="I386">
        <v>585017</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row>
    <row r="387" spans="1:39" x14ac:dyDescent="0.35">
      <c r="A387" t="s">
        <v>744</v>
      </c>
      <c r="B387" t="s">
        <v>335</v>
      </c>
      <c r="C387" t="s">
        <v>335</v>
      </c>
      <c r="D387" t="s">
        <v>623</v>
      </c>
      <c r="E387" t="s">
        <v>743</v>
      </c>
      <c r="F387" t="s">
        <v>173</v>
      </c>
      <c r="H387" t="s">
        <v>35</v>
      </c>
      <c r="I387">
        <v>707480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row>
    <row r="388" spans="1:39" x14ac:dyDescent="0.35">
      <c r="A388" t="s">
        <v>744</v>
      </c>
      <c r="B388" t="s">
        <v>312</v>
      </c>
      <c r="C388" t="s">
        <v>312</v>
      </c>
      <c r="D388" t="s">
        <v>623</v>
      </c>
      <c r="E388" t="s">
        <v>743</v>
      </c>
      <c r="F388" t="s">
        <v>312</v>
      </c>
      <c r="H388" t="s">
        <v>35</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row>
    <row r="389" spans="1:39" x14ac:dyDescent="0.35">
      <c r="A389" t="s">
        <v>744</v>
      </c>
      <c r="B389" t="s">
        <v>306</v>
      </c>
      <c r="C389" t="s">
        <v>336</v>
      </c>
      <c r="D389" t="s">
        <v>623</v>
      </c>
      <c r="E389" t="s">
        <v>743</v>
      </c>
      <c r="F389" t="s">
        <v>336</v>
      </c>
      <c r="H389" t="s">
        <v>35</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row>
    <row r="390" spans="1:39" x14ac:dyDescent="0.35">
      <c r="A390" t="s">
        <v>744</v>
      </c>
      <c r="B390" t="s">
        <v>482</v>
      </c>
      <c r="C390" t="s">
        <v>176</v>
      </c>
      <c r="D390" t="s">
        <v>623</v>
      </c>
      <c r="E390" t="s">
        <v>743</v>
      </c>
      <c r="F390" t="s">
        <v>182</v>
      </c>
      <c r="G390" t="s">
        <v>748</v>
      </c>
      <c r="H390" t="s">
        <v>35</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row>
    <row r="391" spans="1:39" x14ac:dyDescent="0.35">
      <c r="A391" t="s">
        <v>744</v>
      </c>
      <c r="B391" t="s">
        <v>482</v>
      </c>
      <c r="C391" t="s">
        <v>176</v>
      </c>
      <c r="D391" t="s">
        <v>623</v>
      </c>
      <c r="E391" t="s">
        <v>743</v>
      </c>
      <c r="F391" t="s">
        <v>180</v>
      </c>
      <c r="G391" t="s">
        <v>746</v>
      </c>
      <c r="H391" t="s">
        <v>35</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row>
    <row r="392" spans="1:39" x14ac:dyDescent="0.35">
      <c r="A392" t="s">
        <v>744</v>
      </c>
      <c r="B392" t="s">
        <v>482</v>
      </c>
      <c r="C392" t="s">
        <v>176</v>
      </c>
      <c r="D392" t="s">
        <v>623</v>
      </c>
      <c r="E392" t="s">
        <v>743</v>
      </c>
      <c r="F392" t="s">
        <v>181</v>
      </c>
      <c r="G392" t="s">
        <v>747</v>
      </c>
      <c r="H392" t="s">
        <v>35</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row>
    <row r="393" spans="1:39" x14ac:dyDescent="0.35">
      <c r="A393" t="s">
        <v>744</v>
      </c>
      <c r="B393" t="s">
        <v>482</v>
      </c>
      <c r="C393" t="s">
        <v>176</v>
      </c>
      <c r="D393" t="s">
        <v>623</v>
      </c>
      <c r="E393" t="s">
        <v>743</v>
      </c>
      <c r="F393" t="s">
        <v>179</v>
      </c>
      <c r="G393" t="s">
        <v>745</v>
      </c>
      <c r="H393" t="s">
        <v>35</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row>
    <row r="394" spans="1:39" x14ac:dyDescent="0.35">
      <c r="A394" t="s">
        <v>174</v>
      </c>
      <c r="B394" t="s">
        <v>339</v>
      </c>
      <c r="C394" t="s">
        <v>317</v>
      </c>
      <c r="D394" t="s">
        <v>315</v>
      </c>
      <c r="E394" t="s">
        <v>1316</v>
      </c>
      <c r="F394" t="s">
        <v>317</v>
      </c>
      <c r="H394" t="s">
        <v>35</v>
      </c>
      <c r="I394">
        <v>0</v>
      </c>
      <c r="J394">
        <v>0</v>
      </c>
      <c r="K394">
        <v>0</v>
      </c>
      <c r="L394">
        <v>0</v>
      </c>
      <c r="M394">
        <v>0</v>
      </c>
      <c r="N394">
        <v>0</v>
      </c>
      <c r="O394">
        <v>0</v>
      </c>
      <c r="P394">
        <v>0</v>
      </c>
      <c r="Q394">
        <v>0</v>
      </c>
      <c r="R394">
        <v>69000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row>
    <row r="395" spans="1:39" x14ac:dyDescent="0.35">
      <c r="A395" t="s">
        <v>174</v>
      </c>
      <c r="B395" t="s">
        <v>339</v>
      </c>
      <c r="C395" t="s">
        <v>317</v>
      </c>
      <c r="D395" t="s">
        <v>315</v>
      </c>
      <c r="E395" t="s">
        <v>837</v>
      </c>
      <c r="F395" t="s">
        <v>317</v>
      </c>
      <c r="H395" t="s">
        <v>69</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row>
    <row r="396" spans="1:39" x14ac:dyDescent="0.35">
      <c r="A396" t="s">
        <v>174</v>
      </c>
      <c r="B396" t="s">
        <v>339</v>
      </c>
      <c r="C396" t="s">
        <v>317</v>
      </c>
      <c r="D396" t="s">
        <v>315</v>
      </c>
      <c r="E396" t="s">
        <v>914</v>
      </c>
      <c r="F396" t="s">
        <v>317</v>
      </c>
      <c r="H396" t="s">
        <v>35</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row>
    <row r="397" spans="1:39" x14ac:dyDescent="0.35">
      <c r="A397" t="s">
        <v>174</v>
      </c>
      <c r="B397" t="s">
        <v>339</v>
      </c>
      <c r="C397" t="s">
        <v>317</v>
      </c>
      <c r="D397" t="s">
        <v>315</v>
      </c>
      <c r="E397" t="s">
        <v>484</v>
      </c>
      <c r="F397" t="s">
        <v>317</v>
      </c>
      <c r="H397" t="s">
        <v>67</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row>
    <row r="398" spans="1:39" x14ac:dyDescent="0.35">
      <c r="A398" t="s">
        <v>174</v>
      </c>
      <c r="B398" t="s">
        <v>339</v>
      </c>
      <c r="C398" t="s">
        <v>317</v>
      </c>
      <c r="D398" t="s">
        <v>315</v>
      </c>
      <c r="E398" t="s">
        <v>507</v>
      </c>
      <c r="F398" t="s">
        <v>317</v>
      </c>
      <c r="H398" t="s">
        <v>67</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row>
    <row r="399" spans="1:39" x14ac:dyDescent="0.35">
      <c r="A399" t="s">
        <v>174</v>
      </c>
      <c r="B399" t="s">
        <v>339</v>
      </c>
      <c r="C399" t="s">
        <v>317</v>
      </c>
      <c r="D399" t="s">
        <v>315</v>
      </c>
      <c r="E399" t="s">
        <v>915</v>
      </c>
      <c r="F399" t="s">
        <v>317</v>
      </c>
      <c r="H399" t="s">
        <v>35</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row>
    <row r="400" spans="1:39" x14ac:dyDescent="0.35">
      <c r="A400" t="s">
        <v>174</v>
      </c>
      <c r="B400" t="s">
        <v>339</v>
      </c>
      <c r="C400" t="s">
        <v>317</v>
      </c>
      <c r="D400" t="s">
        <v>315</v>
      </c>
      <c r="E400" t="s">
        <v>540</v>
      </c>
      <c r="F400" t="s">
        <v>317</v>
      </c>
      <c r="H400" t="s">
        <v>67</v>
      </c>
      <c r="I400">
        <v>0</v>
      </c>
      <c r="J400">
        <v>0</v>
      </c>
      <c r="K400">
        <v>0</v>
      </c>
      <c r="L400">
        <v>0</v>
      </c>
      <c r="M400">
        <v>0</v>
      </c>
      <c r="N400">
        <v>0</v>
      </c>
      <c r="O400">
        <v>0</v>
      </c>
      <c r="P400">
        <v>0</v>
      </c>
      <c r="Q400">
        <v>0</v>
      </c>
      <c r="R400">
        <v>9810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row>
    <row r="401" spans="1:39" x14ac:dyDescent="0.35">
      <c r="A401" t="s">
        <v>174</v>
      </c>
      <c r="B401" t="s">
        <v>339</v>
      </c>
      <c r="C401" t="s">
        <v>317</v>
      </c>
      <c r="D401" t="s">
        <v>315</v>
      </c>
      <c r="E401" t="s">
        <v>496</v>
      </c>
      <c r="F401" t="s">
        <v>317</v>
      </c>
      <c r="H401" t="s">
        <v>35</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row>
    <row r="402" spans="1:39" x14ac:dyDescent="0.35">
      <c r="A402" t="s">
        <v>174</v>
      </c>
      <c r="B402" t="s">
        <v>339</v>
      </c>
      <c r="C402" t="s">
        <v>317</v>
      </c>
      <c r="D402" t="s">
        <v>315</v>
      </c>
      <c r="E402" t="s">
        <v>1195</v>
      </c>
      <c r="F402" t="s">
        <v>317</v>
      </c>
      <c r="H402" t="s">
        <v>35</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row>
    <row r="403" spans="1:39" x14ac:dyDescent="0.35">
      <c r="A403" t="s">
        <v>174</v>
      </c>
      <c r="B403" t="s">
        <v>339</v>
      </c>
      <c r="C403" t="s">
        <v>317</v>
      </c>
      <c r="D403" t="s">
        <v>315</v>
      </c>
      <c r="E403" t="s">
        <v>511</v>
      </c>
      <c r="F403" t="s">
        <v>317</v>
      </c>
      <c r="H403" t="s">
        <v>35</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row>
    <row r="404" spans="1:39" x14ac:dyDescent="0.35">
      <c r="A404" t="s">
        <v>174</v>
      </c>
      <c r="B404" t="s">
        <v>339</v>
      </c>
      <c r="C404" t="s">
        <v>317</v>
      </c>
      <c r="D404" t="s">
        <v>315</v>
      </c>
      <c r="E404" t="s">
        <v>509</v>
      </c>
      <c r="F404" t="s">
        <v>317</v>
      </c>
      <c r="H404" t="s">
        <v>35</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row>
    <row r="405" spans="1:39" x14ac:dyDescent="0.35">
      <c r="A405" t="s">
        <v>174</v>
      </c>
      <c r="B405" t="s">
        <v>339</v>
      </c>
      <c r="C405" t="s">
        <v>317</v>
      </c>
      <c r="D405" t="s">
        <v>315</v>
      </c>
      <c r="E405" t="s">
        <v>1345</v>
      </c>
      <c r="F405" t="s">
        <v>317</v>
      </c>
      <c r="H405" t="s">
        <v>35</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row>
    <row r="406" spans="1:39" x14ac:dyDescent="0.35">
      <c r="A406" t="s">
        <v>174</v>
      </c>
      <c r="B406" t="s">
        <v>339</v>
      </c>
      <c r="C406" t="s">
        <v>317</v>
      </c>
      <c r="D406" t="s">
        <v>315</v>
      </c>
      <c r="E406" t="s">
        <v>1344</v>
      </c>
      <c r="F406" t="s">
        <v>317</v>
      </c>
      <c r="H406" t="s">
        <v>35</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row>
    <row r="407" spans="1:39" x14ac:dyDescent="0.35">
      <c r="A407" t="s">
        <v>174</v>
      </c>
      <c r="B407" t="s">
        <v>339</v>
      </c>
      <c r="C407" t="s">
        <v>317</v>
      </c>
      <c r="D407" t="s">
        <v>315</v>
      </c>
      <c r="E407" t="s">
        <v>1343</v>
      </c>
      <c r="F407" t="s">
        <v>317</v>
      </c>
      <c r="H407" t="s">
        <v>35</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row>
    <row r="408" spans="1:39" x14ac:dyDescent="0.35">
      <c r="A408" t="s">
        <v>174</v>
      </c>
      <c r="B408" t="s">
        <v>339</v>
      </c>
      <c r="C408" t="s">
        <v>317</v>
      </c>
      <c r="D408" t="s">
        <v>315</v>
      </c>
      <c r="E408" t="s">
        <v>1196</v>
      </c>
      <c r="F408" t="s">
        <v>317</v>
      </c>
      <c r="H408" t="s">
        <v>35</v>
      </c>
      <c r="I408">
        <v>0</v>
      </c>
      <c r="J408">
        <v>0</v>
      </c>
      <c r="K408">
        <v>0</v>
      </c>
      <c r="L408">
        <v>0</v>
      </c>
      <c r="M408">
        <v>0</v>
      </c>
      <c r="N408">
        <v>0</v>
      </c>
      <c r="O408">
        <v>0</v>
      </c>
      <c r="P408">
        <v>0</v>
      </c>
      <c r="Q408">
        <v>0</v>
      </c>
      <c r="R408">
        <v>137250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row>
    <row r="409" spans="1:39" x14ac:dyDescent="0.35">
      <c r="A409" t="s">
        <v>174</v>
      </c>
      <c r="B409" t="s">
        <v>339</v>
      </c>
      <c r="C409" t="s">
        <v>317</v>
      </c>
      <c r="D409" t="s">
        <v>315</v>
      </c>
      <c r="E409" t="s">
        <v>1194</v>
      </c>
      <c r="F409" t="s">
        <v>317</v>
      </c>
      <c r="H409" t="s">
        <v>35</v>
      </c>
      <c r="I409">
        <v>0</v>
      </c>
      <c r="J409">
        <v>0</v>
      </c>
      <c r="K409">
        <v>0</v>
      </c>
      <c r="L409">
        <v>0</v>
      </c>
      <c r="M409">
        <v>0</v>
      </c>
      <c r="N409">
        <v>224000</v>
      </c>
      <c r="O409">
        <v>0</v>
      </c>
      <c r="P409">
        <v>0</v>
      </c>
      <c r="Q409">
        <v>0</v>
      </c>
      <c r="R409">
        <v>57000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row>
    <row r="410" spans="1:39" x14ac:dyDescent="0.35">
      <c r="A410" t="s">
        <v>174</v>
      </c>
      <c r="B410" t="s">
        <v>339</v>
      </c>
      <c r="C410" t="s">
        <v>317</v>
      </c>
      <c r="D410" t="s">
        <v>315</v>
      </c>
      <c r="E410" t="s">
        <v>2</v>
      </c>
      <c r="F410" t="s">
        <v>317</v>
      </c>
      <c r="H410" t="s">
        <v>35</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row>
    <row r="411" spans="1:39" x14ac:dyDescent="0.35">
      <c r="A411" t="s">
        <v>174</v>
      </c>
      <c r="B411" t="s">
        <v>339</v>
      </c>
      <c r="C411" t="s">
        <v>317</v>
      </c>
      <c r="D411" t="s">
        <v>315</v>
      </c>
      <c r="E411" t="s">
        <v>353</v>
      </c>
      <c r="F411" t="s">
        <v>317</v>
      </c>
      <c r="H411" t="s">
        <v>35</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row>
    <row r="412" spans="1:39" x14ac:dyDescent="0.35">
      <c r="A412" t="s">
        <v>174</v>
      </c>
      <c r="B412" t="s">
        <v>339</v>
      </c>
      <c r="C412" t="s">
        <v>317</v>
      </c>
      <c r="D412" t="s">
        <v>315</v>
      </c>
      <c r="E412" t="s">
        <v>352</v>
      </c>
      <c r="F412" t="s">
        <v>317</v>
      </c>
      <c r="H412" t="s">
        <v>68</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row>
    <row r="413" spans="1:39" x14ac:dyDescent="0.35">
      <c r="A413" t="s">
        <v>174</v>
      </c>
      <c r="B413" t="s">
        <v>339</v>
      </c>
      <c r="C413" t="s">
        <v>317</v>
      </c>
      <c r="D413" t="s">
        <v>315</v>
      </c>
      <c r="E413" t="s">
        <v>1346</v>
      </c>
      <c r="F413" t="s">
        <v>317</v>
      </c>
      <c r="H413" t="s">
        <v>35</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row>
    <row r="414" spans="1:39" x14ac:dyDescent="0.35">
      <c r="A414" t="s">
        <v>174</v>
      </c>
      <c r="B414" t="s">
        <v>339</v>
      </c>
      <c r="C414" t="s">
        <v>317</v>
      </c>
      <c r="D414" t="s">
        <v>315</v>
      </c>
      <c r="E414" t="s">
        <v>497</v>
      </c>
      <c r="F414" t="s">
        <v>317</v>
      </c>
      <c r="H414" t="s">
        <v>35</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row>
    <row r="415" spans="1:39" x14ac:dyDescent="0.35">
      <c r="A415" t="s">
        <v>174</v>
      </c>
      <c r="B415" t="s">
        <v>339</v>
      </c>
      <c r="C415" t="s">
        <v>317</v>
      </c>
      <c r="D415" t="s">
        <v>315</v>
      </c>
      <c r="E415" t="s">
        <v>1168</v>
      </c>
      <c r="F415" t="s">
        <v>317</v>
      </c>
      <c r="H415" t="s">
        <v>35</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row>
    <row r="416" spans="1:39" x14ac:dyDescent="0.35">
      <c r="A416" t="s">
        <v>174</v>
      </c>
      <c r="B416" t="s">
        <v>339</v>
      </c>
      <c r="C416" t="s">
        <v>317</v>
      </c>
      <c r="D416" t="s">
        <v>315</v>
      </c>
      <c r="E416" t="s">
        <v>1306</v>
      </c>
      <c r="F416" t="s">
        <v>317</v>
      </c>
      <c r="H416" t="s">
        <v>35</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row>
    <row r="417" spans="1:39" x14ac:dyDescent="0.35">
      <c r="A417" t="s">
        <v>174</v>
      </c>
      <c r="B417" t="s">
        <v>339</v>
      </c>
      <c r="C417" t="s">
        <v>317</v>
      </c>
      <c r="D417" t="s">
        <v>315</v>
      </c>
      <c r="E417" t="s">
        <v>1331</v>
      </c>
      <c r="F417" t="s">
        <v>317</v>
      </c>
      <c r="H417" t="s">
        <v>35</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row>
    <row r="418" spans="1:39" x14ac:dyDescent="0.35">
      <c r="A418" t="s">
        <v>174</v>
      </c>
      <c r="B418" t="s">
        <v>339</v>
      </c>
      <c r="C418" t="s">
        <v>317</v>
      </c>
      <c r="D418" t="s">
        <v>315</v>
      </c>
      <c r="E418" t="s">
        <v>349</v>
      </c>
      <c r="F418" t="s">
        <v>317</v>
      </c>
      <c r="H418" t="s">
        <v>35</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row>
    <row r="419" spans="1:39" x14ac:dyDescent="0.35">
      <c r="A419" t="s">
        <v>174</v>
      </c>
      <c r="B419" t="s">
        <v>339</v>
      </c>
      <c r="C419" t="s">
        <v>317</v>
      </c>
      <c r="D419" t="s">
        <v>315</v>
      </c>
      <c r="E419" t="s">
        <v>985</v>
      </c>
      <c r="F419" t="s">
        <v>317</v>
      </c>
      <c r="H419" t="s">
        <v>35</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row>
    <row r="420" spans="1:39" x14ac:dyDescent="0.35">
      <c r="A420" t="s">
        <v>174</v>
      </c>
      <c r="B420" t="s">
        <v>339</v>
      </c>
      <c r="C420" t="s">
        <v>317</v>
      </c>
      <c r="D420" t="s">
        <v>315</v>
      </c>
      <c r="E420" t="s">
        <v>355</v>
      </c>
      <c r="F420" t="s">
        <v>317</v>
      </c>
      <c r="H420" t="s">
        <v>35</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row>
    <row r="421" spans="1:39" x14ac:dyDescent="0.35">
      <c r="A421" t="s">
        <v>174</v>
      </c>
      <c r="B421" t="s">
        <v>339</v>
      </c>
      <c r="C421" t="s">
        <v>317</v>
      </c>
      <c r="D421" t="s">
        <v>315</v>
      </c>
      <c r="E421" t="s">
        <v>1339</v>
      </c>
      <c r="F421" t="s">
        <v>317</v>
      </c>
      <c r="H421" t="s">
        <v>35</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row>
    <row r="422" spans="1:39" x14ac:dyDescent="0.35">
      <c r="A422" t="s">
        <v>174</v>
      </c>
      <c r="B422" t="s">
        <v>339</v>
      </c>
      <c r="C422" t="s">
        <v>317</v>
      </c>
      <c r="D422" t="s">
        <v>315</v>
      </c>
      <c r="E422" t="s">
        <v>1348</v>
      </c>
      <c r="F422" t="s">
        <v>317</v>
      </c>
      <c r="H422" t="s">
        <v>35</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row>
    <row r="423" spans="1:39" x14ac:dyDescent="0.35">
      <c r="A423" t="s">
        <v>174</v>
      </c>
      <c r="B423" t="s">
        <v>339</v>
      </c>
      <c r="C423" t="s">
        <v>317</v>
      </c>
      <c r="D423" t="s">
        <v>315</v>
      </c>
      <c r="E423" t="s">
        <v>354</v>
      </c>
      <c r="F423" t="s">
        <v>317</v>
      </c>
      <c r="H423" t="s">
        <v>35</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row>
    <row r="424" spans="1:39" x14ac:dyDescent="0.35">
      <c r="A424" t="s">
        <v>174</v>
      </c>
      <c r="B424" t="s">
        <v>339</v>
      </c>
      <c r="C424" t="s">
        <v>317</v>
      </c>
      <c r="D424" t="s">
        <v>315</v>
      </c>
      <c r="E424" t="s">
        <v>918</v>
      </c>
      <c r="F424" t="s">
        <v>317</v>
      </c>
      <c r="H424" t="s">
        <v>67</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row>
    <row r="425" spans="1:39" x14ac:dyDescent="0.35">
      <c r="A425" t="s">
        <v>174</v>
      </c>
      <c r="B425" t="s">
        <v>339</v>
      </c>
      <c r="C425" t="s">
        <v>317</v>
      </c>
      <c r="D425" t="s">
        <v>315</v>
      </c>
      <c r="E425" t="s">
        <v>19</v>
      </c>
      <c r="F425" t="s">
        <v>317</v>
      </c>
      <c r="H425" t="s">
        <v>35</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row>
    <row r="426" spans="1:39" x14ac:dyDescent="0.35">
      <c r="A426" t="s">
        <v>174</v>
      </c>
      <c r="B426" t="s">
        <v>339</v>
      </c>
      <c r="C426" t="s">
        <v>317</v>
      </c>
      <c r="D426" t="s">
        <v>315</v>
      </c>
      <c r="E426" t="s">
        <v>20</v>
      </c>
      <c r="F426" t="s">
        <v>317</v>
      </c>
      <c r="H426" t="s">
        <v>35</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row>
    <row r="427" spans="1:39" x14ac:dyDescent="0.35">
      <c r="A427" t="s">
        <v>174</v>
      </c>
      <c r="B427" t="s">
        <v>339</v>
      </c>
      <c r="C427" t="s">
        <v>317</v>
      </c>
      <c r="D427" t="s">
        <v>315</v>
      </c>
      <c r="E427" t="s">
        <v>350</v>
      </c>
      <c r="F427" t="s">
        <v>317</v>
      </c>
      <c r="H427" t="s">
        <v>35</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row>
    <row r="428" spans="1:39" x14ac:dyDescent="0.35">
      <c r="A428" t="s">
        <v>174</v>
      </c>
      <c r="B428" t="s">
        <v>339</v>
      </c>
      <c r="C428" t="s">
        <v>317</v>
      </c>
      <c r="D428" t="s">
        <v>315</v>
      </c>
      <c r="E428" t="s">
        <v>1347</v>
      </c>
      <c r="F428" t="s">
        <v>317</v>
      </c>
      <c r="H428" t="s">
        <v>35</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row>
    <row r="429" spans="1:39" x14ac:dyDescent="0.35">
      <c r="A429" t="s">
        <v>174</v>
      </c>
      <c r="B429" t="s">
        <v>339</v>
      </c>
      <c r="C429" t="s">
        <v>317</v>
      </c>
      <c r="D429" t="s">
        <v>315</v>
      </c>
      <c r="E429" t="s">
        <v>351</v>
      </c>
      <c r="F429" t="s">
        <v>317</v>
      </c>
      <c r="H429" t="s">
        <v>35</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row>
    <row r="430" spans="1:39" x14ac:dyDescent="0.35">
      <c r="A430" t="s">
        <v>174</v>
      </c>
      <c r="B430" t="s">
        <v>339</v>
      </c>
      <c r="C430" t="s">
        <v>317</v>
      </c>
      <c r="D430" t="s">
        <v>315</v>
      </c>
      <c r="E430" t="s">
        <v>500</v>
      </c>
      <c r="F430" t="s">
        <v>317</v>
      </c>
      <c r="H430" t="s">
        <v>35</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row>
    <row r="431" spans="1:39" x14ac:dyDescent="0.35">
      <c r="A431" t="s">
        <v>174</v>
      </c>
      <c r="B431" t="s">
        <v>339</v>
      </c>
      <c r="C431" t="s">
        <v>317</v>
      </c>
      <c r="D431" t="s">
        <v>315</v>
      </c>
      <c r="E431" t="s">
        <v>501</v>
      </c>
      <c r="F431" t="s">
        <v>317</v>
      </c>
      <c r="H431" t="s">
        <v>35</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row>
    <row r="432" spans="1:39" x14ac:dyDescent="0.35">
      <c r="A432" t="s">
        <v>174</v>
      </c>
      <c r="B432" t="s">
        <v>339</v>
      </c>
      <c r="C432" t="s">
        <v>317</v>
      </c>
      <c r="D432" t="s">
        <v>315</v>
      </c>
      <c r="E432" t="s">
        <v>916</v>
      </c>
      <c r="F432" t="s">
        <v>317</v>
      </c>
      <c r="H432" t="s">
        <v>35</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row>
    <row r="433" spans="1:39" x14ac:dyDescent="0.35">
      <c r="A433" t="s">
        <v>174</v>
      </c>
      <c r="B433" t="s">
        <v>339</v>
      </c>
      <c r="C433" t="s">
        <v>317</v>
      </c>
      <c r="D433" t="s">
        <v>315</v>
      </c>
      <c r="E433" t="s">
        <v>28</v>
      </c>
      <c r="F433" t="s">
        <v>317</v>
      </c>
      <c r="H433" t="s">
        <v>35</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row>
    <row r="434" spans="1:39" x14ac:dyDescent="0.35">
      <c r="A434" t="s">
        <v>174</v>
      </c>
      <c r="B434" t="s">
        <v>339</v>
      </c>
      <c r="C434" t="s">
        <v>317</v>
      </c>
      <c r="D434" t="s">
        <v>315</v>
      </c>
      <c r="E434" t="s">
        <v>1318</v>
      </c>
      <c r="F434" t="s">
        <v>317</v>
      </c>
      <c r="H434" t="s">
        <v>67</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row>
    <row r="435" spans="1:39" x14ac:dyDescent="0.35">
      <c r="A435" t="s">
        <v>174</v>
      </c>
      <c r="B435" t="s">
        <v>339</v>
      </c>
      <c r="C435" t="s">
        <v>317</v>
      </c>
      <c r="D435" t="s">
        <v>315</v>
      </c>
      <c r="E435" t="s">
        <v>30</v>
      </c>
      <c r="F435" t="s">
        <v>317</v>
      </c>
      <c r="H435" t="s">
        <v>67</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row>
    <row r="436" spans="1:39" x14ac:dyDescent="0.35">
      <c r="A436" t="s">
        <v>174</v>
      </c>
      <c r="B436" t="s">
        <v>339</v>
      </c>
      <c r="C436" t="s">
        <v>317</v>
      </c>
      <c r="D436" t="s">
        <v>315</v>
      </c>
      <c r="E436" t="s">
        <v>31</v>
      </c>
      <c r="F436" t="s">
        <v>317</v>
      </c>
      <c r="H436" t="s">
        <v>35</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row>
    <row r="437" spans="1:39" x14ac:dyDescent="0.35">
      <c r="A437" t="s">
        <v>174</v>
      </c>
      <c r="B437" t="s">
        <v>339</v>
      </c>
      <c r="C437" t="s">
        <v>317</v>
      </c>
      <c r="D437" t="s">
        <v>315</v>
      </c>
      <c r="E437" t="s">
        <v>72</v>
      </c>
      <c r="F437" t="s">
        <v>317</v>
      </c>
      <c r="H437" t="s">
        <v>35</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row>
    <row r="438" spans="1:39" x14ac:dyDescent="0.35">
      <c r="A438" t="s">
        <v>174</v>
      </c>
      <c r="B438" t="s">
        <v>339</v>
      </c>
      <c r="C438" t="s">
        <v>317</v>
      </c>
      <c r="D438" t="s">
        <v>315</v>
      </c>
      <c r="E438" t="s">
        <v>542</v>
      </c>
      <c r="F438" t="s">
        <v>317</v>
      </c>
      <c r="H438" t="s">
        <v>35</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row>
    <row r="439" spans="1:39" x14ac:dyDescent="0.35">
      <c r="A439" t="s">
        <v>174</v>
      </c>
      <c r="B439" t="s">
        <v>339</v>
      </c>
      <c r="C439" t="s">
        <v>317</v>
      </c>
      <c r="D439" t="s">
        <v>315</v>
      </c>
      <c r="E439" t="s">
        <v>555</v>
      </c>
      <c r="F439" t="s">
        <v>317</v>
      </c>
      <c r="H439" t="s">
        <v>67</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row>
    <row r="440" spans="1:39" x14ac:dyDescent="0.35">
      <c r="A440" t="s">
        <v>174</v>
      </c>
      <c r="B440" t="s">
        <v>339</v>
      </c>
      <c r="C440" t="s">
        <v>317</v>
      </c>
      <c r="D440" t="s">
        <v>315</v>
      </c>
      <c r="E440" t="s">
        <v>34</v>
      </c>
      <c r="F440" t="s">
        <v>317</v>
      </c>
      <c r="H440" t="s">
        <v>68</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row>
    <row r="441" spans="1:39" x14ac:dyDescent="0.35">
      <c r="A441" t="s">
        <v>174</v>
      </c>
      <c r="B441" t="s">
        <v>338</v>
      </c>
      <c r="C441" t="s">
        <v>316</v>
      </c>
      <c r="D441" t="s">
        <v>315</v>
      </c>
      <c r="E441" t="s">
        <v>1316</v>
      </c>
      <c r="F441" t="s">
        <v>316</v>
      </c>
      <c r="H441" t="s">
        <v>35</v>
      </c>
      <c r="I441">
        <v>0</v>
      </c>
      <c r="J441">
        <v>0</v>
      </c>
      <c r="K441">
        <v>13000</v>
      </c>
      <c r="L441">
        <v>0</v>
      </c>
      <c r="M441">
        <v>135000</v>
      </c>
      <c r="N441">
        <v>0</v>
      </c>
      <c r="O441">
        <v>105000</v>
      </c>
      <c r="P441">
        <v>45000</v>
      </c>
      <c r="Q441">
        <v>60000</v>
      </c>
      <c r="R441">
        <v>50000</v>
      </c>
      <c r="S441">
        <v>0</v>
      </c>
      <c r="T441">
        <v>105000</v>
      </c>
      <c r="U441">
        <v>0</v>
      </c>
      <c r="V441">
        <v>60000</v>
      </c>
      <c r="W441">
        <v>0</v>
      </c>
      <c r="X441">
        <v>0</v>
      </c>
      <c r="Y441">
        <v>0</v>
      </c>
      <c r="Z441">
        <v>0</v>
      </c>
      <c r="AA441">
        <v>0</v>
      </c>
      <c r="AB441">
        <v>0</v>
      </c>
      <c r="AC441">
        <v>0</v>
      </c>
      <c r="AD441">
        <v>0</v>
      </c>
      <c r="AE441">
        <v>0</v>
      </c>
      <c r="AF441">
        <v>0</v>
      </c>
      <c r="AG441">
        <v>0</v>
      </c>
      <c r="AH441">
        <v>0</v>
      </c>
      <c r="AI441">
        <v>0</v>
      </c>
      <c r="AJ441">
        <v>0</v>
      </c>
      <c r="AK441">
        <v>0</v>
      </c>
      <c r="AL441">
        <v>0</v>
      </c>
      <c r="AM441">
        <v>0</v>
      </c>
    </row>
    <row r="442" spans="1:39" x14ac:dyDescent="0.35">
      <c r="A442" t="s">
        <v>174</v>
      </c>
      <c r="B442" t="s">
        <v>338</v>
      </c>
      <c r="C442" t="s">
        <v>316</v>
      </c>
      <c r="D442" t="s">
        <v>315</v>
      </c>
      <c r="E442" t="s">
        <v>837</v>
      </c>
      <c r="F442" t="s">
        <v>316</v>
      </c>
      <c r="H442" t="s">
        <v>69</v>
      </c>
      <c r="I442">
        <v>0</v>
      </c>
      <c r="J442">
        <v>1320</v>
      </c>
      <c r="K442">
        <v>0</v>
      </c>
      <c r="L442">
        <v>0</v>
      </c>
      <c r="M442">
        <v>0</v>
      </c>
      <c r="N442">
        <v>840</v>
      </c>
      <c r="O442">
        <v>0</v>
      </c>
      <c r="P442">
        <v>0</v>
      </c>
      <c r="Q442">
        <v>1440</v>
      </c>
      <c r="R442">
        <v>0</v>
      </c>
      <c r="S442">
        <v>0</v>
      </c>
      <c r="T442">
        <v>0</v>
      </c>
      <c r="U442">
        <v>960</v>
      </c>
      <c r="V442">
        <v>0</v>
      </c>
      <c r="W442">
        <v>0</v>
      </c>
      <c r="X442">
        <v>0</v>
      </c>
      <c r="Y442">
        <v>0</v>
      </c>
      <c r="Z442">
        <v>0</v>
      </c>
      <c r="AA442">
        <v>0</v>
      </c>
      <c r="AB442">
        <v>0</v>
      </c>
      <c r="AC442">
        <v>0</v>
      </c>
      <c r="AD442">
        <v>0</v>
      </c>
      <c r="AE442">
        <v>0</v>
      </c>
      <c r="AF442">
        <v>0</v>
      </c>
      <c r="AG442">
        <v>0</v>
      </c>
      <c r="AH442">
        <v>0</v>
      </c>
      <c r="AI442">
        <v>0</v>
      </c>
      <c r="AJ442">
        <v>0</v>
      </c>
      <c r="AK442">
        <v>0</v>
      </c>
      <c r="AL442">
        <v>0</v>
      </c>
      <c r="AM442">
        <v>0</v>
      </c>
    </row>
    <row r="443" spans="1:39" x14ac:dyDescent="0.35">
      <c r="A443" t="s">
        <v>174</v>
      </c>
      <c r="B443" t="s">
        <v>338</v>
      </c>
      <c r="C443" t="s">
        <v>316</v>
      </c>
      <c r="D443" t="s">
        <v>315</v>
      </c>
      <c r="E443" t="s">
        <v>914</v>
      </c>
      <c r="F443" t="s">
        <v>316</v>
      </c>
      <c r="H443" t="s">
        <v>35</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row>
    <row r="444" spans="1:39" x14ac:dyDescent="0.35">
      <c r="A444" t="s">
        <v>174</v>
      </c>
      <c r="B444" t="s">
        <v>338</v>
      </c>
      <c r="C444" t="s">
        <v>316</v>
      </c>
      <c r="D444" t="s">
        <v>315</v>
      </c>
      <c r="E444" t="s">
        <v>484</v>
      </c>
      <c r="F444" t="s">
        <v>316</v>
      </c>
      <c r="H444" t="s">
        <v>67</v>
      </c>
      <c r="I444">
        <v>0</v>
      </c>
      <c r="J444">
        <v>0</v>
      </c>
      <c r="K444">
        <v>18240</v>
      </c>
      <c r="L444">
        <v>0</v>
      </c>
      <c r="M444">
        <v>16800</v>
      </c>
      <c r="N444">
        <v>0</v>
      </c>
      <c r="O444">
        <v>16320</v>
      </c>
      <c r="P444">
        <v>0</v>
      </c>
      <c r="Q444">
        <v>7680</v>
      </c>
      <c r="R444">
        <v>17280</v>
      </c>
      <c r="S444">
        <v>0</v>
      </c>
      <c r="T444">
        <v>12480</v>
      </c>
      <c r="U444">
        <v>0</v>
      </c>
      <c r="V444">
        <v>7680</v>
      </c>
      <c r="W444">
        <v>0</v>
      </c>
      <c r="X444">
        <v>0</v>
      </c>
      <c r="Y444">
        <v>0</v>
      </c>
      <c r="Z444">
        <v>0</v>
      </c>
      <c r="AA444">
        <v>0</v>
      </c>
      <c r="AB444">
        <v>0</v>
      </c>
      <c r="AC444">
        <v>0</v>
      </c>
      <c r="AD444">
        <v>0</v>
      </c>
      <c r="AE444">
        <v>0</v>
      </c>
      <c r="AF444">
        <v>0</v>
      </c>
      <c r="AG444">
        <v>0</v>
      </c>
      <c r="AH444">
        <v>0</v>
      </c>
      <c r="AI444">
        <v>0</v>
      </c>
      <c r="AJ444">
        <v>0</v>
      </c>
      <c r="AK444">
        <v>0</v>
      </c>
      <c r="AL444">
        <v>0</v>
      </c>
      <c r="AM444">
        <v>0</v>
      </c>
    </row>
    <row r="445" spans="1:39" x14ac:dyDescent="0.35">
      <c r="A445" t="s">
        <v>174</v>
      </c>
      <c r="B445" t="s">
        <v>338</v>
      </c>
      <c r="C445" t="s">
        <v>316</v>
      </c>
      <c r="D445" t="s">
        <v>315</v>
      </c>
      <c r="E445" t="s">
        <v>507</v>
      </c>
      <c r="F445" t="s">
        <v>316</v>
      </c>
      <c r="H445" t="s">
        <v>67</v>
      </c>
      <c r="I445">
        <v>19200</v>
      </c>
      <c r="J445">
        <v>0</v>
      </c>
      <c r="K445">
        <v>7680</v>
      </c>
      <c r="L445">
        <v>0</v>
      </c>
      <c r="M445">
        <v>10080</v>
      </c>
      <c r="N445">
        <v>0</v>
      </c>
      <c r="O445">
        <v>13440</v>
      </c>
      <c r="P445">
        <v>0</v>
      </c>
      <c r="Q445">
        <v>2880</v>
      </c>
      <c r="R445">
        <v>10560</v>
      </c>
      <c r="S445">
        <v>0</v>
      </c>
      <c r="T445">
        <v>8640</v>
      </c>
      <c r="U445">
        <v>0</v>
      </c>
      <c r="V445">
        <v>2880</v>
      </c>
      <c r="W445">
        <v>0</v>
      </c>
      <c r="X445">
        <v>0</v>
      </c>
      <c r="Y445">
        <v>0</v>
      </c>
      <c r="Z445">
        <v>0</v>
      </c>
      <c r="AA445">
        <v>0</v>
      </c>
      <c r="AB445">
        <v>0</v>
      </c>
      <c r="AC445">
        <v>0</v>
      </c>
      <c r="AD445">
        <v>0</v>
      </c>
      <c r="AE445">
        <v>0</v>
      </c>
      <c r="AF445">
        <v>0</v>
      </c>
      <c r="AG445">
        <v>0</v>
      </c>
      <c r="AH445">
        <v>0</v>
      </c>
      <c r="AI445">
        <v>0</v>
      </c>
      <c r="AJ445">
        <v>0</v>
      </c>
      <c r="AK445">
        <v>0</v>
      </c>
      <c r="AL445">
        <v>0</v>
      </c>
      <c r="AM445">
        <v>0</v>
      </c>
    </row>
    <row r="446" spans="1:39" x14ac:dyDescent="0.35">
      <c r="A446" t="s">
        <v>174</v>
      </c>
      <c r="B446" t="s">
        <v>338</v>
      </c>
      <c r="C446" t="s">
        <v>316</v>
      </c>
      <c r="D446" t="s">
        <v>315</v>
      </c>
      <c r="E446" t="s">
        <v>915</v>
      </c>
      <c r="F446" t="s">
        <v>316</v>
      </c>
      <c r="H446" t="s">
        <v>35</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row>
    <row r="447" spans="1:39" x14ac:dyDescent="0.35">
      <c r="A447" t="s">
        <v>174</v>
      </c>
      <c r="B447" t="s">
        <v>338</v>
      </c>
      <c r="C447" t="s">
        <v>316</v>
      </c>
      <c r="D447" t="s">
        <v>315</v>
      </c>
      <c r="E447" t="s">
        <v>540</v>
      </c>
      <c r="F447" t="s">
        <v>316</v>
      </c>
      <c r="H447" t="s">
        <v>67</v>
      </c>
      <c r="I447">
        <v>0</v>
      </c>
      <c r="J447">
        <v>0</v>
      </c>
      <c r="K447">
        <v>5250</v>
      </c>
      <c r="L447">
        <v>0</v>
      </c>
      <c r="M447">
        <v>4800</v>
      </c>
      <c r="N447">
        <v>0</v>
      </c>
      <c r="O447">
        <v>2850</v>
      </c>
      <c r="P447">
        <v>6900</v>
      </c>
      <c r="Q447">
        <v>2850</v>
      </c>
      <c r="R447">
        <v>2850</v>
      </c>
      <c r="S447">
        <v>0</v>
      </c>
      <c r="T447">
        <v>5820</v>
      </c>
      <c r="U447">
        <v>0</v>
      </c>
      <c r="V447">
        <v>2850</v>
      </c>
      <c r="W447">
        <v>0</v>
      </c>
      <c r="X447">
        <v>0</v>
      </c>
      <c r="Y447">
        <v>0</v>
      </c>
      <c r="Z447">
        <v>0</v>
      </c>
      <c r="AA447">
        <v>0</v>
      </c>
      <c r="AB447">
        <v>0</v>
      </c>
      <c r="AC447">
        <v>0</v>
      </c>
      <c r="AD447">
        <v>0</v>
      </c>
      <c r="AE447">
        <v>0</v>
      </c>
      <c r="AF447">
        <v>0</v>
      </c>
      <c r="AG447">
        <v>0</v>
      </c>
      <c r="AH447">
        <v>0</v>
      </c>
      <c r="AI447">
        <v>0</v>
      </c>
      <c r="AJ447">
        <v>0</v>
      </c>
      <c r="AK447">
        <v>0</v>
      </c>
      <c r="AL447">
        <v>0</v>
      </c>
      <c r="AM447">
        <v>0</v>
      </c>
    </row>
    <row r="448" spans="1:39" x14ac:dyDescent="0.35">
      <c r="A448" t="s">
        <v>174</v>
      </c>
      <c r="B448" t="s">
        <v>338</v>
      </c>
      <c r="C448" t="s">
        <v>316</v>
      </c>
      <c r="D448" t="s">
        <v>315</v>
      </c>
      <c r="E448" t="s">
        <v>496</v>
      </c>
      <c r="F448" t="s">
        <v>316</v>
      </c>
      <c r="H448" t="s">
        <v>35</v>
      </c>
      <c r="I448">
        <v>0</v>
      </c>
      <c r="J448">
        <v>0</v>
      </c>
      <c r="K448">
        <v>22500</v>
      </c>
      <c r="L448">
        <v>0</v>
      </c>
      <c r="M448">
        <v>0</v>
      </c>
      <c r="N448">
        <v>0</v>
      </c>
      <c r="O448">
        <v>15000</v>
      </c>
      <c r="P448">
        <v>0</v>
      </c>
      <c r="Q448">
        <v>0</v>
      </c>
      <c r="R448">
        <v>20000</v>
      </c>
      <c r="S448">
        <v>0</v>
      </c>
      <c r="T448">
        <v>0</v>
      </c>
      <c r="U448">
        <v>0</v>
      </c>
      <c r="V448">
        <v>10000</v>
      </c>
      <c r="W448">
        <v>0</v>
      </c>
      <c r="X448">
        <v>0</v>
      </c>
      <c r="Y448">
        <v>0</v>
      </c>
      <c r="Z448">
        <v>0</v>
      </c>
      <c r="AA448">
        <v>0</v>
      </c>
      <c r="AB448">
        <v>0</v>
      </c>
      <c r="AC448">
        <v>0</v>
      </c>
      <c r="AD448">
        <v>0</v>
      </c>
      <c r="AE448">
        <v>0</v>
      </c>
      <c r="AF448">
        <v>0</v>
      </c>
      <c r="AG448">
        <v>0</v>
      </c>
      <c r="AH448">
        <v>0</v>
      </c>
      <c r="AI448">
        <v>0</v>
      </c>
      <c r="AJ448">
        <v>0</v>
      </c>
      <c r="AK448">
        <v>0</v>
      </c>
      <c r="AL448">
        <v>0</v>
      </c>
      <c r="AM448">
        <v>0</v>
      </c>
    </row>
    <row r="449" spans="1:39" x14ac:dyDescent="0.35">
      <c r="A449" t="s">
        <v>174</v>
      </c>
      <c r="B449" t="s">
        <v>338</v>
      </c>
      <c r="C449" t="s">
        <v>316</v>
      </c>
      <c r="D449" t="s">
        <v>315</v>
      </c>
      <c r="E449" t="s">
        <v>1195</v>
      </c>
      <c r="F449" t="s">
        <v>316</v>
      </c>
      <c r="H449" t="s">
        <v>35</v>
      </c>
      <c r="I449">
        <v>0</v>
      </c>
      <c r="J449">
        <v>0</v>
      </c>
      <c r="K449">
        <v>7500</v>
      </c>
      <c r="L449">
        <v>0</v>
      </c>
      <c r="M449">
        <v>0</v>
      </c>
      <c r="N449">
        <v>0</v>
      </c>
      <c r="O449">
        <v>0</v>
      </c>
      <c r="P449">
        <v>0</v>
      </c>
      <c r="Q449">
        <v>0</v>
      </c>
      <c r="R449">
        <v>7500</v>
      </c>
      <c r="S449">
        <v>0</v>
      </c>
      <c r="T449">
        <v>7500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row>
    <row r="450" spans="1:39" x14ac:dyDescent="0.35">
      <c r="A450" t="s">
        <v>174</v>
      </c>
      <c r="B450" t="s">
        <v>338</v>
      </c>
      <c r="C450" t="s">
        <v>316</v>
      </c>
      <c r="D450" t="s">
        <v>315</v>
      </c>
      <c r="E450" t="s">
        <v>511</v>
      </c>
      <c r="F450" t="s">
        <v>316</v>
      </c>
      <c r="H450" t="s">
        <v>35</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row>
    <row r="451" spans="1:39" x14ac:dyDescent="0.35">
      <c r="A451" t="s">
        <v>174</v>
      </c>
      <c r="B451" t="s">
        <v>338</v>
      </c>
      <c r="C451" t="s">
        <v>316</v>
      </c>
      <c r="D451" t="s">
        <v>315</v>
      </c>
      <c r="E451" t="s">
        <v>509</v>
      </c>
      <c r="F451" t="s">
        <v>316</v>
      </c>
      <c r="H451" t="s">
        <v>35</v>
      </c>
      <c r="I451">
        <v>0</v>
      </c>
      <c r="J451">
        <v>0</v>
      </c>
      <c r="K451">
        <v>48600</v>
      </c>
      <c r="L451">
        <v>0</v>
      </c>
      <c r="M451">
        <v>0</v>
      </c>
      <c r="N451">
        <v>0</v>
      </c>
      <c r="O451">
        <v>0</v>
      </c>
      <c r="P451">
        <v>81000</v>
      </c>
      <c r="Q451">
        <v>0</v>
      </c>
      <c r="R451">
        <v>0</v>
      </c>
      <c r="S451">
        <v>0</v>
      </c>
      <c r="T451">
        <v>0</v>
      </c>
      <c r="U451">
        <v>0</v>
      </c>
      <c r="V451">
        <v>48600</v>
      </c>
      <c r="W451">
        <v>0</v>
      </c>
      <c r="X451">
        <v>0</v>
      </c>
      <c r="Y451">
        <v>0</v>
      </c>
      <c r="Z451">
        <v>0</v>
      </c>
      <c r="AA451">
        <v>0</v>
      </c>
      <c r="AB451">
        <v>0</v>
      </c>
      <c r="AC451">
        <v>0</v>
      </c>
      <c r="AD451">
        <v>0</v>
      </c>
      <c r="AE451">
        <v>0</v>
      </c>
      <c r="AF451">
        <v>0</v>
      </c>
      <c r="AG451">
        <v>0</v>
      </c>
      <c r="AH451">
        <v>0</v>
      </c>
      <c r="AI451">
        <v>0</v>
      </c>
      <c r="AJ451">
        <v>0</v>
      </c>
      <c r="AK451">
        <v>0</v>
      </c>
      <c r="AL451">
        <v>0</v>
      </c>
      <c r="AM451">
        <v>0</v>
      </c>
    </row>
    <row r="452" spans="1:39" x14ac:dyDescent="0.35">
      <c r="A452" t="s">
        <v>174</v>
      </c>
      <c r="B452" t="s">
        <v>338</v>
      </c>
      <c r="C452" t="s">
        <v>316</v>
      </c>
      <c r="D452" t="s">
        <v>315</v>
      </c>
      <c r="E452" t="s">
        <v>1345</v>
      </c>
      <c r="F452" t="s">
        <v>316</v>
      </c>
      <c r="H452" t="s">
        <v>35</v>
      </c>
      <c r="I452">
        <v>0</v>
      </c>
      <c r="J452">
        <v>0</v>
      </c>
      <c r="K452">
        <v>24000</v>
      </c>
      <c r="L452">
        <v>0</v>
      </c>
      <c r="M452">
        <v>0</v>
      </c>
      <c r="N452">
        <v>0</v>
      </c>
      <c r="O452">
        <v>0</v>
      </c>
      <c r="P452">
        <v>0</v>
      </c>
      <c r="Q452">
        <v>0</v>
      </c>
      <c r="R452">
        <v>12000</v>
      </c>
      <c r="S452">
        <v>0</v>
      </c>
      <c r="T452">
        <v>0</v>
      </c>
      <c r="U452">
        <v>0</v>
      </c>
      <c r="V452">
        <v>12000</v>
      </c>
      <c r="W452">
        <v>0</v>
      </c>
      <c r="X452">
        <v>0</v>
      </c>
      <c r="Y452">
        <v>0</v>
      </c>
      <c r="Z452">
        <v>0</v>
      </c>
      <c r="AA452">
        <v>0</v>
      </c>
      <c r="AB452">
        <v>0</v>
      </c>
      <c r="AC452">
        <v>0</v>
      </c>
      <c r="AD452">
        <v>0</v>
      </c>
      <c r="AE452">
        <v>0</v>
      </c>
      <c r="AF452">
        <v>0</v>
      </c>
      <c r="AG452">
        <v>0</v>
      </c>
      <c r="AH452">
        <v>0</v>
      </c>
      <c r="AI452">
        <v>0</v>
      </c>
      <c r="AJ452">
        <v>0</v>
      </c>
      <c r="AK452">
        <v>0</v>
      </c>
      <c r="AL452">
        <v>0</v>
      </c>
      <c r="AM452">
        <v>0</v>
      </c>
    </row>
    <row r="453" spans="1:39" x14ac:dyDescent="0.35">
      <c r="A453" t="s">
        <v>174</v>
      </c>
      <c r="B453" t="s">
        <v>338</v>
      </c>
      <c r="C453" t="s">
        <v>316</v>
      </c>
      <c r="D453" t="s">
        <v>315</v>
      </c>
      <c r="E453" t="s">
        <v>1344</v>
      </c>
      <c r="F453" t="s">
        <v>316</v>
      </c>
      <c r="H453" t="s">
        <v>35</v>
      </c>
      <c r="I453">
        <v>0</v>
      </c>
      <c r="J453">
        <v>0</v>
      </c>
      <c r="K453">
        <v>0</v>
      </c>
      <c r="L453">
        <v>0</v>
      </c>
      <c r="M453">
        <v>0</v>
      </c>
      <c r="N453">
        <v>0</v>
      </c>
      <c r="O453">
        <v>0</v>
      </c>
      <c r="P453">
        <v>0</v>
      </c>
      <c r="Q453">
        <v>0</v>
      </c>
      <c r="R453">
        <v>6000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row>
    <row r="454" spans="1:39" x14ac:dyDescent="0.35">
      <c r="A454" t="s">
        <v>174</v>
      </c>
      <c r="B454" t="s">
        <v>338</v>
      </c>
      <c r="C454" t="s">
        <v>316</v>
      </c>
      <c r="D454" t="s">
        <v>315</v>
      </c>
      <c r="E454" t="s">
        <v>1343</v>
      </c>
      <c r="F454" t="s">
        <v>316</v>
      </c>
      <c r="H454" t="s">
        <v>35</v>
      </c>
      <c r="I454">
        <v>0</v>
      </c>
      <c r="J454">
        <v>0</v>
      </c>
      <c r="K454">
        <v>0</v>
      </c>
      <c r="L454">
        <v>0</v>
      </c>
      <c r="M454">
        <v>0</v>
      </c>
      <c r="N454">
        <v>0</v>
      </c>
      <c r="O454">
        <v>0</v>
      </c>
      <c r="P454">
        <v>0</v>
      </c>
      <c r="Q454">
        <v>0</v>
      </c>
      <c r="R454">
        <v>0</v>
      </c>
      <c r="S454">
        <v>0</v>
      </c>
      <c r="T454">
        <v>0</v>
      </c>
      <c r="U454">
        <v>12000</v>
      </c>
      <c r="V454">
        <v>12000</v>
      </c>
      <c r="W454">
        <v>0</v>
      </c>
      <c r="X454">
        <v>0</v>
      </c>
      <c r="Y454">
        <v>0</v>
      </c>
      <c r="Z454">
        <v>0</v>
      </c>
      <c r="AA454">
        <v>0</v>
      </c>
      <c r="AB454">
        <v>0</v>
      </c>
      <c r="AC454">
        <v>0</v>
      </c>
      <c r="AD454">
        <v>0</v>
      </c>
      <c r="AE454">
        <v>0</v>
      </c>
      <c r="AF454">
        <v>0</v>
      </c>
      <c r="AG454">
        <v>0</v>
      </c>
      <c r="AH454">
        <v>0</v>
      </c>
      <c r="AI454">
        <v>0</v>
      </c>
      <c r="AJ454">
        <v>0</v>
      </c>
      <c r="AK454">
        <v>0</v>
      </c>
      <c r="AL454">
        <v>0</v>
      </c>
      <c r="AM454">
        <v>0</v>
      </c>
    </row>
    <row r="455" spans="1:39" x14ac:dyDescent="0.35">
      <c r="A455" t="s">
        <v>174</v>
      </c>
      <c r="B455" t="s">
        <v>338</v>
      </c>
      <c r="C455" t="s">
        <v>316</v>
      </c>
      <c r="D455" t="s">
        <v>315</v>
      </c>
      <c r="E455" t="s">
        <v>1196</v>
      </c>
      <c r="F455" t="s">
        <v>316</v>
      </c>
      <c r="H455" t="s">
        <v>35</v>
      </c>
      <c r="I455">
        <v>0</v>
      </c>
      <c r="J455">
        <v>0</v>
      </c>
      <c r="K455">
        <v>63000</v>
      </c>
      <c r="L455">
        <v>0</v>
      </c>
      <c r="M455">
        <v>42000</v>
      </c>
      <c r="N455">
        <v>0</v>
      </c>
      <c r="O455">
        <v>63000</v>
      </c>
      <c r="P455">
        <v>0</v>
      </c>
      <c r="Q455">
        <v>0</v>
      </c>
      <c r="R455">
        <v>42000</v>
      </c>
      <c r="S455">
        <v>0</v>
      </c>
      <c r="T455">
        <v>42000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row>
    <row r="456" spans="1:39" x14ac:dyDescent="0.35">
      <c r="A456" t="s">
        <v>174</v>
      </c>
      <c r="B456" t="s">
        <v>338</v>
      </c>
      <c r="C456" t="s">
        <v>316</v>
      </c>
      <c r="D456" t="s">
        <v>315</v>
      </c>
      <c r="E456" t="s">
        <v>1194</v>
      </c>
      <c r="F456" t="s">
        <v>316</v>
      </c>
      <c r="H456" t="s">
        <v>35</v>
      </c>
      <c r="I456">
        <v>0</v>
      </c>
      <c r="J456">
        <v>0</v>
      </c>
      <c r="K456">
        <v>14000</v>
      </c>
      <c r="L456">
        <v>0</v>
      </c>
      <c r="M456">
        <v>56000</v>
      </c>
      <c r="N456">
        <v>70000</v>
      </c>
      <c r="O456">
        <v>31000</v>
      </c>
      <c r="P456">
        <v>14000</v>
      </c>
      <c r="Q456">
        <v>14000</v>
      </c>
      <c r="R456">
        <v>0</v>
      </c>
      <c r="S456">
        <v>0</v>
      </c>
      <c r="T456">
        <v>28000</v>
      </c>
      <c r="U456">
        <v>0</v>
      </c>
      <c r="V456">
        <v>14000</v>
      </c>
      <c r="W456">
        <v>0</v>
      </c>
      <c r="X456">
        <v>0</v>
      </c>
      <c r="Y456">
        <v>0</v>
      </c>
      <c r="Z456">
        <v>0</v>
      </c>
      <c r="AA456">
        <v>0</v>
      </c>
      <c r="AB456">
        <v>0</v>
      </c>
      <c r="AC456">
        <v>0</v>
      </c>
      <c r="AD456">
        <v>0</v>
      </c>
      <c r="AE456">
        <v>0</v>
      </c>
      <c r="AF456">
        <v>0</v>
      </c>
      <c r="AG456">
        <v>0</v>
      </c>
      <c r="AH456">
        <v>0</v>
      </c>
      <c r="AI456">
        <v>0</v>
      </c>
      <c r="AJ456">
        <v>0</v>
      </c>
      <c r="AK456">
        <v>0</v>
      </c>
      <c r="AL456">
        <v>0</v>
      </c>
      <c r="AM456">
        <v>0</v>
      </c>
    </row>
    <row r="457" spans="1:39" x14ac:dyDescent="0.35">
      <c r="A457" t="s">
        <v>174</v>
      </c>
      <c r="B457" t="s">
        <v>338</v>
      </c>
      <c r="C457" t="s">
        <v>316</v>
      </c>
      <c r="D457" t="s">
        <v>315</v>
      </c>
      <c r="E457" t="s">
        <v>2</v>
      </c>
      <c r="F457" t="s">
        <v>316</v>
      </c>
      <c r="H457" t="s">
        <v>35</v>
      </c>
      <c r="I457">
        <v>10000</v>
      </c>
      <c r="J457">
        <v>15000</v>
      </c>
      <c r="K457">
        <v>20000</v>
      </c>
      <c r="L457">
        <v>0</v>
      </c>
      <c r="M457">
        <v>15000</v>
      </c>
      <c r="N457">
        <v>15000</v>
      </c>
      <c r="O457">
        <v>10000</v>
      </c>
      <c r="P457">
        <v>10000</v>
      </c>
      <c r="Q457">
        <v>15000</v>
      </c>
      <c r="R457">
        <v>20000</v>
      </c>
      <c r="S457">
        <v>0</v>
      </c>
      <c r="T457">
        <v>15000</v>
      </c>
      <c r="U457">
        <v>10000</v>
      </c>
      <c r="V457">
        <v>0</v>
      </c>
      <c r="W457">
        <v>0</v>
      </c>
      <c r="X457">
        <v>0</v>
      </c>
      <c r="Y457">
        <v>0</v>
      </c>
      <c r="Z457">
        <v>0</v>
      </c>
      <c r="AA457">
        <v>0</v>
      </c>
      <c r="AB457">
        <v>0</v>
      </c>
      <c r="AC457">
        <v>0</v>
      </c>
      <c r="AD457">
        <v>0</v>
      </c>
      <c r="AE457">
        <v>0</v>
      </c>
      <c r="AF457">
        <v>0</v>
      </c>
      <c r="AG457">
        <v>0</v>
      </c>
      <c r="AH457">
        <v>0</v>
      </c>
      <c r="AI457">
        <v>0</v>
      </c>
      <c r="AJ457">
        <v>0</v>
      </c>
      <c r="AK457">
        <v>0</v>
      </c>
      <c r="AL457">
        <v>0</v>
      </c>
      <c r="AM457">
        <v>0</v>
      </c>
    </row>
    <row r="458" spans="1:39" x14ac:dyDescent="0.35">
      <c r="A458" t="s">
        <v>174</v>
      </c>
      <c r="B458" t="s">
        <v>338</v>
      </c>
      <c r="C458" t="s">
        <v>316</v>
      </c>
      <c r="D458" t="s">
        <v>315</v>
      </c>
      <c r="E458" t="s">
        <v>353</v>
      </c>
      <c r="F458" t="s">
        <v>316</v>
      </c>
      <c r="H458" t="s">
        <v>35</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row>
    <row r="459" spans="1:39" x14ac:dyDescent="0.35">
      <c r="A459" t="s">
        <v>174</v>
      </c>
      <c r="B459" t="s">
        <v>338</v>
      </c>
      <c r="C459" t="s">
        <v>316</v>
      </c>
      <c r="D459" t="s">
        <v>315</v>
      </c>
      <c r="E459" t="s">
        <v>352</v>
      </c>
      <c r="F459" t="s">
        <v>316</v>
      </c>
      <c r="H459" t="s">
        <v>68</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row>
    <row r="460" spans="1:39" x14ac:dyDescent="0.35">
      <c r="A460" t="s">
        <v>174</v>
      </c>
      <c r="B460" t="s">
        <v>338</v>
      </c>
      <c r="C460" t="s">
        <v>316</v>
      </c>
      <c r="D460" t="s">
        <v>315</v>
      </c>
      <c r="E460" t="s">
        <v>1346</v>
      </c>
      <c r="F460" t="s">
        <v>316</v>
      </c>
      <c r="H460" t="s">
        <v>35</v>
      </c>
      <c r="I460">
        <v>0</v>
      </c>
      <c r="J460">
        <v>0</v>
      </c>
      <c r="K460">
        <v>0</v>
      </c>
      <c r="L460">
        <v>0</v>
      </c>
      <c r="M460">
        <v>0</v>
      </c>
      <c r="N460">
        <v>0</v>
      </c>
      <c r="O460">
        <v>0</v>
      </c>
      <c r="P460">
        <v>0</v>
      </c>
      <c r="Q460">
        <v>0</v>
      </c>
      <c r="R460">
        <v>0</v>
      </c>
      <c r="S460">
        <v>0</v>
      </c>
      <c r="T460">
        <v>0</v>
      </c>
      <c r="U460">
        <v>0</v>
      </c>
      <c r="V460">
        <v>4200</v>
      </c>
      <c r="W460">
        <v>0</v>
      </c>
      <c r="X460">
        <v>0</v>
      </c>
      <c r="Y460">
        <v>0</v>
      </c>
      <c r="Z460">
        <v>0</v>
      </c>
      <c r="AA460">
        <v>0</v>
      </c>
      <c r="AB460">
        <v>0</v>
      </c>
      <c r="AC460">
        <v>0</v>
      </c>
      <c r="AD460">
        <v>0</v>
      </c>
      <c r="AE460">
        <v>0</v>
      </c>
      <c r="AF460">
        <v>0</v>
      </c>
      <c r="AG460">
        <v>0</v>
      </c>
      <c r="AH460">
        <v>0</v>
      </c>
      <c r="AI460">
        <v>0</v>
      </c>
      <c r="AJ460">
        <v>0</v>
      </c>
      <c r="AK460">
        <v>0</v>
      </c>
      <c r="AL460">
        <v>0</v>
      </c>
      <c r="AM460">
        <v>0</v>
      </c>
    </row>
    <row r="461" spans="1:39" x14ac:dyDescent="0.35">
      <c r="A461" t="s">
        <v>174</v>
      </c>
      <c r="B461" t="s">
        <v>338</v>
      </c>
      <c r="C461" t="s">
        <v>316</v>
      </c>
      <c r="D461" t="s">
        <v>315</v>
      </c>
      <c r="E461" t="s">
        <v>497</v>
      </c>
      <c r="F461" t="s">
        <v>316</v>
      </c>
      <c r="H461" t="s">
        <v>35</v>
      </c>
      <c r="I461">
        <v>2000</v>
      </c>
      <c r="J461">
        <v>3000</v>
      </c>
      <c r="K461">
        <v>5000</v>
      </c>
      <c r="L461">
        <v>0</v>
      </c>
      <c r="M461">
        <v>3000</v>
      </c>
      <c r="N461">
        <v>2000</v>
      </c>
      <c r="O461">
        <v>2000</v>
      </c>
      <c r="P461">
        <v>2000</v>
      </c>
      <c r="Q461">
        <v>4000</v>
      </c>
      <c r="R461">
        <v>4000</v>
      </c>
      <c r="S461">
        <v>0</v>
      </c>
      <c r="T461">
        <v>2000</v>
      </c>
      <c r="U461">
        <v>2000</v>
      </c>
      <c r="V461">
        <v>0</v>
      </c>
      <c r="W461">
        <v>0</v>
      </c>
      <c r="X461">
        <v>0</v>
      </c>
      <c r="Y461">
        <v>0</v>
      </c>
      <c r="Z461">
        <v>0</v>
      </c>
      <c r="AA461">
        <v>0</v>
      </c>
      <c r="AB461">
        <v>0</v>
      </c>
      <c r="AC461">
        <v>0</v>
      </c>
      <c r="AD461">
        <v>0</v>
      </c>
      <c r="AE461">
        <v>0</v>
      </c>
      <c r="AF461">
        <v>0</v>
      </c>
      <c r="AG461">
        <v>0</v>
      </c>
      <c r="AH461">
        <v>0</v>
      </c>
      <c r="AI461">
        <v>0</v>
      </c>
      <c r="AJ461">
        <v>0</v>
      </c>
      <c r="AK461">
        <v>0</v>
      </c>
      <c r="AL461">
        <v>0</v>
      </c>
      <c r="AM461">
        <v>0</v>
      </c>
    </row>
    <row r="462" spans="1:39" x14ac:dyDescent="0.35">
      <c r="A462" t="s">
        <v>174</v>
      </c>
      <c r="B462" t="s">
        <v>338</v>
      </c>
      <c r="C462" t="s">
        <v>316</v>
      </c>
      <c r="D462" t="s">
        <v>315</v>
      </c>
      <c r="E462" t="s">
        <v>1168</v>
      </c>
      <c r="F462" t="s">
        <v>316</v>
      </c>
      <c r="H462" t="s">
        <v>35</v>
      </c>
      <c r="I462">
        <v>21600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row>
    <row r="463" spans="1:39" x14ac:dyDescent="0.35">
      <c r="A463" t="s">
        <v>174</v>
      </c>
      <c r="B463" t="s">
        <v>338</v>
      </c>
      <c r="C463" t="s">
        <v>316</v>
      </c>
      <c r="D463" t="s">
        <v>315</v>
      </c>
      <c r="E463" t="s">
        <v>1306</v>
      </c>
      <c r="F463" t="s">
        <v>316</v>
      </c>
      <c r="H463" t="s">
        <v>35</v>
      </c>
      <c r="I463">
        <v>0</v>
      </c>
      <c r="J463">
        <v>0</v>
      </c>
      <c r="K463">
        <v>60000</v>
      </c>
      <c r="L463">
        <v>0</v>
      </c>
      <c r="M463">
        <v>0</v>
      </c>
      <c r="N463">
        <v>0</v>
      </c>
      <c r="O463">
        <v>0</v>
      </c>
      <c r="P463">
        <v>0</v>
      </c>
      <c r="Q463">
        <v>0</v>
      </c>
      <c r="R463">
        <v>0</v>
      </c>
      <c r="S463">
        <v>0</v>
      </c>
      <c r="T463">
        <v>0</v>
      </c>
      <c r="U463">
        <v>0</v>
      </c>
      <c r="V463">
        <v>30000</v>
      </c>
      <c r="W463">
        <v>0</v>
      </c>
      <c r="X463">
        <v>0</v>
      </c>
      <c r="Y463">
        <v>0</v>
      </c>
      <c r="Z463">
        <v>0</v>
      </c>
      <c r="AA463">
        <v>0</v>
      </c>
      <c r="AB463">
        <v>0</v>
      </c>
      <c r="AC463">
        <v>0</v>
      </c>
      <c r="AD463">
        <v>0</v>
      </c>
      <c r="AE463">
        <v>0</v>
      </c>
      <c r="AF463">
        <v>0</v>
      </c>
      <c r="AG463">
        <v>0</v>
      </c>
      <c r="AH463">
        <v>0</v>
      </c>
      <c r="AI463">
        <v>0</v>
      </c>
      <c r="AJ463">
        <v>0</v>
      </c>
      <c r="AK463">
        <v>0</v>
      </c>
      <c r="AL463">
        <v>0</v>
      </c>
      <c r="AM463">
        <v>0</v>
      </c>
    </row>
    <row r="464" spans="1:39" x14ac:dyDescent="0.35">
      <c r="A464" t="s">
        <v>174</v>
      </c>
      <c r="B464" t="s">
        <v>338</v>
      </c>
      <c r="C464" t="s">
        <v>316</v>
      </c>
      <c r="D464" t="s">
        <v>315</v>
      </c>
      <c r="E464" t="s">
        <v>1331</v>
      </c>
      <c r="F464" t="s">
        <v>316</v>
      </c>
      <c r="H464" t="s">
        <v>35</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row>
    <row r="465" spans="1:39" x14ac:dyDescent="0.35">
      <c r="A465" t="s">
        <v>174</v>
      </c>
      <c r="B465" t="s">
        <v>338</v>
      </c>
      <c r="C465" t="s">
        <v>316</v>
      </c>
      <c r="D465" t="s">
        <v>315</v>
      </c>
      <c r="E465" t="s">
        <v>349</v>
      </c>
      <c r="F465" t="s">
        <v>316</v>
      </c>
      <c r="H465" t="s">
        <v>35</v>
      </c>
      <c r="I465">
        <v>0</v>
      </c>
      <c r="J465">
        <v>0</v>
      </c>
      <c r="K465">
        <v>6600</v>
      </c>
      <c r="L465">
        <v>0</v>
      </c>
      <c r="M465">
        <v>0</v>
      </c>
      <c r="N465">
        <v>0</v>
      </c>
      <c r="O465">
        <v>6600</v>
      </c>
      <c r="P465">
        <v>0</v>
      </c>
      <c r="Q465">
        <v>0</v>
      </c>
      <c r="R465">
        <v>6600</v>
      </c>
      <c r="S465">
        <v>0</v>
      </c>
      <c r="T465">
        <v>0</v>
      </c>
      <c r="U465">
        <v>0</v>
      </c>
      <c r="V465">
        <v>6600</v>
      </c>
      <c r="W465">
        <v>0</v>
      </c>
      <c r="X465">
        <v>0</v>
      </c>
      <c r="Y465">
        <v>0</v>
      </c>
      <c r="Z465">
        <v>0</v>
      </c>
      <c r="AA465">
        <v>0</v>
      </c>
      <c r="AB465">
        <v>0</v>
      </c>
      <c r="AC465">
        <v>0</v>
      </c>
      <c r="AD465">
        <v>0</v>
      </c>
      <c r="AE465">
        <v>0</v>
      </c>
      <c r="AF465">
        <v>0</v>
      </c>
      <c r="AG465">
        <v>0</v>
      </c>
      <c r="AH465">
        <v>0</v>
      </c>
      <c r="AI465">
        <v>0</v>
      </c>
      <c r="AJ465">
        <v>0</v>
      </c>
      <c r="AK465">
        <v>0</v>
      </c>
      <c r="AL465">
        <v>0</v>
      </c>
      <c r="AM465">
        <v>0</v>
      </c>
    </row>
    <row r="466" spans="1:39" x14ac:dyDescent="0.35">
      <c r="A466" t="s">
        <v>174</v>
      </c>
      <c r="B466" t="s">
        <v>338</v>
      </c>
      <c r="C466" t="s">
        <v>316</v>
      </c>
      <c r="D466" t="s">
        <v>315</v>
      </c>
      <c r="E466" t="s">
        <v>985</v>
      </c>
      <c r="F466" t="s">
        <v>316</v>
      </c>
      <c r="H466" t="s">
        <v>35</v>
      </c>
      <c r="I466">
        <v>0</v>
      </c>
      <c r="J466">
        <v>0</v>
      </c>
      <c r="K466">
        <v>48000</v>
      </c>
      <c r="L466">
        <v>0</v>
      </c>
      <c r="M466">
        <v>0</v>
      </c>
      <c r="N466">
        <v>0</v>
      </c>
      <c r="O466">
        <v>60000</v>
      </c>
      <c r="P466">
        <v>0</v>
      </c>
      <c r="Q466">
        <v>0</v>
      </c>
      <c r="R466">
        <v>72000</v>
      </c>
      <c r="S466">
        <v>0</v>
      </c>
      <c r="T466">
        <v>0</v>
      </c>
      <c r="U466">
        <v>0</v>
      </c>
      <c r="V466">
        <v>12000</v>
      </c>
      <c r="W466">
        <v>0</v>
      </c>
      <c r="X466">
        <v>0</v>
      </c>
      <c r="Y466">
        <v>0</v>
      </c>
      <c r="Z466">
        <v>0</v>
      </c>
      <c r="AA466">
        <v>0</v>
      </c>
      <c r="AB466">
        <v>0</v>
      </c>
      <c r="AC466">
        <v>0</v>
      </c>
      <c r="AD466">
        <v>0</v>
      </c>
      <c r="AE466">
        <v>0</v>
      </c>
      <c r="AF466">
        <v>0</v>
      </c>
      <c r="AG466">
        <v>0</v>
      </c>
      <c r="AH466">
        <v>0</v>
      </c>
      <c r="AI466">
        <v>0</v>
      </c>
      <c r="AJ466">
        <v>0</v>
      </c>
      <c r="AK466">
        <v>0</v>
      </c>
      <c r="AL466">
        <v>0</v>
      </c>
      <c r="AM466">
        <v>0</v>
      </c>
    </row>
    <row r="467" spans="1:39" x14ac:dyDescent="0.35">
      <c r="A467" t="s">
        <v>174</v>
      </c>
      <c r="B467" t="s">
        <v>338</v>
      </c>
      <c r="C467" t="s">
        <v>316</v>
      </c>
      <c r="D467" t="s">
        <v>315</v>
      </c>
      <c r="E467" t="s">
        <v>355</v>
      </c>
      <c r="F467" t="s">
        <v>316</v>
      </c>
      <c r="H467" t="s">
        <v>35</v>
      </c>
      <c r="I467">
        <v>0</v>
      </c>
      <c r="J467">
        <v>0</v>
      </c>
      <c r="K467">
        <v>0</v>
      </c>
      <c r="L467">
        <v>0</v>
      </c>
      <c r="M467">
        <v>0</v>
      </c>
      <c r="N467">
        <v>0</v>
      </c>
      <c r="O467">
        <v>0</v>
      </c>
      <c r="P467">
        <v>0</v>
      </c>
      <c r="Q467">
        <v>0</v>
      </c>
      <c r="R467">
        <v>5400</v>
      </c>
      <c r="S467">
        <v>0</v>
      </c>
      <c r="T467">
        <v>0</v>
      </c>
      <c r="U467">
        <v>0</v>
      </c>
      <c r="V467">
        <v>5400</v>
      </c>
      <c r="W467">
        <v>0</v>
      </c>
      <c r="X467">
        <v>0</v>
      </c>
      <c r="Y467">
        <v>0</v>
      </c>
      <c r="Z467">
        <v>0</v>
      </c>
      <c r="AA467">
        <v>0</v>
      </c>
      <c r="AB467">
        <v>0</v>
      </c>
      <c r="AC467">
        <v>0</v>
      </c>
      <c r="AD467">
        <v>0</v>
      </c>
      <c r="AE467">
        <v>0</v>
      </c>
      <c r="AF467">
        <v>0</v>
      </c>
      <c r="AG467">
        <v>0</v>
      </c>
      <c r="AH467">
        <v>0</v>
      </c>
      <c r="AI467">
        <v>0</v>
      </c>
      <c r="AJ467">
        <v>0</v>
      </c>
      <c r="AK467">
        <v>0</v>
      </c>
      <c r="AL467">
        <v>0</v>
      </c>
      <c r="AM467">
        <v>0</v>
      </c>
    </row>
    <row r="468" spans="1:39" x14ac:dyDescent="0.35">
      <c r="A468" t="s">
        <v>174</v>
      </c>
      <c r="B468" t="s">
        <v>338</v>
      </c>
      <c r="C468" t="s">
        <v>316</v>
      </c>
      <c r="D468" t="s">
        <v>315</v>
      </c>
      <c r="E468" t="s">
        <v>1339</v>
      </c>
      <c r="F468" t="s">
        <v>316</v>
      </c>
      <c r="H468" t="s">
        <v>35</v>
      </c>
      <c r="I468">
        <v>0</v>
      </c>
      <c r="J468">
        <v>0</v>
      </c>
      <c r="K468">
        <v>252000</v>
      </c>
      <c r="L468">
        <v>0</v>
      </c>
      <c r="M468">
        <v>126000</v>
      </c>
      <c r="N468">
        <v>0</v>
      </c>
      <c r="O468">
        <v>147000</v>
      </c>
      <c r="P468">
        <v>0</v>
      </c>
      <c r="Q468">
        <v>63000</v>
      </c>
      <c r="R468">
        <v>126000</v>
      </c>
      <c r="S468">
        <v>0</v>
      </c>
      <c r="T468">
        <v>105000</v>
      </c>
      <c r="U468">
        <v>126000</v>
      </c>
      <c r="V468">
        <v>0</v>
      </c>
      <c r="W468">
        <v>0</v>
      </c>
      <c r="X468">
        <v>0</v>
      </c>
      <c r="Y468">
        <v>0</v>
      </c>
      <c r="Z468">
        <v>0</v>
      </c>
      <c r="AA468">
        <v>0</v>
      </c>
      <c r="AB468">
        <v>0</v>
      </c>
      <c r="AC468">
        <v>0</v>
      </c>
      <c r="AD468">
        <v>0</v>
      </c>
      <c r="AE468">
        <v>0</v>
      </c>
      <c r="AF468">
        <v>0</v>
      </c>
      <c r="AG468">
        <v>0</v>
      </c>
      <c r="AH468">
        <v>0</v>
      </c>
      <c r="AI468">
        <v>0</v>
      </c>
      <c r="AJ468">
        <v>0</v>
      </c>
      <c r="AK468">
        <v>0</v>
      </c>
      <c r="AL468">
        <v>0</v>
      </c>
      <c r="AM468">
        <v>0</v>
      </c>
    </row>
    <row r="469" spans="1:39" x14ac:dyDescent="0.35">
      <c r="A469" t="s">
        <v>174</v>
      </c>
      <c r="B469" t="s">
        <v>338</v>
      </c>
      <c r="C469" t="s">
        <v>316</v>
      </c>
      <c r="D469" t="s">
        <v>315</v>
      </c>
      <c r="E469" t="s">
        <v>1348</v>
      </c>
      <c r="F469" t="s">
        <v>316</v>
      </c>
      <c r="H469" t="s">
        <v>35</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row>
    <row r="470" spans="1:39" x14ac:dyDescent="0.35">
      <c r="A470" t="s">
        <v>174</v>
      </c>
      <c r="B470" t="s">
        <v>338</v>
      </c>
      <c r="C470" t="s">
        <v>316</v>
      </c>
      <c r="D470" t="s">
        <v>315</v>
      </c>
      <c r="E470" t="s">
        <v>354</v>
      </c>
      <c r="F470" t="s">
        <v>316</v>
      </c>
      <c r="H470" t="s">
        <v>35</v>
      </c>
      <c r="I470">
        <v>0</v>
      </c>
      <c r="J470">
        <v>0</v>
      </c>
      <c r="K470">
        <v>0</v>
      </c>
      <c r="L470">
        <v>0</v>
      </c>
      <c r="M470">
        <v>0</v>
      </c>
      <c r="N470">
        <v>0</v>
      </c>
      <c r="O470">
        <v>0</v>
      </c>
      <c r="P470">
        <v>0</v>
      </c>
      <c r="Q470">
        <v>0</v>
      </c>
      <c r="R470">
        <v>13800</v>
      </c>
      <c r="S470">
        <v>0</v>
      </c>
      <c r="T470">
        <v>0</v>
      </c>
      <c r="U470">
        <v>0</v>
      </c>
      <c r="V470">
        <v>13800</v>
      </c>
      <c r="W470">
        <v>0</v>
      </c>
      <c r="X470">
        <v>0</v>
      </c>
      <c r="Y470">
        <v>0</v>
      </c>
      <c r="Z470">
        <v>0</v>
      </c>
      <c r="AA470">
        <v>0</v>
      </c>
      <c r="AB470">
        <v>0</v>
      </c>
      <c r="AC470">
        <v>0</v>
      </c>
      <c r="AD470">
        <v>0</v>
      </c>
      <c r="AE470">
        <v>0</v>
      </c>
      <c r="AF470">
        <v>0</v>
      </c>
      <c r="AG470">
        <v>0</v>
      </c>
      <c r="AH470">
        <v>0</v>
      </c>
      <c r="AI470">
        <v>0</v>
      </c>
      <c r="AJ470">
        <v>0</v>
      </c>
      <c r="AK470">
        <v>0</v>
      </c>
      <c r="AL470">
        <v>0</v>
      </c>
      <c r="AM470">
        <v>0</v>
      </c>
    </row>
    <row r="471" spans="1:39" x14ac:dyDescent="0.35">
      <c r="A471" t="s">
        <v>174</v>
      </c>
      <c r="B471" t="s">
        <v>338</v>
      </c>
      <c r="C471" t="s">
        <v>316</v>
      </c>
      <c r="D471" t="s">
        <v>315</v>
      </c>
      <c r="E471" t="s">
        <v>918</v>
      </c>
      <c r="F471" t="s">
        <v>316</v>
      </c>
      <c r="H471" t="s">
        <v>67</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row>
    <row r="472" spans="1:39" x14ac:dyDescent="0.35">
      <c r="A472" t="s">
        <v>174</v>
      </c>
      <c r="B472" t="s">
        <v>338</v>
      </c>
      <c r="C472" t="s">
        <v>316</v>
      </c>
      <c r="D472" t="s">
        <v>315</v>
      </c>
      <c r="E472" t="s">
        <v>19</v>
      </c>
      <c r="F472" t="s">
        <v>316</v>
      </c>
      <c r="H472" t="s">
        <v>35</v>
      </c>
      <c r="I472">
        <v>0</v>
      </c>
      <c r="J472">
        <v>0</v>
      </c>
      <c r="K472">
        <v>20160</v>
      </c>
      <c r="L472">
        <v>0</v>
      </c>
      <c r="M472">
        <v>0</v>
      </c>
      <c r="N472">
        <v>0</v>
      </c>
      <c r="O472">
        <v>26880</v>
      </c>
      <c r="P472">
        <v>0</v>
      </c>
      <c r="Q472">
        <v>0</v>
      </c>
      <c r="R472">
        <v>40320</v>
      </c>
      <c r="S472">
        <v>0</v>
      </c>
      <c r="T472">
        <v>0</v>
      </c>
      <c r="U472">
        <v>0</v>
      </c>
      <c r="V472">
        <v>20160</v>
      </c>
      <c r="W472">
        <v>0</v>
      </c>
      <c r="X472">
        <v>0</v>
      </c>
      <c r="Y472">
        <v>0</v>
      </c>
      <c r="Z472">
        <v>0</v>
      </c>
      <c r="AA472">
        <v>0</v>
      </c>
      <c r="AB472">
        <v>0</v>
      </c>
      <c r="AC472">
        <v>0</v>
      </c>
      <c r="AD472">
        <v>0</v>
      </c>
      <c r="AE472">
        <v>0</v>
      </c>
      <c r="AF472">
        <v>0</v>
      </c>
      <c r="AG472">
        <v>0</v>
      </c>
      <c r="AH472">
        <v>0</v>
      </c>
      <c r="AI472">
        <v>0</v>
      </c>
      <c r="AJ472">
        <v>0</v>
      </c>
      <c r="AK472">
        <v>0</v>
      </c>
      <c r="AL472">
        <v>0</v>
      </c>
      <c r="AM472">
        <v>0</v>
      </c>
    </row>
    <row r="473" spans="1:39" x14ac:dyDescent="0.35">
      <c r="A473" t="s">
        <v>174</v>
      </c>
      <c r="B473" t="s">
        <v>338</v>
      </c>
      <c r="C473" t="s">
        <v>316</v>
      </c>
      <c r="D473" t="s">
        <v>315</v>
      </c>
      <c r="E473" t="s">
        <v>20</v>
      </c>
      <c r="F473" t="s">
        <v>316</v>
      </c>
      <c r="H473" t="s">
        <v>35</v>
      </c>
      <c r="I473">
        <v>0</v>
      </c>
      <c r="J473">
        <v>0</v>
      </c>
      <c r="K473">
        <v>0</v>
      </c>
      <c r="L473">
        <v>0</v>
      </c>
      <c r="M473">
        <v>0</v>
      </c>
      <c r="N473">
        <v>0</v>
      </c>
      <c r="O473">
        <v>0</v>
      </c>
      <c r="P473">
        <v>0</v>
      </c>
      <c r="Q473">
        <v>0</v>
      </c>
      <c r="R473">
        <v>12000</v>
      </c>
      <c r="S473">
        <v>0</v>
      </c>
      <c r="T473">
        <v>0</v>
      </c>
      <c r="U473">
        <v>0</v>
      </c>
      <c r="V473">
        <v>12000</v>
      </c>
      <c r="W473">
        <v>0</v>
      </c>
      <c r="X473">
        <v>0</v>
      </c>
      <c r="Y473">
        <v>0</v>
      </c>
      <c r="Z473">
        <v>0</v>
      </c>
      <c r="AA473">
        <v>0</v>
      </c>
      <c r="AB473">
        <v>0</v>
      </c>
      <c r="AC473">
        <v>0</v>
      </c>
      <c r="AD473">
        <v>0</v>
      </c>
      <c r="AE473">
        <v>0</v>
      </c>
      <c r="AF473">
        <v>0</v>
      </c>
      <c r="AG473">
        <v>0</v>
      </c>
      <c r="AH473">
        <v>0</v>
      </c>
      <c r="AI473">
        <v>0</v>
      </c>
      <c r="AJ473">
        <v>0</v>
      </c>
      <c r="AK473">
        <v>0</v>
      </c>
      <c r="AL473">
        <v>0</v>
      </c>
      <c r="AM473">
        <v>0</v>
      </c>
    </row>
    <row r="474" spans="1:39" x14ac:dyDescent="0.35">
      <c r="A474" t="s">
        <v>174</v>
      </c>
      <c r="B474" t="s">
        <v>338</v>
      </c>
      <c r="C474" t="s">
        <v>316</v>
      </c>
      <c r="D474" t="s">
        <v>315</v>
      </c>
      <c r="E474" t="s">
        <v>350</v>
      </c>
      <c r="F474" t="s">
        <v>316</v>
      </c>
      <c r="H474" t="s">
        <v>35</v>
      </c>
      <c r="I474">
        <v>0</v>
      </c>
      <c r="J474">
        <v>0</v>
      </c>
      <c r="K474">
        <v>5000</v>
      </c>
      <c r="L474">
        <v>0</v>
      </c>
      <c r="M474">
        <v>0</v>
      </c>
      <c r="N474">
        <v>0</v>
      </c>
      <c r="O474">
        <v>5000</v>
      </c>
      <c r="P474">
        <v>0</v>
      </c>
      <c r="Q474">
        <v>0</v>
      </c>
      <c r="R474">
        <v>5000</v>
      </c>
      <c r="S474">
        <v>0</v>
      </c>
      <c r="T474">
        <v>0</v>
      </c>
      <c r="U474">
        <v>0</v>
      </c>
      <c r="V474">
        <v>5000</v>
      </c>
      <c r="W474">
        <v>0</v>
      </c>
      <c r="X474">
        <v>0</v>
      </c>
      <c r="Y474">
        <v>0</v>
      </c>
      <c r="Z474">
        <v>0</v>
      </c>
      <c r="AA474">
        <v>0</v>
      </c>
      <c r="AB474">
        <v>0</v>
      </c>
      <c r="AC474">
        <v>0</v>
      </c>
      <c r="AD474">
        <v>0</v>
      </c>
      <c r="AE474">
        <v>0</v>
      </c>
      <c r="AF474">
        <v>0</v>
      </c>
      <c r="AG474">
        <v>0</v>
      </c>
      <c r="AH474">
        <v>0</v>
      </c>
      <c r="AI474">
        <v>0</v>
      </c>
      <c r="AJ474">
        <v>0</v>
      </c>
      <c r="AK474">
        <v>0</v>
      </c>
      <c r="AL474">
        <v>0</v>
      </c>
      <c r="AM474">
        <v>0</v>
      </c>
    </row>
    <row r="475" spans="1:39" x14ac:dyDescent="0.35">
      <c r="A475" t="s">
        <v>174</v>
      </c>
      <c r="B475" t="s">
        <v>338</v>
      </c>
      <c r="C475" t="s">
        <v>316</v>
      </c>
      <c r="D475" t="s">
        <v>315</v>
      </c>
      <c r="E475" t="s">
        <v>1347</v>
      </c>
      <c r="F475" t="s">
        <v>316</v>
      </c>
      <c r="H475" t="s">
        <v>35</v>
      </c>
      <c r="I475">
        <v>0</v>
      </c>
      <c r="J475">
        <v>0</v>
      </c>
      <c r="K475">
        <v>24000</v>
      </c>
      <c r="L475">
        <v>0</v>
      </c>
      <c r="M475">
        <v>0</v>
      </c>
      <c r="N475">
        <v>0</v>
      </c>
      <c r="O475">
        <v>12000</v>
      </c>
      <c r="P475">
        <v>0</v>
      </c>
      <c r="Q475">
        <v>0</v>
      </c>
      <c r="R475">
        <v>24000</v>
      </c>
      <c r="S475">
        <v>0</v>
      </c>
      <c r="T475">
        <v>0</v>
      </c>
      <c r="U475">
        <v>0</v>
      </c>
      <c r="V475">
        <v>36000</v>
      </c>
      <c r="W475">
        <v>0</v>
      </c>
      <c r="X475">
        <v>0</v>
      </c>
      <c r="Y475">
        <v>0</v>
      </c>
      <c r="Z475">
        <v>0</v>
      </c>
      <c r="AA475">
        <v>0</v>
      </c>
      <c r="AB475">
        <v>0</v>
      </c>
      <c r="AC475">
        <v>0</v>
      </c>
      <c r="AD475">
        <v>0</v>
      </c>
      <c r="AE475">
        <v>0</v>
      </c>
      <c r="AF475">
        <v>0</v>
      </c>
      <c r="AG475">
        <v>0</v>
      </c>
      <c r="AH475">
        <v>0</v>
      </c>
      <c r="AI475">
        <v>0</v>
      </c>
      <c r="AJ475">
        <v>0</v>
      </c>
      <c r="AK475">
        <v>0</v>
      </c>
      <c r="AL475">
        <v>0</v>
      </c>
      <c r="AM475">
        <v>0</v>
      </c>
    </row>
    <row r="476" spans="1:39" x14ac:dyDescent="0.35">
      <c r="A476" t="s">
        <v>174</v>
      </c>
      <c r="B476" t="s">
        <v>338</v>
      </c>
      <c r="C476" t="s">
        <v>316</v>
      </c>
      <c r="D476" t="s">
        <v>315</v>
      </c>
      <c r="E476" t="s">
        <v>351</v>
      </c>
      <c r="F476" t="s">
        <v>316</v>
      </c>
      <c r="H476" t="s">
        <v>35</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row>
    <row r="477" spans="1:39" x14ac:dyDescent="0.35">
      <c r="A477" t="s">
        <v>174</v>
      </c>
      <c r="B477" t="s">
        <v>338</v>
      </c>
      <c r="C477" t="s">
        <v>316</v>
      </c>
      <c r="D477" t="s">
        <v>315</v>
      </c>
      <c r="E477" t="s">
        <v>500</v>
      </c>
      <c r="F477" t="s">
        <v>316</v>
      </c>
      <c r="H477" t="s">
        <v>35</v>
      </c>
      <c r="I477">
        <v>0</v>
      </c>
      <c r="J477">
        <v>0</v>
      </c>
      <c r="K477">
        <v>27000</v>
      </c>
      <c r="L477">
        <v>0</v>
      </c>
      <c r="M477">
        <v>0</v>
      </c>
      <c r="N477">
        <v>0</v>
      </c>
      <c r="O477">
        <v>180000</v>
      </c>
      <c r="P477">
        <v>0</v>
      </c>
      <c r="Q477">
        <v>0</v>
      </c>
      <c r="R477">
        <v>45000</v>
      </c>
      <c r="S477">
        <v>0</v>
      </c>
      <c r="T477">
        <v>0</v>
      </c>
      <c r="U477">
        <v>0</v>
      </c>
      <c r="V477">
        <v>63000</v>
      </c>
      <c r="W477">
        <v>0</v>
      </c>
      <c r="X477">
        <v>0</v>
      </c>
      <c r="Y477">
        <v>0</v>
      </c>
      <c r="Z477">
        <v>0</v>
      </c>
      <c r="AA477">
        <v>0</v>
      </c>
      <c r="AB477">
        <v>0</v>
      </c>
      <c r="AC477">
        <v>0</v>
      </c>
      <c r="AD477">
        <v>0</v>
      </c>
      <c r="AE477">
        <v>0</v>
      </c>
      <c r="AF477">
        <v>0</v>
      </c>
      <c r="AG477">
        <v>0</v>
      </c>
      <c r="AH477">
        <v>0</v>
      </c>
      <c r="AI477">
        <v>0</v>
      </c>
      <c r="AJ477">
        <v>0</v>
      </c>
      <c r="AK477">
        <v>0</v>
      </c>
      <c r="AL477">
        <v>0</v>
      </c>
      <c r="AM477">
        <v>0</v>
      </c>
    </row>
    <row r="478" spans="1:39" x14ac:dyDescent="0.35">
      <c r="A478" t="s">
        <v>174</v>
      </c>
      <c r="B478" t="s">
        <v>338</v>
      </c>
      <c r="C478" t="s">
        <v>316</v>
      </c>
      <c r="D478" t="s">
        <v>315</v>
      </c>
      <c r="E478" t="s">
        <v>501</v>
      </c>
      <c r="F478" t="s">
        <v>316</v>
      </c>
      <c r="H478" t="s">
        <v>35</v>
      </c>
      <c r="I478">
        <v>480000</v>
      </c>
      <c r="J478">
        <v>0</v>
      </c>
      <c r="K478">
        <v>0</v>
      </c>
      <c r="L478">
        <v>0</v>
      </c>
      <c r="M478">
        <v>0</v>
      </c>
      <c r="N478">
        <v>0</v>
      </c>
      <c r="O478">
        <v>0</v>
      </c>
      <c r="P478">
        <v>0</v>
      </c>
      <c r="Q478">
        <v>0</v>
      </c>
      <c r="R478">
        <v>0</v>
      </c>
      <c r="S478">
        <v>0</v>
      </c>
      <c r="T478">
        <v>0</v>
      </c>
      <c r="U478">
        <v>144000</v>
      </c>
      <c r="V478">
        <v>0</v>
      </c>
      <c r="W478">
        <v>0</v>
      </c>
      <c r="X478">
        <v>0</v>
      </c>
      <c r="Y478">
        <v>0</v>
      </c>
      <c r="Z478">
        <v>0</v>
      </c>
      <c r="AA478">
        <v>0</v>
      </c>
      <c r="AB478">
        <v>0</v>
      </c>
      <c r="AC478">
        <v>0</v>
      </c>
      <c r="AD478">
        <v>0</v>
      </c>
      <c r="AE478">
        <v>0</v>
      </c>
      <c r="AF478">
        <v>0</v>
      </c>
      <c r="AG478">
        <v>0</v>
      </c>
      <c r="AH478">
        <v>0</v>
      </c>
      <c r="AI478">
        <v>0</v>
      </c>
      <c r="AJ478">
        <v>0</v>
      </c>
      <c r="AK478">
        <v>0</v>
      </c>
      <c r="AL478">
        <v>0</v>
      </c>
      <c r="AM478">
        <v>0</v>
      </c>
    </row>
    <row r="479" spans="1:39" x14ac:dyDescent="0.35">
      <c r="A479" t="s">
        <v>174</v>
      </c>
      <c r="B479" t="s">
        <v>338</v>
      </c>
      <c r="C479" t="s">
        <v>316</v>
      </c>
      <c r="D479" t="s">
        <v>315</v>
      </c>
      <c r="E479" t="s">
        <v>916</v>
      </c>
      <c r="F479" t="s">
        <v>316</v>
      </c>
      <c r="H479" t="s">
        <v>35</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row>
    <row r="480" spans="1:39" x14ac:dyDescent="0.35">
      <c r="A480" t="s">
        <v>174</v>
      </c>
      <c r="B480" t="s">
        <v>338</v>
      </c>
      <c r="C480" t="s">
        <v>316</v>
      </c>
      <c r="D480" t="s">
        <v>315</v>
      </c>
      <c r="E480" t="s">
        <v>28</v>
      </c>
      <c r="F480" t="s">
        <v>316</v>
      </c>
      <c r="H480" t="s">
        <v>35</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row>
    <row r="481" spans="1:39" x14ac:dyDescent="0.35">
      <c r="A481" t="s">
        <v>174</v>
      </c>
      <c r="B481" t="s">
        <v>338</v>
      </c>
      <c r="C481" t="s">
        <v>316</v>
      </c>
      <c r="D481" t="s">
        <v>315</v>
      </c>
      <c r="E481" t="s">
        <v>1318</v>
      </c>
      <c r="F481" t="s">
        <v>316</v>
      </c>
      <c r="H481" t="s">
        <v>67</v>
      </c>
      <c r="I481">
        <v>0</v>
      </c>
      <c r="J481">
        <v>0</v>
      </c>
      <c r="K481">
        <v>6500</v>
      </c>
      <c r="L481">
        <v>0</v>
      </c>
      <c r="M481">
        <v>3750</v>
      </c>
      <c r="N481">
        <v>0</v>
      </c>
      <c r="O481">
        <v>0</v>
      </c>
      <c r="P481">
        <v>0</v>
      </c>
      <c r="Q481">
        <v>5750</v>
      </c>
      <c r="R481">
        <v>4500</v>
      </c>
      <c r="S481">
        <v>0</v>
      </c>
      <c r="T481">
        <v>4500</v>
      </c>
      <c r="U481">
        <v>0</v>
      </c>
      <c r="V481">
        <v>3000</v>
      </c>
      <c r="W481">
        <v>0</v>
      </c>
      <c r="X481">
        <v>0</v>
      </c>
      <c r="Y481">
        <v>0</v>
      </c>
      <c r="Z481">
        <v>0</v>
      </c>
      <c r="AA481">
        <v>0</v>
      </c>
      <c r="AB481">
        <v>0</v>
      </c>
      <c r="AC481">
        <v>0</v>
      </c>
      <c r="AD481">
        <v>0</v>
      </c>
      <c r="AE481">
        <v>0</v>
      </c>
      <c r="AF481">
        <v>0</v>
      </c>
      <c r="AG481">
        <v>0</v>
      </c>
      <c r="AH481">
        <v>0</v>
      </c>
      <c r="AI481">
        <v>0</v>
      </c>
      <c r="AJ481">
        <v>0</v>
      </c>
      <c r="AK481">
        <v>0</v>
      </c>
      <c r="AL481">
        <v>0</v>
      </c>
      <c r="AM481">
        <v>0</v>
      </c>
    </row>
    <row r="482" spans="1:39" x14ac:dyDescent="0.35">
      <c r="A482" t="s">
        <v>174</v>
      </c>
      <c r="B482" t="s">
        <v>338</v>
      </c>
      <c r="C482" t="s">
        <v>316</v>
      </c>
      <c r="D482" t="s">
        <v>315</v>
      </c>
      <c r="E482" t="s">
        <v>30</v>
      </c>
      <c r="F482" t="s">
        <v>316</v>
      </c>
      <c r="H482" t="s">
        <v>67</v>
      </c>
      <c r="I482">
        <v>0</v>
      </c>
      <c r="J482">
        <v>0</v>
      </c>
      <c r="K482">
        <v>0</v>
      </c>
      <c r="L482">
        <v>0</v>
      </c>
      <c r="M482">
        <v>0</v>
      </c>
      <c r="N482">
        <v>0</v>
      </c>
      <c r="O482">
        <v>0</v>
      </c>
      <c r="P482">
        <v>0</v>
      </c>
      <c r="Q482">
        <v>0</v>
      </c>
      <c r="R482">
        <v>100</v>
      </c>
      <c r="S482">
        <v>0</v>
      </c>
      <c r="T482">
        <v>0</v>
      </c>
      <c r="U482">
        <v>0</v>
      </c>
      <c r="V482">
        <v>100</v>
      </c>
      <c r="W482">
        <v>0</v>
      </c>
      <c r="X482">
        <v>0</v>
      </c>
      <c r="Y482">
        <v>0</v>
      </c>
      <c r="Z482">
        <v>0</v>
      </c>
      <c r="AA482">
        <v>0</v>
      </c>
      <c r="AB482">
        <v>0</v>
      </c>
      <c r="AC482">
        <v>0</v>
      </c>
      <c r="AD482">
        <v>0</v>
      </c>
      <c r="AE482">
        <v>0</v>
      </c>
      <c r="AF482">
        <v>0</v>
      </c>
      <c r="AG482">
        <v>0</v>
      </c>
      <c r="AH482">
        <v>0</v>
      </c>
      <c r="AI482">
        <v>0</v>
      </c>
      <c r="AJ482">
        <v>0</v>
      </c>
      <c r="AK482">
        <v>0</v>
      </c>
      <c r="AL482">
        <v>0</v>
      </c>
      <c r="AM482">
        <v>0</v>
      </c>
    </row>
    <row r="483" spans="1:39" x14ac:dyDescent="0.35">
      <c r="A483" t="s">
        <v>174</v>
      </c>
      <c r="B483" t="s">
        <v>338</v>
      </c>
      <c r="C483" t="s">
        <v>316</v>
      </c>
      <c r="D483" t="s">
        <v>315</v>
      </c>
      <c r="E483" t="s">
        <v>31</v>
      </c>
      <c r="F483" t="s">
        <v>316</v>
      </c>
      <c r="H483" t="s">
        <v>35</v>
      </c>
      <c r="I483">
        <v>0</v>
      </c>
      <c r="J483">
        <v>0</v>
      </c>
      <c r="K483">
        <v>1500</v>
      </c>
      <c r="L483">
        <v>0</v>
      </c>
      <c r="M483">
        <v>0</v>
      </c>
      <c r="N483">
        <v>0</v>
      </c>
      <c r="O483">
        <v>1500</v>
      </c>
      <c r="P483">
        <v>0</v>
      </c>
      <c r="Q483">
        <v>0</v>
      </c>
      <c r="R483">
        <v>2250</v>
      </c>
      <c r="S483">
        <v>0</v>
      </c>
      <c r="T483">
        <v>0</v>
      </c>
      <c r="U483">
        <v>0</v>
      </c>
      <c r="V483">
        <v>1500</v>
      </c>
      <c r="W483">
        <v>0</v>
      </c>
      <c r="X483">
        <v>0</v>
      </c>
      <c r="Y483">
        <v>0</v>
      </c>
      <c r="Z483">
        <v>0</v>
      </c>
      <c r="AA483">
        <v>0</v>
      </c>
      <c r="AB483">
        <v>0</v>
      </c>
      <c r="AC483">
        <v>0</v>
      </c>
      <c r="AD483">
        <v>0</v>
      </c>
      <c r="AE483">
        <v>0</v>
      </c>
      <c r="AF483">
        <v>0</v>
      </c>
      <c r="AG483">
        <v>0</v>
      </c>
      <c r="AH483">
        <v>0</v>
      </c>
      <c r="AI483">
        <v>0</v>
      </c>
      <c r="AJ483">
        <v>0</v>
      </c>
      <c r="AK483">
        <v>0</v>
      </c>
      <c r="AL483">
        <v>0</v>
      </c>
      <c r="AM483">
        <v>0</v>
      </c>
    </row>
    <row r="484" spans="1:39" x14ac:dyDescent="0.35">
      <c r="A484" t="s">
        <v>174</v>
      </c>
      <c r="B484" t="s">
        <v>338</v>
      </c>
      <c r="C484" t="s">
        <v>316</v>
      </c>
      <c r="D484" t="s">
        <v>315</v>
      </c>
      <c r="E484" t="s">
        <v>72</v>
      </c>
      <c r="F484" t="s">
        <v>316</v>
      </c>
      <c r="H484" t="s">
        <v>35</v>
      </c>
      <c r="I484">
        <v>0</v>
      </c>
      <c r="J484">
        <v>0</v>
      </c>
      <c r="K484">
        <v>38400</v>
      </c>
      <c r="L484">
        <v>0</v>
      </c>
      <c r="M484">
        <v>0</v>
      </c>
      <c r="N484">
        <v>0</v>
      </c>
      <c r="O484">
        <v>38400</v>
      </c>
      <c r="P484">
        <v>0</v>
      </c>
      <c r="Q484">
        <v>0</v>
      </c>
      <c r="R484">
        <v>30720</v>
      </c>
      <c r="S484">
        <v>0</v>
      </c>
      <c r="T484">
        <v>0</v>
      </c>
      <c r="U484">
        <v>0</v>
      </c>
      <c r="V484">
        <v>46080</v>
      </c>
      <c r="W484">
        <v>0</v>
      </c>
      <c r="X484">
        <v>0</v>
      </c>
      <c r="Y484">
        <v>0</v>
      </c>
      <c r="Z484">
        <v>0</v>
      </c>
      <c r="AA484">
        <v>0</v>
      </c>
      <c r="AB484">
        <v>0</v>
      </c>
      <c r="AC484">
        <v>0</v>
      </c>
      <c r="AD484">
        <v>0</v>
      </c>
      <c r="AE484">
        <v>0</v>
      </c>
      <c r="AF484">
        <v>0</v>
      </c>
      <c r="AG484">
        <v>0</v>
      </c>
      <c r="AH484">
        <v>0</v>
      </c>
      <c r="AI484">
        <v>0</v>
      </c>
      <c r="AJ484">
        <v>0</v>
      </c>
      <c r="AK484">
        <v>0</v>
      </c>
      <c r="AL484">
        <v>0</v>
      </c>
      <c r="AM484">
        <v>0</v>
      </c>
    </row>
    <row r="485" spans="1:39" x14ac:dyDescent="0.35">
      <c r="A485" t="s">
        <v>174</v>
      </c>
      <c r="B485" t="s">
        <v>338</v>
      </c>
      <c r="C485" t="s">
        <v>316</v>
      </c>
      <c r="D485" t="s">
        <v>315</v>
      </c>
      <c r="E485" t="s">
        <v>542</v>
      </c>
      <c r="F485" t="s">
        <v>316</v>
      </c>
      <c r="H485" t="s">
        <v>35</v>
      </c>
      <c r="I485">
        <v>0</v>
      </c>
      <c r="J485">
        <v>0</v>
      </c>
      <c r="K485">
        <v>24000</v>
      </c>
      <c r="L485">
        <v>0</v>
      </c>
      <c r="M485">
        <v>0</v>
      </c>
      <c r="N485">
        <v>0</v>
      </c>
      <c r="O485">
        <v>16000</v>
      </c>
      <c r="P485">
        <v>0</v>
      </c>
      <c r="Q485">
        <v>0</v>
      </c>
      <c r="R485">
        <v>32000</v>
      </c>
      <c r="S485">
        <v>0</v>
      </c>
      <c r="T485">
        <v>0</v>
      </c>
      <c r="U485">
        <v>0</v>
      </c>
      <c r="V485">
        <v>16000</v>
      </c>
      <c r="W485">
        <v>0</v>
      </c>
      <c r="X485">
        <v>0</v>
      </c>
      <c r="Y485">
        <v>0</v>
      </c>
      <c r="Z485">
        <v>0</v>
      </c>
      <c r="AA485">
        <v>0</v>
      </c>
      <c r="AB485">
        <v>0</v>
      </c>
      <c r="AC485">
        <v>0</v>
      </c>
      <c r="AD485">
        <v>0</v>
      </c>
      <c r="AE485">
        <v>0</v>
      </c>
      <c r="AF485">
        <v>0</v>
      </c>
      <c r="AG485">
        <v>0</v>
      </c>
      <c r="AH485">
        <v>0</v>
      </c>
      <c r="AI485">
        <v>0</v>
      </c>
      <c r="AJ485">
        <v>0</v>
      </c>
      <c r="AK485">
        <v>0</v>
      </c>
      <c r="AL485">
        <v>0</v>
      </c>
      <c r="AM485">
        <v>0</v>
      </c>
    </row>
    <row r="486" spans="1:39" x14ac:dyDescent="0.35">
      <c r="A486" t="s">
        <v>174</v>
      </c>
      <c r="B486" t="s">
        <v>338</v>
      </c>
      <c r="C486" t="s">
        <v>316</v>
      </c>
      <c r="D486" t="s">
        <v>315</v>
      </c>
      <c r="E486" t="s">
        <v>555</v>
      </c>
      <c r="F486" t="s">
        <v>316</v>
      </c>
      <c r="H486" t="s">
        <v>67</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row>
    <row r="487" spans="1:39" x14ac:dyDescent="0.35">
      <c r="A487" t="s">
        <v>174</v>
      </c>
      <c r="B487" t="s">
        <v>338</v>
      </c>
      <c r="C487" t="s">
        <v>316</v>
      </c>
      <c r="D487" t="s">
        <v>315</v>
      </c>
      <c r="E487" t="s">
        <v>34</v>
      </c>
      <c r="F487" t="s">
        <v>316</v>
      </c>
      <c r="H487" t="s">
        <v>68</v>
      </c>
      <c r="I487">
        <v>0</v>
      </c>
      <c r="J487">
        <v>0</v>
      </c>
      <c r="K487">
        <v>350000</v>
      </c>
      <c r="L487">
        <v>0</v>
      </c>
      <c r="M487">
        <v>0</v>
      </c>
      <c r="N487">
        <v>0</v>
      </c>
      <c r="O487">
        <v>300000</v>
      </c>
      <c r="P487">
        <v>0</v>
      </c>
      <c r="Q487">
        <v>0</v>
      </c>
      <c r="R487">
        <v>350000</v>
      </c>
      <c r="S487">
        <v>0</v>
      </c>
      <c r="T487">
        <v>0</v>
      </c>
      <c r="U487">
        <v>0</v>
      </c>
      <c r="V487">
        <v>250000</v>
      </c>
      <c r="W487">
        <v>0</v>
      </c>
      <c r="X487">
        <v>0</v>
      </c>
      <c r="Y487">
        <v>0</v>
      </c>
      <c r="Z487">
        <v>0</v>
      </c>
      <c r="AA487">
        <v>0</v>
      </c>
      <c r="AB487">
        <v>0</v>
      </c>
      <c r="AC487">
        <v>0</v>
      </c>
      <c r="AD487">
        <v>0</v>
      </c>
      <c r="AE487">
        <v>0</v>
      </c>
      <c r="AF487">
        <v>0</v>
      </c>
      <c r="AG487">
        <v>0</v>
      </c>
      <c r="AH487">
        <v>0</v>
      </c>
      <c r="AI487">
        <v>0</v>
      </c>
      <c r="AJ487">
        <v>0</v>
      </c>
      <c r="AK487">
        <v>0</v>
      </c>
      <c r="AL487">
        <v>0</v>
      </c>
      <c r="AM487">
        <v>0</v>
      </c>
    </row>
    <row r="488" spans="1:39" x14ac:dyDescent="0.35">
      <c r="A488" t="s">
        <v>174</v>
      </c>
      <c r="B488" t="s">
        <v>308</v>
      </c>
      <c r="C488" t="s">
        <v>100</v>
      </c>
      <c r="D488" t="s">
        <v>315</v>
      </c>
      <c r="E488" t="s">
        <v>1316</v>
      </c>
      <c r="F488" t="s">
        <v>100</v>
      </c>
      <c r="G488" t="s">
        <v>1201</v>
      </c>
      <c r="H488" t="s">
        <v>35</v>
      </c>
      <c r="I488">
        <v>38918</v>
      </c>
      <c r="J488">
        <v>39830.5</v>
      </c>
      <c r="K488">
        <v>44971</v>
      </c>
      <c r="L488">
        <v>44990.5</v>
      </c>
      <c r="M488">
        <v>33893</v>
      </c>
      <c r="N488">
        <v>34686</v>
      </c>
      <c r="O488">
        <v>34291</v>
      </c>
      <c r="P488">
        <v>32314</v>
      </c>
      <c r="Q488">
        <v>37155.5</v>
      </c>
      <c r="R488">
        <v>43774</v>
      </c>
      <c r="S488">
        <v>47544</v>
      </c>
      <c r="T488">
        <v>32899.5</v>
      </c>
      <c r="U488">
        <v>31120</v>
      </c>
      <c r="V488">
        <v>31107.5</v>
      </c>
      <c r="W488">
        <v>0</v>
      </c>
      <c r="X488">
        <v>0</v>
      </c>
      <c r="Y488">
        <v>0</v>
      </c>
      <c r="Z488">
        <v>0</v>
      </c>
      <c r="AA488">
        <v>0</v>
      </c>
      <c r="AB488">
        <v>0</v>
      </c>
      <c r="AC488">
        <v>0</v>
      </c>
      <c r="AD488">
        <v>0</v>
      </c>
      <c r="AE488">
        <v>0</v>
      </c>
      <c r="AF488">
        <v>0</v>
      </c>
      <c r="AG488">
        <v>0</v>
      </c>
      <c r="AH488">
        <v>0</v>
      </c>
      <c r="AI488">
        <v>0</v>
      </c>
      <c r="AJ488">
        <v>0</v>
      </c>
      <c r="AK488">
        <v>0</v>
      </c>
      <c r="AL488">
        <v>0</v>
      </c>
      <c r="AM488">
        <v>0</v>
      </c>
    </row>
    <row r="489" spans="1:39" x14ac:dyDescent="0.35">
      <c r="A489" t="s">
        <v>174</v>
      </c>
      <c r="B489" t="s">
        <v>308</v>
      </c>
      <c r="C489" t="s">
        <v>100</v>
      </c>
      <c r="D489" t="s">
        <v>315</v>
      </c>
      <c r="E489" t="s">
        <v>837</v>
      </c>
      <c r="F489" t="s">
        <v>100</v>
      </c>
      <c r="G489" t="s">
        <v>1201</v>
      </c>
      <c r="H489" t="s">
        <v>69</v>
      </c>
      <c r="I489">
        <v>348</v>
      </c>
      <c r="J489">
        <v>357</v>
      </c>
      <c r="K489">
        <v>393</v>
      </c>
      <c r="L489">
        <v>350</v>
      </c>
      <c r="M489">
        <v>293</v>
      </c>
      <c r="N489">
        <v>265</v>
      </c>
      <c r="O489">
        <v>297</v>
      </c>
      <c r="P489">
        <v>296</v>
      </c>
      <c r="Q489">
        <v>284</v>
      </c>
      <c r="R489">
        <v>361</v>
      </c>
      <c r="S489">
        <v>393</v>
      </c>
      <c r="T489">
        <v>269</v>
      </c>
      <c r="U489">
        <v>270</v>
      </c>
      <c r="V489">
        <v>249</v>
      </c>
      <c r="W489">
        <v>0</v>
      </c>
      <c r="X489">
        <v>0</v>
      </c>
      <c r="Y489">
        <v>0</v>
      </c>
      <c r="Z489">
        <v>0</v>
      </c>
      <c r="AA489">
        <v>0</v>
      </c>
      <c r="AB489">
        <v>0</v>
      </c>
      <c r="AC489">
        <v>0</v>
      </c>
      <c r="AD489">
        <v>0</v>
      </c>
      <c r="AE489">
        <v>0</v>
      </c>
      <c r="AF489">
        <v>0</v>
      </c>
      <c r="AG489">
        <v>0</v>
      </c>
      <c r="AH489">
        <v>0</v>
      </c>
      <c r="AI489">
        <v>0</v>
      </c>
      <c r="AJ489">
        <v>0</v>
      </c>
      <c r="AK489">
        <v>0</v>
      </c>
      <c r="AL489">
        <v>0</v>
      </c>
      <c r="AM489">
        <v>0</v>
      </c>
    </row>
    <row r="490" spans="1:39" x14ac:dyDescent="0.35">
      <c r="A490" t="s">
        <v>174</v>
      </c>
      <c r="B490" t="s">
        <v>308</v>
      </c>
      <c r="C490" t="s">
        <v>100</v>
      </c>
      <c r="D490" t="s">
        <v>315</v>
      </c>
      <c r="E490" t="s">
        <v>484</v>
      </c>
      <c r="F490" t="s">
        <v>100</v>
      </c>
      <c r="G490" t="s">
        <v>1201</v>
      </c>
      <c r="H490" t="s">
        <v>67</v>
      </c>
      <c r="I490">
        <v>7651</v>
      </c>
      <c r="J490">
        <v>7751</v>
      </c>
      <c r="K490">
        <v>8875</v>
      </c>
      <c r="L490">
        <v>9158</v>
      </c>
      <c r="M490">
        <v>6489</v>
      </c>
      <c r="N490">
        <v>6723</v>
      </c>
      <c r="O490">
        <v>6327</v>
      </c>
      <c r="P490">
        <v>6024</v>
      </c>
      <c r="Q490">
        <v>7382</v>
      </c>
      <c r="R490">
        <v>8396</v>
      </c>
      <c r="S490">
        <v>9113</v>
      </c>
      <c r="T490">
        <v>6146</v>
      </c>
      <c r="U490">
        <v>6054</v>
      </c>
      <c r="V490">
        <v>5825</v>
      </c>
      <c r="W490">
        <v>0</v>
      </c>
      <c r="X490">
        <v>0</v>
      </c>
      <c r="Y490">
        <v>0</v>
      </c>
      <c r="Z490">
        <v>0</v>
      </c>
      <c r="AA490">
        <v>0</v>
      </c>
      <c r="AB490">
        <v>0</v>
      </c>
      <c r="AC490">
        <v>0</v>
      </c>
      <c r="AD490">
        <v>0</v>
      </c>
      <c r="AE490">
        <v>0</v>
      </c>
      <c r="AF490">
        <v>0</v>
      </c>
      <c r="AG490">
        <v>0</v>
      </c>
      <c r="AH490">
        <v>0</v>
      </c>
      <c r="AI490">
        <v>0</v>
      </c>
      <c r="AJ490">
        <v>0</v>
      </c>
      <c r="AK490">
        <v>0</v>
      </c>
      <c r="AL490">
        <v>0</v>
      </c>
      <c r="AM490">
        <v>0</v>
      </c>
    </row>
    <row r="491" spans="1:39" x14ac:dyDescent="0.35">
      <c r="A491" t="s">
        <v>174</v>
      </c>
      <c r="B491" t="s">
        <v>308</v>
      </c>
      <c r="C491" t="s">
        <v>100</v>
      </c>
      <c r="D491" t="s">
        <v>315</v>
      </c>
      <c r="E491" t="s">
        <v>507</v>
      </c>
      <c r="F491" t="s">
        <v>100</v>
      </c>
      <c r="G491" t="s">
        <v>1201</v>
      </c>
      <c r="H491" t="s">
        <v>67</v>
      </c>
      <c r="I491">
        <v>4762</v>
      </c>
      <c r="J491">
        <v>4694</v>
      </c>
      <c r="K491">
        <v>5228</v>
      </c>
      <c r="L491">
        <v>5278</v>
      </c>
      <c r="M491">
        <v>4176</v>
      </c>
      <c r="N491">
        <v>4184</v>
      </c>
      <c r="O491">
        <v>4210</v>
      </c>
      <c r="P491">
        <v>3968</v>
      </c>
      <c r="Q491">
        <v>4460</v>
      </c>
      <c r="R491">
        <v>5352</v>
      </c>
      <c r="S491">
        <v>5644</v>
      </c>
      <c r="T491">
        <v>3952</v>
      </c>
      <c r="U491">
        <v>3704</v>
      </c>
      <c r="V491">
        <v>3748</v>
      </c>
      <c r="W491">
        <v>0</v>
      </c>
      <c r="X491">
        <v>0</v>
      </c>
      <c r="Y491">
        <v>0</v>
      </c>
      <c r="Z491">
        <v>0</v>
      </c>
      <c r="AA491">
        <v>0</v>
      </c>
      <c r="AB491">
        <v>0</v>
      </c>
      <c r="AC491">
        <v>0</v>
      </c>
      <c r="AD491">
        <v>0</v>
      </c>
      <c r="AE491">
        <v>0</v>
      </c>
      <c r="AF491">
        <v>0</v>
      </c>
      <c r="AG491">
        <v>0</v>
      </c>
      <c r="AH491">
        <v>0</v>
      </c>
      <c r="AI491">
        <v>0</v>
      </c>
      <c r="AJ491">
        <v>0</v>
      </c>
      <c r="AK491">
        <v>0</v>
      </c>
      <c r="AL491">
        <v>0</v>
      </c>
      <c r="AM491">
        <v>0</v>
      </c>
    </row>
    <row r="492" spans="1:39" x14ac:dyDescent="0.35">
      <c r="A492" t="s">
        <v>174</v>
      </c>
      <c r="B492" t="s">
        <v>308</v>
      </c>
      <c r="C492" t="s">
        <v>100</v>
      </c>
      <c r="D492" t="s">
        <v>315</v>
      </c>
      <c r="E492" t="s">
        <v>540</v>
      </c>
      <c r="F492" t="s">
        <v>100</v>
      </c>
      <c r="G492" t="s">
        <v>1201</v>
      </c>
      <c r="H492" t="s">
        <v>67</v>
      </c>
      <c r="I492">
        <v>2367</v>
      </c>
      <c r="J492">
        <v>2214</v>
      </c>
      <c r="K492">
        <v>2547</v>
      </c>
      <c r="L492">
        <v>2643</v>
      </c>
      <c r="M492">
        <v>1770</v>
      </c>
      <c r="N492">
        <v>2010</v>
      </c>
      <c r="O492">
        <v>1830</v>
      </c>
      <c r="P492">
        <v>1701</v>
      </c>
      <c r="Q492">
        <v>2037</v>
      </c>
      <c r="R492">
        <v>2310</v>
      </c>
      <c r="S492">
        <v>2700</v>
      </c>
      <c r="T492">
        <v>1686</v>
      </c>
      <c r="U492">
        <v>1617</v>
      </c>
      <c r="V492">
        <v>1725</v>
      </c>
      <c r="W492">
        <v>0</v>
      </c>
      <c r="X492">
        <v>0</v>
      </c>
      <c r="Y492">
        <v>0</v>
      </c>
      <c r="Z492">
        <v>0</v>
      </c>
      <c r="AA492">
        <v>0</v>
      </c>
      <c r="AB492">
        <v>0</v>
      </c>
      <c r="AC492">
        <v>0</v>
      </c>
      <c r="AD492">
        <v>0</v>
      </c>
      <c r="AE492">
        <v>0</v>
      </c>
      <c r="AF492">
        <v>0</v>
      </c>
      <c r="AG492">
        <v>0</v>
      </c>
      <c r="AH492">
        <v>0</v>
      </c>
      <c r="AI492">
        <v>0</v>
      </c>
      <c r="AJ492">
        <v>0</v>
      </c>
      <c r="AK492">
        <v>0</v>
      </c>
      <c r="AL492">
        <v>0</v>
      </c>
      <c r="AM492">
        <v>0</v>
      </c>
    </row>
    <row r="493" spans="1:39" x14ac:dyDescent="0.35">
      <c r="A493" t="s">
        <v>174</v>
      </c>
      <c r="B493" t="s">
        <v>308</v>
      </c>
      <c r="C493" t="s">
        <v>100</v>
      </c>
      <c r="D493" t="s">
        <v>315</v>
      </c>
      <c r="E493" t="s">
        <v>496</v>
      </c>
      <c r="F493" t="s">
        <v>100</v>
      </c>
      <c r="G493" t="s">
        <v>1201</v>
      </c>
      <c r="H493" t="s">
        <v>35</v>
      </c>
      <c r="I493">
        <v>5157</v>
      </c>
      <c r="J493">
        <v>5276.25</v>
      </c>
      <c r="K493">
        <v>5955.75</v>
      </c>
      <c r="L493">
        <v>5960.25</v>
      </c>
      <c r="M493">
        <v>4488.75</v>
      </c>
      <c r="N493">
        <v>4596.75</v>
      </c>
      <c r="O493">
        <v>4540.5</v>
      </c>
      <c r="P493">
        <v>4281.75</v>
      </c>
      <c r="Q493">
        <v>4923</v>
      </c>
      <c r="R493">
        <v>5798.25</v>
      </c>
      <c r="S493">
        <v>6295.5</v>
      </c>
      <c r="T493">
        <v>4358.25</v>
      </c>
      <c r="U493">
        <v>4122</v>
      </c>
      <c r="V493">
        <v>4122</v>
      </c>
      <c r="W493">
        <v>0</v>
      </c>
      <c r="X493">
        <v>0</v>
      </c>
      <c r="Y493">
        <v>0</v>
      </c>
      <c r="Z493">
        <v>0</v>
      </c>
      <c r="AA493">
        <v>0</v>
      </c>
      <c r="AB493">
        <v>0</v>
      </c>
      <c r="AC493">
        <v>0</v>
      </c>
      <c r="AD493">
        <v>0</v>
      </c>
      <c r="AE493">
        <v>0</v>
      </c>
      <c r="AF493">
        <v>0</v>
      </c>
      <c r="AG493">
        <v>0</v>
      </c>
      <c r="AH493">
        <v>0</v>
      </c>
      <c r="AI493">
        <v>0</v>
      </c>
      <c r="AJ493">
        <v>0</v>
      </c>
      <c r="AK493">
        <v>0</v>
      </c>
      <c r="AL493">
        <v>0</v>
      </c>
      <c r="AM493">
        <v>0</v>
      </c>
    </row>
    <row r="494" spans="1:39" x14ac:dyDescent="0.35">
      <c r="A494" t="s">
        <v>174</v>
      </c>
      <c r="B494" t="s">
        <v>308</v>
      </c>
      <c r="C494" t="s">
        <v>100</v>
      </c>
      <c r="D494" t="s">
        <v>315</v>
      </c>
      <c r="E494" t="s">
        <v>1195</v>
      </c>
      <c r="F494" t="s">
        <v>100</v>
      </c>
      <c r="G494" t="s">
        <v>1201</v>
      </c>
      <c r="H494" t="s">
        <v>35</v>
      </c>
      <c r="I494">
        <v>1375.2</v>
      </c>
      <c r="J494">
        <v>1407.0000000000002</v>
      </c>
      <c r="K494">
        <v>1588.1999999999998</v>
      </c>
      <c r="L494">
        <v>1589.3999999999999</v>
      </c>
      <c r="M494">
        <v>1197</v>
      </c>
      <c r="N494">
        <v>1225.8</v>
      </c>
      <c r="O494">
        <v>1210.8000000000002</v>
      </c>
      <c r="P494">
        <v>1141.8000000000002</v>
      </c>
      <c r="Q494">
        <v>1312.8</v>
      </c>
      <c r="R494">
        <v>1546.1999999999998</v>
      </c>
      <c r="S494">
        <v>1678.8000000000002</v>
      </c>
      <c r="T494">
        <v>1162.2</v>
      </c>
      <c r="U494">
        <v>1099.2</v>
      </c>
      <c r="V494">
        <v>1099.2</v>
      </c>
      <c r="W494">
        <v>0</v>
      </c>
      <c r="X494">
        <v>0</v>
      </c>
      <c r="Y494">
        <v>0</v>
      </c>
      <c r="Z494">
        <v>0</v>
      </c>
      <c r="AA494">
        <v>0</v>
      </c>
      <c r="AB494">
        <v>0</v>
      </c>
      <c r="AC494">
        <v>0</v>
      </c>
      <c r="AD494">
        <v>0</v>
      </c>
      <c r="AE494">
        <v>0</v>
      </c>
      <c r="AF494">
        <v>0</v>
      </c>
      <c r="AG494">
        <v>0</v>
      </c>
      <c r="AH494">
        <v>0</v>
      </c>
      <c r="AI494">
        <v>0</v>
      </c>
      <c r="AJ494">
        <v>0</v>
      </c>
      <c r="AK494">
        <v>0</v>
      </c>
      <c r="AL494">
        <v>0</v>
      </c>
      <c r="AM494">
        <v>0</v>
      </c>
    </row>
    <row r="495" spans="1:39" x14ac:dyDescent="0.35">
      <c r="A495" t="s">
        <v>174</v>
      </c>
      <c r="B495" t="s">
        <v>308</v>
      </c>
      <c r="C495" t="s">
        <v>100</v>
      </c>
      <c r="D495" t="s">
        <v>315</v>
      </c>
      <c r="E495" t="s">
        <v>511</v>
      </c>
      <c r="F495" t="s">
        <v>100</v>
      </c>
      <c r="G495" t="s">
        <v>1201</v>
      </c>
      <c r="H495" t="s">
        <v>35</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row>
    <row r="496" spans="1:39" x14ac:dyDescent="0.35">
      <c r="A496" t="s">
        <v>174</v>
      </c>
      <c r="B496" t="s">
        <v>308</v>
      </c>
      <c r="C496" t="s">
        <v>100</v>
      </c>
      <c r="D496" t="s">
        <v>315</v>
      </c>
      <c r="E496" t="s">
        <v>509</v>
      </c>
      <c r="F496" t="s">
        <v>100</v>
      </c>
      <c r="G496" t="s">
        <v>1201</v>
      </c>
      <c r="H496" t="s">
        <v>35</v>
      </c>
      <c r="I496">
        <v>11070.36</v>
      </c>
      <c r="J496">
        <v>11326.35</v>
      </c>
      <c r="K496">
        <v>12785.010000000002</v>
      </c>
      <c r="L496">
        <v>12794.67</v>
      </c>
      <c r="M496">
        <v>9635.85</v>
      </c>
      <c r="N496">
        <v>9867.69</v>
      </c>
      <c r="O496">
        <v>9746.94</v>
      </c>
      <c r="P496">
        <v>9191.49</v>
      </c>
      <c r="Q496">
        <v>10568.04</v>
      </c>
      <c r="R496">
        <v>12446.91</v>
      </c>
      <c r="S496">
        <v>13514.34</v>
      </c>
      <c r="T496">
        <v>9355.7100000000009</v>
      </c>
      <c r="U496">
        <v>8848.5600000000013</v>
      </c>
      <c r="V496">
        <v>8848.56</v>
      </c>
      <c r="W496">
        <v>0</v>
      </c>
      <c r="X496">
        <v>0</v>
      </c>
      <c r="Y496">
        <v>0</v>
      </c>
      <c r="Z496">
        <v>0</v>
      </c>
      <c r="AA496">
        <v>0</v>
      </c>
      <c r="AB496">
        <v>0</v>
      </c>
      <c r="AC496">
        <v>0</v>
      </c>
      <c r="AD496">
        <v>0</v>
      </c>
      <c r="AE496">
        <v>0</v>
      </c>
      <c r="AF496">
        <v>0</v>
      </c>
      <c r="AG496">
        <v>0</v>
      </c>
      <c r="AH496">
        <v>0</v>
      </c>
      <c r="AI496">
        <v>0</v>
      </c>
      <c r="AJ496">
        <v>0</v>
      </c>
      <c r="AK496">
        <v>0</v>
      </c>
      <c r="AL496">
        <v>0</v>
      </c>
      <c r="AM496">
        <v>0</v>
      </c>
    </row>
    <row r="497" spans="1:39" x14ac:dyDescent="0.35">
      <c r="A497" t="s">
        <v>174</v>
      </c>
      <c r="B497" t="s">
        <v>308</v>
      </c>
      <c r="C497" t="s">
        <v>100</v>
      </c>
      <c r="D497" t="s">
        <v>315</v>
      </c>
      <c r="E497" t="s">
        <v>1345</v>
      </c>
      <c r="F497" t="s">
        <v>100</v>
      </c>
      <c r="G497" t="s">
        <v>1201</v>
      </c>
      <c r="H497" t="s">
        <v>35</v>
      </c>
      <c r="I497">
        <v>2114.1</v>
      </c>
      <c r="J497">
        <v>1705.86</v>
      </c>
      <c r="K497">
        <v>1982.88</v>
      </c>
      <c r="L497">
        <v>1953.72</v>
      </c>
      <c r="M497">
        <v>1326.78</v>
      </c>
      <c r="N497">
        <v>1516.32</v>
      </c>
      <c r="O497">
        <v>1793.34</v>
      </c>
      <c r="P497">
        <v>1414.26</v>
      </c>
      <c r="Q497">
        <v>1297.6200000000001</v>
      </c>
      <c r="R497">
        <v>1691.28</v>
      </c>
      <c r="S497">
        <v>1807.92</v>
      </c>
      <c r="T497">
        <v>1589.22</v>
      </c>
      <c r="U497">
        <v>1268.46</v>
      </c>
      <c r="V497">
        <v>1283.04</v>
      </c>
      <c r="W497">
        <v>0</v>
      </c>
      <c r="X497">
        <v>0</v>
      </c>
      <c r="Y497">
        <v>0</v>
      </c>
      <c r="Z497">
        <v>0</v>
      </c>
      <c r="AA497">
        <v>0</v>
      </c>
      <c r="AB497">
        <v>0</v>
      </c>
      <c r="AC497">
        <v>0</v>
      </c>
      <c r="AD497">
        <v>0</v>
      </c>
      <c r="AE497">
        <v>0</v>
      </c>
      <c r="AF497">
        <v>0</v>
      </c>
      <c r="AG497">
        <v>0</v>
      </c>
      <c r="AH497">
        <v>0</v>
      </c>
      <c r="AI497">
        <v>0</v>
      </c>
      <c r="AJ497">
        <v>0</v>
      </c>
      <c r="AK497">
        <v>0</v>
      </c>
      <c r="AL497">
        <v>0</v>
      </c>
      <c r="AM497">
        <v>0</v>
      </c>
    </row>
    <row r="498" spans="1:39" x14ac:dyDescent="0.35">
      <c r="A498" t="s">
        <v>174</v>
      </c>
      <c r="B498" t="s">
        <v>308</v>
      </c>
      <c r="C498" t="s">
        <v>100</v>
      </c>
      <c r="D498" t="s">
        <v>315</v>
      </c>
      <c r="E498" t="s">
        <v>1344</v>
      </c>
      <c r="F498" t="s">
        <v>100</v>
      </c>
      <c r="G498" t="s">
        <v>1201</v>
      </c>
      <c r="H498" t="s">
        <v>35</v>
      </c>
      <c r="I498">
        <v>692.57999999999993</v>
      </c>
      <c r="J498">
        <v>821.09999999999991</v>
      </c>
      <c r="K498">
        <v>971.04</v>
      </c>
      <c r="L498">
        <v>856.8</v>
      </c>
      <c r="M498">
        <v>606.9</v>
      </c>
      <c r="N498">
        <v>528.36</v>
      </c>
      <c r="O498">
        <v>649.74</v>
      </c>
      <c r="P498">
        <v>478.38</v>
      </c>
      <c r="Q498">
        <v>485.52</v>
      </c>
      <c r="R498">
        <v>592.62</v>
      </c>
      <c r="S498">
        <v>849.66</v>
      </c>
      <c r="T498">
        <v>599.76</v>
      </c>
      <c r="U498">
        <v>592.62</v>
      </c>
      <c r="V498">
        <v>421.26</v>
      </c>
      <c r="W498">
        <v>0</v>
      </c>
      <c r="X498">
        <v>0</v>
      </c>
      <c r="Y498">
        <v>0</v>
      </c>
      <c r="Z498">
        <v>0</v>
      </c>
      <c r="AA498">
        <v>0</v>
      </c>
      <c r="AB498">
        <v>0</v>
      </c>
      <c r="AC498">
        <v>0</v>
      </c>
      <c r="AD498">
        <v>0</v>
      </c>
      <c r="AE498">
        <v>0</v>
      </c>
      <c r="AF498">
        <v>0</v>
      </c>
      <c r="AG498">
        <v>0</v>
      </c>
      <c r="AH498">
        <v>0</v>
      </c>
      <c r="AI498">
        <v>0</v>
      </c>
      <c r="AJ498">
        <v>0</v>
      </c>
      <c r="AK498">
        <v>0</v>
      </c>
      <c r="AL498">
        <v>0</v>
      </c>
      <c r="AM498">
        <v>0</v>
      </c>
    </row>
    <row r="499" spans="1:39" x14ac:dyDescent="0.35">
      <c r="A499" t="s">
        <v>174</v>
      </c>
      <c r="B499" t="s">
        <v>308</v>
      </c>
      <c r="C499" t="s">
        <v>100</v>
      </c>
      <c r="D499" t="s">
        <v>315</v>
      </c>
      <c r="E499" t="s">
        <v>1343</v>
      </c>
      <c r="F499" t="s">
        <v>100</v>
      </c>
      <c r="G499" t="s">
        <v>1201</v>
      </c>
      <c r="H499" t="s">
        <v>35</v>
      </c>
      <c r="I499">
        <v>1414.26</v>
      </c>
      <c r="J499">
        <v>1676.7</v>
      </c>
      <c r="K499">
        <v>1982.88</v>
      </c>
      <c r="L499">
        <v>1749.6</v>
      </c>
      <c r="M499">
        <v>1239.3</v>
      </c>
      <c r="N499">
        <v>1078.92</v>
      </c>
      <c r="O499">
        <v>1326.78</v>
      </c>
      <c r="P499">
        <v>976.86</v>
      </c>
      <c r="Q499">
        <v>991.44</v>
      </c>
      <c r="R499">
        <v>1210.1400000000001</v>
      </c>
      <c r="S499">
        <v>1735.02</v>
      </c>
      <c r="T499">
        <v>1224.72</v>
      </c>
      <c r="U499">
        <v>1210.1400000000001</v>
      </c>
      <c r="V499">
        <v>860.22</v>
      </c>
      <c r="W499">
        <v>0</v>
      </c>
      <c r="X499">
        <v>0</v>
      </c>
      <c r="Y499">
        <v>0</v>
      </c>
      <c r="Z499">
        <v>0</v>
      </c>
      <c r="AA499">
        <v>0</v>
      </c>
      <c r="AB499">
        <v>0</v>
      </c>
      <c r="AC499">
        <v>0</v>
      </c>
      <c r="AD499">
        <v>0</v>
      </c>
      <c r="AE499">
        <v>0</v>
      </c>
      <c r="AF499">
        <v>0</v>
      </c>
      <c r="AG499">
        <v>0</v>
      </c>
      <c r="AH499">
        <v>0</v>
      </c>
      <c r="AI499">
        <v>0</v>
      </c>
      <c r="AJ499">
        <v>0</v>
      </c>
      <c r="AK499">
        <v>0</v>
      </c>
      <c r="AL499">
        <v>0</v>
      </c>
      <c r="AM499">
        <v>0</v>
      </c>
    </row>
    <row r="500" spans="1:39" x14ac:dyDescent="0.35">
      <c r="A500" t="s">
        <v>174</v>
      </c>
      <c r="B500" t="s">
        <v>308</v>
      </c>
      <c r="C500" t="s">
        <v>100</v>
      </c>
      <c r="D500" t="s">
        <v>315</v>
      </c>
      <c r="E500" t="s">
        <v>1196</v>
      </c>
      <c r="F500" t="s">
        <v>100</v>
      </c>
      <c r="G500" t="s">
        <v>1201</v>
      </c>
      <c r="H500" t="s">
        <v>35</v>
      </c>
      <c r="I500">
        <v>29425.7</v>
      </c>
      <c r="J500">
        <v>27748.9</v>
      </c>
      <c r="K500">
        <v>31878.2</v>
      </c>
      <c r="L500">
        <v>34824.9</v>
      </c>
      <c r="M500">
        <v>24247.200000000004</v>
      </c>
      <c r="N500">
        <v>24755.200000000001</v>
      </c>
      <c r="O500">
        <v>22293.199999999997</v>
      </c>
      <c r="P500">
        <v>21511.300000000003</v>
      </c>
      <c r="Q500">
        <v>28027.600000000002</v>
      </c>
      <c r="R500">
        <v>31150.400000000001</v>
      </c>
      <c r="S500">
        <v>32348.2</v>
      </c>
      <c r="T500">
        <v>21276.799999999999</v>
      </c>
      <c r="U500">
        <v>22023.1</v>
      </c>
      <c r="V500">
        <v>20318.300000000003</v>
      </c>
      <c r="W500">
        <v>0</v>
      </c>
      <c r="X500">
        <v>0</v>
      </c>
      <c r="Y500">
        <v>0</v>
      </c>
      <c r="Z500">
        <v>0</v>
      </c>
      <c r="AA500">
        <v>0</v>
      </c>
      <c r="AB500">
        <v>0</v>
      </c>
      <c r="AC500">
        <v>0</v>
      </c>
      <c r="AD500">
        <v>0</v>
      </c>
      <c r="AE500">
        <v>0</v>
      </c>
      <c r="AF500">
        <v>0</v>
      </c>
      <c r="AG500">
        <v>0</v>
      </c>
      <c r="AH500">
        <v>0</v>
      </c>
      <c r="AI500">
        <v>0</v>
      </c>
      <c r="AJ500">
        <v>0</v>
      </c>
      <c r="AK500">
        <v>0</v>
      </c>
      <c r="AL500">
        <v>0</v>
      </c>
      <c r="AM500">
        <v>0</v>
      </c>
    </row>
    <row r="501" spans="1:39" x14ac:dyDescent="0.35">
      <c r="A501" t="s">
        <v>174</v>
      </c>
      <c r="B501" t="s">
        <v>308</v>
      </c>
      <c r="C501" t="s">
        <v>100</v>
      </c>
      <c r="D501" t="s">
        <v>315</v>
      </c>
      <c r="E501" t="s">
        <v>1194</v>
      </c>
      <c r="F501" t="s">
        <v>100</v>
      </c>
      <c r="G501" t="s">
        <v>1201</v>
      </c>
      <c r="H501" t="s">
        <v>35</v>
      </c>
      <c r="I501">
        <v>13064.4</v>
      </c>
      <c r="J501">
        <v>13366.500000000002</v>
      </c>
      <c r="K501">
        <v>15087.9</v>
      </c>
      <c r="L501">
        <v>15099.300000000001</v>
      </c>
      <c r="M501">
        <v>11371.5</v>
      </c>
      <c r="N501">
        <v>11645.100000000002</v>
      </c>
      <c r="O501">
        <v>11502.600000000002</v>
      </c>
      <c r="P501">
        <v>10847.1</v>
      </c>
      <c r="Q501">
        <v>12471.6</v>
      </c>
      <c r="R501">
        <v>14688.9</v>
      </c>
      <c r="S501">
        <v>15948.6</v>
      </c>
      <c r="T501">
        <v>11040.9</v>
      </c>
      <c r="U501">
        <v>10442.400000000001</v>
      </c>
      <c r="V501">
        <v>10442.400000000001</v>
      </c>
      <c r="W501">
        <v>0</v>
      </c>
      <c r="X501">
        <v>0</v>
      </c>
      <c r="Y501">
        <v>0</v>
      </c>
      <c r="Z501">
        <v>0</v>
      </c>
      <c r="AA501">
        <v>0</v>
      </c>
      <c r="AB501">
        <v>0</v>
      </c>
      <c r="AC501">
        <v>0</v>
      </c>
      <c r="AD501">
        <v>0</v>
      </c>
      <c r="AE501">
        <v>0</v>
      </c>
      <c r="AF501">
        <v>0</v>
      </c>
      <c r="AG501">
        <v>0</v>
      </c>
      <c r="AH501">
        <v>0</v>
      </c>
      <c r="AI501">
        <v>0</v>
      </c>
      <c r="AJ501">
        <v>0</v>
      </c>
      <c r="AK501">
        <v>0</v>
      </c>
      <c r="AL501">
        <v>0</v>
      </c>
      <c r="AM501">
        <v>0</v>
      </c>
    </row>
    <row r="502" spans="1:39" x14ac:dyDescent="0.35">
      <c r="A502" t="s">
        <v>174</v>
      </c>
      <c r="B502" t="s">
        <v>308</v>
      </c>
      <c r="C502" t="s">
        <v>100</v>
      </c>
      <c r="D502" t="s">
        <v>315</v>
      </c>
      <c r="E502" t="s">
        <v>2</v>
      </c>
      <c r="F502" t="s">
        <v>100</v>
      </c>
      <c r="G502" t="s">
        <v>1201</v>
      </c>
      <c r="H502" t="s">
        <v>35</v>
      </c>
      <c r="I502">
        <v>8754.2999999999993</v>
      </c>
      <c r="J502">
        <v>8912.4</v>
      </c>
      <c r="K502">
        <v>10020.300000000001</v>
      </c>
      <c r="L502">
        <v>10146.6</v>
      </c>
      <c r="M502">
        <v>7679.7</v>
      </c>
      <c r="N502">
        <v>7796.0999999999995</v>
      </c>
      <c r="O502">
        <v>7629.5999999999995</v>
      </c>
      <c r="P502">
        <v>7231.2</v>
      </c>
      <c r="Q502">
        <v>8346</v>
      </c>
      <c r="R502">
        <v>9814.5</v>
      </c>
      <c r="S502">
        <v>10518.6</v>
      </c>
      <c r="T502">
        <v>7290.8999999999987</v>
      </c>
      <c r="U502">
        <v>6950.7</v>
      </c>
      <c r="V502">
        <v>6912.9000000000005</v>
      </c>
      <c r="W502">
        <v>0</v>
      </c>
      <c r="X502">
        <v>0</v>
      </c>
      <c r="Y502">
        <v>0</v>
      </c>
      <c r="Z502">
        <v>0</v>
      </c>
      <c r="AA502">
        <v>0</v>
      </c>
      <c r="AB502">
        <v>0</v>
      </c>
      <c r="AC502">
        <v>0</v>
      </c>
      <c r="AD502">
        <v>0</v>
      </c>
      <c r="AE502">
        <v>0</v>
      </c>
      <c r="AF502">
        <v>0</v>
      </c>
      <c r="AG502">
        <v>0</v>
      </c>
      <c r="AH502">
        <v>0</v>
      </c>
      <c r="AI502">
        <v>0</v>
      </c>
      <c r="AJ502">
        <v>0</v>
      </c>
      <c r="AK502">
        <v>0</v>
      </c>
      <c r="AL502">
        <v>0</v>
      </c>
      <c r="AM502">
        <v>0</v>
      </c>
    </row>
    <row r="503" spans="1:39" x14ac:dyDescent="0.35">
      <c r="A503" t="s">
        <v>174</v>
      </c>
      <c r="B503" t="s">
        <v>308</v>
      </c>
      <c r="C503" t="s">
        <v>100</v>
      </c>
      <c r="D503" t="s">
        <v>315</v>
      </c>
      <c r="E503" t="s">
        <v>353</v>
      </c>
      <c r="F503" t="s">
        <v>100</v>
      </c>
      <c r="G503" t="s">
        <v>1201</v>
      </c>
      <c r="H503" t="s">
        <v>35</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row>
    <row r="504" spans="1:39" x14ac:dyDescent="0.35">
      <c r="A504" t="s">
        <v>174</v>
      </c>
      <c r="B504" t="s">
        <v>308</v>
      </c>
      <c r="C504" t="s">
        <v>100</v>
      </c>
      <c r="D504" t="s">
        <v>315</v>
      </c>
      <c r="E504" t="s">
        <v>352</v>
      </c>
      <c r="F504" t="s">
        <v>100</v>
      </c>
      <c r="G504" t="s">
        <v>1201</v>
      </c>
      <c r="H504" t="s">
        <v>68</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row>
    <row r="505" spans="1:39" x14ac:dyDescent="0.35">
      <c r="A505" t="s">
        <v>174</v>
      </c>
      <c r="B505" t="s">
        <v>308</v>
      </c>
      <c r="C505" t="s">
        <v>100</v>
      </c>
      <c r="D505" t="s">
        <v>315</v>
      </c>
      <c r="E505" t="s">
        <v>1346</v>
      </c>
      <c r="F505" t="s">
        <v>100</v>
      </c>
      <c r="G505" t="s">
        <v>1201</v>
      </c>
      <c r="H505" t="s">
        <v>35</v>
      </c>
      <c r="I505">
        <v>1595</v>
      </c>
      <c r="J505">
        <v>1287</v>
      </c>
      <c r="K505">
        <v>1496</v>
      </c>
      <c r="L505">
        <v>1474</v>
      </c>
      <c r="M505">
        <v>1001</v>
      </c>
      <c r="N505">
        <v>1144</v>
      </c>
      <c r="O505">
        <v>1353</v>
      </c>
      <c r="P505">
        <v>1067</v>
      </c>
      <c r="Q505">
        <v>979</v>
      </c>
      <c r="R505">
        <v>1276</v>
      </c>
      <c r="S505">
        <v>1364</v>
      </c>
      <c r="T505">
        <v>1199</v>
      </c>
      <c r="U505">
        <v>957</v>
      </c>
      <c r="V505">
        <v>968</v>
      </c>
      <c r="W505">
        <v>0</v>
      </c>
      <c r="X505">
        <v>0</v>
      </c>
      <c r="Y505">
        <v>0</v>
      </c>
      <c r="Z505">
        <v>0</v>
      </c>
      <c r="AA505">
        <v>0</v>
      </c>
      <c r="AB505">
        <v>0</v>
      </c>
      <c r="AC505">
        <v>0</v>
      </c>
      <c r="AD505">
        <v>0</v>
      </c>
      <c r="AE505">
        <v>0</v>
      </c>
      <c r="AF505">
        <v>0</v>
      </c>
      <c r="AG505">
        <v>0</v>
      </c>
      <c r="AH505">
        <v>0</v>
      </c>
      <c r="AI505">
        <v>0</v>
      </c>
      <c r="AJ505">
        <v>0</v>
      </c>
      <c r="AK505">
        <v>0</v>
      </c>
      <c r="AL505">
        <v>0</v>
      </c>
      <c r="AM505">
        <v>0</v>
      </c>
    </row>
    <row r="506" spans="1:39" x14ac:dyDescent="0.35">
      <c r="A506" t="s">
        <v>174</v>
      </c>
      <c r="B506" t="s">
        <v>308</v>
      </c>
      <c r="C506" t="s">
        <v>100</v>
      </c>
      <c r="D506" t="s">
        <v>315</v>
      </c>
      <c r="E506" t="s">
        <v>497</v>
      </c>
      <c r="F506" t="s">
        <v>100</v>
      </c>
      <c r="G506" t="s">
        <v>1201</v>
      </c>
      <c r="H506" t="s">
        <v>35</v>
      </c>
      <c r="I506">
        <v>2865</v>
      </c>
      <c r="J506">
        <v>2931.25</v>
      </c>
      <c r="K506">
        <v>3308.75</v>
      </c>
      <c r="L506">
        <v>3311.25</v>
      </c>
      <c r="M506">
        <v>2493.75</v>
      </c>
      <c r="N506">
        <v>2553.75</v>
      </c>
      <c r="O506">
        <v>2522.5</v>
      </c>
      <c r="P506">
        <v>2378.75</v>
      </c>
      <c r="Q506">
        <v>2735</v>
      </c>
      <c r="R506">
        <v>3221.25</v>
      </c>
      <c r="S506">
        <v>3497.5</v>
      </c>
      <c r="T506">
        <v>2421.25</v>
      </c>
      <c r="U506">
        <v>2290</v>
      </c>
      <c r="V506">
        <v>2290</v>
      </c>
      <c r="W506">
        <v>0</v>
      </c>
      <c r="X506">
        <v>0</v>
      </c>
      <c r="Y506">
        <v>0</v>
      </c>
      <c r="Z506">
        <v>0</v>
      </c>
      <c r="AA506">
        <v>0</v>
      </c>
      <c r="AB506">
        <v>0</v>
      </c>
      <c r="AC506">
        <v>0</v>
      </c>
      <c r="AD506">
        <v>0</v>
      </c>
      <c r="AE506">
        <v>0</v>
      </c>
      <c r="AF506">
        <v>0</v>
      </c>
      <c r="AG506">
        <v>0</v>
      </c>
      <c r="AH506">
        <v>0</v>
      </c>
      <c r="AI506">
        <v>0</v>
      </c>
      <c r="AJ506">
        <v>0</v>
      </c>
      <c r="AK506">
        <v>0</v>
      </c>
      <c r="AL506">
        <v>0</v>
      </c>
      <c r="AM506">
        <v>0</v>
      </c>
    </row>
    <row r="507" spans="1:39" x14ac:dyDescent="0.35">
      <c r="A507" t="s">
        <v>174</v>
      </c>
      <c r="B507" t="s">
        <v>308</v>
      </c>
      <c r="C507" t="s">
        <v>100</v>
      </c>
      <c r="D507" t="s">
        <v>315</v>
      </c>
      <c r="E507" t="s">
        <v>1306</v>
      </c>
      <c r="F507" t="s">
        <v>100</v>
      </c>
      <c r="G507" t="s">
        <v>1201</v>
      </c>
      <c r="H507" t="s">
        <v>35</v>
      </c>
      <c r="I507">
        <v>20280</v>
      </c>
      <c r="J507">
        <v>20280</v>
      </c>
      <c r="K507">
        <v>25200</v>
      </c>
      <c r="L507">
        <v>24880</v>
      </c>
      <c r="M507">
        <v>19800</v>
      </c>
      <c r="N507">
        <v>17800</v>
      </c>
      <c r="O507">
        <v>17200</v>
      </c>
      <c r="P507">
        <v>16560</v>
      </c>
      <c r="Q507">
        <v>19680</v>
      </c>
      <c r="R507">
        <v>23160</v>
      </c>
      <c r="S507">
        <v>28280</v>
      </c>
      <c r="T507">
        <v>17680</v>
      </c>
      <c r="U507">
        <v>16440</v>
      </c>
      <c r="V507">
        <v>16680</v>
      </c>
      <c r="W507">
        <v>0</v>
      </c>
      <c r="X507">
        <v>0</v>
      </c>
      <c r="Y507">
        <v>0</v>
      </c>
      <c r="Z507">
        <v>0</v>
      </c>
      <c r="AA507">
        <v>0</v>
      </c>
      <c r="AB507">
        <v>0</v>
      </c>
      <c r="AC507">
        <v>0</v>
      </c>
      <c r="AD507">
        <v>0</v>
      </c>
      <c r="AE507">
        <v>0</v>
      </c>
      <c r="AF507">
        <v>0</v>
      </c>
      <c r="AG507">
        <v>0</v>
      </c>
      <c r="AH507">
        <v>0</v>
      </c>
      <c r="AI507">
        <v>0</v>
      </c>
      <c r="AJ507">
        <v>0</v>
      </c>
      <c r="AK507">
        <v>0</v>
      </c>
      <c r="AL507">
        <v>0</v>
      </c>
      <c r="AM507">
        <v>0</v>
      </c>
    </row>
    <row r="508" spans="1:39" x14ac:dyDescent="0.35">
      <c r="A508" t="s">
        <v>174</v>
      </c>
      <c r="B508" t="s">
        <v>308</v>
      </c>
      <c r="C508" t="s">
        <v>100</v>
      </c>
      <c r="D508" t="s">
        <v>315</v>
      </c>
      <c r="E508" t="s">
        <v>349</v>
      </c>
      <c r="F508" t="s">
        <v>100</v>
      </c>
      <c r="G508" t="s">
        <v>1201</v>
      </c>
      <c r="H508" t="s">
        <v>35</v>
      </c>
      <c r="I508">
        <v>2041.2</v>
      </c>
      <c r="J508">
        <v>1239.3</v>
      </c>
      <c r="K508">
        <v>1443.42</v>
      </c>
      <c r="L508">
        <v>1399.68</v>
      </c>
      <c r="M508">
        <v>1006.02</v>
      </c>
      <c r="N508">
        <v>1210.1400000000001</v>
      </c>
      <c r="O508">
        <v>1020.6</v>
      </c>
      <c r="P508">
        <v>1078.92</v>
      </c>
      <c r="Q508">
        <v>758.16</v>
      </c>
      <c r="R508">
        <v>1501.74</v>
      </c>
      <c r="S508">
        <v>1443.42</v>
      </c>
      <c r="T508">
        <v>976.86</v>
      </c>
      <c r="U508">
        <v>845.64</v>
      </c>
      <c r="V508">
        <v>889.38</v>
      </c>
      <c r="W508">
        <v>0</v>
      </c>
      <c r="X508">
        <v>0</v>
      </c>
      <c r="Y508">
        <v>0</v>
      </c>
      <c r="Z508">
        <v>0</v>
      </c>
      <c r="AA508">
        <v>0</v>
      </c>
      <c r="AB508">
        <v>0</v>
      </c>
      <c r="AC508">
        <v>0</v>
      </c>
      <c r="AD508">
        <v>0</v>
      </c>
      <c r="AE508">
        <v>0</v>
      </c>
      <c r="AF508">
        <v>0</v>
      </c>
      <c r="AG508">
        <v>0</v>
      </c>
      <c r="AH508">
        <v>0</v>
      </c>
      <c r="AI508">
        <v>0</v>
      </c>
      <c r="AJ508">
        <v>0</v>
      </c>
      <c r="AK508">
        <v>0</v>
      </c>
      <c r="AL508">
        <v>0</v>
      </c>
      <c r="AM508">
        <v>0</v>
      </c>
    </row>
    <row r="509" spans="1:39" x14ac:dyDescent="0.35">
      <c r="A509" t="s">
        <v>174</v>
      </c>
      <c r="B509" t="s">
        <v>308</v>
      </c>
      <c r="C509" t="s">
        <v>100</v>
      </c>
      <c r="D509" t="s">
        <v>315</v>
      </c>
      <c r="E509" t="s">
        <v>985</v>
      </c>
      <c r="F509" t="s">
        <v>100</v>
      </c>
      <c r="G509" t="s">
        <v>1201</v>
      </c>
      <c r="H509" t="s">
        <v>35</v>
      </c>
      <c r="I509">
        <v>17127</v>
      </c>
      <c r="J509">
        <v>18162</v>
      </c>
      <c r="K509">
        <v>20106</v>
      </c>
      <c r="L509">
        <v>20259</v>
      </c>
      <c r="M509">
        <v>15966</v>
      </c>
      <c r="N509">
        <v>15066</v>
      </c>
      <c r="O509">
        <v>16047</v>
      </c>
      <c r="P509">
        <v>14859</v>
      </c>
      <c r="Q509">
        <v>16209</v>
      </c>
      <c r="R509">
        <v>20178</v>
      </c>
      <c r="S509">
        <v>22392</v>
      </c>
      <c r="T509">
        <v>14319</v>
      </c>
      <c r="U509">
        <v>14328</v>
      </c>
      <c r="V509">
        <v>13752</v>
      </c>
      <c r="W509">
        <v>0</v>
      </c>
      <c r="X509">
        <v>0</v>
      </c>
      <c r="Y509">
        <v>0</v>
      </c>
      <c r="Z509">
        <v>0</v>
      </c>
      <c r="AA509">
        <v>0</v>
      </c>
      <c r="AB509">
        <v>0</v>
      </c>
      <c r="AC509">
        <v>0</v>
      </c>
      <c r="AD509">
        <v>0</v>
      </c>
      <c r="AE509">
        <v>0</v>
      </c>
      <c r="AF509">
        <v>0</v>
      </c>
      <c r="AG509">
        <v>0</v>
      </c>
      <c r="AH509">
        <v>0</v>
      </c>
      <c r="AI509">
        <v>0</v>
      </c>
      <c r="AJ509">
        <v>0</v>
      </c>
      <c r="AK509">
        <v>0</v>
      </c>
      <c r="AL509">
        <v>0</v>
      </c>
      <c r="AM509">
        <v>0</v>
      </c>
    </row>
    <row r="510" spans="1:39" x14ac:dyDescent="0.35">
      <c r="A510" t="s">
        <v>174</v>
      </c>
      <c r="B510" t="s">
        <v>308</v>
      </c>
      <c r="C510" t="s">
        <v>100</v>
      </c>
      <c r="D510" t="s">
        <v>315</v>
      </c>
      <c r="E510" t="s">
        <v>355</v>
      </c>
      <c r="F510" t="s">
        <v>100</v>
      </c>
      <c r="G510" t="s">
        <v>1201</v>
      </c>
      <c r="H510" t="s">
        <v>35</v>
      </c>
      <c r="I510">
        <v>714</v>
      </c>
      <c r="J510">
        <v>826.19999999999993</v>
      </c>
      <c r="K510">
        <v>795.59999999999991</v>
      </c>
      <c r="L510">
        <v>816</v>
      </c>
      <c r="M510">
        <v>632.4</v>
      </c>
      <c r="N510">
        <v>765</v>
      </c>
      <c r="O510">
        <v>622.19999999999993</v>
      </c>
      <c r="P510">
        <v>683.4</v>
      </c>
      <c r="Q510">
        <v>418.2</v>
      </c>
      <c r="R510">
        <v>805.8</v>
      </c>
      <c r="S510">
        <v>866.99999999999989</v>
      </c>
      <c r="T510">
        <v>581.4</v>
      </c>
      <c r="U510">
        <v>479.4</v>
      </c>
      <c r="V510">
        <v>571.19999999999993</v>
      </c>
      <c r="W510">
        <v>0</v>
      </c>
      <c r="X510">
        <v>0</v>
      </c>
      <c r="Y510">
        <v>0</v>
      </c>
      <c r="Z510">
        <v>0</v>
      </c>
      <c r="AA510">
        <v>0</v>
      </c>
      <c r="AB510">
        <v>0</v>
      </c>
      <c r="AC510">
        <v>0</v>
      </c>
      <c r="AD510">
        <v>0</v>
      </c>
      <c r="AE510">
        <v>0</v>
      </c>
      <c r="AF510">
        <v>0</v>
      </c>
      <c r="AG510">
        <v>0</v>
      </c>
      <c r="AH510">
        <v>0</v>
      </c>
      <c r="AI510">
        <v>0</v>
      </c>
      <c r="AJ510">
        <v>0</v>
      </c>
      <c r="AK510">
        <v>0</v>
      </c>
      <c r="AL510">
        <v>0</v>
      </c>
      <c r="AM510">
        <v>0</v>
      </c>
    </row>
    <row r="511" spans="1:39" x14ac:dyDescent="0.35">
      <c r="A511" t="s">
        <v>174</v>
      </c>
      <c r="B511" t="s">
        <v>308</v>
      </c>
      <c r="C511" t="s">
        <v>100</v>
      </c>
      <c r="D511" t="s">
        <v>315</v>
      </c>
      <c r="E511" t="s">
        <v>1339</v>
      </c>
      <c r="F511" t="s">
        <v>100</v>
      </c>
      <c r="G511" t="s">
        <v>1201</v>
      </c>
      <c r="H511" t="s">
        <v>35</v>
      </c>
      <c r="I511">
        <v>57208</v>
      </c>
      <c r="J511">
        <v>58556</v>
      </c>
      <c r="K511">
        <v>66119</v>
      </c>
      <c r="L511">
        <v>66140</v>
      </c>
      <c r="M511">
        <v>49831</v>
      </c>
      <c r="N511">
        <v>50985</v>
      </c>
      <c r="O511">
        <v>50420</v>
      </c>
      <c r="P511">
        <v>47501</v>
      </c>
      <c r="Q511">
        <v>54619</v>
      </c>
      <c r="R511">
        <v>64355</v>
      </c>
      <c r="S511">
        <v>69906</v>
      </c>
      <c r="T511">
        <v>48366</v>
      </c>
      <c r="U511">
        <v>45752</v>
      </c>
      <c r="V511">
        <v>45727</v>
      </c>
      <c r="W511">
        <v>0</v>
      </c>
      <c r="X511">
        <v>0</v>
      </c>
      <c r="Y511">
        <v>0</v>
      </c>
      <c r="Z511">
        <v>0</v>
      </c>
      <c r="AA511">
        <v>0</v>
      </c>
      <c r="AB511">
        <v>0</v>
      </c>
      <c r="AC511">
        <v>0</v>
      </c>
      <c r="AD511">
        <v>0</v>
      </c>
      <c r="AE511">
        <v>0</v>
      </c>
      <c r="AF511">
        <v>0</v>
      </c>
      <c r="AG511">
        <v>0</v>
      </c>
      <c r="AH511">
        <v>0</v>
      </c>
      <c r="AI511">
        <v>0</v>
      </c>
      <c r="AJ511">
        <v>0</v>
      </c>
      <c r="AK511">
        <v>0</v>
      </c>
      <c r="AL511">
        <v>0</v>
      </c>
      <c r="AM511">
        <v>0</v>
      </c>
    </row>
    <row r="512" spans="1:39" x14ac:dyDescent="0.35">
      <c r="A512" t="s">
        <v>174</v>
      </c>
      <c r="B512" t="s">
        <v>308</v>
      </c>
      <c r="C512" t="s">
        <v>100</v>
      </c>
      <c r="D512" t="s">
        <v>315</v>
      </c>
      <c r="E512" t="s">
        <v>1348</v>
      </c>
      <c r="F512" t="s">
        <v>100</v>
      </c>
      <c r="G512" t="s">
        <v>1201</v>
      </c>
      <c r="H512" t="s">
        <v>35</v>
      </c>
      <c r="I512">
        <v>1425.76</v>
      </c>
      <c r="J512">
        <v>1415.1200000000001</v>
      </c>
      <c r="K512">
        <v>1574.72</v>
      </c>
      <c r="L512">
        <v>1697.0800000000002</v>
      </c>
      <c r="M512">
        <v>1016.12</v>
      </c>
      <c r="N512">
        <v>1064</v>
      </c>
      <c r="O512">
        <v>1005.48</v>
      </c>
      <c r="P512">
        <v>1069.3200000000002</v>
      </c>
      <c r="Q512">
        <v>856.5200000000001</v>
      </c>
      <c r="R512">
        <v>1234.24</v>
      </c>
      <c r="S512">
        <v>1441.72</v>
      </c>
      <c r="T512">
        <v>1090.6000000000001</v>
      </c>
      <c r="U512">
        <v>946.96</v>
      </c>
      <c r="V512">
        <v>861.84</v>
      </c>
      <c r="W512">
        <v>0</v>
      </c>
      <c r="X512">
        <v>0</v>
      </c>
      <c r="Y512">
        <v>0</v>
      </c>
      <c r="Z512">
        <v>0</v>
      </c>
      <c r="AA512">
        <v>0</v>
      </c>
      <c r="AB512">
        <v>0</v>
      </c>
      <c r="AC512">
        <v>0</v>
      </c>
      <c r="AD512">
        <v>0</v>
      </c>
      <c r="AE512">
        <v>0</v>
      </c>
      <c r="AF512">
        <v>0</v>
      </c>
      <c r="AG512">
        <v>0</v>
      </c>
      <c r="AH512">
        <v>0</v>
      </c>
      <c r="AI512">
        <v>0</v>
      </c>
      <c r="AJ512">
        <v>0</v>
      </c>
      <c r="AK512">
        <v>0</v>
      </c>
      <c r="AL512">
        <v>0</v>
      </c>
      <c r="AM512">
        <v>0</v>
      </c>
    </row>
    <row r="513" spans="1:39" x14ac:dyDescent="0.35">
      <c r="A513" t="s">
        <v>174</v>
      </c>
      <c r="B513" t="s">
        <v>308</v>
      </c>
      <c r="C513" t="s">
        <v>100</v>
      </c>
      <c r="D513" t="s">
        <v>315</v>
      </c>
      <c r="E513" t="s">
        <v>354</v>
      </c>
      <c r="F513" t="s">
        <v>100</v>
      </c>
      <c r="G513" t="s">
        <v>1201</v>
      </c>
      <c r="H513" t="s">
        <v>35</v>
      </c>
      <c r="I513">
        <v>1020.6</v>
      </c>
      <c r="J513">
        <v>1180.98</v>
      </c>
      <c r="K513">
        <v>1137.24</v>
      </c>
      <c r="L513">
        <v>1166.4000000000001</v>
      </c>
      <c r="M513">
        <v>903.96</v>
      </c>
      <c r="N513">
        <v>1093.5</v>
      </c>
      <c r="O513">
        <v>889.38</v>
      </c>
      <c r="P513">
        <v>976.86</v>
      </c>
      <c r="Q513">
        <v>597.78</v>
      </c>
      <c r="R513">
        <v>1151.82</v>
      </c>
      <c r="S513">
        <v>1239.3</v>
      </c>
      <c r="T513">
        <v>831.06000000000006</v>
      </c>
      <c r="U513">
        <v>685.26</v>
      </c>
      <c r="V513">
        <v>816.48</v>
      </c>
      <c r="W513">
        <v>0</v>
      </c>
      <c r="X513">
        <v>0</v>
      </c>
      <c r="Y513">
        <v>0</v>
      </c>
      <c r="Z513">
        <v>0</v>
      </c>
      <c r="AA513">
        <v>0</v>
      </c>
      <c r="AB513">
        <v>0</v>
      </c>
      <c r="AC513">
        <v>0</v>
      </c>
      <c r="AD513">
        <v>0</v>
      </c>
      <c r="AE513">
        <v>0</v>
      </c>
      <c r="AF513">
        <v>0</v>
      </c>
      <c r="AG513">
        <v>0</v>
      </c>
      <c r="AH513">
        <v>0</v>
      </c>
      <c r="AI513">
        <v>0</v>
      </c>
      <c r="AJ513">
        <v>0</v>
      </c>
      <c r="AK513">
        <v>0</v>
      </c>
      <c r="AL513">
        <v>0</v>
      </c>
      <c r="AM513">
        <v>0</v>
      </c>
    </row>
    <row r="514" spans="1:39" x14ac:dyDescent="0.35">
      <c r="A514" t="s">
        <v>174</v>
      </c>
      <c r="B514" t="s">
        <v>308</v>
      </c>
      <c r="C514" t="s">
        <v>100</v>
      </c>
      <c r="D514" t="s">
        <v>315</v>
      </c>
      <c r="E514" t="s">
        <v>19</v>
      </c>
      <c r="F514" t="s">
        <v>100</v>
      </c>
      <c r="G514" t="s">
        <v>1201</v>
      </c>
      <c r="H514" t="s">
        <v>35</v>
      </c>
      <c r="I514">
        <v>6612</v>
      </c>
      <c r="J514">
        <v>7543</v>
      </c>
      <c r="K514">
        <v>7258</v>
      </c>
      <c r="L514">
        <v>8512</v>
      </c>
      <c r="M514">
        <v>5928</v>
      </c>
      <c r="N514">
        <v>6954</v>
      </c>
      <c r="O514">
        <v>5605</v>
      </c>
      <c r="P514">
        <v>5662</v>
      </c>
      <c r="Q514">
        <v>6080</v>
      </c>
      <c r="R514">
        <v>9576</v>
      </c>
      <c r="S514">
        <v>9728</v>
      </c>
      <c r="T514">
        <v>4902</v>
      </c>
      <c r="U514">
        <v>5985</v>
      </c>
      <c r="V514">
        <v>5700</v>
      </c>
      <c r="W514">
        <v>0</v>
      </c>
      <c r="X514">
        <v>0</v>
      </c>
      <c r="Y514">
        <v>0</v>
      </c>
      <c r="Z514">
        <v>0</v>
      </c>
      <c r="AA514">
        <v>0</v>
      </c>
      <c r="AB514">
        <v>0</v>
      </c>
      <c r="AC514">
        <v>0</v>
      </c>
      <c r="AD514">
        <v>0</v>
      </c>
      <c r="AE514">
        <v>0</v>
      </c>
      <c r="AF514">
        <v>0</v>
      </c>
      <c r="AG514">
        <v>0</v>
      </c>
      <c r="AH514">
        <v>0</v>
      </c>
      <c r="AI514">
        <v>0</v>
      </c>
      <c r="AJ514">
        <v>0</v>
      </c>
      <c r="AK514">
        <v>0</v>
      </c>
      <c r="AL514">
        <v>0</v>
      </c>
      <c r="AM514">
        <v>0</v>
      </c>
    </row>
    <row r="515" spans="1:39" x14ac:dyDescent="0.35">
      <c r="A515" t="s">
        <v>174</v>
      </c>
      <c r="B515" t="s">
        <v>308</v>
      </c>
      <c r="C515" t="s">
        <v>100</v>
      </c>
      <c r="D515" t="s">
        <v>315</v>
      </c>
      <c r="E515" t="s">
        <v>20</v>
      </c>
      <c r="F515" t="s">
        <v>100</v>
      </c>
      <c r="G515" t="s">
        <v>1201</v>
      </c>
      <c r="H515" t="s">
        <v>35</v>
      </c>
      <c r="I515">
        <v>2005.6100000000001</v>
      </c>
      <c r="J515">
        <v>2143.4</v>
      </c>
      <c r="K515">
        <v>2235.2600000000002</v>
      </c>
      <c r="L515">
        <v>2633.32</v>
      </c>
      <c r="M515">
        <v>1485.07</v>
      </c>
      <c r="N515">
        <v>1653.48</v>
      </c>
      <c r="O515">
        <v>1454.45</v>
      </c>
      <c r="P515">
        <v>1576.93</v>
      </c>
      <c r="Q515">
        <v>1622.8600000000001</v>
      </c>
      <c r="R515">
        <v>2005.6100000000001</v>
      </c>
      <c r="S515">
        <v>2235.2600000000002</v>
      </c>
      <c r="T515">
        <v>1408.52</v>
      </c>
      <c r="U515">
        <v>1454.45</v>
      </c>
      <c r="V515">
        <v>1240.1100000000001</v>
      </c>
      <c r="W515">
        <v>0</v>
      </c>
      <c r="X515">
        <v>0</v>
      </c>
      <c r="Y515">
        <v>0</v>
      </c>
      <c r="Z515">
        <v>0</v>
      </c>
      <c r="AA515">
        <v>0</v>
      </c>
      <c r="AB515">
        <v>0</v>
      </c>
      <c r="AC515">
        <v>0</v>
      </c>
      <c r="AD515">
        <v>0</v>
      </c>
      <c r="AE515">
        <v>0</v>
      </c>
      <c r="AF515">
        <v>0</v>
      </c>
      <c r="AG515">
        <v>0</v>
      </c>
      <c r="AH515">
        <v>0</v>
      </c>
      <c r="AI515">
        <v>0</v>
      </c>
      <c r="AJ515">
        <v>0</v>
      </c>
      <c r="AK515">
        <v>0</v>
      </c>
      <c r="AL515">
        <v>0</v>
      </c>
      <c r="AM515">
        <v>0</v>
      </c>
    </row>
    <row r="516" spans="1:39" x14ac:dyDescent="0.35">
      <c r="A516" t="s">
        <v>174</v>
      </c>
      <c r="B516" t="s">
        <v>308</v>
      </c>
      <c r="C516" t="s">
        <v>100</v>
      </c>
      <c r="D516" t="s">
        <v>315</v>
      </c>
      <c r="E516" t="s">
        <v>350</v>
      </c>
      <c r="F516" t="s">
        <v>100</v>
      </c>
      <c r="G516" t="s">
        <v>1201</v>
      </c>
      <c r="H516" t="s">
        <v>35</v>
      </c>
      <c r="I516">
        <v>1428</v>
      </c>
      <c r="J516">
        <v>866.99999999999989</v>
      </c>
      <c r="K516">
        <v>1009.8</v>
      </c>
      <c r="L516">
        <v>979.19999999999993</v>
      </c>
      <c r="M516">
        <v>703.8</v>
      </c>
      <c r="N516">
        <v>846.59999999999991</v>
      </c>
      <c r="O516">
        <v>714</v>
      </c>
      <c r="P516">
        <v>754.8</v>
      </c>
      <c r="Q516">
        <v>530.4</v>
      </c>
      <c r="R516">
        <v>1050.5999999999999</v>
      </c>
      <c r="S516">
        <v>1009.8</v>
      </c>
      <c r="T516">
        <v>683.4</v>
      </c>
      <c r="U516">
        <v>591.59999999999991</v>
      </c>
      <c r="V516">
        <v>622.19999999999993</v>
      </c>
      <c r="W516">
        <v>0</v>
      </c>
      <c r="X516">
        <v>0</v>
      </c>
      <c r="Y516">
        <v>0</v>
      </c>
      <c r="Z516">
        <v>0</v>
      </c>
      <c r="AA516">
        <v>0</v>
      </c>
      <c r="AB516">
        <v>0</v>
      </c>
      <c r="AC516">
        <v>0</v>
      </c>
      <c r="AD516">
        <v>0</v>
      </c>
      <c r="AE516">
        <v>0</v>
      </c>
      <c r="AF516">
        <v>0</v>
      </c>
      <c r="AG516">
        <v>0</v>
      </c>
      <c r="AH516">
        <v>0</v>
      </c>
      <c r="AI516">
        <v>0</v>
      </c>
      <c r="AJ516">
        <v>0</v>
      </c>
      <c r="AK516">
        <v>0</v>
      </c>
      <c r="AL516">
        <v>0</v>
      </c>
      <c r="AM516">
        <v>0</v>
      </c>
    </row>
    <row r="517" spans="1:39" x14ac:dyDescent="0.35">
      <c r="A517" t="s">
        <v>174</v>
      </c>
      <c r="B517" t="s">
        <v>308</v>
      </c>
      <c r="C517" t="s">
        <v>100</v>
      </c>
      <c r="D517" t="s">
        <v>315</v>
      </c>
      <c r="E517" t="s">
        <v>1347</v>
      </c>
      <c r="F517" t="s">
        <v>100</v>
      </c>
      <c r="G517" t="s">
        <v>1201</v>
      </c>
      <c r="H517" t="s">
        <v>35</v>
      </c>
      <c r="I517">
        <v>3907.44</v>
      </c>
      <c r="J517">
        <v>3878.28</v>
      </c>
      <c r="K517">
        <v>4315.68</v>
      </c>
      <c r="L517">
        <v>4651.0200000000004</v>
      </c>
      <c r="M517">
        <v>2784.78</v>
      </c>
      <c r="N517">
        <v>2916</v>
      </c>
      <c r="O517">
        <v>2755.62</v>
      </c>
      <c r="P517">
        <v>2930.58</v>
      </c>
      <c r="Q517">
        <v>2347.38</v>
      </c>
      <c r="R517">
        <v>3382.56</v>
      </c>
      <c r="S517">
        <v>3951.18</v>
      </c>
      <c r="T517">
        <v>2988.9</v>
      </c>
      <c r="U517">
        <v>2595.2400000000002</v>
      </c>
      <c r="V517">
        <v>2361.96</v>
      </c>
      <c r="W517">
        <v>0</v>
      </c>
      <c r="X517">
        <v>0</v>
      </c>
      <c r="Y517">
        <v>0</v>
      </c>
      <c r="Z517">
        <v>0</v>
      </c>
      <c r="AA517">
        <v>0</v>
      </c>
      <c r="AB517">
        <v>0</v>
      </c>
      <c r="AC517">
        <v>0</v>
      </c>
      <c r="AD517">
        <v>0</v>
      </c>
      <c r="AE517">
        <v>0</v>
      </c>
      <c r="AF517">
        <v>0</v>
      </c>
      <c r="AG517">
        <v>0</v>
      </c>
      <c r="AH517">
        <v>0</v>
      </c>
      <c r="AI517">
        <v>0</v>
      </c>
      <c r="AJ517">
        <v>0</v>
      </c>
      <c r="AK517">
        <v>0</v>
      </c>
      <c r="AL517">
        <v>0</v>
      </c>
      <c r="AM517">
        <v>0</v>
      </c>
    </row>
    <row r="518" spans="1:39" x14ac:dyDescent="0.35">
      <c r="A518" t="s">
        <v>174</v>
      </c>
      <c r="B518" t="s">
        <v>308</v>
      </c>
      <c r="C518" t="s">
        <v>100</v>
      </c>
      <c r="D518" t="s">
        <v>315</v>
      </c>
      <c r="E518" t="s">
        <v>351</v>
      </c>
      <c r="F518" t="s">
        <v>100</v>
      </c>
      <c r="G518" t="s">
        <v>1201</v>
      </c>
      <c r="H518" t="s">
        <v>35</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row>
    <row r="519" spans="1:39" x14ac:dyDescent="0.35">
      <c r="A519" t="s">
        <v>174</v>
      </c>
      <c r="B519" t="s">
        <v>308</v>
      </c>
      <c r="C519" t="s">
        <v>100</v>
      </c>
      <c r="D519" t="s">
        <v>315</v>
      </c>
      <c r="E519" t="s">
        <v>500</v>
      </c>
      <c r="F519" t="s">
        <v>100</v>
      </c>
      <c r="G519" t="s">
        <v>1201</v>
      </c>
      <c r="H519" t="s">
        <v>35</v>
      </c>
      <c r="I519">
        <v>20628</v>
      </c>
      <c r="J519">
        <v>21105</v>
      </c>
      <c r="K519">
        <v>23823</v>
      </c>
      <c r="L519">
        <v>23841</v>
      </c>
      <c r="M519">
        <v>17955</v>
      </c>
      <c r="N519">
        <v>18387</v>
      </c>
      <c r="O519">
        <v>18162</v>
      </c>
      <c r="P519">
        <v>17127</v>
      </c>
      <c r="Q519">
        <v>19692</v>
      </c>
      <c r="R519">
        <v>23193</v>
      </c>
      <c r="S519">
        <v>25182</v>
      </c>
      <c r="T519">
        <v>17433</v>
      </c>
      <c r="U519">
        <v>16488</v>
      </c>
      <c r="V519">
        <v>16488</v>
      </c>
      <c r="W519">
        <v>0</v>
      </c>
      <c r="X519">
        <v>0</v>
      </c>
      <c r="Y519">
        <v>0</v>
      </c>
      <c r="Z519">
        <v>0</v>
      </c>
      <c r="AA519">
        <v>0</v>
      </c>
      <c r="AB519">
        <v>0</v>
      </c>
      <c r="AC519">
        <v>0</v>
      </c>
      <c r="AD519">
        <v>0</v>
      </c>
      <c r="AE519">
        <v>0</v>
      </c>
      <c r="AF519">
        <v>0</v>
      </c>
      <c r="AG519">
        <v>0</v>
      </c>
      <c r="AH519">
        <v>0</v>
      </c>
      <c r="AI519">
        <v>0</v>
      </c>
      <c r="AJ519">
        <v>0</v>
      </c>
      <c r="AK519">
        <v>0</v>
      </c>
      <c r="AL519">
        <v>0</v>
      </c>
      <c r="AM519">
        <v>0</v>
      </c>
    </row>
    <row r="520" spans="1:39" x14ac:dyDescent="0.35">
      <c r="A520" t="s">
        <v>174</v>
      </c>
      <c r="B520" t="s">
        <v>308</v>
      </c>
      <c r="C520" t="s">
        <v>100</v>
      </c>
      <c r="D520" t="s">
        <v>315</v>
      </c>
      <c r="E520" t="s">
        <v>501</v>
      </c>
      <c r="F520" t="s">
        <v>100</v>
      </c>
      <c r="G520" t="s">
        <v>1201</v>
      </c>
      <c r="H520" t="s">
        <v>35</v>
      </c>
      <c r="I520">
        <v>22920</v>
      </c>
      <c r="J520">
        <v>23450</v>
      </c>
      <c r="K520">
        <v>26470</v>
      </c>
      <c r="L520">
        <v>26490</v>
      </c>
      <c r="M520">
        <v>19950</v>
      </c>
      <c r="N520">
        <v>20430</v>
      </c>
      <c r="O520">
        <v>20180</v>
      </c>
      <c r="P520">
        <v>19030</v>
      </c>
      <c r="Q520">
        <v>21880</v>
      </c>
      <c r="R520">
        <v>25770</v>
      </c>
      <c r="S520">
        <v>27980</v>
      </c>
      <c r="T520">
        <v>19370</v>
      </c>
      <c r="U520">
        <v>18320</v>
      </c>
      <c r="V520">
        <v>18320</v>
      </c>
      <c r="W520">
        <v>0</v>
      </c>
      <c r="X520">
        <v>0</v>
      </c>
      <c r="Y520">
        <v>0</v>
      </c>
      <c r="Z520">
        <v>0</v>
      </c>
      <c r="AA520">
        <v>0</v>
      </c>
      <c r="AB520">
        <v>0</v>
      </c>
      <c r="AC520">
        <v>0</v>
      </c>
      <c r="AD520">
        <v>0</v>
      </c>
      <c r="AE520">
        <v>0</v>
      </c>
      <c r="AF520">
        <v>0</v>
      </c>
      <c r="AG520">
        <v>0</v>
      </c>
      <c r="AH520">
        <v>0</v>
      </c>
      <c r="AI520">
        <v>0</v>
      </c>
      <c r="AJ520">
        <v>0</v>
      </c>
      <c r="AK520">
        <v>0</v>
      </c>
      <c r="AL520">
        <v>0</v>
      </c>
      <c r="AM520">
        <v>0</v>
      </c>
    </row>
    <row r="521" spans="1:39" x14ac:dyDescent="0.35">
      <c r="A521" t="s">
        <v>174</v>
      </c>
      <c r="B521" t="s">
        <v>308</v>
      </c>
      <c r="C521" t="s">
        <v>100</v>
      </c>
      <c r="D521" t="s">
        <v>315</v>
      </c>
      <c r="E521" t="s">
        <v>28</v>
      </c>
      <c r="F521" t="s">
        <v>100</v>
      </c>
      <c r="G521" t="s">
        <v>1201</v>
      </c>
      <c r="H521" t="s">
        <v>35</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row>
    <row r="522" spans="1:39" x14ac:dyDescent="0.35">
      <c r="A522" t="s">
        <v>174</v>
      </c>
      <c r="B522" t="s">
        <v>308</v>
      </c>
      <c r="C522" t="s">
        <v>100</v>
      </c>
      <c r="D522" t="s">
        <v>315</v>
      </c>
      <c r="E522" t="s">
        <v>1318</v>
      </c>
      <c r="F522" t="s">
        <v>100</v>
      </c>
      <c r="G522" t="s">
        <v>1201</v>
      </c>
      <c r="H522" t="s">
        <v>67</v>
      </c>
      <c r="I522">
        <v>2292</v>
      </c>
      <c r="J522">
        <v>2345</v>
      </c>
      <c r="K522">
        <v>2647</v>
      </c>
      <c r="L522">
        <v>2649</v>
      </c>
      <c r="M522">
        <v>1995</v>
      </c>
      <c r="N522">
        <v>2043</v>
      </c>
      <c r="O522">
        <v>2018</v>
      </c>
      <c r="P522">
        <v>1903</v>
      </c>
      <c r="Q522">
        <v>2188</v>
      </c>
      <c r="R522">
        <v>2577</v>
      </c>
      <c r="S522">
        <v>2798</v>
      </c>
      <c r="T522">
        <v>1937</v>
      </c>
      <c r="U522">
        <v>1832</v>
      </c>
      <c r="V522">
        <v>1832</v>
      </c>
      <c r="W522">
        <v>0</v>
      </c>
      <c r="X522">
        <v>0</v>
      </c>
      <c r="Y522">
        <v>0</v>
      </c>
      <c r="Z522">
        <v>0</v>
      </c>
      <c r="AA522">
        <v>0</v>
      </c>
      <c r="AB522">
        <v>0</v>
      </c>
      <c r="AC522">
        <v>0</v>
      </c>
      <c r="AD522">
        <v>0</v>
      </c>
      <c r="AE522">
        <v>0</v>
      </c>
      <c r="AF522">
        <v>0</v>
      </c>
      <c r="AG522">
        <v>0</v>
      </c>
      <c r="AH522">
        <v>0</v>
      </c>
      <c r="AI522">
        <v>0</v>
      </c>
      <c r="AJ522">
        <v>0</v>
      </c>
      <c r="AK522">
        <v>0</v>
      </c>
      <c r="AL522">
        <v>0</v>
      </c>
      <c r="AM522">
        <v>0</v>
      </c>
    </row>
    <row r="523" spans="1:39" x14ac:dyDescent="0.35">
      <c r="A523" t="s">
        <v>174</v>
      </c>
      <c r="B523" t="s">
        <v>308</v>
      </c>
      <c r="C523" t="s">
        <v>100</v>
      </c>
      <c r="D523" t="s">
        <v>315</v>
      </c>
      <c r="E523" t="s">
        <v>30</v>
      </c>
      <c r="F523" t="s">
        <v>100</v>
      </c>
      <c r="G523" t="s">
        <v>1201</v>
      </c>
      <c r="H523" t="s">
        <v>67</v>
      </c>
      <c r="I523">
        <v>15.209999999999999</v>
      </c>
      <c r="J523">
        <v>15.209999999999999</v>
      </c>
      <c r="K523">
        <v>18.900000000000002</v>
      </c>
      <c r="L523">
        <v>18.659999999999997</v>
      </c>
      <c r="M523">
        <v>14.85</v>
      </c>
      <c r="N523">
        <v>13.349999999999998</v>
      </c>
      <c r="O523">
        <v>12.899999999999999</v>
      </c>
      <c r="P523">
        <v>12.42</v>
      </c>
      <c r="Q523">
        <v>14.76</v>
      </c>
      <c r="R523">
        <v>17.369999999999997</v>
      </c>
      <c r="S523">
        <v>21.21</v>
      </c>
      <c r="T523">
        <v>13.26</v>
      </c>
      <c r="U523">
        <v>12.33</v>
      </c>
      <c r="V523">
        <v>12.51</v>
      </c>
      <c r="W523">
        <v>0</v>
      </c>
      <c r="X523">
        <v>0</v>
      </c>
      <c r="Y523">
        <v>0</v>
      </c>
      <c r="Z523">
        <v>0</v>
      </c>
      <c r="AA523">
        <v>0</v>
      </c>
      <c r="AB523">
        <v>0</v>
      </c>
      <c r="AC523">
        <v>0</v>
      </c>
      <c r="AD523">
        <v>0</v>
      </c>
      <c r="AE523">
        <v>0</v>
      </c>
      <c r="AF523">
        <v>0</v>
      </c>
      <c r="AG523">
        <v>0</v>
      </c>
      <c r="AH523">
        <v>0</v>
      </c>
      <c r="AI523">
        <v>0</v>
      </c>
      <c r="AJ523">
        <v>0</v>
      </c>
      <c r="AK523">
        <v>0</v>
      </c>
      <c r="AL523">
        <v>0</v>
      </c>
      <c r="AM523">
        <v>0</v>
      </c>
    </row>
    <row r="524" spans="1:39" x14ac:dyDescent="0.35">
      <c r="A524" t="s">
        <v>174</v>
      </c>
      <c r="B524" t="s">
        <v>308</v>
      </c>
      <c r="C524" t="s">
        <v>100</v>
      </c>
      <c r="D524" t="s">
        <v>315</v>
      </c>
      <c r="E524" t="s">
        <v>31</v>
      </c>
      <c r="F524" t="s">
        <v>100</v>
      </c>
      <c r="G524" t="s">
        <v>1201</v>
      </c>
      <c r="H524" t="s">
        <v>35</v>
      </c>
      <c r="I524">
        <v>491.79</v>
      </c>
      <c r="J524">
        <v>491.78999999999996</v>
      </c>
      <c r="K524">
        <v>611.1</v>
      </c>
      <c r="L524">
        <v>603.33999999999992</v>
      </c>
      <c r="M524">
        <v>480.15</v>
      </c>
      <c r="N524">
        <v>431.65</v>
      </c>
      <c r="O524">
        <v>417.1</v>
      </c>
      <c r="P524">
        <v>401.58</v>
      </c>
      <c r="Q524">
        <v>477.24</v>
      </c>
      <c r="R524">
        <v>561.63</v>
      </c>
      <c r="S524">
        <v>685.79</v>
      </c>
      <c r="T524">
        <v>428.74</v>
      </c>
      <c r="U524">
        <v>398.66999999999996</v>
      </c>
      <c r="V524">
        <v>404.49</v>
      </c>
      <c r="W524">
        <v>0</v>
      </c>
      <c r="X524">
        <v>0</v>
      </c>
      <c r="Y524">
        <v>0</v>
      </c>
      <c r="Z524">
        <v>0</v>
      </c>
      <c r="AA524">
        <v>0</v>
      </c>
      <c r="AB524">
        <v>0</v>
      </c>
      <c r="AC524">
        <v>0</v>
      </c>
      <c r="AD524">
        <v>0</v>
      </c>
      <c r="AE524">
        <v>0</v>
      </c>
      <c r="AF524">
        <v>0</v>
      </c>
      <c r="AG524">
        <v>0</v>
      </c>
      <c r="AH524">
        <v>0</v>
      </c>
      <c r="AI524">
        <v>0</v>
      </c>
      <c r="AJ524">
        <v>0</v>
      </c>
      <c r="AK524">
        <v>0</v>
      </c>
      <c r="AL524">
        <v>0</v>
      </c>
      <c r="AM524">
        <v>0</v>
      </c>
    </row>
    <row r="525" spans="1:39" x14ac:dyDescent="0.35">
      <c r="A525" t="s">
        <v>174</v>
      </c>
      <c r="B525" t="s">
        <v>308</v>
      </c>
      <c r="C525" t="s">
        <v>100</v>
      </c>
      <c r="D525" t="s">
        <v>315</v>
      </c>
      <c r="E525" t="s">
        <v>72</v>
      </c>
      <c r="F525" t="s">
        <v>100</v>
      </c>
      <c r="G525" t="s">
        <v>1201</v>
      </c>
      <c r="H525" t="s">
        <v>35</v>
      </c>
      <c r="I525">
        <v>10140</v>
      </c>
      <c r="J525">
        <v>9600</v>
      </c>
      <c r="K525">
        <v>10380</v>
      </c>
      <c r="L525">
        <v>11280</v>
      </c>
      <c r="M525">
        <v>9540</v>
      </c>
      <c r="N525">
        <v>8490</v>
      </c>
      <c r="O525">
        <v>10530</v>
      </c>
      <c r="P525">
        <v>8040</v>
      </c>
      <c r="Q525">
        <v>10080</v>
      </c>
      <c r="R525">
        <v>11490</v>
      </c>
      <c r="S525">
        <v>11880</v>
      </c>
      <c r="T525">
        <v>8610</v>
      </c>
      <c r="U525">
        <v>8850</v>
      </c>
      <c r="V525">
        <v>8040</v>
      </c>
      <c r="W525">
        <v>0</v>
      </c>
      <c r="X525">
        <v>0</v>
      </c>
      <c r="Y525">
        <v>0</v>
      </c>
      <c r="Z525">
        <v>0</v>
      </c>
      <c r="AA525">
        <v>0</v>
      </c>
      <c r="AB525">
        <v>0</v>
      </c>
      <c r="AC525">
        <v>0</v>
      </c>
      <c r="AD525">
        <v>0</v>
      </c>
      <c r="AE525">
        <v>0</v>
      </c>
      <c r="AF525">
        <v>0</v>
      </c>
      <c r="AG525">
        <v>0</v>
      </c>
      <c r="AH525">
        <v>0</v>
      </c>
      <c r="AI525">
        <v>0</v>
      </c>
      <c r="AJ525">
        <v>0</v>
      </c>
      <c r="AK525">
        <v>0</v>
      </c>
      <c r="AL525">
        <v>0</v>
      </c>
      <c r="AM525">
        <v>0</v>
      </c>
    </row>
    <row r="526" spans="1:39" x14ac:dyDescent="0.35">
      <c r="A526" t="s">
        <v>174</v>
      </c>
      <c r="B526" t="s">
        <v>308</v>
      </c>
      <c r="C526" t="s">
        <v>100</v>
      </c>
      <c r="D526" t="s">
        <v>315</v>
      </c>
      <c r="E526" t="s">
        <v>542</v>
      </c>
      <c r="F526" t="s">
        <v>100</v>
      </c>
      <c r="G526" t="s">
        <v>1201</v>
      </c>
      <c r="H526" t="s">
        <v>35</v>
      </c>
      <c r="I526">
        <v>7890</v>
      </c>
      <c r="J526">
        <v>7380</v>
      </c>
      <c r="K526">
        <v>8490</v>
      </c>
      <c r="L526">
        <v>8810</v>
      </c>
      <c r="M526">
        <v>5900</v>
      </c>
      <c r="N526">
        <v>6700</v>
      </c>
      <c r="O526">
        <v>6100</v>
      </c>
      <c r="P526">
        <v>5670</v>
      </c>
      <c r="Q526">
        <v>6790</v>
      </c>
      <c r="R526">
        <v>7700</v>
      </c>
      <c r="S526">
        <v>9000</v>
      </c>
      <c r="T526">
        <v>5620</v>
      </c>
      <c r="U526">
        <v>5390</v>
      </c>
      <c r="V526">
        <v>5750</v>
      </c>
      <c r="W526">
        <v>0</v>
      </c>
      <c r="X526">
        <v>0</v>
      </c>
      <c r="Y526">
        <v>0</v>
      </c>
      <c r="Z526">
        <v>0</v>
      </c>
      <c r="AA526">
        <v>0</v>
      </c>
      <c r="AB526">
        <v>0</v>
      </c>
      <c r="AC526">
        <v>0</v>
      </c>
      <c r="AD526">
        <v>0</v>
      </c>
      <c r="AE526">
        <v>0</v>
      </c>
      <c r="AF526">
        <v>0</v>
      </c>
      <c r="AG526">
        <v>0</v>
      </c>
      <c r="AH526">
        <v>0</v>
      </c>
      <c r="AI526">
        <v>0</v>
      </c>
      <c r="AJ526">
        <v>0</v>
      </c>
      <c r="AK526">
        <v>0</v>
      </c>
      <c r="AL526">
        <v>0</v>
      </c>
      <c r="AM526">
        <v>0</v>
      </c>
    </row>
    <row r="527" spans="1:39" x14ac:dyDescent="0.35">
      <c r="A527" t="s">
        <v>174</v>
      </c>
      <c r="B527" t="s">
        <v>308</v>
      </c>
      <c r="C527" t="s">
        <v>100</v>
      </c>
      <c r="D527" t="s">
        <v>315</v>
      </c>
      <c r="E527" t="s">
        <v>34</v>
      </c>
      <c r="F527" t="s">
        <v>100</v>
      </c>
      <c r="G527" t="s">
        <v>1201</v>
      </c>
      <c r="H527" t="s">
        <v>68</v>
      </c>
      <c r="I527">
        <v>105968.5</v>
      </c>
      <c r="J527">
        <v>101279.1</v>
      </c>
      <c r="K527">
        <v>112648.85</v>
      </c>
      <c r="L527">
        <v>115931.6</v>
      </c>
      <c r="M527">
        <v>75490.649999999994</v>
      </c>
      <c r="N527">
        <v>82642.350000000006</v>
      </c>
      <c r="O527">
        <v>79358.100000000006</v>
      </c>
      <c r="P527">
        <v>78773.75</v>
      </c>
      <c r="Q527">
        <v>66347.600000000006</v>
      </c>
      <c r="R527">
        <v>93543.95</v>
      </c>
      <c r="S527">
        <v>107609.8</v>
      </c>
      <c r="T527">
        <v>78185.850000000006</v>
      </c>
      <c r="U527">
        <v>68808.350000000006</v>
      </c>
      <c r="V527">
        <v>68693.05</v>
      </c>
      <c r="W527">
        <v>0</v>
      </c>
      <c r="X527">
        <v>0</v>
      </c>
      <c r="Y527">
        <v>0</v>
      </c>
      <c r="Z527">
        <v>0</v>
      </c>
      <c r="AA527">
        <v>0</v>
      </c>
      <c r="AB527">
        <v>0</v>
      </c>
      <c r="AC527">
        <v>0</v>
      </c>
      <c r="AD527">
        <v>0</v>
      </c>
      <c r="AE527">
        <v>0</v>
      </c>
      <c r="AF527">
        <v>0</v>
      </c>
      <c r="AG527">
        <v>0</v>
      </c>
      <c r="AH527">
        <v>0</v>
      </c>
      <c r="AI527">
        <v>0</v>
      </c>
      <c r="AJ527">
        <v>0</v>
      </c>
      <c r="AK527">
        <v>0</v>
      </c>
      <c r="AL527">
        <v>0</v>
      </c>
      <c r="AM527">
        <v>0</v>
      </c>
    </row>
    <row r="528" spans="1:39" x14ac:dyDescent="0.35">
      <c r="A528" t="s">
        <v>174</v>
      </c>
      <c r="B528" t="s">
        <v>309</v>
      </c>
      <c r="C528" t="s">
        <v>340</v>
      </c>
      <c r="D528" t="s">
        <v>315</v>
      </c>
      <c r="E528" t="s">
        <v>1316</v>
      </c>
      <c r="F528" t="s">
        <v>340</v>
      </c>
      <c r="G528" t="s">
        <v>1201</v>
      </c>
      <c r="H528" t="s">
        <v>35</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row>
    <row r="529" spans="1:39" x14ac:dyDescent="0.35">
      <c r="A529" t="s">
        <v>174</v>
      </c>
      <c r="B529" t="s">
        <v>309</v>
      </c>
      <c r="C529" t="s">
        <v>340</v>
      </c>
      <c r="D529" t="s">
        <v>315</v>
      </c>
      <c r="E529" t="s">
        <v>837</v>
      </c>
      <c r="F529" t="s">
        <v>340</v>
      </c>
      <c r="G529" t="s">
        <v>1201</v>
      </c>
      <c r="H529" t="s">
        <v>69</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row>
    <row r="530" spans="1:39" x14ac:dyDescent="0.35">
      <c r="A530" t="s">
        <v>174</v>
      </c>
      <c r="B530" t="s">
        <v>309</v>
      </c>
      <c r="C530" t="s">
        <v>340</v>
      </c>
      <c r="D530" t="s">
        <v>315</v>
      </c>
      <c r="E530" t="s">
        <v>484</v>
      </c>
      <c r="F530" t="s">
        <v>340</v>
      </c>
      <c r="G530" t="s">
        <v>1201</v>
      </c>
      <c r="H530" t="s">
        <v>67</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row>
    <row r="531" spans="1:39" x14ac:dyDescent="0.35">
      <c r="A531" t="s">
        <v>174</v>
      </c>
      <c r="B531" t="s">
        <v>309</v>
      </c>
      <c r="C531" t="s">
        <v>340</v>
      </c>
      <c r="D531" t="s">
        <v>315</v>
      </c>
      <c r="E531" t="s">
        <v>507</v>
      </c>
      <c r="F531" t="s">
        <v>340</v>
      </c>
      <c r="G531" t="s">
        <v>1201</v>
      </c>
      <c r="H531" t="s">
        <v>67</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row>
    <row r="532" spans="1:39" x14ac:dyDescent="0.35">
      <c r="A532" t="s">
        <v>174</v>
      </c>
      <c r="B532" t="s">
        <v>309</v>
      </c>
      <c r="C532" t="s">
        <v>340</v>
      </c>
      <c r="D532" t="s">
        <v>315</v>
      </c>
      <c r="E532" t="s">
        <v>540</v>
      </c>
      <c r="F532" t="s">
        <v>340</v>
      </c>
      <c r="G532" t="s">
        <v>1201</v>
      </c>
      <c r="H532" t="s">
        <v>67</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row>
    <row r="533" spans="1:39" x14ac:dyDescent="0.35">
      <c r="A533" t="s">
        <v>174</v>
      </c>
      <c r="B533" t="s">
        <v>309</v>
      </c>
      <c r="C533" t="s">
        <v>340</v>
      </c>
      <c r="D533" t="s">
        <v>315</v>
      </c>
      <c r="E533" t="s">
        <v>496</v>
      </c>
      <c r="F533" t="s">
        <v>340</v>
      </c>
      <c r="G533" t="s">
        <v>1201</v>
      </c>
      <c r="H533" t="s">
        <v>35</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row>
    <row r="534" spans="1:39" x14ac:dyDescent="0.35">
      <c r="A534" t="s">
        <v>174</v>
      </c>
      <c r="B534" t="s">
        <v>309</v>
      </c>
      <c r="C534" t="s">
        <v>340</v>
      </c>
      <c r="D534" t="s">
        <v>315</v>
      </c>
      <c r="E534" t="s">
        <v>1195</v>
      </c>
      <c r="F534" t="s">
        <v>340</v>
      </c>
      <c r="G534" t="s">
        <v>1201</v>
      </c>
      <c r="H534" t="s">
        <v>35</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row>
    <row r="535" spans="1:39" x14ac:dyDescent="0.35">
      <c r="A535" t="s">
        <v>174</v>
      </c>
      <c r="B535" t="s">
        <v>309</v>
      </c>
      <c r="C535" t="s">
        <v>340</v>
      </c>
      <c r="D535" t="s">
        <v>315</v>
      </c>
      <c r="E535" t="s">
        <v>511</v>
      </c>
      <c r="F535" t="s">
        <v>340</v>
      </c>
      <c r="G535" t="s">
        <v>1201</v>
      </c>
      <c r="H535" t="s">
        <v>35</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row>
    <row r="536" spans="1:39" x14ac:dyDescent="0.35">
      <c r="A536" t="s">
        <v>174</v>
      </c>
      <c r="B536" t="s">
        <v>309</v>
      </c>
      <c r="C536" t="s">
        <v>340</v>
      </c>
      <c r="D536" t="s">
        <v>315</v>
      </c>
      <c r="E536" t="s">
        <v>509</v>
      </c>
      <c r="F536" t="s">
        <v>340</v>
      </c>
      <c r="G536" t="s">
        <v>1201</v>
      </c>
      <c r="H536" t="s">
        <v>35</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row>
    <row r="537" spans="1:39" x14ac:dyDescent="0.35">
      <c r="A537" t="s">
        <v>174</v>
      </c>
      <c r="B537" t="s">
        <v>309</v>
      </c>
      <c r="C537" t="s">
        <v>340</v>
      </c>
      <c r="D537" t="s">
        <v>315</v>
      </c>
      <c r="E537" t="s">
        <v>1345</v>
      </c>
      <c r="F537" t="s">
        <v>340</v>
      </c>
      <c r="G537" t="s">
        <v>1201</v>
      </c>
      <c r="H537" t="s">
        <v>35</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row>
    <row r="538" spans="1:39" x14ac:dyDescent="0.35">
      <c r="A538" t="s">
        <v>174</v>
      </c>
      <c r="B538" t="s">
        <v>309</v>
      </c>
      <c r="C538" t="s">
        <v>340</v>
      </c>
      <c r="D538" t="s">
        <v>315</v>
      </c>
      <c r="E538" t="s">
        <v>1344</v>
      </c>
      <c r="F538" t="s">
        <v>340</v>
      </c>
      <c r="G538" t="s">
        <v>1201</v>
      </c>
      <c r="H538" t="s">
        <v>35</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row>
    <row r="539" spans="1:39" x14ac:dyDescent="0.35">
      <c r="A539" t="s">
        <v>174</v>
      </c>
      <c r="B539" t="s">
        <v>309</v>
      </c>
      <c r="C539" t="s">
        <v>340</v>
      </c>
      <c r="D539" t="s">
        <v>315</v>
      </c>
      <c r="E539" t="s">
        <v>1343</v>
      </c>
      <c r="F539" t="s">
        <v>340</v>
      </c>
      <c r="G539" t="s">
        <v>1201</v>
      </c>
      <c r="H539" t="s">
        <v>35</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row>
    <row r="540" spans="1:39" x14ac:dyDescent="0.35">
      <c r="A540" t="s">
        <v>174</v>
      </c>
      <c r="B540" t="s">
        <v>309</v>
      </c>
      <c r="C540" t="s">
        <v>340</v>
      </c>
      <c r="D540" t="s">
        <v>315</v>
      </c>
      <c r="E540" t="s">
        <v>1196</v>
      </c>
      <c r="F540" t="s">
        <v>340</v>
      </c>
      <c r="G540" t="s">
        <v>1201</v>
      </c>
      <c r="H540" t="s">
        <v>35</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row>
    <row r="541" spans="1:39" x14ac:dyDescent="0.35">
      <c r="A541" t="s">
        <v>174</v>
      </c>
      <c r="B541" t="s">
        <v>309</v>
      </c>
      <c r="C541" t="s">
        <v>340</v>
      </c>
      <c r="D541" t="s">
        <v>315</v>
      </c>
      <c r="E541" t="s">
        <v>1194</v>
      </c>
      <c r="F541" t="s">
        <v>340</v>
      </c>
      <c r="G541" t="s">
        <v>1201</v>
      </c>
      <c r="H541" t="s">
        <v>35</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row>
    <row r="542" spans="1:39" x14ac:dyDescent="0.35">
      <c r="A542" t="s">
        <v>174</v>
      </c>
      <c r="B542" t="s">
        <v>309</v>
      </c>
      <c r="C542" t="s">
        <v>340</v>
      </c>
      <c r="D542" t="s">
        <v>315</v>
      </c>
      <c r="E542" t="s">
        <v>2</v>
      </c>
      <c r="F542" t="s">
        <v>340</v>
      </c>
      <c r="G542" t="s">
        <v>1201</v>
      </c>
      <c r="H542" t="s">
        <v>35</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row>
    <row r="543" spans="1:39" x14ac:dyDescent="0.35">
      <c r="A543" t="s">
        <v>174</v>
      </c>
      <c r="B543" t="s">
        <v>309</v>
      </c>
      <c r="C543" t="s">
        <v>340</v>
      </c>
      <c r="D543" t="s">
        <v>315</v>
      </c>
      <c r="E543" t="s">
        <v>353</v>
      </c>
      <c r="F543" t="s">
        <v>340</v>
      </c>
      <c r="G543" t="s">
        <v>1201</v>
      </c>
      <c r="H543" t="s">
        <v>35</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row>
    <row r="544" spans="1:39" x14ac:dyDescent="0.35">
      <c r="A544" t="s">
        <v>174</v>
      </c>
      <c r="B544" t="s">
        <v>309</v>
      </c>
      <c r="C544" t="s">
        <v>340</v>
      </c>
      <c r="D544" t="s">
        <v>315</v>
      </c>
      <c r="E544" t="s">
        <v>352</v>
      </c>
      <c r="F544" t="s">
        <v>340</v>
      </c>
      <c r="G544" t="s">
        <v>1201</v>
      </c>
      <c r="H544" t="s">
        <v>68</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row>
    <row r="545" spans="1:39" x14ac:dyDescent="0.35">
      <c r="A545" t="s">
        <v>174</v>
      </c>
      <c r="B545" t="s">
        <v>309</v>
      </c>
      <c r="C545" t="s">
        <v>340</v>
      </c>
      <c r="D545" t="s">
        <v>315</v>
      </c>
      <c r="E545" t="s">
        <v>1346</v>
      </c>
      <c r="F545" t="s">
        <v>340</v>
      </c>
      <c r="G545" t="s">
        <v>1201</v>
      </c>
      <c r="H545" t="s">
        <v>35</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row>
    <row r="546" spans="1:39" x14ac:dyDescent="0.35">
      <c r="A546" t="s">
        <v>174</v>
      </c>
      <c r="B546" t="s">
        <v>309</v>
      </c>
      <c r="C546" t="s">
        <v>340</v>
      </c>
      <c r="D546" t="s">
        <v>315</v>
      </c>
      <c r="E546" t="s">
        <v>497</v>
      </c>
      <c r="F546" t="s">
        <v>340</v>
      </c>
      <c r="G546" t="s">
        <v>1201</v>
      </c>
      <c r="H546" t="s">
        <v>35</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row>
    <row r="547" spans="1:39" x14ac:dyDescent="0.35">
      <c r="A547" t="s">
        <v>174</v>
      </c>
      <c r="B547" t="s">
        <v>309</v>
      </c>
      <c r="C547" t="s">
        <v>340</v>
      </c>
      <c r="D547" t="s">
        <v>315</v>
      </c>
      <c r="E547" t="s">
        <v>1306</v>
      </c>
      <c r="F547" t="s">
        <v>340</v>
      </c>
      <c r="G547" t="s">
        <v>1201</v>
      </c>
      <c r="H547" t="s">
        <v>35</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row>
    <row r="548" spans="1:39" x14ac:dyDescent="0.35">
      <c r="A548" t="s">
        <v>174</v>
      </c>
      <c r="B548" t="s">
        <v>309</v>
      </c>
      <c r="C548" t="s">
        <v>340</v>
      </c>
      <c r="D548" t="s">
        <v>315</v>
      </c>
      <c r="E548" t="s">
        <v>349</v>
      </c>
      <c r="F548" t="s">
        <v>340</v>
      </c>
      <c r="G548" t="s">
        <v>1201</v>
      </c>
      <c r="H548" t="s">
        <v>35</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row>
    <row r="549" spans="1:39" x14ac:dyDescent="0.35">
      <c r="A549" t="s">
        <v>174</v>
      </c>
      <c r="B549" t="s">
        <v>309</v>
      </c>
      <c r="C549" t="s">
        <v>340</v>
      </c>
      <c r="D549" t="s">
        <v>315</v>
      </c>
      <c r="E549" t="s">
        <v>985</v>
      </c>
      <c r="F549" t="s">
        <v>340</v>
      </c>
      <c r="G549" t="s">
        <v>1201</v>
      </c>
      <c r="H549" t="s">
        <v>35</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row>
    <row r="550" spans="1:39" x14ac:dyDescent="0.35">
      <c r="A550" t="s">
        <v>174</v>
      </c>
      <c r="B550" t="s">
        <v>309</v>
      </c>
      <c r="C550" t="s">
        <v>340</v>
      </c>
      <c r="D550" t="s">
        <v>315</v>
      </c>
      <c r="E550" t="s">
        <v>355</v>
      </c>
      <c r="F550" t="s">
        <v>340</v>
      </c>
      <c r="G550" t="s">
        <v>1201</v>
      </c>
      <c r="H550" t="s">
        <v>35</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c r="AK550">
        <v>0</v>
      </c>
      <c r="AL550">
        <v>0</v>
      </c>
      <c r="AM550">
        <v>0</v>
      </c>
    </row>
    <row r="551" spans="1:39" x14ac:dyDescent="0.35">
      <c r="A551" t="s">
        <v>174</v>
      </c>
      <c r="B551" t="s">
        <v>309</v>
      </c>
      <c r="C551" t="s">
        <v>340</v>
      </c>
      <c r="D551" t="s">
        <v>315</v>
      </c>
      <c r="E551" t="s">
        <v>1339</v>
      </c>
      <c r="F551" t="s">
        <v>340</v>
      </c>
      <c r="G551" t="s">
        <v>1201</v>
      </c>
      <c r="H551" t="s">
        <v>35</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row>
    <row r="552" spans="1:39" x14ac:dyDescent="0.35">
      <c r="A552" t="s">
        <v>174</v>
      </c>
      <c r="B552" t="s">
        <v>309</v>
      </c>
      <c r="C552" t="s">
        <v>340</v>
      </c>
      <c r="D552" t="s">
        <v>315</v>
      </c>
      <c r="E552" t="s">
        <v>1348</v>
      </c>
      <c r="F552" t="s">
        <v>340</v>
      </c>
      <c r="G552" t="s">
        <v>1201</v>
      </c>
      <c r="H552" t="s">
        <v>35</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row>
    <row r="553" spans="1:39" x14ac:dyDescent="0.35">
      <c r="A553" t="s">
        <v>174</v>
      </c>
      <c r="B553" t="s">
        <v>309</v>
      </c>
      <c r="C553" t="s">
        <v>340</v>
      </c>
      <c r="D553" t="s">
        <v>315</v>
      </c>
      <c r="E553" t="s">
        <v>354</v>
      </c>
      <c r="F553" t="s">
        <v>340</v>
      </c>
      <c r="G553" t="s">
        <v>1201</v>
      </c>
      <c r="H553" t="s">
        <v>35</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c r="AK553">
        <v>0</v>
      </c>
      <c r="AL553">
        <v>0</v>
      </c>
      <c r="AM553">
        <v>0</v>
      </c>
    </row>
    <row r="554" spans="1:39" x14ac:dyDescent="0.35">
      <c r="A554" t="s">
        <v>174</v>
      </c>
      <c r="B554" t="s">
        <v>309</v>
      </c>
      <c r="C554" t="s">
        <v>340</v>
      </c>
      <c r="D554" t="s">
        <v>315</v>
      </c>
      <c r="E554" t="s">
        <v>19</v>
      </c>
      <c r="F554" t="s">
        <v>340</v>
      </c>
      <c r="G554" t="s">
        <v>1201</v>
      </c>
      <c r="H554" t="s">
        <v>35</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row>
    <row r="555" spans="1:39" x14ac:dyDescent="0.35">
      <c r="A555" t="s">
        <v>174</v>
      </c>
      <c r="B555" t="s">
        <v>309</v>
      </c>
      <c r="C555" t="s">
        <v>340</v>
      </c>
      <c r="D555" t="s">
        <v>315</v>
      </c>
      <c r="E555" t="s">
        <v>20</v>
      </c>
      <c r="F555" t="s">
        <v>340</v>
      </c>
      <c r="G555" t="s">
        <v>1201</v>
      </c>
      <c r="H555" t="s">
        <v>35</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row>
    <row r="556" spans="1:39" x14ac:dyDescent="0.35">
      <c r="A556" t="s">
        <v>174</v>
      </c>
      <c r="B556" t="s">
        <v>309</v>
      </c>
      <c r="C556" t="s">
        <v>340</v>
      </c>
      <c r="D556" t="s">
        <v>315</v>
      </c>
      <c r="E556" t="s">
        <v>350</v>
      </c>
      <c r="F556" t="s">
        <v>340</v>
      </c>
      <c r="G556" t="s">
        <v>1201</v>
      </c>
      <c r="H556" t="s">
        <v>35</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row>
    <row r="557" spans="1:39" x14ac:dyDescent="0.35">
      <c r="A557" t="s">
        <v>174</v>
      </c>
      <c r="B557" t="s">
        <v>309</v>
      </c>
      <c r="C557" t="s">
        <v>340</v>
      </c>
      <c r="D557" t="s">
        <v>315</v>
      </c>
      <c r="E557" t="s">
        <v>1347</v>
      </c>
      <c r="F557" t="s">
        <v>340</v>
      </c>
      <c r="G557" t="s">
        <v>1201</v>
      </c>
      <c r="H557" t="s">
        <v>35</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row>
    <row r="558" spans="1:39" x14ac:dyDescent="0.35">
      <c r="A558" t="s">
        <v>174</v>
      </c>
      <c r="B558" t="s">
        <v>309</v>
      </c>
      <c r="C558" t="s">
        <v>340</v>
      </c>
      <c r="D558" t="s">
        <v>315</v>
      </c>
      <c r="E558" t="s">
        <v>351</v>
      </c>
      <c r="F558" t="s">
        <v>340</v>
      </c>
      <c r="G558" t="s">
        <v>1201</v>
      </c>
      <c r="H558" t="s">
        <v>35</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0</v>
      </c>
      <c r="AL558">
        <v>0</v>
      </c>
      <c r="AM558">
        <v>0</v>
      </c>
    </row>
    <row r="559" spans="1:39" x14ac:dyDescent="0.35">
      <c r="A559" t="s">
        <v>174</v>
      </c>
      <c r="B559" t="s">
        <v>309</v>
      </c>
      <c r="C559" t="s">
        <v>340</v>
      </c>
      <c r="D559" t="s">
        <v>315</v>
      </c>
      <c r="E559" t="s">
        <v>500</v>
      </c>
      <c r="F559" t="s">
        <v>340</v>
      </c>
      <c r="G559" t="s">
        <v>1201</v>
      </c>
      <c r="H559" t="s">
        <v>35</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c r="AK559">
        <v>0</v>
      </c>
      <c r="AL559">
        <v>0</v>
      </c>
      <c r="AM559">
        <v>0</v>
      </c>
    </row>
    <row r="560" spans="1:39" x14ac:dyDescent="0.35">
      <c r="A560" t="s">
        <v>174</v>
      </c>
      <c r="B560" t="s">
        <v>309</v>
      </c>
      <c r="C560" t="s">
        <v>340</v>
      </c>
      <c r="D560" t="s">
        <v>315</v>
      </c>
      <c r="E560" t="s">
        <v>501</v>
      </c>
      <c r="F560" t="s">
        <v>340</v>
      </c>
      <c r="G560" t="s">
        <v>1201</v>
      </c>
      <c r="H560" t="s">
        <v>35</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row>
    <row r="561" spans="1:39" x14ac:dyDescent="0.35">
      <c r="A561" t="s">
        <v>174</v>
      </c>
      <c r="B561" t="s">
        <v>309</v>
      </c>
      <c r="C561" t="s">
        <v>340</v>
      </c>
      <c r="D561" t="s">
        <v>315</v>
      </c>
      <c r="E561" t="s">
        <v>28</v>
      </c>
      <c r="F561" t="s">
        <v>340</v>
      </c>
      <c r="G561" t="s">
        <v>1201</v>
      </c>
      <c r="H561" t="s">
        <v>35</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row>
    <row r="562" spans="1:39" x14ac:dyDescent="0.35">
      <c r="A562" t="s">
        <v>174</v>
      </c>
      <c r="B562" t="s">
        <v>309</v>
      </c>
      <c r="C562" t="s">
        <v>340</v>
      </c>
      <c r="D562" t="s">
        <v>315</v>
      </c>
      <c r="E562" t="s">
        <v>1318</v>
      </c>
      <c r="F562" t="s">
        <v>340</v>
      </c>
      <c r="G562" t="s">
        <v>1201</v>
      </c>
      <c r="H562" t="s">
        <v>67</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row>
    <row r="563" spans="1:39" x14ac:dyDescent="0.35">
      <c r="A563" t="s">
        <v>174</v>
      </c>
      <c r="B563" t="s">
        <v>309</v>
      </c>
      <c r="C563" t="s">
        <v>340</v>
      </c>
      <c r="D563" t="s">
        <v>315</v>
      </c>
      <c r="E563" t="s">
        <v>30</v>
      </c>
      <c r="F563" t="s">
        <v>340</v>
      </c>
      <c r="G563" t="s">
        <v>1201</v>
      </c>
      <c r="H563" t="s">
        <v>67</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row>
    <row r="564" spans="1:39" x14ac:dyDescent="0.35">
      <c r="A564" t="s">
        <v>174</v>
      </c>
      <c r="B564" t="s">
        <v>309</v>
      </c>
      <c r="C564" t="s">
        <v>340</v>
      </c>
      <c r="D564" t="s">
        <v>315</v>
      </c>
      <c r="E564" t="s">
        <v>31</v>
      </c>
      <c r="F564" t="s">
        <v>340</v>
      </c>
      <c r="G564" t="s">
        <v>1201</v>
      </c>
      <c r="H564" t="s">
        <v>35</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row>
    <row r="565" spans="1:39" x14ac:dyDescent="0.35">
      <c r="A565" t="s">
        <v>174</v>
      </c>
      <c r="B565" t="s">
        <v>309</v>
      </c>
      <c r="C565" t="s">
        <v>340</v>
      </c>
      <c r="D565" t="s">
        <v>315</v>
      </c>
      <c r="E565" t="s">
        <v>72</v>
      </c>
      <c r="F565" t="s">
        <v>340</v>
      </c>
      <c r="G565" t="s">
        <v>1201</v>
      </c>
      <c r="H565" t="s">
        <v>35</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row>
    <row r="566" spans="1:39" x14ac:dyDescent="0.35">
      <c r="A566" t="s">
        <v>174</v>
      </c>
      <c r="B566" t="s">
        <v>309</v>
      </c>
      <c r="C566" t="s">
        <v>340</v>
      </c>
      <c r="D566" t="s">
        <v>315</v>
      </c>
      <c r="E566" t="s">
        <v>542</v>
      </c>
      <c r="F566" t="s">
        <v>340</v>
      </c>
      <c r="G566" t="s">
        <v>1201</v>
      </c>
      <c r="H566" t="s">
        <v>35</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row>
    <row r="567" spans="1:39" x14ac:dyDescent="0.35">
      <c r="A567" t="s">
        <v>174</v>
      </c>
      <c r="B567" t="s">
        <v>309</v>
      </c>
      <c r="C567" t="s">
        <v>340</v>
      </c>
      <c r="D567" t="s">
        <v>315</v>
      </c>
      <c r="E567" t="s">
        <v>34</v>
      </c>
      <c r="F567" t="s">
        <v>340</v>
      </c>
      <c r="G567" t="s">
        <v>1201</v>
      </c>
      <c r="H567" t="s">
        <v>68</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row>
    <row r="568" spans="1:39" x14ac:dyDescent="0.35">
      <c r="A568" t="s">
        <v>174</v>
      </c>
      <c r="B568" t="s">
        <v>337</v>
      </c>
      <c r="C568" t="s">
        <v>340</v>
      </c>
      <c r="D568" t="s">
        <v>315</v>
      </c>
      <c r="E568" t="s">
        <v>1316</v>
      </c>
      <c r="F568" t="s">
        <v>340</v>
      </c>
      <c r="H568" t="s">
        <v>35</v>
      </c>
      <c r="I568">
        <v>136063</v>
      </c>
      <c r="J568">
        <v>92952</v>
      </c>
      <c r="K568">
        <v>124000</v>
      </c>
      <c r="L568">
        <v>109000</v>
      </c>
      <c r="M568">
        <v>221765</v>
      </c>
      <c r="N568">
        <v>214938</v>
      </c>
      <c r="O568">
        <v>249156</v>
      </c>
      <c r="P568">
        <v>280377</v>
      </c>
      <c r="Q568">
        <v>298952</v>
      </c>
      <c r="R568">
        <v>206980</v>
      </c>
      <c r="S568">
        <v>134838</v>
      </c>
      <c r="T568">
        <v>199836</v>
      </c>
      <c r="U568">
        <v>132544</v>
      </c>
      <c r="V568">
        <v>227536</v>
      </c>
      <c r="W568">
        <v>0</v>
      </c>
      <c r="X568">
        <v>0</v>
      </c>
      <c r="Y568">
        <v>0</v>
      </c>
      <c r="Z568">
        <v>0</v>
      </c>
      <c r="AA568">
        <v>0</v>
      </c>
      <c r="AB568">
        <v>0</v>
      </c>
      <c r="AC568">
        <v>0</v>
      </c>
      <c r="AD568">
        <v>0</v>
      </c>
      <c r="AE568">
        <v>0</v>
      </c>
      <c r="AF568">
        <v>0</v>
      </c>
      <c r="AG568">
        <v>0</v>
      </c>
      <c r="AH568">
        <v>0</v>
      </c>
      <c r="AI568">
        <v>0</v>
      </c>
      <c r="AJ568">
        <v>0</v>
      </c>
      <c r="AK568">
        <v>0</v>
      </c>
      <c r="AL568">
        <v>0</v>
      </c>
      <c r="AM568">
        <v>0</v>
      </c>
    </row>
    <row r="569" spans="1:39" x14ac:dyDescent="0.35">
      <c r="A569" t="s">
        <v>174</v>
      </c>
      <c r="B569" t="s">
        <v>337</v>
      </c>
      <c r="C569" t="s">
        <v>340</v>
      </c>
      <c r="D569" t="s">
        <v>315</v>
      </c>
      <c r="E569" t="s">
        <v>837</v>
      </c>
      <c r="F569" t="s">
        <v>340</v>
      </c>
      <c r="H569" t="s">
        <v>69</v>
      </c>
      <c r="I569">
        <v>802</v>
      </c>
      <c r="J569">
        <v>1759</v>
      </c>
      <c r="K569">
        <v>1359</v>
      </c>
      <c r="L569">
        <v>1006</v>
      </c>
      <c r="M569">
        <v>713</v>
      </c>
      <c r="N569">
        <v>1281</v>
      </c>
      <c r="O569">
        <v>956</v>
      </c>
      <c r="P569">
        <v>634</v>
      </c>
      <c r="Q569">
        <v>1837</v>
      </c>
      <c r="R569">
        <v>1471</v>
      </c>
      <c r="S569">
        <v>1075</v>
      </c>
      <c r="T569">
        <v>538</v>
      </c>
      <c r="U569">
        <v>1465</v>
      </c>
      <c r="V569">
        <v>1165</v>
      </c>
      <c r="W569">
        <v>0</v>
      </c>
      <c r="X569">
        <v>0</v>
      </c>
      <c r="Y569">
        <v>0</v>
      </c>
      <c r="Z569">
        <v>0</v>
      </c>
      <c r="AA569">
        <v>0</v>
      </c>
      <c r="AB569">
        <v>0</v>
      </c>
      <c r="AC569">
        <v>0</v>
      </c>
      <c r="AD569">
        <v>0</v>
      </c>
      <c r="AE569">
        <v>0</v>
      </c>
      <c r="AF569">
        <v>0</v>
      </c>
      <c r="AG569">
        <v>0</v>
      </c>
      <c r="AH569">
        <v>0</v>
      </c>
      <c r="AI569">
        <v>0</v>
      </c>
      <c r="AJ569">
        <v>0</v>
      </c>
      <c r="AK569">
        <v>0</v>
      </c>
      <c r="AL569">
        <v>0</v>
      </c>
      <c r="AM569">
        <v>0</v>
      </c>
    </row>
    <row r="570" spans="1:39" x14ac:dyDescent="0.35">
      <c r="A570" t="s">
        <v>174</v>
      </c>
      <c r="B570" t="s">
        <v>337</v>
      </c>
      <c r="C570" t="s">
        <v>340</v>
      </c>
      <c r="D570" t="s">
        <v>315</v>
      </c>
      <c r="E570" t="s">
        <v>914</v>
      </c>
      <c r="F570" t="s">
        <v>340</v>
      </c>
      <c r="H570" t="s">
        <v>35</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row>
    <row r="571" spans="1:39" x14ac:dyDescent="0.35">
      <c r="A571" t="s">
        <v>174</v>
      </c>
      <c r="B571" t="s">
        <v>337</v>
      </c>
      <c r="C571" t="s">
        <v>340</v>
      </c>
      <c r="D571" t="s">
        <v>315</v>
      </c>
      <c r="E571" t="s">
        <v>484</v>
      </c>
      <c r="F571" t="s">
        <v>340</v>
      </c>
      <c r="H571" t="s">
        <v>67</v>
      </c>
      <c r="I571">
        <v>22558</v>
      </c>
      <c r="J571">
        <v>17136</v>
      </c>
      <c r="K571">
        <v>22080</v>
      </c>
      <c r="L571">
        <v>12000</v>
      </c>
      <c r="M571">
        <v>24480</v>
      </c>
      <c r="N571">
        <v>16119</v>
      </c>
      <c r="O571">
        <v>25880</v>
      </c>
      <c r="P571">
        <v>19680</v>
      </c>
      <c r="Q571">
        <v>19865</v>
      </c>
      <c r="R571">
        <v>28790</v>
      </c>
      <c r="S571">
        <v>19359</v>
      </c>
      <c r="T571">
        <v>27003</v>
      </c>
      <c r="U571">
        <v>19370</v>
      </c>
      <c r="V571">
        <v>22435</v>
      </c>
      <c r="W571">
        <v>0</v>
      </c>
      <c r="X571">
        <v>0</v>
      </c>
      <c r="Y571">
        <v>0</v>
      </c>
      <c r="Z571">
        <v>0</v>
      </c>
      <c r="AA571">
        <v>0</v>
      </c>
      <c r="AB571">
        <v>0</v>
      </c>
      <c r="AC571">
        <v>0</v>
      </c>
      <c r="AD571">
        <v>0</v>
      </c>
      <c r="AE571">
        <v>0</v>
      </c>
      <c r="AF571">
        <v>0</v>
      </c>
      <c r="AG571">
        <v>0</v>
      </c>
      <c r="AH571">
        <v>0</v>
      </c>
      <c r="AI571">
        <v>0</v>
      </c>
      <c r="AJ571">
        <v>0</v>
      </c>
      <c r="AK571">
        <v>0</v>
      </c>
      <c r="AL571">
        <v>0</v>
      </c>
      <c r="AM571">
        <v>0</v>
      </c>
    </row>
    <row r="572" spans="1:39" x14ac:dyDescent="0.35">
      <c r="A572" t="s">
        <v>174</v>
      </c>
      <c r="B572" t="s">
        <v>337</v>
      </c>
      <c r="C572" t="s">
        <v>340</v>
      </c>
      <c r="D572" t="s">
        <v>315</v>
      </c>
      <c r="E572" t="s">
        <v>507</v>
      </c>
      <c r="F572" t="s">
        <v>340</v>
      </c>
      <c r="H572" t="s">
        <v>67</v>
      </c>
      <c r="I572">
        <v>17118</v>
      </c>
      <c r="J572">
        <v>13240</v>
      </c>
      <c r="K572">
        <v>13440</v>
      </c>
      <c r="L572">
        <v>7200</v>
      </c>
      <c r="M572">
        <v>16086</v>
      </c>
      <c r="N572">
        <v>10128</v>
      </c>
      <c r="O572">
        <v>19168</v>
      </c>
      <c r="P572">
        <v>15087</v>
      </c>
      <c r="Q572">
        <v>13457</v>
      </c>
      <c r="R572">
        <v>18676</v>
      </c>
      <c r="S572">
        <v>12866</v>
      </c>
      <c r="T572">
        <v>18428</v>
      </c>
      <c r="U572">
        <v>13578</v>
      </c>
      <c r="V572">
        <v>15306</v>
      </c>
      <c r="W572">
        <v>0</v>
      </c>
      <c r="X572">
        <v>0</v>
      </c>
      <c r="Y572">
        <v>0</v>
      </c>
      <c r="Z572">
        <v>0</v>
      </c>
      <c r="AA572">
        <v>0</v>
      </c>
      <c r="AB572">
        <v>0</v>
      </c>
      <c r="AC572">
        <v>0</v>
      </c>
      <c r="AD572">
        <v>0</v>
      </c>
      <c r="AE572">
        <v>0</v>
      </c>
      <c r="AF572">
        <v>0</v>
      </c>
      <c r="AG572">
        <v>0</v>
      </c>
      <c r="AH572">
        <v>0</v>
      </c>
      <c r="AI572">
        <v>0</v>
      </c>
      <c r="AJ572">
        <v>0</v>
      </c>
      <c r="AK572">
        <v>0</v>
      </c>
      <c r="AL572">
        <v>0</v>
      </c>
      <c r="AM572">
        <v>0</v>
      </c>
    </row>
    <row r="573" spans="1:39" x14ac:dyDescent="0.35">
      <c r="A573" t="s">
        <v>174</v>
      </c>
      <c r="B573" t="s">
        <v>337</v>
      </c>
      <c r="C573" t="s">
        <v>340</v>
      </c>
      <c r="D573" t="s">
        <v>315</v>
      </c>
      <c r="E573" t="s">
        <v>915</v>
      </c>
      <c r="F573" t="s">
        <v>340</v>
      </c>
      <c r="H573" t="s">
        <v>35</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row>
    <row r="574" spans="1:39" x14ac:dyDescent="0.35">
      <c r="A574" t="s">
        <v>174</v>
      </c>
      <c r="B574" t="s">
        <v>337</v>
      </c>
      <c r="C574" t="s">
        <v>340</v>
      </c>
      <c r="D574" t="s">
        <v>315</v>
      </c>
      <c r="E574" t="s">
        <v>540</v>
      </c>
      <c r="F574" t="s">
        <v>340</v>
      </c>
      <c r="H574" t="s">
        <v>67</v>
      </c>
      <c r="I574">
        <v>9669</v>
      </c>
      <c r="J574">
        <v>7147</v>
      </c>
      <c r="K574">
        <v>9969</v>
      </c>
      <c r="L574">
        <v>6075</v>
      </c>
      <c r="M574">
        <v>9047</v>
      </c>
      <c r="N574">
        <v>16809</v>
      </c>
      <c r="O574">
        <v>17775</v>
      </c>
      <c r="P574">
        <v>23010</v>
      </c>
      <c r="Q574">
        <v>23775</v>
      </c>
      <c r="R574">
        <v>3665</v>
      </c>
      <c r="S574">
        <v>301</v>
      </c>
      <c r="T574">
        <v>5061</v>
      </c>
      <c r="U574">
        <v>3447</v>
      </c>
      <c r="V574">
        <v>4947</v>
      </c>
      <c r="W574">
        <v>0</v>
      </c>
      <c r="X574">
        <v>0</v>
      </c>
      <c r="Y574">
        <v>0</v>
      </c>
      <c r="Z574">
        <v>0</v>
      </c>
      <c r="AA574">
        <v>0</v>
      </c>
      <c r="AB574">
        <v>0</v>
      </c>
      <c r="AC574">
        <v>0</v>
      </c>
      <c r="AD574">
        <v>0</v>
      </c>
      <c r="AE574">
        <v>0</v>
      </c>
      <c r="AF574">
        <v>0</v>
      </c>
      <c r="AG574">
        <v>0</v>
      </c>
      <c r="AH574">
        <v>0</v>
      </c>
      <c r="AI574">
        <v>0</v>
      </c>
      <c r="AJ574">
        <v>0</v>
      </c>
      <c r="AK574">
        <v>0</v>
      </c>
      <c r="AL574">
        <v>0</v>
      </c>
      <c r="AM574">
        <v>0</v>
      </c>
    </row>
    <row r="575" spans="1:39" x14ac:dyDescent="0.35">
      <c r="A575" t="s">
        <v>174</v>
      </c>
      <c r="B575" t="s">
        <v>337</v>
      </c>
      <c r="C575" t="s">
        <v>340</v>
      </c>
      <c r="D575" t="s">
        <v>315</v>
      </c>
      <c r="E575" t="s">
        <v>496</v>
      </c>
      <c r="F575" t="s">
        <v>340</v>
      </c>
      <c r="H575" t="s">
        <v>35</v>
      </c>
      <c r="I575">
        <v>28674.081079377087</v>
      </c>
      <c r="J575">
        <v>23610.333522476514</v>
      </c>
      <c r="K575">
        <v>38500</v>
      </c>
      <c r="L575">
        <v>28317</v>
      </c>
      <c r="M575">
        <v>24758.182670281403</v>
      </c>
      <c r="N575">
        <v>18480.597755500916</v>
      </c>
      <c r="O575">
        <v>33849.17571401551</v>
      </c>
      <c r="P575">
        <v>28089.889687493433</v>
      </c>
      <c r="Q575">
        <v>20597.198579324548</v>
      </c>
      <c r="R575">
        <v>43053</v>
      </c>
      <c r="S575">
        <v>34907.888573650256</v>
      </c>
      <c r="T575">
        <v>28997.217556690415</v>
      </c>
      <c r="U575">
        <v>25224.657272555323</v>
      </c>
      <c r="V575">
        <v>34067.304772712945</v>
      </c>
      <c r="W575">
        <v>0</v>
      </c>
      <c r="X575">
        <v>0</v>
      </c>
      <c r="Y575">
        <v>0</v>
      </c>
      <c r="Z575">
        <v>0</v>
      </c>
      <c r="AA575">
        <v>0</v>
      </c>
      <c r="AB575">
        <v>0</v>
      </c>
      <c r="AC575">
        <v>0</v>
      </c>
      <c r="AD575">
        <v>0</v>
      </c>
      <c r="AE575">
        <v>0</v>
      </c>
      <c r="AF575">
        <v>0</v>
      </c>
      <c r="AG575">
        <v>0</v>
      </c>
      <c r="AH575">
        <v>0</v>
      </c>
      <c r="AI575">
        <v>0</v>
      </c>
      <c r="AJ575">
        <v>0</v>
      </c>
      <c r="AK575">
        <v>0</v>
      </c>
      <c r="AL575">
        <v>0</v>
      </c>
      <c r="AM575">
        <v>0</v>
      </c>
    </row>
    <row r="576" spans="1:39" x14ac:dyDescent="0.35">
      <c r="A576" t="s">
        <v>174</v>
      </c>
      <c r="B576" t="s">
        <v>337</v>
      </c>
      <c r="C576" t="s">
        <v>340</v>
      </c>
      <c r="D576" t="s">
        <v>315</v>
      </c>
      <c r="E576" t="s">
        <v>1195</v>
      </c>
      <c r="F576" t="s">
        <v>340</v>
      </c>
      <c r="H576" t="s">
        <v>35</v>
      </c>
      <c r="I576">
        <v>17537.040539688544</v>
      </c>
      <c r="J576">
        <v>15555.166761238257</v>
      </c>
      <c r="K576">
        <v>19000</v>
      </c>
      <c r="L576">
        <v>14406</v>
      </c>
      <c r="M576">
        <v>19056.0913351407</v>
      </c>
      <c r="N576">
        <v>17855.798877750458</v>
      </c>
      <c r="O576">
        <v>15905.087857007755</v>
      </c>
      <c r="P576">
        <v>14614.444843746716</v>
      </c>
      <c r="Q576">
        <v>13251.599289662274</v>
      </c>
      <c r="R576">
        <v>19096</v>
      </c>
      <c r="S576">
        <v>17322.944286825128</v>
      </c>
      <c r="T576">
        <v>23813.108778345206</v>
      </c>
      <c r="U576">
        <v>22633.828636277663</v>
      </c>
      <c r="V576">
        <v>21518.152386356473</v>
      </c>
      <c r="W576">
        <v>0</v>
      </c>
      <c r="X576">
        <v>0</v>
      </c>
      <c r="Y576">
        <v>0</v>
      </c>
      <c r="Z576">
        <v>0</v>
      </c>
      <c r="AA576">
        <v>0</v>
      </c>
      <c r="AB576">
        <v>0</v>
      </c>
      <c r="AC576">
        <v>0</v>
      </c>
      <c r="AD576">
        <v>0</v>
      </c>
      <c r="AE576">
        <v>0</v>
      </c>
      <c r="AF576">
        <v>0</v>
      </c>
      <c r="AG576">
        <v>0</v>
      </c>
      <c r="AH576">
        <v>0</v>
      </c>
      <c r="AI576">
        <v>0</v>
      </c>
      <c r="AJ576">
        <v>0</v>
      </c>
      <c r="AK576">
        <v>0</v>
      </c>
      <c r="AL576">
        <v>0</v>
      </c>
      <c r="AM576">
        <v>0</v>
      </c>
    </row>
    <row r="577" spans="1:39" x14ac:dyDescent="0.35">
      <c r="A577" t="s">
        <v>174</v>
      </c>
      <c r="B577" t="s">
        <v>337</v>
      </c>
      <c r="C577" t="s">
        <v>340</v>
      </c>
      <c r="D577" t="s">
        <v>315</v>
      </c>
      <c r="E577" t="s">
        <v>511</v>
      </c>
      <c r="F577" t="s">
        <v>340</v>
      </c>
      <c r="H577" t="s">
        <v>35</v>
      </c>
      <c r="I577">
        <v>44070</v>
      </c>
      <c r="J577">
        <v>44070</v>
      </c>
      <c r="K577">
        <v>44070</v>
      </c>
      <c r="L577">
        <v>44070</v>
      </c>
      <c r="M577">
        <v>34800</v>
      </c>
      <c r="N577">
        <v>34800</v>
      </c>
      <c r="O577">
        <v>34800</v>
      </c>
      <c r="P577">
        <v>34800</v>
      </c>
      <c r="Q577">
        <v>34800</v>
      </c>
      <c r="R577">
        <v>34800</v>
      </c>
      <c r="S577">
        <v>34800</v>
      </c>
      <c r="T577">
        <v>34800</v>
      </c>
      <c r="U577">
        <v>43700</v>
      </c>
      <c r="V577">
        <v>44250</v>
      </c>
      <c r="W577">
        <v>0</v>
      </c>
      <c r="X577">
        <v>0</v>
      </c>
      <c r="Y577">
        <v>0</v>
      </c>
      <c r="Z577">
        <v>0</v>
      </c>
      <c r="AA577">
        <v>0</v>
      </c>
      <c r="AB577">
        <v>0</v>
      </c>
      <c r="AC577">
        <v>0</v>
      </c>
      <c r="AD577">
        <v>0</v>
      </c>
      <c r="AE577">
        <v>0</v>
      </c>
      <c r="AF577">
        <v>0</v>
      </c>
      <c r="AG577">
        <v>0</v>
      </c>
      <c r="AH577">
        <v>0</v>
      </c>
      <c r="AI577">
        <v>0</v>
      </c>
      <c r="AJ577">
        <v>0</v>
      </c>
      <c r="AK577">
        <v>0</v>
      </c>
      <c r="AL577">
        <v>0</v>
      </c>
      <c r="AM577">
        <v>0</v>
      </c>
    </row>
    <row r="578" spans="1:39" x14ac:dyDescent="0.35">
      <c r="A578" t="s">
        <v>174</v>
      </c>
      <c r="B578" t="s">
        <v>337</v>
      </c>
      <c r="C578" t="s">
        <v>340</v>
      </c>
      <c r="D578" t="s">
        <v>315</v>
      </c>
      <c r="E578" t="s">
        <v>509</v>
      </c>
      <c r="F578" t="s">
        <v>340</v>
      </c>
      <c r="H578" t="s">
        <v>35</v>
      </c>
      <c r="I578">
        <v>86160.176533635968</v>
      </c>
      <c r="J578">
        <v>74157.071433074831</v>
      </c>
      <c r="K578">
        <v>107730</v>
      </c>
      <c r="L578">
        <v>102870</v>
      </c>
      <c r="M578">
        <v>86978.692179980251</v>
      </c>
      <c r="N578">
        <v>76462.530105289698</v>
      </c>
      <c r="O578">
        <v>69693.12799319085</v>
      </c>
      <c r="P578">
        <v>133661.70901372339</v>
      </c>
      <c r="Q578">
        <v>121893.84864342307</v>
      </c>
      <c r="R578">
        <v>109350</v>
      </c>
      <c r="S578">
        <v>95960.43650043082</v>
      </c>
      <c r="T578">
        <v>86897.793539709557</v>
      </c>
      <c r="U578">
        <v>77256.56326839418</v>
      </c>
      <c r="V578">
        <v>117475.54693903285</v>
      </c>
      <c r="W578">
        <v>0</v>
      </c>
      <c r="X578">
        <v>0</v>
      </c>
      <c r="Y578">
        <v>0</v>
      </c>
      <c r="Z578">
        <v>0</v>
      </c>
      <c r="AA578">
        <v>0</v>
      </c>
      <c r="AB578">
        <v>0</v>
      </c>
      <c r="AC578">
        <v>0</v>
      </c>
      <c r="AD578">
        <v>0</v>
      </c>
      <c r="AE578">
        <v>0</v>
      </c>
      <c r="AF578">
        <v>0</v>
      </c>
      <c r="AG578">
        <v>0</v>
      </c>
      <c r="AH578">
        <v>0</v>
      </c>
      <c r="AI578">
        <v>0</v>
      </c>
      <c r="AJ578">
        <v>0</v>
      </c>
      <c r="AK578">
        <v>0</v>
      </c>
      <c r="AL578">
        <v>0</v>
      </c>
      <c r="AM578">
        <v>0</v>
      </c>
    </row>
    <row r="579" spans="1:39" x14ac:dyDescent="0.35">
      <c r="A579" t="s">
        <v>174</v>
      </c>
      <c r="B579" t="s">
        <v>337</v>
      </c>
      <c r="C579" t="s">
        <v>340</v>
      </c>
      <c r="D579" t="s">
        <v>315</v>
      </c>
      <c r="E579" t="s">
        <v>1345</v>
      </c>
      <c r="F579" t="s">
        <v>340</v>
      </c>
      <c r="H579" t="s">
        <v>35</v>
      </c>
      <c r="I579">
        <v>8292</v>
      </c>
      <c r="J579">
        <v>6348</v>
      </c>
      <c r="K579">
        <v>28296</v>
      </c>
      <c r="L579">
        <v>19481</v>
      </c>
      <c r="M579">
        <v>18592</v>
      </c>
      <c r="N579">
        <v>16731</v>
      </c>
      <c r="O579">
        <v>8334</v>
      </c>
      <c r="P579">
        <v>7564</v>
      </c>
      <c r="Q579">
        <v>6789</v>
      </c>
      <c r="R579">
        <v>16620</v>
      </c>
      <c r="S579">
        <v>12097</v>
      </c>
      <c r="T579">
        <v>6281</v>
      </c>
      <c r="U579">
        <v>4916</v>
      </c>
      <c r="V579">
        <v>15215</v>
      </c>
      <c r="W579">
        <v>0</v>
      </c>
      <c r="X579">
        <v>0</v>
      </c>
      <c r="Y579">
        <v>0</v>
      </c>
      <c r="Z579">
        <v>0</v>
      </c>
      <c r="AA579">
        <v>0</v>
      </c>
      <c r="AB579">
        <v>0</v>
      </c>
      <c r="AC579">
        <v>0</v>
      </c>
      <c r="AD579">
        <v>0</v>
      </c>
      <c r="AE579">
        <v>0</v>
      </c>
      <c r="AF579">
        <v>0</v>
      </c>
      <c r="AG579">
        <v>0</v>
      </c>
      <c r="AH579">
        <v>0</v>
      </c>
      <c r="AI579">
        <v>0</v>
      </c>
      <c r="AJ579">
        <v>0</v>
      </c>
      <c r="AK579">
        <v>0</v>
      </c>
      <c r="AL579">
        <v>0</v>
      </c>
      <c r="AM579">
        <v>0</v>
      </c>
    </row>
    <row r="580" spans="1:39" x14ac:dyDescent="0.35">
      <c r="A580" t="s">
        <v>174</v>
      </c>
      <c r="B580" t="s">
        <v>337</v>
      </c>
      <c r="C580" t="s">
        <v>340</v>
      </c>
      <c r="D580" t="s">
        <v>315</v>
      </c>
      <c r="E580" t="s">
        <v>1344</v>
      </c>
      <c r="F580" t="s">
        <v>340</v>
      </c>
      <c r="H580" t="s">
        <v>35</v>
      </c>
      <c r="I580">
        <v>8726</v>
      </c>
      <c r="J580">
        <v>8346</v>
      </c>
      <c r="K580">
        <v>7571</v>
      </c>
      <c r="L580">
        <v>3892</v>
      </c>
      <c r="M580">
        <v>6410</v>
      </c>
      <c r="N580">
        <v>5946</v>
      </c>
      <c r="O580">
        <v>5448</v>
      </c>
      <c r="P580">
        <v>4991</v>
      </c>
      <c r="Q580">
        <v>4563</v>
      </c>
      <c r="R580">
        <v>10077</v>
      </c>
      <c r="S580">
        <v>9480</v>
      </c>
      <c r="T580">
        <v>9175</v>
      </c>
      <c r="U580">
        <v>9219</v>
      </c>
      <c r="V580">
        <v>8105</v>
      </c>
      <c r="W580">
        <v>0</v>
      </c>
      <c r="X580">
        <v>0</v>
      </c>
      <c r="Y580">
        <v>0</v>
      </c>
      <c r="Z580">
        <v>0</v>
      </c>
      <c r="AA580">
        <v>0</v>
      </c>
      <c r="AB580">
        <v>0</v>
      </c>
      <c r="AC580">
        <v>0</v>
      </c>
      <c r="AD580">
        <v>0</v>
      </c>
      <c r="AE580">
        <v>0</v>
      </c>
      <c r="AF580">
        <v>0</v>
      </c>
      <c r="AG580">
        <v>0</v>
      </c>
      <c r="AH580">
        <v>0</v>
      </c>
      <c r="AI580">
        <v>0</v>
      </c>
      <c r="AJ580">
        <v>0</v>
      </c>
      <c r="AK580">
        <v>0</v>
      </c>
      <c r="AL580">
        <v>0</v>
      </c>
      <c r="AM580">
        <v>0</v>
      </c>
    </row>
    <row r="581" spans="1:39" x14ac:dyDescent="0.35">
      <c r="A581" t="s">
        <v>174</v>
      </c>
      <c r="B581" t="s">
        <v>337</v>
      </c>
      <c r="C581" t="s">
        <v>340</v>
      </c>
      <c r="D581" t="s">
        <v>315</v>
      </c>
      <c r="E581" t="s">
        <v>1343</v>
      </c>
      <c r="F581" t="s">
        <v>340</v>
      </c>
      <c r="H581" t="s">
        <v>35</v>
      </c>
      <c r="I581">
        <v>15430</v>
      </c>
      <c r="J581">
        <v>14938</v>
      </c>
      <c r="K581">
        <v>13200</v>
      </c>
      <c r="L581">
        <v>12700</v>
      </c>
      <c r="M581">
        <v>15001</v>
      </c>
      <c r="N581">
        <v>13933</v>
      </c>
      <c r="O581">
        <v>13723</v>
      </c>
      <c r="P581">
        <v>14540</v>
      </c>
      <c r="Q581">
        <v>13575</v>
      </c>
      <c r="R581">
        <v>14104</v>
      </c>
      <c r="S581">
        <v>2998</v>
      </c>
      <c r="T581">
        <v>2243</v>
      </c>
      <c r="U581">
        <v>14528</v>
      </c>
      <c r="V581">
        <v>27948</v>
      </c>
      <c r="W581">
        <v>0</v>
      </c>
      <c r="X581">
        <v>0</v>
      </c>
      <c r="Y581">
        <v>0</v>
      </c>
      <c r="Z581">
        <v>0</v>
      </c>
      <c r="AA581">
        <v>0</v>
      </c>
      <c r="AB581">
        <v>0</v>
      </c>
      <c r="AC581">
        <v>0</v>
      </c>
      <c r="AD581">
        <v>0</v>
      </c>
      <c r="AE581">
        <v>0</v>
      </c>
      <c r="AF581">
        <v>0</v>
      </c>
      <c r="AG581">
        <v>0</v>
      </c>
      <c r="AH581">
        <v>0</v>
      </c>
      <c r="AI581">
        <v>0</v>
      </c>
      <c r="AJ581">
        <v>0</v>
      </c>
      <c r="AK581">
        <v>0</v>
      </c>
      <c r="AL581">
        <v>0</v>
      </c>
      <c r="AM581">
        <v>0</v>
      </c>
    </row>
    <row r="582" spans="1:39" x14ac:dyDescent="0.35">
      <c r="A582" t="s">
        <v>174</v>
      </c>
      <c r="B582" t="s">
        <v>337</v>
      </c>
      <c r="C582" t="s">
        <v>340</v>
      </c>
      <c r="D582" t="s">
        <v>315</v>
      </c>
      <c r="E582" t="s">
        <v>1196</v>
      </c>
      <c r="F582" t="s">
        <v>340</v>
      </c>
      <c r="H582" t="s">
        <v>35</v>
      </c>
      <c r="I582">
        <v>165351.05499999999</v>
      </c>
      <c r="J582">
        <v>146374.29999999999</v>
      </c>
      <c r="K582">
        <v>174000</v>
      </c>
      <c r="L582">
        <v>147000</v>
      </c>
      <c r="M582">
        <v>161011.21</v>
      </c>
      <c r="N582">
        <v>305776.87</v>
      </c>
      <c r="O582">
        <v>349452.97</v>
      </c>
      <c r="P582">
        <v>328757.65999999997</v>
      </c>
      <c r="Q582">
        <v>313380.92499999999</v>
      </c>
      <c r="R582">
        <v>98602.180000000008</v>
      </c>
      <c r="S582">
        <v>57040.544999999998</v>
      </c>
      <c r="T582">
        <v>78284.34</v>
      </c>
      <c r="U582">
        <v>62791.789999999994</v>
      </c>
      <c r="V582">
        <v>173957.065</v>
      </c>
      <c r="W582">
        <v>0</v>
      </c>
      <c r="X582">
        <v>0</v>
      </c>
      <c r="Y582">
        <v>0</v>
      </c>
      <c r="Z582">
        <v>0</v>
      </c>
      <c r="AA582">
        <v>0</v>
      </c>
      <c r="AB582">
        <v>0</v>
      </c>
      <c r="AC582">
        <v>0</v>
      </c>
      <c r="AD582">
        <v>0</v>
      </c>
      <c r="AE582">
        <v>0</v>
      </c>
      <c r="AF582">
        <v>0</v>
      </c>
      <c r="AG582">
        <v>0</v>
      </c>
      <c r="AH582">
        <v>0</v>
      </c>
      <c r="AI582">
        <v>0</v>
      </c>
      <c r="AJ582">
        <v>0</v>
      </c>
      <c r="AK582">
        <v>0</v>
      </c>
      <c r="AL582">
        <v>0</v>
      </c>
      <c r="AM582">
        <v>0</v>
      </c>
    </row>
    <row r="583" spans="1:39" x14ac:dyDescent="0.35">
      <c r="A583" t="s">
        <v>174</v>
      </c>
      <c r="B583" t="s">
        <v>337</v>
      </c>
      <c r="C583" t="s">
        <v>340</v>
      </c>
      <c r="D583" t="s">
        <v>315</v>
      </c>
      <c r="E583" t="s">
        <v>1194</v>
      </c>
      <c r="F583" t="s">
        <v>340</v>
      </c>
      <c r="H583" t="s">
        <v>35</v>
      </c>
      <c r="I583">
        <v>275354.1075594225</v>
      </c>
      <c r="J583">
        <v>260527.39423743775</v>
      </c>
      <c r="K583">
        <v>258000</v>
      </c>
      <c r="L583">
        <v>243000</v>
      </c>
      <c r="M583">
        <v>238364.1531639451</v>
      </c>
      <c r="N583">
        <v>138380.47727129437</v>
      </c>
      <c r="O583">
        <v>139039.07991299414</v>
      </c>
      <c r="P583">
        <v>140013.8127062186</v>
      </c>
      <c r="Q583">
        <v>141464.60920917135</v>
      </c>
      <c r="R583">
        <v>40000</v>
      </c>
      <c r="S583">
        <v>23448.787382048209</v>
      </c>
      <c r="T583">
        <v>28268.719920980184</v>
      </c>
      <c r="U583">
        <v>31361.641762814452</v>
      </c>
      <c r="V583">
        <v>68030.136813567864</v>
      </c>
      <c r="W583">
        <v>0</v>
      </c>
      <c r="X583">
        <v>0</v>
      </c>
      <c r="Y583">
        <v>0</v>
      </c>
      <c r="Z583">
        <v>0</v>
      </c>
      <c r="AA583">
        <v>0</v>
      </c>
      <c r="AB583">
        <v>0</v>
      </c>
      <c r="AC583">
        <v>0</v>
      </c>
      <c r="AD583">
        <v>0</v>
      </c>
      <c r="AE583">
        <v>0</v>
      </c>
      <c r="AF583">
        <v>0</v>
      </c>
      <c r="AG583">
        <v>0</v>
      </c>
      <c r="AH583">
        <v>0</v>
      </c>
      <c r="AI583">
        <v>0</v>
      </c>
      <c r="AJ583">
        <v>0</v>
      </c>
      <c r="AK583">
        <v>0</v>
      </c>
      <c r="AL583">
        <v>0</v>
      </c>
      <c r="AM583">
        <v>0</v>
      </c>
    </row>
    <row r="584" spans="1:39" x14ac:dyDescent="0.35">
      <c r="A584" t="s">
        <v>174</v>
      </c>
      <c r="B584" t="s">
        <v>337</v>
      </c>
      <c r="C584" t="s">
        <v>340</v>
      </c>
      <c r="D584" t="s">
        <v>315</v>
      </c>
      <c r="E584" t="s">
        <v>2</v>
      </c>
      <c r="F584" t="s">
        <v>340</v>
      </c>
      <c r="H584" t="s">
        <v>35</v>
      </c>
      <c r="I584">
        <v>20845.32</v>
      </c>
      <c r="J584">
        <v>27588.2</v>
      </c>
      <c r="K584">
        <v>34327</v>
      </c>
      <c r="L584">
        <v>18210</v>
      </c>
      <c r="M584">
        <v>27588.04</v>
      </c>
      <c r="N584">
        <v>31152.880000000001</v>
      </c>
      <c r="O584">
        <v>28402.28</v>
      </c>
      <c r="P584">
        <v>29071.84</v>
      </c>
      <c r="Q584">
        <v>36379.199999999997</v>
      </c>
      <c r="R584">
        <v>46176.32</v>
      </c>
      <c r="S584">
        <v>32962.080000000002</v>
      </c>
      <c r="T584">
        <v>32916.160000000003</v>
      </c>
      <c r="U584">
        <v>29608.959999999999</v>
      </c>
      <c r="V584">
        <v>18879.560000000001</v>
      </c>
      <c r="W584">
        <v>0</v>
      </c>
      <c r="X584">
        <v>0</v>
      </c>
      <c r="Y584">
        <v>0</v>
      </c>
      <c r="Z584">
        <v>0</v>
      </c>
      <c r="AA584">
        <v>0</v>
      </c>
      <c r="AB584">
        <v>0</v>
      </c>
      <c r="AC584">
        <v>0</v>
      </c>
      <c r="AD584">
        <v>0</v>
      </c>
      <c r="AE584">
        <v>0</v>
      </c>
      <c r="AF584">
        <v>0</v>
      </c>
      <c r="AG584">
        <v>0</v>
      </c>
      <c r="AH584">
        <v>0</v>
      </c>
      <c r="AI584">
        <v>0</v>
      </c>
      <c r="AJ584">
        <v>0</v>
      </c>
      <c r="AK584">
        <v>0</v>
      </c>
      <c r="AL584">
        <v>0</v>
      </c>
      <c r="AM584">
        <v>0</v>
      </c>
    </row>
    <row r="585" spans="1:39" x14ac:dyDescent="0.35">
      <c r="A585" t="s">
        <v>174</v>
      </c>
      <c r="B585" t="s">
        <v>337</v>
      </c>
      <c r="C585" t="s">
        <v>340</v>
      </c>
      <c r="D585" t="s">
        <v>315</v>
      </c>
      <c r="E585" t="s">
        <v>353</v>
      </c>
      <c r="F585" t="s">
        <v>340</v>
      </c>
      <c r="H585" t="s">
        <v>35</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row>
    <row r="586" spans="1:39" x14ac:dyDescent="0.35">
      <c r="A586" t="s">
        <v>174</v>
      </c>
      <c r="B586" t="s">
        <v>337</v>
      </c>
      <c r="C586" t="s">
        <v>340</v>
      </c>
      <c r="D586" t="s">
        <v>315</v>
      </c>
      <c r="E586" t="s">
        <v>352</v>
      </c>
      <c r="F586" t="s">
        <v>340</v>
      </c>
      <c r="H586" t="s">
        <v>68</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row>
    <row r="587" spans="1:39" x14ac:dyDescent="0.35">
      <c r="A587" t="s">
        <v>174</v>
      </c>
      <c r="B587" t="s">
        <v>337</v>
      </c>
      <c r="C587" t="s">
        <v>340</v>
      </c>
      <c r="D587" t="s">
        <v>315</v>
      </c>
      <c r="E587" t="s">
        <v>1346</v>
      </c>
      <c r="F587" t="s">
        <v>340</v>
      </c>
      <c r="H587" t="s">
        <v>35</v>
      </c>
      <c r="I587">
        <v>21478</v>
      </c>
      <c r="J587">
        <v>22947</v>
      </c>
      <c r="K587">
        <v>21385</v>
      </c>
      <c r="L587">
        <v>18345</v>
      </c>
      <c r="M587">
        <v>16979</v>
      </c>
      <c r="N587">
        <v>17476</v>
      </c>
      <c r="O587">
        <v>14461</v>
      </c>
      <c r="P587">
        <v>11050</v>
      </c>
      <c r="Q587">
        <v>10820</v>
      </c>
      <c r="R587">
        <v>12460</v>
      </c>
      <c r="S587">
        <v>11012</v>
      </c>
      <c r="T587">
        <v>7854</v>
      </c>
      <c r="U587">
        <v>842</v>
      </c>
      <c r="V587">
        <v>11875</v>
      </c>
      <c r="W587">
        <v>0</v>
      </c>
      <c r="X587">
        <v>0</v>
      </c>
      <c r="Y587">
        <v>0</v>
      </c>
      <c r="Z587">
        <v>0</v>
      </c>
      <c r="AA587">
        <v>0</v>
      </c>
      <c r="AB587">
        <v>0</v>
      </c>
      <c r="AC587">
        <v>0</v>
      </c>
      <c r="AD587">
        <v>0</v>
      </c>
      <c r="AE587">
        <v>0</v>
      </c>
      <c r="AF587">
        <v>0</v>
      </c>
      <c r="AG587">
        <v>0</v>
      </c>
      <c r="AH587">
        <v>0</v>
      </c>
      <c r="AI587">
        <v>0</v>
      </c>
      <c r="AJ587">
        <v>0</v>
      </c>
      <c r="AK587">
        <v>0</v>
      </c>
      <c r="AL587">
        <v>0</v>
      </c>
      <c r="AM587">
        <v>0</v>
      </c>
    </row>
    <row r="588" spans="1:39" x14ac:dyDescent="0.35">
      <c r="A588" t="s">
        <v>174</v>
      </c>
      <c r="B588" t="s">
        <v>337</v>
      </c>
      <c r="C588" t="s">
        <v>340</v>
      </c>
      <c r="D588" t="s">
        <v>315</v>
      </c>
      <c r="E588" t="s">
        <v>497</v>
      </c>
      <c r="F588" t="s">
        <v>340</v>
      </c>
      <c r="H588" t="s">
        <v>35</v>
      </c>
      <c r="I588">
        <v>3043</v>
      </c>
      <c r="J588">
        <v>3289</v>
      </c>
      <c r="K588">
        <v>5000</v>
      </c>
      <c r="L588">
        <v>3339</v>
      </c>
      <c r="M588">
        <v>3654</v>
      </c>
      <c r="N588">
        <v>3399</v>
      </c>
      <c r="O588">
        <v>3572</v>
      </c>
      <c r="P588">
        <v>4000</v>
      </c>
      <c r="Q588">
        <v>6140</v>
      </c>
      <c r="R588">
        <v>7150</v>
      </c>
      <c r="S588">
        <v>5811</v>
      </c>
      <c r="T588">
        <v>4940</v>
      </c>
      <c r="U588">
        <v>5183</v>
      </c>
      <c r="V588">
        <v>3281</v>
      </c>
      <c r="W588">
        <v>0</v>
      </c>
      <c r="X588">
        <v>0</v>
      </c>
      <c r="Y588">
        <v>0</v>
      </c>
      <c r="Z588">
        <v>0</v>
      </c>
      <c r="AA588">
        <v>0</v>
      </c>
      <c r="AB588">
        <v>0</v>
      </c>
      <c r="AC588">
        <v>0</v>
      </c>
      <c r="AD588">
        <v>0</v>
      </c>
      <c r="AE588">
        <v>0</v>
      </c>
      <c r="AF588">
        <v>0</v>
      </c>
      <c r="AG588">
        <v>0</v>
      </c>
      <c r="AH588">
        <v>0</v>
      </c>
      <c r="AI588">
        <v>0</v>
      </c>
      <c r="AJ588">
        <v>0</v>
      </c>
      <c r="AK588">
        <v>0</v>
      </c>
      <c r="AL588">
        <v>0</v>
      </c>
      <c r="AM588">
        <v>0</v>
      </c>
    </row>
    <row r="589" spans="1:39" x14ac:dyDescent="0.35">
      <c r="A589" t="s">
        <v>174</v>
      </c>
      <c r="B589" t="s">
        <v>337</v>
      </c>
      <c r="C589" t="s">
        <v>340</v>
      </c>
      <c r="D589" t="s">
        <v>315</v>
      </c>
      <c r="E589" t="s">
        <v>1168</v>
      </c>
      <c r="F589" t="s">
        <v>340</v>
      </c>
      <c r="H589" t="s">
        <v>35</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row>
    <row r="590" spans="1:39" x14ac:dyDescent="0.35">
      <c r="A590" t="s">
        <v>174</v>
      </c>
      <c r="B590" t="s">
        <v>337</v>
      </c>
      <c r="C590" t="s">
        <v>340</v>
      </c>
      <c r="D590" t="s">
        <v>315</v>
      </c>
      <c r="E590" t="s">
        <v>1306</v>
      </c>
      <c r="F590" t="s">
        <v>340</v>
      </c>
      <c r="H590" t="s">
        <v>35</v>
      </c>
      <c r="I590">
        <v>286540</v>
      </c>
      <c r="J590">
        <v>260143</v>
      </c>
      <c r="K590">
        <v>289437</v>
      </c>
      <c r="L590">
        <v>274600</v>
      </c>
      <c r="M590">
        <v>246673</v>
      </c>
      <c r="N590">
        <v>215610</v>
      </c>
      <c r="O590">
        <v>197101</v>
      </c>
      <c r="P590">
        <v>177257</v>
      </c>
      <c r="Q590">
        <v>153189</v>
      </c>
      <c r="R590">
        <v>126516</v>
      </c>
      <c r="S590">
        <v>93423</v>
      </c>
      <c r="T590">
        <v>73522</v>
      </c>
      <c r="U590">
        <v>54593</v>
      </c>
      <c r="V590">
        <v>64944</v>
      </c>
      <c r="W590">
        <v>0</v>
      </c>
      <c r="X590">
        <v>0</v>
      </c>
      <c r="Y590">
        <v>0</v>
      </c>
      <c r="Z590">
        <v>0</v>
      </c>
      <c r="AA590">
        <v>0</v>
      </c>
      <c r="AB590">
        <v>0</v>
      </c>
      <c r="AC590">
        <v>0</v>
      </c>
      <c r="AD590">
        <v>0</v>
      </c>
      <c r="AE590">
        <v>0</v>
      </c>
      <c r="AF590">
        <v>0</v>
      </c>
      <c r="AG590">
        <v>0</v>
      </c>
      <c r="AH590">
        <v>0</v>
      </c>
      <c r="AI590">
        <v>0</v>
      </c>
      <c r="AJ590">
        <v>0</v>
      </c>
      <c r="AK590">
        <v>0</v>
      </c>
      <c r="AL590">
        <v>0</v>
      </c>
      <c r="AM590">
        <v>0</v>
      </c>
    </row>
    <row r="591" spans="1:39" x14ac:dyDescent="0.35">
      <c r="A591" t="s">
        <v>174</v>
      </c>
      <c r="B591" t="s">
        <v>337</v>
      </c>
      <c r="C591" t="s">
        <v>340</v>
      </c>
      <c r="D591" t="s">
        <v>315</v>
      </c>
      <c r="E591" t="s">
        <v>1331</v>
      </c>
      <c r="F591" t="s">
        <v>340</v>
      </c>
      <c r="H591" t="s">
        <v>35</v>
      </c>
      <c r="I591">
        <v>134640</v>
      </c>
      <c r="J591">
        <v>134640</v>
      </c>
      <c r="K591">
        <v>134800</v>
      </c>
      <c r="L591">
        <v>134800</v>
      </c>
      <c r="M591">
        <v>134800</v>
      </c>
      <c r="N591">
        <v>134800</v>
      </c>
      <c r="O591">
        <v>134800</v>
      </c>
      <c r="P591">
        <v>134800</v>
      </c>
      <c r="Q591">
        <v>134800</v>
      </c>
      <c r="R591">
        <v>134800</v>
      </c>
      <c r="S591">
        <v>134800</v>
      </c>
      <c r="T591">
        <v>134500</v>
      </c>
      <c r="U591">
        <v>134500</v>
      </c>
      <c r="V591">
        <v>134500</v>
      </c>
      <c r="W591">
        <v>0</v>
      </c>
      <c r="X591">
        <v>0</v>
      </c>
      <c r="Y591">
        <v>0</v>
      </c>
      <c r="Z591">
        <v>0</v>
      </c>
      <c r="AA591">
        <v>0</v>
      </c>
      <c r="AB591">
        <v>0</v>
      </c>
      <c r="AC591">
        <v>0</v>
      </c>
      <c r="AD591">
        <v>0</v>
      </c>
      <c r="AE591">
        <v>0</v>
      </c>
      <c r="AF591">
        <v>0</v>
      </c>
      <c r="AG591">
        <v>0</v>
      </c>
      <c r="AH591">
        <v>0</v>
      </c>
      <c r="AI591">
        <v>0</v>
      </c>
      <c r="AJ591">
        <v>0</v>
      </c>
      <c r="AK591">
        <v>0</v>
      </c>
      <c r="AL591">
        <v>0</v>
      </c>
      <c r="AM591">
        <v>0</v>
      </c>
    </row>
    <row r="592" spans="1:39" x14ac:dyDescent="0.35">
      <c r="A592" t="s">
        <v>174</v>
      </c>
      <c r="B592" t="s">
        <v>337</v>
      </c>
      <c r="C592" t="s">
        <v>340</v>
      </c>
      <c r="D592" t="s">
        <v>315</v>
      </c>
      <c r="E592" t="s">
        <v>349</v>
      </c>
      <c r="F592" t="s">
        <v>340</v>
      </c>
      <c r="H592" t="s">
        <v>35</v>
      </c>
      <c r="I592">
        <v>20421</v>
      </c>
      <c r="J592">
        <v>18030</v>
      </c>
      <c r="K592">
        <v>21937</v>
      </c>
      <c r="L592">
        <v>19130</v>
      </c>
      <c r="M592">
        <v>16862</v>
      </c>
      <c r="N592">
        <v>14710</v>
      </c>
      <c r="O592">
        <v>19616</v>
      </c>
      <c r="P592">
        <v>17574</v>
      </c>
      <c r="Q592">
        <v>16074</v>
      </c>
      <c r="R592">
        <v>18960</v>
      </c>
      <c r="S592">
        <v>15490</v>
      </c>
      <c r="T592">
        <v>12468</v>
      </c>
      <c r="U592">
        <v>9845</v>
      </c>
      <c r="V592">
        <v>14211</v>
      </c>
      <c r="W592">
        <v>0</v>
      </c>
      <c r="X592">
        <v>0</v>
      </c>
      <c r="Y592">
        <v>0</v>
      </c>
      <c r="Z592">
        <v>0</v>
      </c>
      <c r="AA592">
        <v>0</v>
      </c>
      <c r="AB592">
        <v>0</v>
      </c>
      <c r="AC592">
        <v>0</v>
      </c>
      <c r="AD592">
        <v>0</v>
      </c>
      <c r="AE592">
        <v>0</v>
      </c>
      <c r="AF592">
        <v>0</v>
      </c>
      <c r="AG592">
        <v>0</v>
      </c>
      <c r="AH592">
        <v>0</v>
      </c>
      <c r="AI592">
        <v>0</v>
      </c>
      <c r="AJ592">
        <v>0</v>
      </c>
      <c r="AK592">
        <v>0</v>
      </c>
      <c r="AL592">
        <v>0</v>
      </c>
      <c r="AM592">
        <v>0</v>
      </c>
    </row>
    <row r="593" spans="1:39" x14ac:dyDescent="0.35">
      <c r="A593" t="s">
        <v>174</v>
      </c>
      <c r="B593" t="s">
        <v>337</v>
      </c>
      <c r="C593" t="s">
        <v>340</v>
      </c>
      <c r="D593" t="s">
        <v>315</v>
      </c>
      <c r="E593" t="s">
        <v>985</v>
      </c>
      <c r="F593" t="s">
        <v>340</v>
      </c>
      <c r="H593" t="s">
        <v>35</v>
      </c>
      <c r="I593">
        <v>72000</v>
      </c>
      <c r="J593">
        <v>56234</v>
      </c>
      <c r="K593">
        <v>86627</v>
      </c>
      <c r="L593">
        <v>66361</v>
      </c>
      <c r="M593">
        <v>53559</v>
      </c>
      <c r="N593">
        <v>37691</v>
      </c>
      <c r="O593">
        <v>78000</v>
      </c>
      <c r="P593">
        <v>63079</v>
      </c>
      <c r="Q593">
        <v>52755</v>
      </c>
      <c r="R593">
        <v>105093</v>
      </c>
      <c r="S593">
        <v>84027</v>
      </c>
      <c r="T593">
        <v>70851</v>
      </c>
      <c r="U593">
        <v>65754</v>
      </c>
      <c r="V593">
        <v>62830</v>
      </c>
      <c r="W593">
        <v>0</v>
      </c>
      <c r="X593">
        <v>0</v>
      </c>
      <c r="Y593">
        <v>0</v>
      </c>
      <c r="Z593">
        <v>0</v>
      </c>
      <c r="AA593">
        <v>0</v>
      </c>
      <c r="AB593">
        <v>0</v>
      </c>
      <c r="AC593">
        <v>0</v>
      </c>
      <c r="AD593">
        <v>0</v>
      </c>
      <c r="AE593">
        <v>0</v>
      </c>
      <c r="AF593">
        <v>0</v>
      </c>
      <c r="AG593">
        <v>0</v>
      </c>
      <c r="AH593">
        <v>0</v>
      </c>
      <c r="AI593">
        <v>0</v>
      </c>
      <c r="AJ593">
        <v>0</v>
      </c>
      <c r="AK593">
        <v>0</v>
      </c>
      <c r="AL593">
        <v>0</v>
      </c>
      <c r="AM593">
        <v>0</v>
      </c>
    </row>
    <row r="594" spans="1:39" x14ac:dyDescent="0.35">
      <c r="A594" t="s">
        <v>174</v>
      </c>
      <c r="B594" t="s">
        <v>337</v>
      </c>
      <c r="C594" t="s">
        <v>340</v>
      </c>
      <c r="D594" t="s">
        <v>315</v>
      </c>
      <c r="E594" t="s">
        <v>355</v>
      </c>
      <c r="F594" t="s">
        <v>340</v>
      </c>
      <c r="H594" t="s">
        <v>35</v>
      </c>
      <c r="I594">
        <v>6449</v>
      </c>
      <c r="J594">
        <v>5907</v>
      </c>
      <c r="K594">
        <v>5430</v>
      </c>
      <c r="L594">
        <v>5041</v>
      </c>
      <c r="M594">
        <v>4462</v>
      </c>
      <c r="N594">
        <v>3897</v>
      </c>
      <c r="O594">
        <v>3495</v>
      </c>
      <c r="P594">
        <v>3048</v>
      </c>
      <c r="Q594">
        <v>2763</v>
      </c>
      <c r="R594">
        <v>7624</v>
      </c>
      <c r="S594">
        <v>6417</v>
      </c>
      <c r="T594">
        <v>6551</v>
      </c>
      <c r="U594">
        <v>6179</v>
      </c>
      <c r="V594">
        <v>11140</v>
      </c>
      <c r="W594">
        <v>0</v>
      </c>
      <c r="X594">
        <v>0</v>
      </c>
      <c r="Y594">
        <v>0</v>
      </c>
      <c r="Z594">
        <v>0</v>
      </c>
      <c r="AA594">
        <v>0</v>
      </c>
      <c r="AB594">
        <v>0</v>
      </c>
      <c r="AC594">
        <v>0</v>
      </c>
      <c r="AD594">
        <v>0</v>
      </c>
      <c r="AE594">
        <v>0</v>
      </c>
      <c r="AF594">
        <v>0</v>
      </c>
      <c r="AG594">
        <v>0</v>
      </c>
      <c r="AH594">
        <v>0</v>
      </c>
      <c r="AI594">
        <v>0</v>
      </c>
      <c r="AJ594">
        <v>0</v>
      </c>
      <c r="AK594">
        <v>0</v>
      </c>
      <c r="AL594">
        <v>0</v>
      </c>
      <c r="AM594">
        <v>0</v>
      </c>
    </row>
    <row r="595" spans="1:39" x14ac:dyDescent="0.35">
      <c r="A595" t="s">
        <v>174</v>
      </c>
      <c r="B595" t="s">
        <v>337</v>
      </c>
      <c r="C595" t="s">
        <v>340</v>
      </c>
      <c r="D595" t="s">
        <v>315</v>
      </c>
      <c r="E595" t="s">
        <v>1339</v>
      </c>
      <c r="F595" t="s">
        <v>340</v>
      </c>
      <c r="H595" t="s">
        <v>35</v>
      </c>
      <c r="I595">
        <v>233622</v>
      </c>
      <c r="J595">
        <v>162400</v>
      </c>
      <c r="K595">
        <v>315000</v>
      </c>
      <c r="L595">
        <v>252000</v>
      </c>
      <c r="M595">
        <v>322154</v>
      </c>
      <c r="N595">
        <v>259950</v>
      </c>
      <c r="O595">
        <v>364700</v>
      </c>
      <c r="P595">
        <v>304453</v>
      </c>
      <c r="Q595">
        <v>302409</v>
      </c>
      <c r="R595">
        <v>340361</v>
      </c>
      <c r="S595">
        <v>257200</v>
      </c>
      <c r="T595">
        <v>303095</v>
      </c>
      <c r="U595">
        <v>371800</v>
      </c>
      <c r="V595">
        <v>309200</v>
      </c>
      <c r="W595">
        <v>0</v>
      </c>
      <c r="X595">
        <v>0</v>
      </c>
      <c r="Y595">
        <v>0</v>
      </c>
      <c r="Z595">
        <v>0</v>
      </c>
      <c r="AA595">
        <v>0</v>
      </c>
      <c r="AB595">
        <v>0</v>
      </c>
      <c r="AC595">
        <v>0</v>
      </c>
      <c r="AD595">
        <v>0</v>
      </c>
      <c r="AE595">
        <v>0</v>
      </c>
      <c r="AF595">
        <v>0</v>
      </c>
      <c r="AG595">
        <v>0</v>
      </c>
      <c r="AH595">
        <v>0</v>
      </c>
      <c r="AI595">
        <v>0</v>
      </c>
      <c r="AJ595">
        <v>0</v>
      </c>
      <c r="AK595">
        <v>0</v>
      </c>
      <c r="AL595">
        <v>0</v>
      </c>
      <c r="AM595">
        <v>0</v>
      </c>
    </row>
    <row r="596" spans="1:39" x14ac:dyDescent="0.35">
      <c r="A596" t="s">
        <v>174</v>
      </c>
      <c r="B596" t="s">
        <v>337</v>
      </c>
      <c r="C596" t="s">
        <v>340</v>
      </c>
      <c r="D596" t="s">
        <v>315</v>
      </c>
      <c r="E596" t="s">
        <v>1348</v>
      </c>
      <c r="F596" t="s">
        <v>340</v>
      </c>
      <c r="H596" t="s">
        <v>35</v>
      </c>
      <c r="I596">
        <v>22082</v>
      </c>
      <c r="J596">
        <v>20917</v>
      </c>
      <c r="K596">
        <v>19505</v>
      </c>
      <c r="L596">
        <v>26074</v>
      </c>
      <c r="M596">
        <v>16934</v>
      </c>
      <c r="N596">
        <v>15855</v>
      </c>
      <c r="O596">
        <v>20107</v>
      </c>
      <c r="P596">
        <v>19159</v>
      </c>
      <c r="Q596">
        <v>18357</v>
      </c>
      <c r="R596">
        <v>17214</v>
      </c>
      <c r="S596">
        <v>13886</v>
      </c>
      <c r="T596">
        <v>14869</v>
      </c>
      <c r="U596">
        <v>13939</v>
      </c>
      <c r="V596">
        <v>13149</v>
      </c>
      <c r="W596">
        <v>0</v>
      </c>
      <c r="X596">
        <v>0</v>
      </c>
      <c r="Y596">
        <v>0</v>
      </c>
      <c r="Z596">
        <v>0</v>
      </c>
      <c r="AA596">
        <v>0</v>
      </c>
      <c r="AB596">
        <v>0</v>
      </c>
      <c r="AC596">
        <v>0</v>
      </c>
      <c r="AD596">
        <v>0</v>
      </c>
      <c r="AE596">
        <v>0</v>
      </c>
      <c r="AF596">
        <v>0</v>
      </c>
      <c r="AG596">
        <v>0</v>
      </c>
      <c r="AH596">
        <v>0</v>
      </c>
      <c r="AI596">
        <v>0</v>
      </c>
      <c r="AJ596">
        <v>0</v>
      </c>
      <c r="AK596">
        <v>0</v>
      </c>
      <c r="AL596">
        <v>0</v>
      </c>
      <c r="AM596">
        <v>0</v>
      </c>
    </row>
    <row r="597" spans="1:39" x14ac:dyDescent="0.35">
      <c r="A597" t="s">
        <v>174</v>
      </c>
      <c r="B597" t="s">
        <v>337</v>
      </c>
      <c r="C597" t="s">
        <v>340</v>
      </c>
      <c r="D597" t="s">
        <v>315</v>
      </c>
      <c r="E597" t="s">
        <v>354</v>
      </c>
      <c r="F597" t="s">
        <v>340</v>
      </c>
      <c r="H597" t="s">
        <v>35</v>
      </c>
      <c r="I597">
        <v>14239</v>
      </c>
      <c r="J597">
        <v>12503</v>
      </c>
      <c r="K597">
        <v>8895</v>
      </c>
      <c r="L597">
        <v>9652</v>
      </c>
      <c r="M597">
        <v>8068</v>
      </c>
      <c r="N597">
        <v>6109</v>
      </c>
      <c r="O597">
        <v>5158</v>
      </c>
      <c r="P597">
        <v>3656</v>
      </c>
      <c r="Q597">
        <v>2921</v>
      </c>
      <c r="R597">
        <v>14769</v>
      </c>
      <c r="S597">
        <v>12659</v>
      </c>
      <c r="T597">
        <v>14094</v>
      </c>
      <c r="U597">
        <v>10540</v>
      </c>
      <c r="V597">
        <v>23248</v>
      </c>
      <c r="W597">
        <v>0</v>
      </c>
      <c r="X597">
        <v>0</v>
      </c>
      <c r="Y597">
        <v>0</v>
      </c>
      <c r="Z597">
        <v>0</v>
      </c>
      <c r="AA597">
        <v>0</v>
      </c>
      <c r="AB597">
        <v>0</v>
      </c>
      <c r="AC597">
        <v>0</v>
      </c>
      <c r="AD597">
        <v>0</v>
      </c>
      <c r="AE597">
        <v>0</v>
      </c>
      <c r="AF597">
        <v>0</v>
      </c>
      <c r="AG597">
        <v>0</v>
      </c>
      <c r="AH597">
        <v>0</v>
      </c>
      <c r="AI597">
        <v>0</v>
      </c>
      <c r="AJ597">
        <v>0</v>
      </c>
      <c r="AK597">
        <v>0</v>
      </c>
      <c r="AL597">
        <v>0</v>
      </c>
      <c r="AM597">
        <v>0</v>
      </c>
    </row>
    <row r="598" spans="1:39" x14ac:dyDescent="0.35">
      <c r="A598" t="s">
        <v>174</v>
      </c>
      <c r="B598" t="s">
        <v>337</v>
      </c>
      <c r="C598" t="s">
        <v>340</v>
      </c>
      <c r="D598" t="s">
        <v>315</v>
      </c>
      <c r="E598" t="s">
        <v>918</v>
      </c>
      <c r="F598" t="s">
        <v>340</v>
      </c>
      <c r="H598" t="s">
        <v>67</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row>
    <row r="599" spans="1:39" x14ac:dyDescent="0.35">
      <c r="A599" t="s">
        <v>174</v>
      </c>
      <c r="B599" t="s">
        <v>337</v>
      </c>
      <c r="C599" t="s">
        <v>340</v>
      </c>
      <c r="D599" t="s">
        <v>315</v>
      </c>
      <c r="E599" t="s">
        <v>19</v>
      </c>
      <c r="F599" t="s">
        <v>340</v>
      </c>
      <c r="H599" t="s">
        <v>35</v>
      </c>
      <c r="I599">
        <v>64171</v>
      </c>
      <c r="J599">
        <v>55485</v>
      </c>
      <c r="K599">
        <v>66640</v>
      </c>
      <c r="L599">
        <v>57120</v>
      </c>
      <c r="M599">
        <v>50445</v>
      </c>
      <c r="N599">
        <v>41803</v>
      </c>
      <c r="O599">
        <v>61809</v>
      </c>
      <c r="P599">
        <v>55007</v>
      </c>
      <c r="Q599">
        <v>47665</v>
      </c>
      <c r="R599">
        <v>77105</v>
      </c>
      <c r="S599">
        <v>65980</v>
      </c>
      <c r="T599">
        <v>60371</v>
      </c>
      <c r="U599">
        <v>53669</v>
      </c>
      <c r="V599">
        <v>67890</v>
      </c>
      <c r="W599">
        <v>0</v>
      </c>
      <c r="X599">
        <v>0</v>
      </c>
      <c r="Y599">
        <v>0</v>
      </c>
      <c r="Z599">
        <v>0</v>
      </c>
      <c r="AA599">
        <v>0</v>
      </c>
      <c r="AB599">
        <v>0</v>
      </c>
      <c r="AC599">
        <v>0</v>
      </c>
      <c r="AD599">
        <v>0</v>
      </c>
      <c r="AE599">
        <v>0</v>
      </c>
      <c r="AF599">
        <v>0</v>
      </c>
      <c r="AG599">
        <v>0</v>
      </c>
      <c r="AH599">
        <v>0</v>
      </c>
      <c r="AI599">
        <v>0</v>
      </c>
      <c r="AJ599">
        <v>0</v>
      </c>
      <c r="AK599">
        <v>0</v>
      </c>
      <c r="AL599">
        <v>0</v>
      </c>
      <c r="AM599">
        <v>0</v>
      </c>
    </row>
    <row r="600" spans="1:39" x14ac:dyDescent="0.35">
      <c r="A600" t="s">
        <v>174</v>
      </c>
      <c r="B600" t="s">
        <v>337</v>
      </c>
      <c r="C600" t="s">
        <v>340</v>
      </c>
      <c r="D600" t="s">
        <v>315</v>
      </c>
      <c r="E600" t="s">
        <v>20</v>
      </c>
      <c r="F600" t="s">
        <v>340</v>
      </c>
      <c r="H600" t="s">
        <v>35</v>
      </c>
      <c r="I600">
        <v>19574</v>
      </c>
      <c r="J600">
        <v>17634</v>
      </c>
      <c r="K600">
        <v>14881</v>
      </c>
      <c r="L600">
        <v>12000</v>
      </c>
      <c r="M600">
        <v>11970</v>
      </c>
      <c r="N600">
        <v>10264</v>
      </c>
      <c r="O600">
        <v>8892</v>
      </c>
      <c r="P600">
        <v>7306</v>
      </c>
      <c r="Q600">
        <v>5748</v>
      </c>
      <c r="R600">
        <v>15696</v>
      </c>
      <c r="S600">
        <v>12746</v>
      </c>
      <c r="T600">
        <v>11303</v>
      </c>
      <c r="U600">
        <v>9872</v>
      </c>
      <c r="V600">
        <v>20663</v>
      </c>
      <c r="W600">
        <v>0</v>
      </c>
      <c r="X600">
        <v>0</v>
      </c>
      <c r="Y600">
        <v>0</v>
      </c>
      <c r="Z600">
        <v>0</v>
      </c>
      <c r="AA600">
        <v>0</v>
      </c>
      <c r="AB600">
        <v>0</v>
      </c>
      <c r="AC600">
        <v>0</v>
      </c>
      <c r="AD600">
        <v>0</v>
      </c>
      <c r="AE600">
        <v>0</v>
      </c>
      <c r="AF600">
        <v>0</v>
      </c>
      <c r="AG600">
        <v>0</v>
      </c>
      <c r="AH600">
        <v>0</v>
      </c>
      <c r="AI600">
        <v>0</v>
      </c>
      <c r="AJ600">
        <v>0</v>
      </c>
      <c r="AK600">
        <v>0</v>
      </c>
      <c r="AL600">
        <v>0</v>
      </c>
      <c r="AM600">
        <v>0</v>
      </c>
    </row>
    <row r="601" spans="1:39" x14ac:dyDescent="0.35">
      <c r="A601" t="s">
        <v>174</v>
      </c>
      <c r="B601" t="s">
        <v>337</v>
      </c>
      <c r="C601" t="s">
        <v>340</v>
      </c>
      <c r="D601" t="s">
        <v>315</v>
      </c>
      <c r="E601" t="s">
        <v>350</v>
      </c>
      <c r="F601" t="s">
        <v>340</v>
      </c>
      <c r="H601" t="s">
        <v>35</v>
      </c>
      <c r="I601">
        <v>8182</v>
      </c>
      <c r="J601">
        <v>6540</v>
      </c>
      <c r="K601">
        <v>9659</v>
      </c>
      <c r="L601">
        <v>7910</v>
      </c>
      <c r="M601">
        <v>6460</v>
      </c>
      <c r="N601">
        <v>5058</v>
      </c>
      <c r="O601">
        <v>8654</v>
      </c>
      <c r="P601">
        <v>7409</v>
      </c>
      <c r="Q601">
        <v>6177</v>
      </c>
      <c r="R601">
        <v>9078</v>
      </c>
      <c r="S601">
        <v>7032</v>
      </c>
      <c r="T601">
        <v>5641</v>
      </c>
      <c r="U601">
        <v>4175</v>
      </c>
      <c r="V601">
        <v>8065</v>
      </c>
      <c r="W601">
        <v>0</v>
      </c>
      <c r="X601">
        <v>0</v>
      </c>
      <c r="Y601">
        <v>0</v>
      </c>
      <c r="Z601">
        <v>0</v>
      </c>
      <c r="AA601">
        <v>0</v>
      </c>
      <c r="AB601">
        <v>0</v>
      </c>
      <c r="AC601">
        <v>0</v>
      </c>
      <c r="AD601">
        <v>0</v>
      </c>
      <c r="AE601">
        <v>0</v>
      </c>
      <c r="AF601">
        <v>0</v>
      </c>
      <c r="AG601">
        <v>0</v>
      </c>
      <c r="AH601">
        <v>0</v>
      </c>
      <c r="AI601">
        <v>0</v>
      </c>
      <c r="AJ601">
        <v>0</v>
      </c>
      <c r="AK601">
        <v>0</v>
      </c>
      <c r="AL601">
        <v>0</v>
      </c>
      <c r="AM601">
        <v>0</v>
      </c>
    </row>
    <row r="602" spans="1:39" x14ac:dyDescent="0.35">
      <c r="A602" t="s">
        <v>174</v>
      </c>
      <c r="B602" t="s">
        <v>337</v>
      </c>
      <c r="C602" t="s">
        <v>340</v>
      </c>
      <c r="D602" t="s">
        <v>315</v>
      </c>
      <c r="E602" t="s">
        <v>1347</v>
      </c>
      <c r="F602" t="s">
        <v>340</v>
      </c>
      <c r="H602" t="s">
        <v>35</v>
      </c>
      <c r="I602">
        <v>18252</v>
      </c>
      <c r="J602">
        <v>9288</v>
      </c>
      <c r="K602">
        <v>29807</v>
      </c>
      <c r="L602">
        <v>19142</v>
      </c>
      <c r="M602">
        <v>16490</v>
      </c>
      <c r="N602">
        <v>13708</v>
      </c>
      <c r="O602">
        <v>17289</v>
      </c>
      <c r="P602">
        <v>52800</v>
      </c>
      <c r="Q602">
        <v>6779</v>
      </c>
      <c r="R602">
        <v>27805</v>
      </c>
      <c r="S602">
        <v>17496</v>
      </c>
      <c r="T602">
        <v>8188</v>
      </c>
      <c r="U602">
        <v>4690</v>
      </c>
      <c r="V602">
        <v>39478</v>
      </c>
      <c r="W602">
        <v>0</v>
      </c>
      <c r="X602">
        <v>0</v>
      </c>
      <c r="Y602">
        <v>0</v>
      </c>
      <c r="Z602">
        <v>0</v>
      </c>
      <c r="AA602">
        <v>0</v>
      </c>
      <c r="AB602">
        <v>0</v>
      </c>
      <c r="AC602">
        <v>0</v>
      </c>
      <c r="AD602">
        <v>0</v>
      </c>
      <c r="AE602">
        <v>0</v>
      </c>
      <c r="AF602">
        <v>0</v>
      </c>
      <c r="AG602">
        <v>0</v>
      </c>
      <c r="AH602">
        <v>0</v>
      </c>
      <c r="AI602">
        <v>0</v>
      </c>
      <c r="AJ602">
        <v>0</v>
      </c>
      <c r="AK602">
        <v>0</v>
      </c>
      <c r="AL602">
        <v>0</v>
      </c>
      <c r="AM602">
        <v>0</v>
      </c>
    </row>
    <row r="603" spans="1:39" x14ac:dyDescent="0.35">
      <c r="A603" t="s">
        <v>174</v>
      </c>
      <c r="B603" t="s">
        <v>337</v>
      </c>
      <c r="C603" t="s">
        <v>340</v>
      </c>
      <c r="D603" t="s">
        <v>315</v>
      </c>
      <c r="E603" t="s">
        <v>351</v>
      </c>
      <c r="F603" t="s">
        <v>340</v>
      </c>
      <c r="H603" t="s">
        <v>35</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0</v>
      </c>
      <c r="AG603">
        <v>0</v>
      </c>
      <c r="AH603">
        <v>0</v>
      </c>
      <c r="AI603">
        <v>0</v>
      </c>
      <c r="AJ603">
        <v>0</v>
      </c>
      <c r="AK603">
        <v>0</v>
      </c>
      <c r="AL603">
        <v>0</v>
      </c>
      <c r="AM603">
        <v>0</v>
      </c>
    </row>
    <row r="604" spans="1:39" x14ac:dyDescent="0.35">
      <c r="A604" t="s">
        <v>174</v>
      </c>
      <c r="B604" t="s">
        <v>337</v>
      </c>
      <c r="C604" t="s">
        <v>340</v>
      </c>
      <c r="D604" t="s">
        <v>315</v>
      </c>
      <c r="E604" t="s">
        <v>500</v>
      </c>
      <c r="F604" t="s">
        <v>340</v>
      </c>
      <c r="H604" t="s">
        <v>35</v>
      </c>
      <c r="I604">
        <v>119627</v>
      </c>
      <c r="J604">
        <v>101816</v>
      </c>
      <c r="K604">
        <v>101646</v>
      </c>
      <c r="L604">
        <v>73422</v>
      </c>
      <c r="M604">
        <v>53500</v>
      </c>
      <c r="N604">
        <v>36317</v>
      </c>
      <c r="O604">
        <v>189000</v>
      </c>
      <c r="P604">
        <v>165436</v>
      </c>
      <c r="Q604">
        <v>147019</v>
      </c>
      <c r="R604">
        <v>162000</v>
      </c>
      <c r="S604">
        <v>137916</v>
      </c>
      <c r="T604">
        <v>117220</v>
      </c>
      <c r="U604">
        <v>98975</v>
      </c>
      <c r="V604">
        <v>139642</v>
      </c>
      <c r="W604">
        <v>0</v>
      </c>
      <c r="X604">
        <v>0</v>
      </c>
      <c r="Y604">
        <v>0</v>
      </c>
      <c r="Z604">
        <v>0</v>
      </c>
      <c r="AA604">
        <v>0</v>
      </c>
      <c r="AB604">
        <v>0</v>
      </c>
      <c r="AC604">
        <v>0</v>
      </c>
      <c r="AD604">
        <v>0</v>
      </c>
      <c r="AE604">
        <v>0</v>
      </c>
      <c r="AF604">
        <v>0</v>
      </c>
      <c r="AG604">
        <v>0</v>
      </c>
      <c r="AH604">
        <v>0</v>
      </c>
      <c r="AI604">
        <v>0</v>
      </c>
      <c r="AJ604">
        <v>0</v>
      </c>
      <c r="AK604">
        <v>0</v>
      </c>
      <c r="AL604">
        <v>0</v>
      </c>
      <c r="AM604">
        <v>0</v>
      </c>
    </row>
    <row r="605" spans="1:39" x14ac:dyDescent="0.35">
      <c r="A605" t="s">
        <v>174</v>
      </c>
      <c r="B605" t="s">
        <v>337</v>
      </c>
      <c r="C605" t="s">
        <v>340</v>
      </c>
      <c r="D605" t="s">
        <v>315</v>
      </c>
      <c r="E605" t="s">
        <v>501</v>
      </c>
      <c r="F605" t="s">
        <v>340</v>
      </c>
      <c r="H605" t="s">
        <v>35</v>
      </c>
      <c r="I605">
        <v>383400</v>
      </c>
      <c r="J605">
        <v>823800</v>
      </c>
      <c r="K605">
        <v>792000</v>
      </c>
      <c r="L605">
        <v>768000</v>
      </c>
      <c r="M605">
        <v>771000</v>
      </c>
      <c r="N605">
        <v>752400</v>
      </c>
      <c r="O605">
        <v>739200</v>
      </c>
      <c r="P605">
        <v>717000</v>
      </c>
      <c r="Q605">
        <v>696900</v>
      </c>
      <c r="R605">
        <v>681600</v>
      </c>
      <c r="S605">
        <v>645600</v>
      </c>
      <c r="T605">
        <v>626400</v>
      </c>
      <c r="U605">
        <v>757200</v>
      </c>
      <c r="V605">
        <v>735000</v>
      </c>
      <c r="W605">
        <v>0</v>
      </c>
      <c r="X605">
        <v>0</v>
      </c>
      <c r="Y605">
        <v>0</v>
      </c>
      <c r="Z605">
        <v>0</v>
      </c>
      <c r="AA605">
        <v>0</v>
      </c>
      <c r="AB605">
        <v>0</v>
      </c>
      <c r="AC605">
        <v>0</v>
      </c>
      <c r="AD605">
        <v>0</v>
      </c>
      <c r="AE605">
        <v>0</v>
      </c>
      <c r="AF605">
        <v>0</v>
      </c>
      <c r="AG605">
        <v>0</v>
      </c>
      <c r="AH605">
        <v>0</v>
      </c>
      <c r="AI605">
        <v>0</v>
      </c>
      <c r="AJ605">
        <v>0</v>
      </c>
      <c r="AK605">
        <v>0</v>
      </c>
      <c r="AL605">
        <v>0</v>
      </c>
      <c r="AM605">
        <v>0</v>
      </c>
    </row>
    <row r="606" spans="1:39" x14ac:dyDescent="0.35">
      <c r="A606" t="s">
        <v>174</v>
      </c>
      <c r="B606" t="s">
        <v>337</v>
      </c>
      <c r="C606" t="s">
        <v>340</v>
      </c>
      <c r="D606" t="s">
        <v>315</v>
      </c>
      <c r="E606" t="s">
        <v>916</v>
      </c>
      <c r="F606" t="s">
        <v>340</v>
      </c>
      <c r="H606" t="s">
        <v>35</v>
      </c>
      <c r="I606">
        <v>4014</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0</v>
      </c>
    </row>
    <row r="607" spans="1:39" x14ac:dyDescent="0.35">
      <c r="A607" t="s">
        <v>174</v>
      </c>
      <c r="B607" t="s">
        <v>337</v>
      </c>
      <c r="C607" t="s">
        <v>340</v>
      </c>
      <c r="D607" t="s">
        <v>315</v>
      </c>
      <c r="E607" t="s">
        <v>28</v>
      </c>
      <c r="F607" t="s">
        <v>340</v>
      </c>
      <c r="H607" t="s">
        <v>35</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c r="AE607">
        <v>0</v>
      </c>
      <c r="AF607">
        <v>0</v>
      </c>
      <c r="AG607">
        <v>0</v>
      </c>
      <c r="AH607">
        <v>0</v>
      </c>
      <c r="AI607">
        <v>0</v>
      </c>
      <c r="AJ607">
        <v>0</v>
      </c>
      <c r="AK607">
        <v>0</v>
      </c>
      <c r="AL607">
        <v>0</v>
      </c>
      <c r="AM607">
        <v>0</v>
      </c>
    </row>
    <row r="608" spans="1:39" x14ac:dyDescent="0.35">
      <c r="A608" t="s">
        <v>174</v>
      </c>
      <c r="B608" t="s">
        <v>337</v>
      </c>
      <c r="C608" t="s">
        <v>340</v>
      </c>
      <c r="D608" t="s">
        <v>315</v>
      </c>
      <c r="E608" t="s">
        <v>1318</v>
      </c>
      <c r="F608" t="s">
        <v>340</v>
      </c>
      <c r="H608" t="s">
        <v>67</v>
      </c>
      <c r="I608">
        <v>8602</v>
      </c>
      <c r="J608">
        <v>6512</v>
      </c>
      <c r="K608">
        <v>10060</v>
      </c>
      <c r="L608">
        <v>7252</v>
      </c>
      <c r="M608">
        <v>9350</v>
      </c>
      <c r="N608">
        <v>7535</v>
      </c>
      <c r="O608">
        <v>5227</v>
      </c>
      <c r="P608">
        <v>3270</v>
      </c>
      <c r="Q608">
        <v>6802</v>
      </c>
      <c r="R608">
        <v>8862</v>
      </c>
      <c r="S608">
        <v>5819</v>
      </c>
      <c r="T608">
        <v>8349</v>
      </c>
      <c r="U608">
        <v>6479</v>
      </c>
      <c r="V608">
        <v>7370</v>
      </c>
      <c r="W608">
        <v>0</v>
      </c>
      <c r="X608">
        <v>0</v>
      </c>
      <c r="Y608">
        <v>0</v>
      </c>
      <c r="Z608">
        <v>0</v>
      </c>
      <c r="AA608">
        <v>0</v>
      </c>
      <c r="AB608">
        <v>0</v>
      </c>
      <c r="AC608">
        <v>0</v>
      </c>
      <c r="AD608">
        <v>0</v>
      </c>
      <c r="AE608">
        <v>0</v>
      </c>
      <c r="AF608">
        <v>0</v>
      </c>
      <c r="AG608">
        <v>0</v>
      </c>
      <c r="AH608">
        <v>0</v>
      </c>
      <c r="AI608">
        <v>0</v>
      </c>
      <c r="AJ608">
        <v>0</v>
      </c>
      <c r="AK608">
        <v>0</v>
      </c>
      <c r="AL608">
        <v>0</v>
      </c>
      <c r="AM608">
        <v>0</v>
      </c>
    </row>
    <row r="609" spans="1:39" x14ac:dyDescent="0.35">
      <c r="A609" t="s">
        <v>174</v>
      </c>
      <c r="B609" t="s">
        <v>337</v>
      </c>
      <c r="C609" t="s">
        <v>340</v>
      </c>
      <c r="D609" t="s">
        <v>315</v>
      </c>
      <c r="E609" t="s">
        <v>30</v>
      </c>
      <c r="F609" t="s">
        <v>340</v>
      </c>
      <c r="H609" t="s">
        <v>67</v>
      </c>
      <c r="I609">
        <v>387</v>
      </c>
      <c r="J609">
        <v>368</v>
      </c>
      <c r="K609">
        <v>344</v>
      </c>
      <c r="L609">
        <v>300</v>
      </c>
      <c r="M609">
        <v>318</v>
      </c>
      <c r="N609">
        <v>286</v>
      </c>
      <c r="O609">
        <v>269</v>
      </c>
      <c r="P609">
        <v>253</v>
      </c>
      <c r="Q609">
        <v>234</v>
      </c>
      <c r="R609">
        <v>312</v>
      </c>
      <c r="S609">
        <v>286</v>
      </c>
      <c r="T609">
        <v>270</v>
      </c>
      <c r="U609">
        <v>255</v>
      </c>
      <c r="V609">
        <v>339</v>
      </c>
      <c r="W609">
        <v>0</v>
      </c>
      <c r="X609">
        <v>0</v>
      </c>
      <c r="Y609">
        <v>0</v>
      </c>
      <c r="Z609">
        <v>0</v>
      </c>
      <c r="AA609">
        <v>0</v>
      </c>
      <c r="AB609">
        <v>0</v>
      </c>
      <c r="AC609">
        <v>0</v>
      </c>
      <c r="AD609">
        <v>0</v>
      </c>
      <c r="AE609">
        <v>0</v>
      </c>
      <c r="AF609">
        <v>0</v>
      </c>
      <c r="AG609">
        <v>0</v>
      </c>
      <c r="AH609">
        <v>0</v>
      </c>
      <c r="AI609">
        <v>0</v>
      </c>
      <c r="AJ609">
        <v>0</v>
      </c>
      <c r="AK609">
        <v>0</v>
      </c>
      <c r="AL609">
        <v>0</v>
      </c>
      <c r="AM609">
        <v>0</v>
      </c>
    </row>
    <row r="610" spans="1:39" x14ac:dyDescent="0.35">
      <c r="A610" t="s">
        <v>174</v>
      </c>
      <c r="B610" t="s">
        <v>337</v>
      </c>
      <c r="C610" t="s">
        <v>340</v>
      </c>
      <c r="D610" t="s">
        <v>315</v>
      </c>
      <c r="E610" t="s">
        <v>31</v>
      </c>
      <c r="F610" t="s">
        <v>340</v>
      </c>
      <c r="H610" t="s">
        <v>35</v>
      </c>
      <c r="I610">
        <v>5490</v>
      </c>
      <c r="J610">
        <v>4920</v>
      </c>
      <c r="K610">
        <v>5700</v>
      </c>
      <c r="L610">
        <v>5010</v>
      </c>
      <c r="M610">
        <v>4170</v>
      </c>
      <c r="N610">
        <v>3930</v>
      </c>
      <c r="O610">
        <v>4920</v>
      </c>
      <c r="P610">
        <v>3900</v>
      </c>
      <c r="Q610">
        <v>3870</v>
      </c>
      <c r="R610">
        <v>5460</v>
      </c>
      <c r="S610">
        <v>4680</v>
      </c>
      <c r="T610">
        <v>4200</v>
      </c>
      <c r="U610">
        <v>3750</v>
      </c>
      <c r="V610">
        <v>4785</v>
      </c>
      <c r="W610">
        <v>0</v>
      </c>
      <c r="X610">
        <v>0</v>
      </c>
      <c r="Y610">
        <v>0</v>
      </c>
      <c r="Z610">
        <v>0</v>
      </c>
      <c r="AA610">
        <v>0</v>
      </c>
      <c r="AB610">
        <v>0</v>
      </c>
      <c r="AC610">
        <v>0</v>
      </c>
      <c r="AD610">
        <v>0</v>
      </c>
      <c r="AE610">
        <v>0</v>
      </c>
      <c r="AF610">
        <v>0</v>
      </c>
      <c r="AG610">
        <v>0</v>
      </c>
      <c r="AH610">
        <v>0</v>
      </c>
      <c r="AI610">
        <v>0</v>
      </c>
      <c r="AJ610">
        <v>0</v>
      </c>
      <c r="AK610">
        <v>0</v>
      </c>
      <c r="AL610">
        <v>0</v>
      </c>
      <c r="AM610">
        <v>0</v>
      </c>
    </row>
    <row r="611" spans="1:39" x14ac:dyDescent="0.35">
      <c r="A611" t="s">
        <v>174</v>
      </c>
      <c r="B611" t="s">
        <v>337</v>
      </c>
      <c r="C611" t="s">
        <v>340</v>
      </c>
      <c r="D611" t="s">
        <v>315</v>
      </c>
      <c r="E611" t="s">
        <v>72</v>
      </c>
      <c r="F611" t="s">
        <v>340</v>
      </c>
      <c r="H611" t="s">
        <v>35</v>
      </c>
      <c r="I611">
        <v>73517</v>
      </c>
      <c r="J611">
        <v>62328</v>
      </c>
      <c r="K611">
        <v>88396</v>
      </c>
      <c r="L611">
        <v>69120</v>
      </c>
      <c r="M611">
        <v>62968</v>
      </c>
      <c r="N611">
        <v>52732</v>
      </c>
      <c r="O611">
        <v>78519</v>
      </c>
      <c r="P611">
        <v>68710</v>
      </c>
      <c r="Q611">
        <v>56016</v>
      </c>
      <c r="R611">
        <v>72820</v>
      </c>
      <c r="S611">
        <v>59055</v>
      </c>
      <c r="T611">
        <v>49502</v>
      </c>
      <c r="U611">
        <v>39568</v>
      </c>
      <c r="V611">
        <v>76534</v>
      </c>
      <c r="W611">
        <v>0</v>
      </c>
      <c r="X611">
        <v>0</v>
      </c>
      <c r="Y611">
        <v>0</v>
      </c>
      <c r="Z611">
        <v>0</v>
      </c>
      <c r="AA611">
        <v>0</v>
      </c>
      <c r="AB611">
        <v>0</v>
      </c>
      <c r="AC611">
        <v>0</v>
      </c>
      <c r="AD611">
        <v>0</v>
      </c>
      <c r="AE611">
        <v>0</v>
      </c>
      <c r="AF611">
        <v>0</v>
      </c>
      <c r="AG611">
        <v>0</v>
      </c>
      <c r="AH611">
        <v>0</v>
      </c>
      <c r="AI611">
        <v>0</v>
      </c>
      <c r="AJ611">
        <v>0</v>
      </c>
      <c r="AK611">
        <v>0</v>
      </c>
      <c r="AL611">
        <v>0</v>
      </c>
      <c r="AM611">
        <v>0</v>
      </c>
    </row>
    <row r="612" spans="1:39" x14ac:dyDescent="0.35">
      <c r="A612" t="s">
        <v>174</v>
      </c>
      <c r="B612" t="s">
        <v>337</v>
      </c>
      <c r="C612" t="s">
        <v>340</v>
      </c>
      <c r="D612" t="s">
        <v>315</v>
      </c>
      <c r="E612" t="s">
        <v>542</v>
      </c>
      <c r="F612" t="s">
        <v>340</v>
      </c>
      <c r="H612" t="s">
        <v>35</v>
      </c>
      <c r="I612">
        <v>45260</v>
      </c>
      <c r="J612">
        <v>37730</v>
      </c>
      <c r="K612">
        <v>53280</v>
      </c>
      <c r="L612">
        <v>32000</v>
      </c>
      <c r="M612">
        <v>38790</v>
      </c>
      <c r="N612">
        <v>31320</v>
      </c>
      <c r="O612">
        <v>41960</v>
      </c>
      <c r="P612">
        <v>34530</v>
      </c>
      <c r="Q612">
        <v>27480</v>
      </c>
      <c r="R612">
        <v>51820</v>
      </c>
      <c r="S612">
        <v>43040</v>
      </c>
      <c r="T612">
        <v>36350</v>
      </c>
      <c r="U612">
        <v>31220</v>
      </c>
      <c r="V612">
        <v>40830</v>
      </c>
      <c r="W612">
        <v>0</v>
      </c>
      <c r="X612">
        <v>0</v>
      </c>
      <c r="Y612">
        <v>0</v>
      </c>
      <c r="Z612">
        <v>0</v>
      </c>
      <c r="AA612">
        <v>0</v>
      </c>
      <c r="AB612">
        <v>0</v>
      </c>
      <c r="AC612">
        <v>0</v>
      </c>
      <c r="AD612">
        <v>0</v>
      </c>
      <c r="AE612">
        <v>0</v>
      </c>
      <c r="AF612">
        <v>0</v>
      </c>
      <c r="AG612">
        <v>0</v>
      </c>
      <c r="AH612">
        <v>0</v>
      </c>
      <c r="AI612">
        <v>0</v>
      </c>
      <c r="AJ612">
        <v>0</v>
      </c>
      <c r="AK612">
        <v>0</v>
      </c>
      <c r="AL612">
        <v>0</v>
      </c>
      <c r="AM612">
        <v>0</v>
      </c>
    </row>
    <row r="613" spans="1:39" x14ac:dyDescent="0.35">
      <c r="A613" t="s">
        <v>174</v>
      </c>
      <c r="B613" t="s">
        <v>337</v>
      </c>
      <c r="C613" t="s">
        <v>340</v>
      </c>
      <c r="D613" t="s">
        <v>315</v>
      </c>
      <c r="E613" t="s">
        <v>555</v>
      </c>
      <c r="F613" t="s">
        <v>340</v>
      </c>
      <c r="H613" t="s">
        <v>67</v>
      </c>
      <c r="I613">
        <v>0</v>
      </c>
      <c r="J613">
        <v>0</v>
      </c>
      <c r="K613">
        <v>0</v>
      </c>
      <c r="L613">
        <v>0</v>
      </c>
      <c r="M613">
        <v>0</v>
      </c>
      <c r="N613">
        <v>0</v>
      </c>
      <c r="O613">
        <v>0</v>
      </c>
      <c r="P613">
        <v>0</v>
      </c>
      <c r="Q613">
        <v>0</v>
      </c>
      <c r="R613">
        <v>0</v>
      </c>
      <c r="S613">
        <v>0</v>
      </c>
      <c r="T613">
        <v>351</v>
      </c>
      <c r="U613">
        <v>459</v>
      </c>
      <c r="V613">
        <v>378</v>
      </c>
      <c r="W613">
        <v>0</v>
      </c>
      <c r="X613">
        <v>0</v>
      </c>
      <c r="Y613">
        <v>0</v>
      </c>
      <c r="Z613">
        <v>0</v>
      </c>
      <c r="AA613">
        <v>0</v>
      </c>
      <c r="AB613">
        <v>0</v>
      </c>
      <c r="AC613">
        <v>0</v>
      </c>
      <c r="AD613">
        <v>0</v>
      </c>
      <c r="AE613">
        <v>0</v>
      </c>
      <c r="AF613">
        <v>0</v>
      </c>
      <c r="AG613">
        <v>0</v>
      </c>
      <c r="AH613">
        <v>0</v>
      </c>
      <c r="AI613">
        <v>0</v>
      </c>
      <c r="AJ613">
        <v>0</v>
      </c>
      <c r="AK613">
        <v>0</v>
      </c>
      <c r="AL613">
        <v>0</v>
      </c>
      <c r="AM613">
        <v>0</v>
      </c>
    </row>
    <row r="614" spans="1:39" x14ac:dyDescent="0.35">
      <c r="A614" t="s">
        <v>174</v>
      </c>
      <c r="B614" t="s">
        <v>337</v>
      </c>
      <c r="C614" t="s">
        <v>340</v>
      </c>
      <c r="D614" t="s">
        <v>315</v>
      </c>
      <c r="E614" t="s">
        <v>34</v>
      </c>
      <c r="F614" t="s">
        <v>340</v>
      </c>
      <c r="H614" t="s">
        <v>68</v>
      </c>
      <c r="I614">
        <v>664260.46511627908</v>
      </c>
      <c r="J614">
        <v>554059.53488372092</v>
      </c>
      <c r="K614">
        <v>783412.09302325582</v>
      </c>
      <c r="L614">
        <v>660000</v>
      </c>
      <c r="M614">
        <v>570000</v>
      </c>
      <c r="N614">
        <v>520000</v>
      </c>
      <c r="O614">
        <v>680000</v>
      </c>
      <c r="P614">
        <v>563551.62790697673</v>
      </c>
      <c r="Q614">
        <v>505123.72093023255</v>
      </c>
      <c r="R614">
        <v>750000</v>
      </c>
      <c r="S614">
        <v>633953.48837209307</v>
      </c>
      <c r="T614">
        <v>512000</v>
      </c>
      <c r="U614">
        <v>435306.04651162791</v>
      </c>
      <c r="V614">
        <v>605693.02325581398</v>
      </c>
      <c r="W614">
        <v>0</v>
      </c>
      <c r="X614">
        <v>0</v>
      </c>
      <c r="Y614">
        <v>0</v>
      </c>
      <c r="Z614">
        <v>0</v>
      </c>
      <c r="AA614">
        <v>0</v>
      </c>
      <c r="AB614">
        <v>0</v>
      </c>
      <c r="AC614">
        <v>0</v>
      </c>
      <c r="AD614">
        <v>0</v>
      </c>
      <c r="AE614">
        <v>0</v>
      </c>
      <c r="AF614">
        <v>0</v>
      </c>
      <c r="AG614">
        <v>0</v>
      </c>
      <c r="AH614">
        <v>0</v>
      </c>
      <c r="AI614">
        <v>0</v>
      </c>
      <c r="AJ614">
        <v>0</v>
      </c>
      <c r="AK614">
        <v>0</v>
      </c>
      <c r="AL614">
        <v>0</v>
      </c>
      <c r="AM614">
        <v>0</v>
      </c>
    </row>
    <row r="615" spans="1:39" x14ac:dyDescent="0.35">
      <c r="A615" t="s">
        <v>174</v>
      </c>
      <c r="B615" t="s">
        <v>335</v>
      </c>
      <c r="C615" t="s">
        <v>335</v>
      </c>
      <c r="D615" t="s">
        <v>315</v>
      </c>
      <c r="E615" t="s">
        <v>1316</v>
      </c>
      <c r="F615" t="s">
        <v>173</v>
      </c>
      <c r="H615" t="s">
        <v>35</v>
      </c>
      <c r="I615">
        <v>186493</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row>
    <row r="616" spans="1:39" x14ac:dyDescent="0.35">
      <c r="A616" t="s">
        <v>174</v>
      </c>
      <c r="B616" t="s">
        <v>335</v>
      </c>
      <c r="C616" t="s">
        <v>335</v>
      </c>
      <c r="D616" t="s">
        <v>315</v>
      </c>
      <c r="E616" t="s">
        <v>837</v>
      </c>
      <c r="F616" t="s">
        <v>173</v>
      </c>
      <c r="H616" t="s">
        <v>69</v>
      </c>
      <c r="I616">
        <v>1156</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row>
    <row r="617" spans="1:39" x14ac:dyDescent="0.35">
      <c r="A617" t="s">
        <v>174</v>
      </c>
      <c r="B617" t="s">
        <v>335</v>
      </c>
      <c r="C617" t="s">
        <v>335</v>
      </c>
      <c r="D617" t="s">
        <v>315</v>
      </c>
      <c r="E617" t="s">
        <v>914</v>
      </c>
      <c r="F617" t="s">
        <v>173</v>
      </c>
      <c r="H617" t="s">
        <v>35</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row>
    <row r="618" spans="1:39" x14ac:dyDescent="0.35">
      <c r="A618" t="s">
        <v>174</v>
      </c>
      <c r="B618" t="s">
        <v>335</v>
      </c>
      <c r="C618" t="s">
        <v>335</v>
      </c>
      <c r="D618" t="s">
        <v>315</v>
      </c>
      <c r="E618" t="s">
        <v>484</v>
      </c>
      <c r="F618" t="s">
        <v>173</v>
      </c>
      <c r="H618" t="s">
        <v>67</v>
      </c>
      <c r="I618">
        <v>31281</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row>
    <row r="619" spans="1:39" x14ac:dyDescent="0.35">
      <c r="A619" t="s">
        <v>174</v>
      </c>
      <c r="B619" t="s">
        <v>335</v>
      </c>
      <c r="C619" t="s">
        <v>335</v>
      </c>
      <c r="D619" t="s">
        <v>315</v>
      </c>
      <c r="E619" t="s">
        <v>507</v>
      </c>
      <c r="F619" t="s">
        <v>173</v>
      </c>
      <c r="H619" t="s">
        <v>67</v>
      </c>
      <c r="I619">
        <v>3078</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row>
    <row r="620" spans="1:39" x14ac:dyDescent="0.35">
      <c r="A620" t="s">
        <v>174</v>
      </c>
      <c r="B620" t="s">
        <v>335</v>
      </c>
      <c r="C620" t="s">
        <v>335</v>
      </c>
      <c r="D620" t="s">
        <v>315</v>
      </c>
      <c r="E620" t="s">
        <v>915</v>
      </c>
      <c r="F620" t="s">
        <v>173</v>
      </c>
      <c r="H620" t="s">
        <v>35</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row>
    <row r="621" spans="1:39" x14ac:dyDescent="0.35">
      <c r="A621" t="s">
        <v>174</v>
      </c>
      <c r="B621" t="s">
        <v>335</v>
      </c>
      <c r="C621" t="s">
        <v>335</v>
      </c>
      <c r="D621" t="s">
        <v>315</v>
      </c>
      <c r="E621" t="s">
        <v>540</v>
      </c>
      <c r="F621" t="s">
        <v>173</v>
      </c>
      <c r="H621" t="s">
        <v>67</v>
      </c>
      <c r="I621">
        <v>12084</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row>
    <row r="622" spans="1:39" x14ac:dyDescent="0.35">
      <c r="A622" t="s">
        <v>174</v>
      </c>
      <c r="B622" t="s">
        <v>335</v>
      </c>
      <c r="C622" t="s">
        <v>335</v>
      </c>
      <c r="D622" t="s">
        <v>315</v>
      </c>
      <c r="E622" t="s">
        <v>496</v>
      </c>
      <c r="F622" t="s">
        <v>173</v>
      </c>
      <c r="H622" t="s">
        <v>35</v>
      </c>
      <c r="I622">
        <v>35898</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row>
    <row r="623" spans="1:39" x14ac:dyDescent="0.35">
      <c r="A623" t="s">
        <v>174</v>
      </c>
      <c r="B623" t="s">
        <v>335</v>
      </c>
      <c r="C623" t="s">
        <v>335</v>
      </c>
      <c r="D623" t="s">
        <v>315</v>
      </c>
      <c r="E623" t="s">
        <v>1195</v>
      </c>
      <c r="F623" t="s">
        <v>173</v>
      </c>
      <c r="H623" t="s">
        <v>35</v>
      </c>
      <c r="I623">
        <v>18994</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row>
    <row r="624" spans="1:39" x14ac:dyDescent="0.35">
      <c r="A624" t="s">
        <v>174</v>
      </c>
      <c r="B624" t="s">
        <v>335</v>
      </c>
      <c r="C624" t="s">
        <v>335</v>
      </c>
      <c r="D624" t="s">
        <v>315</v>
      </c>
      <c r="E624" t="s">
        <v>511</v>
      </c>
      <c r="F624" t="s">
        <v>173</v>
      </c>
      <c r="H624" t="s">
        <v>35</v>
      </c>
      <c r="I624">
        <v>34800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row>
    <row r="625" spans="1:39" x14ac:dyDescent="0.35">
      <c r="A625" t="s">
        <v>174</v>
      </c>
      <c r="B625" t="s">
        <v>335</v>
      </c>
      <c r="C625" t="s">
        <v>335</v>
      </c>
      <c r="D625" t="s">
        <v>315</v>
      </c>
      <c r="E625" t="s">
        <v>509</v>
      </c>
      <c r="F625" t="s">
        <v>173</v>
      </c>
      <c r="H625" t="s">
        <v>35</v>
      </c>
      <c r="I625">
        <v>121000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row>
    <row r="626" spans="1:39" x14ac:dyDescent="0.35">
      <c r="A626" t="s">
        <v>174</v>
      </c>
      <c r="B626" t="s">
        <v>335</v>
      </c>
      <c r="C626" t="s">
        <v>335</v>
      </c>
      <c r="D626" t="s">
        <v>315</v>
      </c>
      <c r="E626" t="s">
        <v>1345</v>
      </c>
      <c r="F626" t="s">
        <v>173</v>
      </c>
      <c r="H626" t="s">
        <v>35</v>
      </c>
      <c r="I626">
        <v>6393</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row>
    <row r="627" spans="1:39" x14ac:dyDescent="0.35">
      <c r="A627" t="s">
        <v>174</v>
      </c>
      <c r="B627" t="s">
        <v>335</v>
      </c>
      <c r="C627" t="s">
        <v>335</v>
      </c>
      <c r="D627" t="s">
        <v>315</v>
      </c>
      <c r="E627" t="s">
        <v>1344</v>
      </c>
      <c r="F627" t="s">
        <v>173</v>
      </c>
      <c r="H627" t="s">
        <v>35</v>
      </c>
      <c r="I627">
        <v>9607</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row>
    <row r="628" spans="1:39" x14ac:dyDescent="0.35">
      <c r="A628" t="s">
        <v>174</v>
      </c>
      <c r="B628" t="s">
        <v>335</v>
      </c>
      <c r="C628" t="s">
        <v>335</v>
      </c>
      <c r="D628" t="s">
        <v>315</v>
      </c>
      <c r="E628" t="s">
        <v>1343</v>
      </c>
      <c r="F628" t="s">
        <v>173</v>
      </c>
      <c r="H628" t="s">
        <v>35</v>
      </c>
      <c r="I628">
        <v>25563</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row>
    <row r="629" spans="1:39" x14ac:dyDescent="0.35">
      <c r="A629" t="s">
        <v>174</v>
      </c>
      <c r="B629" t="s">
        <v>335</v>
      </c>
      <c r="C629" t="s">
        <v>335</v>
      </c>
      <c r="D629" t="s">
        <v>315</v>
      </c>
      <c r="E629" t="s">
        <v>1196</v>
      </c>
      <c r="F629" t="s">
        <v>173</v>
      </c>
      <c r="H629" t="s">
        <v>35</v>
      </c>
      <c r="I629">
        <v>192528.715</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row>
    <row r="630" spans="1:39" x14ac:dyDescent="0.35">
      <c r="A630" t="s">
        <v>174</v>
      </c>
      <c r="B630" t="s">
        <v>335</v>
      </c>
      <c r="C630" t="s">
        <v>335</v>
      </c>
      <c r="D630" t="s">
        <v>315</v>
      </c>
      <c r="E630" t="s">
        <v>1194</v>
      </c>
      <c r="F630" t="s">
        <v>173</v>
      </c>
      <c r="H630" t="s">
        <v>35</v>
      </c>
      <c r="I630">
        <v>290000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row>
    <row r="631" spans="1:39" x14ac:dyDescent="0.35">
      <c r="A631" t="s">
        <v>174</v>
      </c>
      <c r="B631" t="s">
        <v>335</v>
      </c>
      <c r="C631" t="s">
        <v>335</v>
      </c>
      <c r="D631" t="s">
        <v>315</v>
      </c>
      <c r="E631" t="s">
        <v>2</v>
      </c>
      <c r="F631" t="s">
        <v>173</v>
      </c>
      <c r="H631" t="s">
        <v>35</v>
      </c>
      <c r="I631">
        <v>25307.16</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row>
    <row r="632" spans="1:39" x14ac:dyDescent="0.35">
      <c r="A632" t="s">
        <v>174</v>
      </c>
      <c r="B632" t="s">
        <v>335</v>
      </c>
      <c r="C632" t="s">
        <v>335</v>
      </c>
      <c r="D632" t="s">
        <v>315</v>
      </c>
      <c r="E632" t="s">
        <v>353</v>
      </c>
      <c r="F632" t="s">
        <v>173</v>
      </c>
      <c r="H632" t="s">
        <v>35</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row>
    <row r="633" spans="1:39" x14ac:dyDescent="0.35">
      <c r="A633" t="s">
        <v>174</v>
      </c>
      <c r="B633" t="s">
        <v>335</v>
      </c>
      <c r="C633" t="s">
        <v>335</v>
      </c>
      <c r="D633" t="s">
        <v>315</v>
      </c>
      <c r="E633" t="s">
        <v>352</v>
      </c>
      <c r="F633" t="s">
        <v>173</v>
      </c>
      <c r="H633" t="s">
        <v>68</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row>
    <row r="634" spans="1:39" x14ac:dyDescent="0.35">
      <c r="A634" t="s">
        <v>174</v>
      </c>
      <c r="B634" t="s">
        <v>335</v>
      </c>
      <c r="C634" t="s">
        <v>335</v>
      </c>
      <c r="D634" t="s">
        <v>315</v>
      </c>
      <c r="E634" t="s">
        <v>1346</v>
      </c>
      <c r="F634" t="s">
        <v>173</v>
      </c>
      <c r="H634" t="s">
        <v>35</v>
      </c>
      <c r="I634">
        <v>26040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row>
    <row r="635" spans="1:39" x14ac:dyDescent="0.35">
      <c r="A635" t="s">
        <v>174</v>
      </c>
      <c r="B635" t="s">
        <v>335</v>
      </c>
      <c r="C635" t="s">
        <v>335</v>
      </c>
      <c r="D635" t="s">
        <v>315</v>
      </c>
      <c r="E635" t="s">
        <v>497</v>
      </c>
      <c r="F635" t="s">
        <v>173</v>
      </c>
      <c r="H635" t="s">
        <v>35</v>
      </c>
      <c r="I635">
        <v>3477</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row>
    <row r="636" spans="1:39" x14ac:dyDescent="0.35">
      <c r="A636" t="s">
        <v>174</v>
      </c>
      <c r="B636" t="s">
        <v>335</v>
      </c>
      <c r="C636" t="s">
        <v>335</v>
      </c>
      <c r="D636" t="s">
        <v>315</v>
      </c>
      <c r="E636" t="s">
        <v>1168</v>
      </c>
      <c r="F636" t="s">
        <v>173</v>
      </c>
      <c r="H636" t="s">
        <v>35</v>
      </c>
      <c r="I636">
        <v>5400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row>
    <row r="637" spans="1:39" x14ac:dyDescent="0.35">
      <c r="A637" t="s">
        <v>174</v>
      </c>
      <c r="B637" t="s">
        <v>335</v>
      </c>
      <c r="C637" t="s">
        <v>335</v>
      </c>
      <c r="D637" t="s">
        <v>315</v>
      </c>
      <c r="E637" t="s">
        <v>1306</v>
      </c>
      <c r="F637" t="s">
        <v>173</v>
      </c>
      <c r="H637" t="s">
        <v>35</v>
      </c>
      <c r="I637">
        <v>305409</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row>
    <row r="638" spans="1:39" x14ac:dyDescent="0.35">
      <c r="A638" t="s">
        <v>174</v>
      </c>
      <c r="B638" t="s">
        <v>335</v>
      </c>
      <c r="C638" t="s">
        <v>335</v>
      </c>
      <c r="D638" t="s">
        <v>315</v>
      </c>
      <c r="E638" t="s">
        <v>1331</v>
      </c>
      <c r="F638" t="s">
        <v>173</v>
      </c>
      <c r="H638" t="s">
        <v>35</v>
      </c>
      <c r="I638">
        <v>134500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row>
    <row r="639" spans="1:39" x14ac:dyDescent="0.35">
      <c r="A639" t="s">
        <v>174</v>
      </c>
      <c r="B639" t="s">
        <v>335</v>
      </c>
      <c r="C639" t="s">
        <v>335</v>
      </c>
      <c r="D639" t="s">
        <v>315</v>
      </c>
      <c r="E639" t="s">
        <v>349</v>
      </c>
      <c r="F639" t="s">
        <v>173</v>
      </c>
      <c r="H639" t="s">
        <v>35</v>
      </c>
      <c r="I639">
        <v>22731</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row>
    <row r="640" spans="1:39" x14ac:dyDescent="0.35">
      <c r="A640" t="s">
        <v>174</v>
      </c>
      <c r="B640" t="s">
        <v>335</v>
      </c>
      <c r="C640" t="s">
        <v>335</v>
      </c>
      <c r="D640" t="s">
        <v>315</v>
      </c>
      <c r="E640" t="s">
        <v>985</v>
      </c>
      <c r="F640" t="s">
        <v>173</v>
      </c>
      <c r="H640" t="s">
        <v>35</v>
      </c>
      <c r="I640">
        <v>90799</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0</v>
      </c>
    </row>
    <row r="641" spans="1:39" x14ac:dyDescent="0.35">
      <c r="A641" t="s">
        <v>174</v>
      </c>
      <c r="B641" t="s">
        <v>335</v>
      </c>
      <c r="C641" t="s">
        <v>335</v>
      </c>
      <c r="D641" t="s">
        <v>315</v>
      </c>
      <c r="E641" t="s">
        <v>355</v>
      </c>
      <c r="F641" t="s">
        <v>173</v>
      </c>
      <c r="H641" t="s">
        <v>35</v>
      </c>
      <c r="I641">
        <v>7033</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c r="AE641">
        <v>0</v>
      </c>
      <c r="AF641">
        <v>0</v>
      </c>
      <c r="AG641">
        <v>0</v>
      </c>
      <c r="AH641">
        <v>0</v>
      </c>
      <c r="AI641">
        <v>0</v>
      </c>
      <c r="AJ641">
        <v>0</v>
      </c>
      <c r="AK641">
        <v>0</v>
      </c>
      <c r="AL641">
        <v>0</v>
      </c>
      <c r="AM641">
        <v>0</v>
      </c>
    </row>
    <row r="642" spans="1:39" x14ac:dyDescent="0.35">
      <c r="A642" t="s">
        <v>174</v>
      </c>
      <c r="B642" t="s">
        <v>335</v>
      </c>
      <c r="C642" t="s">
        <v>335</v>
      </c>
      <c r="D642" t="s">
        <v>315</v>
      </c>
      <c r="E642" t="s">
        <v>1339</v>
      </c>
      <c r="F642" t="s">
        <v>173</v>
      </c>
      <c r="H642" t="s">
        <v>35</v>
      </c>
      <c r="I642">
        <v>307725</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row>
    <row r="643" spans="1:39" x14ac:dyDescent="0.35">
      <c r="A643" t="s">
        <v>174</v>
      </c>
      <c r="B643" t="s">
        <v>335</v>
      </c>
      <c r="C643" t="s">
        <v>335</v>
      </c>
      <c r="D643" t="s">
        <v>315</v>
      </c>
      <c r="E643" t="s">
        <v>1348</v>
      </c>
      <c r="F643" t="s">
        <v>173</v>
      </c>
      <c r="H643" t="s">
        <v>35</v>
      </c>
      <c r="I643">
        <v>23408</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row>
    <row r="644" spans="1:39" x14ac:dyDescent="0.35">
      <c r="A644" t="s">
        <v>174</v>
      </c>
      <c r="B644" t="s">
        <v>335</v>
      </c>
      <c r="C644" t="s">
        <v>335</v>
      </c>
      <c r="D644" t="s">
        <v>315</v>
      </c>
      <c r="E644" t="s">
        <v>354</v>
      </c>
      <c r="F644" t="s">
        <v>173</v>
      </c>
      <c r="H644" t="s">
        <v>35</v>
      </c>
      <c r="I644">
        <v>15169</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row>
    <row r="645" spans="1:39" x14ac:dyDescent="0.35">
      <c r="A645" t="s">
        <v>174</v>
      </c>
      <c r="B645" t="s">
        <v>335</v>
      </c>
      <c r="C645" t="s">
        <v>335</v>
      </c>
      <c r="D645" t="s">
        <v>315</v>
      </c>
      <c r="E645" t="s">
        <v>918</v>
      </c>
      <c r="F645" t="s">
        <v>173</v>
      </c>
      <c r="H645" t="s">
        <v>67</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row>
    <row r="646" spans="1:39" x14ac:dyDescent="0.35">
      <c r="A646" t="s">
        <v>174</v>
      </c>
      <c r="B646" t="s">
        <v>335</v>
      </c>
      <c r="C646" t="s">
        <v>335</v>
      </c>
      <c r="D646" t="s">
        <v>315</v>
      </c>
      <c r="E646" t="s">
        <v>19</v>
      </c>
      <c r="F646" t="s">
        <v>173</v>
      </c>
      <c r="H646" t="s">
        <v>35</v>
      </c>
      <c r="I646">
        <v>78427</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c r="AF646">
        <v>0</v>
      </c>
      <c r="AG646">
        <v>0</v>
      </c>
      <c r="AH646">
        <v>0</v>
      </c>
      <c r="AI646">
        <v>0</v>
      </c>
      <c r="AJ646">
        <v>0</v>
      </c>
      <c r="AK646">
        <v>0</v>
      </c>
      <c r="AL646">
        <v>0</v>
      </c>
      <c r="AM646">
        <v>0</v>
      </c>
    </row>
    <row r="647" spans="1:39" x14ac:dyDescent="0.35">
      <c r="A647" t="s">
        <v>174</v>
      </c>
      <c r="B647" t="s">
        <v>335</v>
      </c>
      <c r="C647" t="s">
        <v>335</v>
      </c>
      <c r="D647" t="s">
        <v>315</v>
      </c>
      <c r="E647" t="s">
        <v>20</v>
      </c>
      <c r="F647" t="s">
        <v>173</v>
      </c>
      <c r="H647" t="s">
        <v>35</v>
      </c>
      <c r="I647">
        <v>20380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row>
    <row r="648" spans="1:39" x14ac:dyDescent="0.35">
      <c r="A648" t="s">
        <v>174</v>
      </c>
      <c r="B648" t="s">
        <v>335</v>
      </c>
      <c r="C648" t="s">
        <v>335</v>
      </c>
      <c r="D648" t="s">
        <v>315</v>
      </c>
      <c r="E648" t="s">
        <v>350</v>
      </c>
      <c r="F648" t="s">
        <v>173</v>
      </c>
      <c r="H648" t="s">
        <v>35</v>
      </c>
      <c r="I648">
        <v>9734</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row>
    <row r="649" spans="1:39" x14ac:dyDescent="0.35">
      <c r="A649" t="s">
        <v>174</v>
      </c>
      <c r="B649" t="s">
        <v>335</v>
      </c>
      <c r="C649" t="s">
        <v>335</v>
      </c>
      <c r="D649" t="s">
        <v>315</v>
      </c>
      <c r="E649" t="s">
        <v>1347</v>
      </c>
      <c r="F649" t="s">
        <v>173</v>
      </c>
      <c r="H649" t="s">
        <v>35</v>
      </c>
      <c r="I649">
        <v>21792</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c r="AK649">
        <v>0</v>
      </c>
      <c r="AL649">
        <v>0</v>
      </c>
      <c r="AM649">
        <v>0</v>
      </c>
    </row>
    <row r="650" spans="1:39" x14ac:dyDescent="0.35">
      <c r="A650" t="s">
        <v>174</v>
      </c>
      <c r="B650" t="s">
        <v>335</v>
      </c>
      <c r="C650" t="s">
        <v>335</v>
      </c>
      <c r="D650" t="s">
        <v>315</v>
      </c>
      <c r="E650" t="s">
        <v>351</v>
      </c>
      <c r="F650" t="s">
        <v>173</v>
      </c>
      <c r="H650" t="s">
        <v>35</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0</v>
      </c>
    </row>
    <row r="651" spans="1:39" x14ac:dyDescent="0.35">
      <c r="A651" t="s">
        <v>174</v>
      </c>
      <c r="B651" t="s">
        <v>335</v>
      </c>
      <c r="C651" t="s">
        <v>335</v>
      </c>
      <c r="D651" t="s">
        <v>315</v>
      </c>
      <c r="E651" t="s">
        <v>500</v>
      </c>
      <c r="F651" t="s">
        <v>173</v>
      </c>
      <c r="H651" t="s">
        <v>35</v>
      </c>
      <c r="I651">
        <v>161984</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0</v>
      </c>
    </row>
    <row r="652" spans="1:39" x14ac:dyDescent="0.35">
      <c r="A652" t="s">
        <v>174</v>
      </c>
      <c r="B652" t="s">
        <v>335</v>
      </c>
      <c r="C652" t="s">
        <v>335</v>
      </c>
      <c r="D652" t="s">
        <v>315</v>
      </c>
      <c r="E652" t="s">
        <v>501</v>
      </c>
      <c r="F652" t="s">
        <v>173</v>
      </c>
      <c r="H652" t="s">
        <v>35</v>
      </c>
      <c r="I652">
        <v>395100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row>
    <row r="653" spans="1:39" x14ac:dyDescent="0.35">
      <c r="A653" t="s">
        <v>174</v>
      </c>
      <c r="B653" t="s">
        <v>335</v>
      </c>
      <c r="C653" t="s">
        <v>335</v>
      </c>
      <c r="D653" t="s">
        <v>315</v>
      </c>
      <c r="E653" t="s">
        <v>916</v>
      </c>
      <c r="F653" t="s">
        <v>173</v>
      </c>
      <c r="H653" t="s">
        <v>35</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c r="AK653">
        <v>0</v>
      </c>
      <c r="AL653">
        <v>0</v>
      </c>
      <c r="AM653">
        <v>0</v>
      </c>
    </row>
    <row r="654" spans="1:39" x14ac:dyDescent="0.35">
      <c r="A654" t="s">
        <v>174</v>
      </c>
      <c r="B654" t="s">
        <v>335</v>
      </c>
      <c r="C654" t="s">
        <v>335</v>
      </c>
      <c r="D654" t="s">
        <v>315</v>
      </c>
      <c r="E654" t="s">
        <v>28</v>
      </c>
      <c r="F654" t="s">
        <v>173</v>
      </c>
      <c r="H654" t="s">
        <v>35</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row>
    <row r="655" spans="1:39" x14ac:dyDescent="0.35">
      <c r="A655" t="s">
        <v>174</v>
      </c>
      <c r="B655" t="s">
        <v>335</v>
      </c>
      <c r="C655" t="s">
        <v>335</v>
      </c>
      <c r="D655" t="s">
        <v>315</v>
      </c>
      <c r="E655" t="s">
        <v>1318</v>
      </c>
      <c r="F655" t="s">
        <v>173</v>
      </c>
      <c r="H655" t="s">
        <v>67</v>
      </c>
      <c r="I655">
        <v>11052</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c r="AK655">
        <v>0</v>
      </c>
      <c r="AL655">
        <v>0</v>
      </c>
      <c r="AM655">
        <v>0</v>
      </c>
    </row>
    <row r="656" spans="1:39" x14ac:dyDescent="0.35">
      <c r="A656" t="s">
        <v>174</v>
      </c>
      <c r="B656" t="s">
        <v>335</v>
      </c>
      <c r="C656" t="s">
        <v>335</v>
      </c>
      <c r="D656" t="s">
        <v>315</v>
      </c>
      <c r="E656" t="s">
        <v>30</v>
      </c>
      <c r="F656" t="s">
        <v>173</v>
      </c>
      <c r="H656" t="s">
        <v>67</v>
      </c>
      <c r="I656">
        <v>406</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row>
    <row r="657" spans="1:39" x14ac:dyDescent="0.35">
      <c r="A657" t="s">
        <v>174</v>
      </c>
      <c r="B657" t="s">
        <v>335</v>
      </c>
      <c r="C657" t="s">
        <v>335</v>
      </c>
      <c r="D657" t="s">
        <v>315</v>
      </c>
      <c r="E657" t="s">
        <v>31</v>
      </c>
      <c r="F657" t="s">
        <v>173</v>
      </c>
      <c r="H657" t="s">
        <v>35</v>
      </c>
      <c r="I657">
        <v>5310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0</v>
      </c>
    </row>
    <row r="658" spans="1:39" x14ac:dyDescent="0.35">
      <c r="A658" t="s">
        <v>174</v>
      </c>
      <c r="B658" t="s">
        <v>335</v>
      </c>
      <c r="C658" t="s">
        <v>335</v>
      </c>
      <c r="D658" t="s">
        <v>315</v>
      </c>
      <c r="E658" t="s">
        <v>72</v>
      </c>
      <c r="F658" t="s">
        <v>173</v>
      </c>
      <c r="H658" t="s">
        <v>35</v>
      </c>
      <c r="I658">
        <v>85650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row>
    <row r="659" spans="1:39" x14ac:dyDescent="0.35">
      <c r="A659" t="s">
        <v>174</v>
      </c>
      <c r="B659" t="s">
        <v>335</v>
      </c>
      <c r="C659" t="s">
        <v>335</v>
      </c>
      <c r="D659" t="s">
        <v>315</v>
      </c>
      <c r="E659" t="s">
        <v>542</v>
      </c>
      <c r="F659" t="s">
        <v>173</v>
      </c>
      <c r="H659" t="s">
        <v>35</v>
      </c>
      <c r="I659">
        <v>42670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row>
    <row r="660" spans="1:39" x14ac:dyDescent="0.35">
      <c r="A660" t="s">
        <v>174</v>
      </c>
      <c r="B660" t="s">
        <v>335</v>
      </c>
      <c r="C660" t="s">
        <v>335</v>
      </c>
      <c r="D660" t="s">
        <v>315</v>
      </c>
      <c r="E660" t="s">
        <v>555</v>
      </c>
      <c r="F660" t="s">
        <v>173</v>
      </c>
      <c r="H660" t="s">
        <v>67</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row>
    <row r="661" spans="1:39" x14ac:dyDescent="0.35">
      <c r="A661" t="s">
        <v>174</v>
      </c>
      <c r="B661" t="s">
        <v>335</v>
      </c>
      <c r="C661" t="s">
        <v>335</v>
      </c>
      <c r="D661" t="s">
        <v>315</v>
      </c>
      <c r="E661" t="s">
        <v>34</v>
      </c>
      <c r="F661" t="s">
        <v>173</v>
      </c>
      <c r="H661" t="s">
        <v>68</v>
      </c>
      <c r="I661">
        <v>756849.30232558143</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row>
    <row r="662" spans="1:39" x14ac:dyDescent="0.35">
      <c r="A662" t="s">
        <v>174</v>
      </c>
      <c r="B662" t="s">
        <v>312</v>
      </c>
      <c r="C662" t="s">
        <v>312</v>
      </c>
      <c r="D662" t="s">
        <v>315</v>
      </c>
      <c r="E662" t="s">
        <v>1316</v>
      </c>
      <c r="F662" t="s">
        <v>312</v>
      </c>
      <c r="H662" t="s">
        <v>35</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row>
    <row r="663" spans="1:39" x14ac:dyDescent="0.35">
      <c r="A663" t="s">
        <v>174</v>
      </c>
      <c r="B663" t="s">
        <v>312</v>
      </c>
      <c r="C663" t="s">
        <v>312</v>
      </c>
      <c r="D663" t="s">
        <v>315</v>
      </c>
      <c r="E663" t="s">
        <v>837</v>
      </c>
      <c r="F663" t="s">
        <v>312</v>
      </c>
      <c r="H663" t="s">
        <v>69</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row>
    <row r="664" spans="1:39" x14ac:dyDescent="0.35">
      <c r="A664" t="s">
        <v>174</v>
      </c>
      <c r="B664" t="s">
        <v>312</v>
      </c>
      <c r="C664" t="s">
        <v>312</v>
      </c>
      <c r="D664" t="s">
        <v>315</v>
      </c>
      <c r="E664" t="s">
        <v>914</v>
      </c>
      <c r="F664" t="s">
        <v>312</v>
      </c>
      <c r="H664" t="s">
        <v>35</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0</v>
      </c>
    </row>
    <row r="665" spans="1:39" x14ac:dyDescent="0.35">
      <c r="A665" t="s">
        <v>174</v>
      </c>
      <c r="B665" t="s">
        <v>312</v>
      </c>
      <c r="C665" t="s">
        <v>312</v>
      </c>
      <c r="D665" t="s">
        <v>315</v>
      </c>
      <c r="E665" t="s">
        <v>484</v>
      </c>
      <c r="F665" t="s">
        <v>312</v>
      </c>
      <c r="H665" t="s">
        <v>67</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v>0</v>
      </c>
      <c r="AK665">
        <v>0</v>
      </c>
      <c r="AL665">
        <v>0</v>
      </c>
      <c r="AM665">
        <v>0</v>
      </c>
    </row>
    <row r="666" spans="1:39" x14ac:dyDescent="0.35">
      <c r="A666" t="s">
        <v>174</v>
      </c>
      <c r="B666" t="s">
        <v>312</v>
      </c>
      <c r="C666" t="s">
        <v>312</v>
      </c>
      <c r="D666" t="s">
        <v>315</v>
      </c>
      <c r="E666" t="s">
        <v>507</v>
      </c>
      <c r="F666" t="s">
        <v>312</v>
      </c>
      <c r="H666" t="s">
        <v>67</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row>
    <row r="667" spans="1:39" x14ac:dyDescent="0.35">
      <c r="A667" t="s">
        <v>174</v>
      </c>
      <c r="B667" t="s">
        <v>312</v>
      </c>
      <c r="C667" t="s">
        <v>312</v>
      </c>
      <c r="D667" t="s">
        <v>315</v>
      </c>
      <c r="E667" t="s">
        <v>915</v>
      </c>
      <c r="F667" t="s">
        <v>312</v>
      </c>
      <c r="H667" t="s">
        <v>35</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row>
    <row r="668" spans="1:39" x14ac:dyDescent="0.35">
      <c r="A668" t="s">
        <v>174</v>
      </c>
      <c r="B668" t="s">
        <v>312</v>
      </c>
      <c r="C668" t="s">
        <v>312</v>
      </c>
      <c r="D668" t="s">
        <v>315</v>
      </c>
      <c r="E668" t="s">
        <v>540</v>
      </c>
      <c r="F668" t="s">
        <v>312</v>
      </c>
      <c r="H668" t="s">
        <v>67</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row>
    <row r="669" spans="1:39" x14ac:dyDescent="0.35">
      <c r="A669" t="s">
        <v>174</v>
      </c>
      <c r="B669" t="s">
        <v>312</v>
      </c>
      <c r="C669" t="s">
        <v>312</v>
      </c>
      <c r="D669" t="s">
        <v>315</v>
      </c>
      <c r="E669" t="s">
        <v>496</v>
      </c>
      <c r="F669" t="s">
        <v>312</v>
      </c>
      <c r="H669" t="s">
        <v>35</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c r="AI669">
        <v>0</v>
      </c>
      <c r="AJ669">
        <v>0</v>
      </c>
      <c r="AK669">
        <v>0</v>
      </c>
      <c r="AL669">
        <v>0</v>
      </c>
      <c r="AM669">
        <v>0</v>
      </c>
    </row>
    <row r="670" spans="1:39" x14ac:dyDescent="0.35">
      <c r="A670" t="s">
        <v>174</v>
      </c>
      <c r="B670" t="s">
        <v>312</v>
      </c>
      <c r="C670" t="s">
        <v>312</v>
      </c>
      <c r="D670" t="s">
        <v>315</v>
      </c>
      <c r="E670" t="s">
        <v>1195</v>
      </c>
      <c r="F670" t="s">
        <v>312</v>
      </c>
      <c r="H670" t="s">
        <v>35</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row>
    <row r="671" spans="1:39" x14ac:dyDescent="0.35">
      <c r="A671" t="s">
        <v>174</v>
      </c>
      <c r="B671" t="s">
        <v>312</v>
      </c>
      <c r="C671" t="s">
        <v>312</v>
      </c>
      <c r="D671" t="s">
        <v>315</v>
      </c>
      <c r="E671" t="s">
        <v>511</v>
      </c>
      <c r="F671" t="s">
        <v>312</v>
      </c>
      <c r="H671" t="s">
        <v>35</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0</v>
      </c>
    </row>
    <row r="672" spans="1:39" x14ac:dyDescent="0.35">
      <c r="A672" t="s">
        <v>174</v>
      </c>
      <c r="B672" t="s">
        <v>312</v>
      </c>
      <c r="C672" t="s">
        <v>312</v>
      </c>
      <c r="D672" t="s">
        <v>315</v>
      </c>
      <c r="E672" t="s">
        <v>509</v>
      </c>
      <c r="F672" t="s">
        <v>312</v>
      </c>
      <c r="H672" t="s">
        <v>35</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row>
    <row r="673" spans="1:39" x14ac:dyDescent="0.35">
      <c r="A673" t="s">
        <v>174</v>
      </c>
      <c r="B673" t="s">
        <v>312</v>
      </c>
      <c r="C673" t="s">
        <v>312</v>
      </c>
      <c r="D673" t="s">
        <v>315</v>
      </c>
      <c r="E673" t="s">
        <v>1345</v>
      </c>
      <c r="F673" t="s">
        <v>312</v>
      </c>
      <c r="H673" t="s">
        <v>35</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M673">
        <v>0</v>
      </c>
    </row>
    <row r="674" spans="1:39" x14ac:dyDescent="0.35">
      <c r="A674" t="s">
        <v>174</v>
      </c>
      <c r="B674" t="s">
        <v>312</v>
      </c>
      <c r="C674" t="s">
        <v>312</v>
      </c>
      <c r="D674" t="s">
        <v>315</v>
      </c>
      <c r="E674" t="s">
        <v>1344</v>
      </c>
      <c r="F674" t="s">
        <v>312</v>
      </c>
      <c r="H674" t="s">
        <v>35</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c r="AK674">
        <v>0</v>
      </c>
      <c r="AL674">
        <v>0</v>
      </c>
      <c r="AM674">
        <v>0</v>
      </c>
    </row>
    <row r="675" spans="1:39" x14ac:dyDescent="0.35">
      <c r="A675" t="s">
        <v>174</v>
      </c>
      <c r="B675" t="s">
        <v>312</v>
      </c>
      <c r="C675" t="s">
        <v>312</v>
      </c>
      <c r="D675" t="s">
        <v>315</v>
      </c>
      <c r="E675" t="s">
        <v>1343</v>
      </c>
      <c r="F675" t="s">
        <v>312</v>
      </c>
      <c r="H675" t="s">
        <v>35</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c r="AK675">
        <v>0</v>
      </c>
      <c r="AL675">
        <v>0</v>
      </c>
      <c r="AM675">
        <v>0</v>
      </c>
    </row>
    <row r="676" spans="1:39" x14ac:dyDescent="0.35">
      <c r="A676" t="s">
        <v>174</v>
      </c>
      <c r="B676" t="s">
        <v>312</v>
      </c>
      <c r="C676" t="s">
        <v>312</v>
      </c>
      <c r="D676" t="s">
        <v>315</v>
      </c>
      <c r="E676" t="s">
        <v>1196</v>
      </c>
      <c r="F676" t="s">
        <v>312</v>
      </c>
      <c r="H676" t="s">
        <v>35</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c r="AK676">
        <v>0</v>
      </c>
      <c r="AL676">
        <v>0</v>
      </c>
      <c r="AM676">
        <v>0</v>
      </c>
    </row>
    <row r="677" spans="1:39" x14ac:dyDescent="0.35">
      <c r="A677" t="s">
        <v>174</v>
      </c>
      <c r="B677" t="s">
        <v>312</v>
      </c>
      <c r="C677" t="s">
        <v>312</v>
      </c>
      <c r="D677" t="s">
        <v>315</v>
      </c>
      <c r="E677" t="s">
        <v>1194</v>
      </c>
      <c r="F677" t="s">
        <v>312</v>
      </c>
      <c r="H677" t="s">
        <v>35</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row>
    <row r="678" spans="1:39" x14ac:dyDescent="0.35">
      <c r="A678" t="s">
        <v>174</v>
      </c>
      <c r="B678" t="s">
        <v>312</v>
      </c>
      <c r="C678" t="s">
        <v>312</v>
      </c>
      <c r="D678" t="s">
        <v>315</v>
      </c>
      <c r="E678" t="s">
        <v>2</v>
      </c>
      <c r="F678" t="s">
        <v>312</v>
      </c>
      <c r="H678" t="s">
        <v>35</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row>
    <row r="679" spans="1:39" x14ac:dyDescent="0.35">
      <c r="A679" t="s">
        <v>174</v>
      </c>
      <c r="B679" t="s">
        <v>312</v>
      </c>
      <c r="C679" t="s">
        <v>312</v>
      </c>
      <c r="D679" t="s">
        <v>315</v>
      </c>
      <c r="E679" t="s">
        <v>353</v>
      </c>
      <c r="F679" t="s">
        <v>312</v>
      </c>
      <c r="H679" t="s">
        <v>35</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row>
    <row r="680" spans="1:39" x14ac:dyDescent="0.35">
      <c r="A680" t="s">
        <v>174</v>
      </c>
      <c r="B680" t="s">
        <v>312</v>
      </c>
      <c r="C680" t="s">
        <v>312</v>
      </c>
      <c r="D680" t="s">
        <v>315</v>
      </c>
      <c r="E680" t="s">
        <v>352</v>
      </c>
      <c r="F680" t="s">
        <v>312</v>
      </c>
      <c r="H680" t="s">
        <v>68</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c r="AE680">
        <v>0</v>
      </c>
      <c r="AF680">
        <v>0</v>
      </c>
      <c r="AG680">
        <v>0</v>
      </c>
      <c r="AH680">
        <v>0</v>
      </c>
      <c r="AI680">
        <v>0</v>
      </c>
      <c r="AJ680">
        <v>0</v>
      </c>
      <c r="AK680">
        <v>0</v>
      </c>
      <c r="AL680">
        <v>0</v>
      </c>
      <c r="AM680">
        <v>0</v>
      </c>
    </row>
    <row r="681" spans="1:39" x14ac:dyDescent="0.35">
      <c r="A681" t="s">
        <v>174</v>
      </c>
      <c r="B681" t="s">
        <v>312</v>
      </c>
      <c r="C681" t="s">
        <v>312</v>
      </c>
      <c r="D681" t="s">
        <v>315</v>
      </c>
      <c r="E681" t="s">
        <v>1346</v>
      </c>
      <c r="F681" t="s">
        <v>312</v>
      </c>
      <c r="H681" t="s">
        <v>35</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row>
    <row r="682" spans="1:39" x14ac:dyDescent="0.35">
      <c r="A682" t="s">
        <v>174</v>
      </c>
      <c r="B682" t="s">
        <v>312</v>
      </c>
      <c r="C682" t="s">
        <v>312</v>
      </c>
      <c r="D682" t="s">
        <v>315</v>
      </c>
      <c r="E682" t="s">
        <v>497</v>
      </c>
      <c r="F682" t="s">
        <v>312</v>
      </c>
      <c r="H682" t="s">
        <v>35</v>
      </c>
      <c r="I682">
        <v>376</v>
      </c>
      <c r="J682">
        <v>0</v>
      </c>
      <c r="K682">
        <v>0</v>
      </c>
      <c r="L682">
        <v>0</v>
      </c>
      <c r="M682">
        <v>274</v>
      </c>
      <c r="N682">
        <v>0</v>
      </c>
      <c r="O682">
        <v>129</v>
      </c>
      <c r="P682">
        <v>0</v>
      </c>
      <c r="Q682">
        <v>0</v>
      </c>
      <c r="R682">
        <v>0</v>
      </c>
      <c r="S682">
        <v>0</v>
      </c>
      <c r="T682">
        <v>0</v>
      </c>
      <c r="U682">
        <v>199</v>
      </c>
      <c r="V682">
        <v>462</v>
      </c>
      <c r="W682">
        <v>0</v>
      </c>
      <c r="X682">
        <v>0</v>
      </c>
      <c r="Y682">
        <v>0</v>
      </c>
      <c r="Z682">
        <v>0</v>
      </c>
      <c r="AA682">
        <v>0</v>
      </c>
      <c r="AB682">
        <v>0</v>
      </c>
      <c r="AC682">
        <v>0</v>
      </c>
      <c r="AD682">
        <v>0</v>
      </c>
      <c r="AE682">
        <v>0</v>
      </c>
      <c r="AF682">
        <v>0</v>
      </c>
      <c r="AG682">
        <v>0</v>
      </c>
      <c r="AH682">
        <v>0</v>
      </c>
      <c r="AI682">
        <v>0</v>
      </c>
      <c r="AJ682">
        <v>0</v>
      </c>
      <c r="AK682">
        <v>0</v>
      </c>
      <c r="AL682">
        <v>0</v>
      </c>
      <c r="AM682">
        <v>0</v>
      </c>
    </row>
    <row r="683" spans="1:39" x14ac:dyDescent="0.35">
      <c r="A683" t="s">
        <v>174</v>
      </c>
      <c r="B683" t="s">
        <v>312</v>
      </c>
      <c r="C683" t="s">
        <v>312</v>
      </c>
      <c r="D683" t="s">
        <v>315</v>
      </c>
      <c r="E683" t="s">
        <v>1306</v>
      </c>
      <c r="F683" t="s">
        <v>312</v>
      </c>
      <c r="H683" t="s">
        <v>35</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0</v>
      </c>
      <c r="AM683">
        <v>0</v>
      </c>
    </row>
    <row r="684" spans="1:39" x14ac:dyDescent="0.35">
      <c r="A684" t="s">
        <v>174</v>
      </c>
      <c r="B684" t="s">
        <v>312</v>
      </c>
      <c r="C684" t="s">
        <v>312</v>
      </c>
      <c r="D684" t="s">
        <v>315</v>
      </c>
      <c r="E684" t="s">
        <v>349</v>
      </c>
      <c r="F684" t="s">
        <v>312</v>
      </c>
      <c r="H684" t="s">
        <v>35</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row>
    <row r="685" spans="1:39" x14ac:dyDescent="0.35">
      <c r="A685" t="s">
        <v>174</v>
      </c>
      <c r="B685" t="s">
        <v>312</v>
      </c>
      <c r="C685" t="s">
        <v>312</v>
      </c>
      <c r="D685" t="s">
        <v>315</v>
      </c>
      <c r="E685" t="s">
        <v>985</v>
      </c>
      <c r="F685" t="s">
        <v>312</v>
      </c>
      <c r="H685" t="s">
        <v>35</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row>
    <row r="686" spans="1:39" x14ac:dyDescent="0.35">
      <c r="A686" t="s">
        <v>174</v>
      </c>
      <c r="B686" t="s">
        <v>312</v>
      </c>
      <c r="C686" t="s">
        <v>312</v>
      </c>
      <c r="D686" t="s">
        <v>315</v>
      </c>
      <c r="E686" t="s">
        <v>355</v>
      </c>
      <c r="F686" t="s">
        <v>312</v>
      </c>
      <c r="H686" t="s">
        <v>35</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row>
    <row r="687" spans="1:39" x14ac:dyDescent="0.35">
      <c r="A687" t="s">
        <v>174</v>
      </c>
      <c r="B687" t="s">
        <v>312</v>
      </c>
      <c r="C687" t="s">
        <v>312</v>
      </c>
      <c r="D687" t="s">
        <v>315</v>
      </c>
      <c r="E687" t="s">
        <v>1339</v>
      </c>
      <c r="F687" t="s">
        <v>312</v>
      </c>
      <c r="H687" t="s">
        <v>35</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row>
    <row r="688" spans="1:39" x14ac:dyDescent="0.35">
      <c r="A688" t="s">
        <v>174</v>
      </c>
      <c r="B688" t="s">
        <v>312</v>
      </c>
      <c r="C688" t="s">
        <v>312</v>
      </c>
      <c r="D688" t="s">
        <v>315</v>
      </c>
      <c r="E688" t="s">
        <v>1348</v>
      </c>
      <c r="F688" t="s">
        <v>312</v>
      </c>
      <c r="H688" t="s">
        <v>35</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row>
    <row r="689" spans="1:39" x14ac:dyDescent="0.35">
      <c r="A689" t="s">
        <v>174</v>
      </c>
      <c r="B689" t="s">
        <v>312</v>
      </c>
      <c r="C689" t="s">
        <v>312</v>
      </c>
      <c r="D689" t="s">
        <v>315</v>
      </c>
      <c r="E689" t="s">
        <v>354</v>
      </c>
      <c r="F689" t="s">
        <v>312</v>
      </c>
      <c r="H689" t="s">
        <v>35</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row>
    <row r="690" spans="1:39" x14ac:dyDescent="0.35">
      <c r="A690" t="s">
        <v>174</v>
      </c>
      <c r="B690" t="s">
        <v>312</v>
      </c>
      <c r="C690" t="s">
        <v>312</v>
      </c>
      <c r="D690" t="s">
        <v>315</v>
      </c>
      <c r="E690" t="s">
        <v>918</v>
      </c>
      <c r="F690" t="s">
        <v>312</v>
      </c>
      <c r="H690" t="s">
        <v>67</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row>
    <row r="691" spans="1:39" x14ac:dyDescent="0.35">
      <c r="A691" t="s">
        <v>174</v>
      </c>
      <c r="B691" t="s">
        <v>312</v>
      </c>
      <c r="C691" t="s">
        <v>312</v>
      </c>
      <c r="D691" t="s">
        <v>315</v>
      </c>
      <c r="E691" t="s">
        <v>917</v>
      </c>
      <c r="F691" t="s">
        <v>312</v>
      </c>
      <c r="H691" t="s">
        <v>35</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row>
    <row r="692" spans="1:39" x14ac:dyDescent="0.35">
      <c r="A692" t="s">
        <v>174</v>
      </c>
      <c r="B692" t="s">
        <v>312</v>
      </c>
      <c r="C692" t="s">
        <v>312</v>
      </c>
      <c r="D692" t="s">
        <v>315</v>
      </c>
      <c r="E692" t="s">
        <v>19</v>
      </c>
      <c r="F692" t="s">
        <v>312</v>
      </c>
      <c r="H692" t="s">
        <v>35</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row>
    <row r="693" spans="1:39" x14ac:dyDescent="0.35">
      <c r="A693" t="s">
        <v>174</v>
      </c>
      <c r="B693" t="s">
        <v>312</v>
      </c>
      <c r="C693" t="s">
        <v>312</v>
      </c>
      <c r="D693" t="s">
        <v>315</v>
      </c>
      <c r="E693" t="s">
        <v>20</v>
      </c>
      <c r="F693" t="s">
        <v>312</v>
      </c>
      <c r="H693" t="s">
        <v>35</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row>
    <row r="694" spans="1:39" x14ac:dyDescent="0.35">
      <c r="A694" t="s">
        <v>174</v>
      </c>
      <c r="B694" t="s">
        <v>312</v>
      </c>
      <c r="C694" t="s">
        <v>312</v>
      </c>
      <c r="D694" t="s">
        <v>315</v>
      </c>
      <c r="E694" t="s">
        <v>350</v>
      </c>
      <c r="F694" t="s">
        <v>312</v>
      </c>
      <c r="H694" t="s">
        <v>35</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row>
    <row r="695" spans="1:39" x14ac:dyDescent="0.35">
      <c r="A695" t="s">
        <v>174</v>
      </c>
      <c r="B695" t="s">
        <v>312</v>
      </c>
      <c r="C695" t="s">
        <v>312</v>
      </c>
      <c r="D695" t="s">
        <v>315</v>
      </c>
      <c r="E695" t="s">
        <v>1347</v>
      </c>
      <c r="F695" t="s">
        <v>312</v>
      </c>
      <c r="H695" t="s">
        <v>35</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c r="AK695">
        <v>0</v>
      </c>
      <c r="AL695">
        <v>0</v>
      </c>
      <c r="AM695">
        <v>0</v>
      </c>
    </row>
    <row r="696" spans="1:39" x14ac:dyDescent="0.35">
      <c r="A696" t="s">
        <v>174</v>
      </c>
      <c r="B696" t="s">
        <v>312</v>
      </c>
      <c r="C696" t="s">
        <v>312</v>
      </c>
      <c r="D696" t="s">
        <v>315</v>
      </c>
      <c r="E696" t="s">
        <v>351</v>
      </c>
      <c r="F696" t="s">
        <v>312</v>
      </c>
      <c r="H696" t="s">
        <v>35</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row>
    <row r="697" spans="1:39" x14ac:dyDescent="0.35">
      <c r="A697" t="s">
        <v>174</v>
      </c>
      <c r="B697" t="s">
        <v>312</v>
      </c>
      <c r="C697" t="s">
        <v>312</v>
      </c>
      <c r="D697" t="s">
        <v>315</v>
      </c>
      <c r="E697" t="s">
        <v>500</v>
      </c>
      <c r="F697" t="s">
        <v>312</v>
      </c>
      <c r="H697" t="s">
        <v>35</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v>0</v>
      </c>
      <c r="AI697">
        <v>0</v>
      </c>
      <c r="AJ697">
        <v>0</v>
      </c>
      <c r="AK697">
        <v>0</v>
      </c>
      <c r="AL697">
        <v>0</v>
      </c>
      <c r="AM697">
        <v>0</v>
      </c>
    </row>
    <row r="698" spans="1:39" x14ac:dyDescent="0.35">
      <c r="A698" t="s">
        <v>174</v>
      </c>
      <c r="B698" t="s">
        <v>312</v>
      </c>
      <c r="C698" t="s">
        <v>312</v>
      </c>
      <c r="D698" t="s">
        <v>315</v>
      </c>
      <c r="E698" t="s">
        <v>501</v>
      </c>
      <c r="F698" t="s">
        <v>312</v>
      </c>
      <c r="H698" t="s">
        <v>35</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c r="AI698">
        <v>0</v>
      </c>
      <c r="AJ698">
        <v>0</v>
      </c>
      <c r="AK698">
        <v>0</v>
      </c>
      <c r="AL698">
        <v>0</v>
      </c>
      <c r="AM698">
        <v>0</v>
      </c>
    </row>
    <row r="699" spans="1:39" x14ac:dyDescent="0.35">
      <c r="A699" t="s">
        <v>174</v>
      </c>
      <c r="B699" t="s">
        <v>312</v>
      </c>
      <c r="C699" t="s">
        <v>312</v>
      </c>
      <c r="D699" t="s">
        <v>315</v>
      </c>
      <c r="E699" t="s">
        <v>916</v>
      </c>
      <c r="F699" t="s">
        <v>312</v>
      </c>
      <c r="H699" t="s">
        <v>35</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c r="AK699">
        <v>0</v>
      </c>
      <c r="AL699">
        <v>0</v>
      </c>
      <c r="AM699">
        <v>0</v>
      </c>
    </row>
    <row r="700" spans="1:39" x14ac:dyDescent="0.35">
      <c r="A700" t="s">
        <v>174</v>
      </c>
      <c r="B700" t="s">
        <v>312</v>
      </c>
      <c r="C700" t="s">
        <v>312</v>
      </c>
      <c r="D700" t="s">
        <v>315</v>
      </c>
      <c r="E700" t="s">
        <v>28</v>
      </c>
      <c r="F700" t="s">
        <v>312</v>
      </c>
      <c r="H700" t="s">
        <v>35</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row>
    <row r="701" spans="1:39" x14ac:dyDescent="0.35">
      <c r="A701" t="s">
        <v>174</v>
      </c>
      <c r="B701" t="s">
        <v>312</v>
      </c>
      <c r="C701" t="s">
        <v>312</v>
      </c>
      <c r="D701" t="s">
        <v>315</v>
      </c>
      <c r="E701" t="s">
        <v>1318</v>
      </c>
      <c r="F701" t="s">
        <v>312</v>
      </c>
      <c r="H701" t="s">
        <v>67</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row>
    <row r="702" spans="1:39" x14ac:dyDescent="0.35">
      <c r="A702" t="s">
        <v>174</v>
      </c>
      <c r="B702" t="s">
        <v>312</v>
      </c>
      <c r="C702" t="s">
        <v>312</v>
      </c>
      <c r="D702" t="s">
        <v>315</v>
      </c>
      <c r="E702" t="s">
        <v>30</v>
      </c>
      <c r="F702" t="s">
        <v>312</v>
      </c>
      <c r="H702" t="s">
        <v>67</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row>
    <row r="703" spans="1:39" x14ac:dyDescent="0.35">
      <c r="A703" t="s">
        <v>174</v>
      </c>
      <c r="B703" t="s">
        <v>312</v>
      </c>
      <c r="C703" t="s">
        <v>312</v>
      </c>
      <c r="D703" t="s">
        <v>315</v>
      </c>
      <c r="E703" t="s">
        <v>31</v>
      </c>
      <c r="F703" t="s">
        <v>312</v>
      </c>
      <c r="H703" t="s">
        <v>35</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row>
    <row r="704" spans="1:39" x14ac:dyDescent="0.35">
      <c r="A704" t="s">
        <v>174</v>
      </c>
      <c r="B704" t="s">
        <v>312</v>
      </c>
      <c r="C704" t="s">
        <v>312</v>
      </c>
      <c r="D704" t="s">
        <v>315</v>
      </c>
      <c r="E704" t="s">
        <v>72</v>
      </c>
      <c r="F704" t="s">
        <v>312</v>
      </c>
      <c r="H704" t="s">
        <v>35</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0</v>
      </c>
    </row>
    <row r="705" spans="1:39" x14ac:dyDescent="0.35">
      <c r="A705" t="s">
        <v>174</v>
      </c>
      <c r="B705" t="s">
        <v>312</v>
      </c>
      <c r="C705" t="s">
        <v>312</v>
      </c>
      <c r="D705" t="s">
        <v>315</v>
      </c>
      <c r="E705" t="s">
        <v>542</v>
      </c>
      <c r="F705" t="s">
        <v>312</v>
      </c>
      <c r="H705" t="s">
        <v>35</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row>
    <row r="706" spans="1:39" x14ac:dyDescent="0.35">
      <c r="A706" t="s">
        <v>174</v>
      </c>
      <c r="B706" t="s">
        <v>312</v>
      </c>
      <c r="C706" t="s">
        <v>312</v>
      </c>
      <c r="D706" t="s">
        <v>315</v>
      </c>
      <c r="E706" t="s">
        <v>555</v>
      </c>
      <c r="F706" t="s">
        <v>312</v>
      </c>
      <c r="H706" t="s">
        <v>67</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row>
    <row r="707" spans="1:39" x14ac:dyDescent="0.35">
      <c r="A707" t="s">
        <v>174</v>
      </c>
      <c r="B707" t="s">
        <v>312</v>
      </c>
      <c r="C707" t="s">
        <v>312</v>
      </c>
      <c r="D707" t="s">
        <v>315</v>
      </c>
      <c r="E707" t="s">
        <v>34</v>
      </c>
      <c r="F707" t="s">
        <v>312</v>
      </c>
      <c r="H707" t="s">
        <v>68</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c r="AI707">
        <v>0</v>
      </c>
      <c r="AJ707">
        <v>0</v>
      </c>
      <c r="AK707">
        <v>0</v>
      </c>
      <c r="AL707">
        <v>0</v>
      </c>
      <c r="AM707">
        <v>0</v>
      </c>
    </row>
    <row r="708" spans="1:39" x14ac:dyDescent="0.35">
      <c r="A708" t="s">
        <v>174</v>
      </c>
      <c r="B708" t="s">
        <v>306</v>
      </c>
      <c r="C708" t="s">
        <v>336</v>
      </c>
      <c r="D708" t="s">
        <v>315</v>
      </c>
      <c r="E708" t="s">
        <v>1316</v>
      </c>
      <c r="F708" t="s">
        <v>336</v>
      </c>
      <c r="H708" t="s">
        <v>35</v>
      </c>
      <c r="I708">
        <v>0</v>
      </c>
      <c r="J708">
        <v>0</v>
      </c>
      <c r="K708">
        <v>0</v>
      </c>
      <c r="L708">
        <v>0</v>
      </c>
      <c r="M708">
        <v>0</v>
      </c>
      <c r="N708">
        <v>1000</v>
      </c>
      <c r="O708">
        <v>0</v>
      </c>
      <c r="P708">
        <v>0</v>
      </c>
      <c r="Q708">
        <v>0</v>
      </c>
      <c r="R708">
        <v>0</v>
      </c>
      <c r="S708">
        <v>0</v>
      </c>
      <c r="T708">
        <v>0</v>
      </c>
      <c r="U708">
        <v>0</v>
      </c>
      <c r="V708">
        <v>136</v>
      </c>
      <c r="W708">
        <v>0</v>
      </c>
      <c r="X708">
        <v>0</v>
      </c>
      <c r="Y708">
        <v>0</v>
      </c>
      <c r="Z708">
        <v>0</v>
      </c>
      <c r="AA708">
        <v>0</v>
      </c>
      <c r="AB708">
        <v>0</v>
      </c>
      <c r="AC708">
        <v>0</v>
      </c>
      <c r="AD708">
        <v>0</v>
      </c>
      <c r="AE708">
        <v>0</v>
      </c>
      <c r="AF708">
        <v>0</v>
      </c>
      <c r="AG708">
        <v>0</v>
      </c>
      <c r="AH708">
        <v>0</v>
      </c>
      <c r="AI708">
        <v>0</v>
      </c>
      <c r="AJ708">
        <v>0</v>
      </c>
      <c r="AK708">
        <v>0</v>
      </c>
      <c r="AL708">
        <v>0</v>
      </c>
      <c r="AM708">
        <v>0</v>
      </c>
    </row>
    <row r="709" spans="1:39" x14ac:dyDescent="0.35">
      <c r="A709" t="s">
        <v>174</v>
      </c>
      <c r="B709" t="s">
        <v>306</v>
      </c>
      <c r="C709" t="s">
        <v>336</v>
      </c>
      <c r="D709" t="s">
        <v>315</v>
      </c>
      <c r="E709" t="s">
        <v>837</v>
      </c>
      <c r="F709" t="s">
        <v>336</v>
      </c>
      <c r="H709" t="s">
        <v>69</v>
      </c>
      <c r="I709">
        <v>0</v>
      </c>
      <c r="J709">
        <v>0</v>
      </c>
      <c r="K709">
        <v>0</v>
      </c>
      <c r="L709">
        <v>0</v>
      </c>
      <c r="M709">
        <v>0</v>
      </c>
      <c r="N709">
        <v>0</v>
      </c>
      <c r="O709">
        <v>0</v>
      </c>
      <c r="P709">
        <v>0</v>
      </c>
      <c r="Q709">
        <v>1</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row>
    <row r="710" spans="1:39" x14ac:dyDescent="0.35">
      <c r="A710" t="s">
        <v>174</v>
      </c>
      <c r="B710" t="s">
        <v>306</v>
      </c>
      <c r="C710" t="s">
        <v>336</v>
      </c>
      <c r="D710" t="s">
        <v>315</v>
      </c>
      <c r="E710" t="s">
        <v>914</v>
      </c>
      <c r="F710" t="s">
        <v>336</v>
      </c>
      <c r="H710" t="s">
        <v>35</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0</v>
      </c>
      <c r="AI710">
        <v>0</v>
      </c>
      <c r="AJ710">
        <v>0</v>
      </c>
      <c r="AK710">
        <v>0</v>
      </c>
      <c r="AL710">
        <v>0</v>
      </c>
      <c r="AM710">
        <v>0</v>
      </c>
    </row>
    <row r="711" spans="1:39" x14ac:dyDescent="0.35">
      <c r="A711" t="s">
        <v>174</v>
      </c>
      <c r="B711" t="s">
        <v>306</v>
      </c>
      <c r="C711" t="s">
        <v>336</v>
      </c>
      <c r="D711" t="s">
        <v>315</v>
      </c>
      <c r="E711" t="s">
        <v>484</v>
      </c>
      <c r="F711" t="s">
        <v>336</v>
      </c>
      <c r="H711" t="s">
        <v>67</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row>
    <row r="712" spans="1:39" x14ac:dyDescent="0.35">
      <c r="A712" t="s">
        <v>174</v>
      </c>
      <c r="B712" t="s">
        <v>306</v>
      </c>
      <c r="C712" t="s">
        <v>336</v>
      </c>
      <c r="D712" t="s">
        <v>315</v>
      </c>
      <c r="E712" t="s">
        <v>507</v>
      </c>
      <c r="F712" t="s">
        <v>336</v>
      </c>
      <c r="H712" t="s">
        <v>67</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row>
    <row r="713" spans="1:39" x14ac:dyDescent="0.35">
      <c r="A713" t="s">
        <v>174</v>
      </c>
      <c r="B713" t="s">
        <v>306</v>
      </c>
      <c r="C713" t="s">
        <v>336</v>
      </c>
      <c r="D713" t="s">
        <v>315</v>
      </c>
      <c r="E713" t="s">
        <v>915</v>
      </c>
      <c r="F713" t="s">
        <v>336</v>
      </c>
      <c r="H713" t="s">
        <v>35</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c r="AE713">
        <v>0</v>
      </c>
      <c r="AF713">
        <v>0</v>
      </c>
      <c r="AG713">
        <v>0</v>
      </c>
      <c r="AH713">
        <v>0</v>
      </c>
      <c r="AI713">
        <v>0</v>
      </c>
      <c r="AJ713">
        <v>0</v>
      </c>
      <c r="AK713">
        <v>0</v>
      </c>
      <c r="AL713">
        <v>0</v>
      </c>
      <c r="AM713">
        <v>0</v>
      </c>
    </row>
    <row r="714" spans="1:39" x14ac:dyDescent="0.35">
      <c r="A714" t="s">
        <v>174</v>
      </c>
      <c r="B714" t="s">
        <v>306</v>
      </c>
      <c r="C714" t="s">
        <v>336</v>
      </c>
      <c r="D714" t="s">
        <v>315</v>
      </c>
      <c r="E714" t="s">
        <v>540</v>
      </c>
      <c r="F714" t="s">
        <v>336</v>
      </c>
      <c r="H714" t="s">
        <v>67</v>
      </c>
      <c r="I714">
        <v>18</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row>
    <row r="715" spans="1:39" x14ac:dyDescent="0.35">
      <c r="A715" t="s">
        <v>174</v>
      </c>
      <c r="B715" t="s">
        <v>306</v>
      </c>
      <c r="C715" t="s">
        <v>336</v>
      </c>
      <c r="D715" t="s">
        <v>315</v>
      </c>
      <c r="E715" t="s">
        <v>496</v>
      </c>
      <c r="F715" t="s">
        <v>336</v>
      </c>
      <c r="H715" t="s">
        <v>35</v>
      </c>
      <c r="I715">
        <v>0</v>
      </c>
      <c r="J715">
        <v>0</v>
      </c>
      <c r="K715">
        <v>0</v>
      </c>
      <c r="L715">
        <v>0</v>
      </c>
      <c r="M715">
        <v>0</v>
      </c>
      <c r="N715">
        <v>0</v>
      </c>
      <c r="O715">
        <v>0</v>
      </c>
      <c r="P715">
        <v>0</v>
      </c>
      <c r="Q715">
        <v>0.10507954521572832</v>
      </c>
      <c r="R715">
        <v>0</v>
      </c>
      <c r="S715">
        <v>0</v>
      </c>
      <c r="T715">
        <v>0</v>
      </c>
      <c r="U715">
        <v>0</v>
      </c>
      <c r="V715">
        <v>11.050795452157283</v>
      </c>
      <c r="W715">
        <v>0</v>
      </c>
      <c r="X715">
        <v>0</v>
      </c>
      <c r="Y715">
        <v>0</v>
      </c>
      <c r="Z715">
        <v>0</v>
      </c>
      <c r="AA715">
        <v>0</v>
      </c>
      <c r="AB715">
        <v>0</v>
      </c>
      <c r="AC715">
        <v>0</v>
      </c>
      <c r="AD715">
        <v>0</v>
      </c>
      <c r="AE715">
        <v>0</v>
      </c>
      <c r="AF715">
        <v>0</v>
      </c>
      <c r="AG715">
        <v>0</v>
      </c>
      <c r="AH715">
        <v>0</v>
      </c>
      <c r="AI715">
        <v>0</v>
      </c>
      <c r="AJ715">
        <v>0</v>
      </c>
      <c r="AK715">
        <v>0</v>
      </c>
      <c r="AL715">
        <v>0</v>
      </c>
      <c r="AM715">
        <v>0</v>
      </c>
    </row>
    <row r="716" spans="1:39" x14ac:dyDescent="0.35">
      <c r="A716" t="s">
        <v>174</v>
      </c>
      <c r="B716" t="s">
        <v>306</v>
      </c>
      <c r="C716" t="s">
        <v>336</v>
      </c>
      <c r="D716" t="s">
        <v>315</v>
      </c>
      <c r="E716" t="s">
        <v>1195</v>
      </c>
      <c r="F716" t="s">
        <v>336</v>
      </c>
      <c r="H716" t="s">
        <v>35</v>
      </c>
      <c r="I716">
        <v>0</v>
      </c>
      <c r="J716">
        <v>0</v>
      </c>
      <c r="K716">
        <v>0</v>
      </c>
      <c r="L716">
        <v>0</v>
      </c>
      <c r="M716">
        <v>0</v>
      </c>
      <c r="N716">
        <v>0</v>
      </c>
      <c r="O716">
        <v>0</v>
      </c>
      <c r="P716">
        <v>0</v>
      </c>
      <c r="Q716">
        <v>5.253977260786416E-2</v>
      </c>
      <c r="R716">
        <v>0</v>
      </c>
      <c r="S716">
        <v>0</v>
      </c>
      <c r="T716">
        <v>0</v>
      </c>
      <c r="U716">
        <v>0</v>
      </c>
      <c r="V716">
        <v>0.52539772607864155</v>
      </c>
      <c r="W716">
        <v>0</v>
      </c>
      <c r="X716">
        <v>0</v>
      </c>
      <c r="Y716">
        <v>0</v>
      </c>
      <c r="Z716">
        <v>0</v>
      </c>
      <c r="AA716">
        <v>0</v>
      </c>
      <c r="AB716">
        <v>0</v>
      </c>
      <c r="AC716">
        <v>0</v>
      </c>
      <c r="AD716">
        <v>0</v>
      </c>
      <c r="AE716">
        <v>0</v>
      </c>
      <c r="AF716">
        <v>0</v>
      </c>
      <c r="AG716">
        <v>0</v>
      </c>
      <c r="AH716">
        <v>0</v>
      </c>
      <c r="AI716">
        <v>0</v>
      </c>
      <c r="AJ716">
        <v>0</v>
      </c>
      <c r="AK716">
        <v>0</v>
      </c>
      <c r="AL716">
        <v>0</v>
      </c>
      <c r="AM716">
        <v>0</v>
      </c>
    </row>
    <row r="717" spans="1:39" x14ac:dyDescent="0.35">
      <c r="A717" t="s">
        <v>174</v>
      </c>
      <c r="B717" t="s">
        <v>306</v>
      </c>
      <c r="C717" t="s">
        <v>336</v>
      </c>
      <c r="D717" t="s">
        <v>315</v>
      </c>
      <c r="E717" t="s">
        <v>511</v>
      </c>
      <c r="F717" t="s">
        <v>336</v>
      </c>
      <c r="H717" t="s">
        <v>35</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c r="AE717">
        <v>0</v>
      </c>
      <c r="AF717">
        <v>0</v>
      </c>
      <c r="AG717">
        <v>0</v>
      </c>
      <c r="AH717">
        <v>0</v>
      </c>
      <c r="AI717">
        <v>0</v>
      </c>
      <c r="AJ717">
        <v>0</v>
      </c>
      <c r="AK717">
        <v>0</v>
      </c>
      <c r="AL717">
        <v>0</v>
      </c>
      <c r="AM717">
        <v>0</v>
      </c>
    </row>
    <row r="718" spans="1:39" x14ac:dyDescent="0.35">
      <c r="A718" t="s">
        <v>174</v>
      </c>
      <c r="B718" t="s">
        <v>306</v>
      </c>
      <c r="C718" t="s">
        <v>336</v>
      </c>
      <c r="D718" t="s">
        <v>315</v>
      </c>
      <c r="E718" t="s">
        <v>509</v>
      </c>
      <c r="F718" t="s">
        <v>336</v>
      </c>
      <c r="H718" t="s">
        <v>35</v>
      </c>
      <c r="I718">
        <v>0</v>
      </c>
      <c r="J718">
        <v>0</v>
      </c>
      <c r="K718">
        <v>0</v>
      </c>
      <c r="L718">
        <v>0</v>
      </c>
      <c r="M718">
        <v>0</v>
      </c>
      <c r="N718">
        <v>0</v>
      </c>
      <c r="O718">
        <v>0</v>
      </c>
      <c r="P718">
        <v>0</v>
      </c>
      <c r="Q718">
        <v>0.42578231721413107</v>
      </c>
      <c r="R718">
        <v>0</v>
      </c>
      <c r="S718">
        <v>0</v>
      </c>
      <c r="T718">
        <v>0</v>
      </c>
      <c r="U718">
        <v>0</v>
      </c>
      <c r="V718">
        <v>4.2578231721413111</v>
      </c>
      <c r="W718">
        <v>0</v>
      </c>
      <c r="X718">
        <v>0</v>
      </c>
      <c r="Y718">
        <v>0</v>
      </c>
      <c r="Z718">
        <v>0</v>
      </c>
      <c r="AA718">
        <v>0</v>
      </c>
      <c r="AB718">
        <v>0</v>
      </c>
      <c r="AC718">
        <v>0</v>
      </c>
      <c r="AD718">
        <v>0</v>
      </c>
      <c r="AE718">
        <v>0</v>
      </c>
      <c r="AF718">
        <v>0</v>
      </c>
      <c r="AG718">
        <v>0</v>
      </c>
      <c r="AH718">
        <v>0</v>
      </c>
      <c r="AI718">
        <v>0</v>
      </c>
      <c r="AJ718">
        <v>0</v>
      </c>
      <c r="AK718">
        <v>0</v>
      </c>
      <c r="AL718">
        <v>0</v>
      </c>
      <c r="AM718">
        <v>0</v>
      </c>
    </row>
    <row r="719" spans="1:39" x14ac:dyDescent="0.35">
      <c r="A719" t="s">
        <v>174</v>
      </c>
      <c r="B719" t="s">
        <v>306</v>
      </c>
      <c r="C719" t="s">
        <v>336</v>
      </c>
      <c r="D719" t="s">
        <v>315</v>
      </c>
      <c r="E719" t="s">
        <v>1345</v>
      </c>
      <c r="F719" t="s">
        <v>336</v>
      </c>
      <c r="H719" t="s">
        <v>35</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c r="AE719">
        <v>0</v>
      </c>
      <c r="AF719">
        <v>0</v>
      </c>
      <c r="AG719">
        <v>0</v>
      </c>
      <c r="AH719">
        <v>0</v>
      </c>
      <c r="AI719">
        <v>0</v>
      </c>
      <c r="AJ719">
        <v>0</v>
      </c>
      <c r="AK719">
        <v>0</v>
      </c>
      <c r="AL719">
        <v>0</v>
      </c>
      <c r="AM719">
        <v>0</v>
      </c>
    </row>
    <row r="720" spans="1:39" x14ac:dyDescent="0.35">
      <c r="A720" t="s">
        <v>174</v>
      </c>
      <c r="B720" t="s">
        <v>306</v>
      </c>
      <c r="C720" t="s">
        <v>336</v>
      </c>
      <c r="D720" t="s">
        <v>315</v>
      </c>
      <c r="E720" t="s">
        <v>1344</v>
      </c>
      <c r="F720" t="s">
        <v>336</v>
      </c>
      <c r="H720" t="s">
        <v>35</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c r="AE720">
        <v>0</v>
      </c>
      <c r="AF720">
        <v>0</v>
      </c>
      <c r="AG720">
        <v>0</v>
      </c>
      <c r="AH720">
        <v>0</v>
      </c>
      <c r="AI720">
        <v>0</v>
      </c>
      <c r="AJ720">
        <v>0</v>
      </c>
      <c r="AK720">
        <v>0</v>
      </c>
      <c r="AL720">
        <v>0</v>
      </c>
      <c r="AM720">
        <v>0</v>
      </c>
    </row>
    <row r="721" spans="1:39" x14ac:dyDescent="0.35">
      <c r="A721" t="s">
        <v>174</v>
      </c>
      <c r="B721" t="s">
        <v>306</v>
      </c>
      <c r="C721" t="s">
        <v>336</v>
      </c>
      <c r="D721" t="s">
        <v>315</v>
      </c>
      <c r="E721" t="s">
        <v>1343</v>
      </c>
      <c r="F721" t="s">
        <v>336</v>
      </c>
      <c r="H721" t="s">
        <v>35</v>
      </c>
      <c r="I721">
        <v>0</v>
      </c>
      <c r="J721">
        <v>0</v>
      </c>
      <c r="K721">
        <v>0</v>
      </c>
      <c r="L721">
        <v>0</v>
      </c>
      <c r="M721">
        <v>0</v>
      </c>
      <c r="N721">
        <v>0</v>
      </c>
      <c r="O721">
        <v>0</v>
      </c>
      <c r="P721">
        <v>0</v>
      </c>
      <c r="Q721">
        <v>0</v>
      </c>
      <c r="R721">
        <v>0</v>
      </c>
      <c r="S721">
        <v>0</v>
      </c>
      <c r="T721">
        <v>0</v>
      </c>
      <c r="U721">
        <v>0</v>
      </c>
      <c r="V721">
        <v>0</v>
      </c>
      <c r="W721">
        <v>0</v>
      </c>
      <c r="X721">
        <v>0</v>
      </c>
      <c r="Y721">
        <v>0</v>
      </c>
      <c r="Z721">
        <v>0</v>
      </c>
      <c r="AA721">
        <v>0</v>
      </c>
      <c r="AB721">
        <v>0</v>
      </c>
      <c r="AC721">
        <v>0</v>
      </c>
      <c r="AD721">
        <v>0</v>
      </c>
      <c r="AE721">
        <v>0</v>
      </c>
      <c r="AF721">
        <v>0</v>
      </c>
      <c r="AG721">
        <v>0</v>
      </c>
      <c r="AH721">
        <v>0</v>
      </c>
      <c r="AI721">
        <v>0</v>
      </c>
      <c r="AJ721">
        <v>0</v>
      </c>
      <c r="AK721">
        <v>0</v>
      </c>
      <c r="AL721">
        <v>0</v>
      </c>
      <c r="AM721">
        <v>0</v>
      </c>
    </row>
    <row r="722" spans="1:39" x14ac:dyDescent="0.35">
      <c r="A722" t="s">
        <v>174</v>
      </c>
      <c r="B722" t="s">
        <v>306</v>
      </c>
      <c r="C722" t="s">
        <v>336</v>
      </c>
      <c r="D722" t="s">
        <v>315</v>
      </c>
      <c r="E722" t="s">
        <v>1196</v>
      </c>
      <c r="F722" t="s">
        <v>336</v>
      </c>
      <c r="H722" t="s">
        <v>35</v>
      </c>
      <c r="I722">
        <v>0</v>
      </c>
      <c r="J722">
        <v>0</v>
      </c>
      <c r="K722">
        <v>0</v>
      </c>
      <c r="L722">
        <v>0</v>
      </c>
      <c r="M722">
        <v>0</v>
      </c>
      <c r="N722">
        <v>0</v>
      </c>
      <c r="O722">
        <v>0</v>
      </c>
      <c r="P722">
        <v>0</v>
      </c>
      <c r="Q722">
        <v>50</v>
      </c>
      <c r="R722">
        <v>0</v>
      </c>
      <c r="S722">
        <v>0</v>
      </c>
      <c r="T722">
        <v>0</v>
      </c>
      <c r="U722">
        <v>0</v>
      </c>
      <c r="V722">
        <v>0</v>
      </c>
      <c r="W722">
        <v>0</v>
      </c>
      <c r="X722">
        <v>0</v>
      </c>
      <c r="Y722">
        <v>0</v>
      </c>
      <c r="Z722">
        <v>0</v>
      </c>
      <c r="AA722">
        <v>0</v>
      </c>
      <c r="AB722">
        <v>0</v>
      </c>
      <c r="AC722">
        <v>0</v>
      </c>
      <c r="AD722">
        <v>0</v>
      </c>
      <c r="AE722">
        <v>0</v>
      </c>
      <c r="AF722">
        <v>0</v>
      </c>
      <c r="AG722">
        <v>0</v>
      </c>
      <c r="AH722">
        <v>0</v>
      </c>
      <c r="AI722">
        <v>0</v>
      </c>
      <c r="AJ722">
        <v>0</v>
      </c>
      <c r="AK722">
        <v>0</v>
      </c>
      <c r="AL722">
        <v>0</v>
      </c>
      <c r="AM722">
        <v>0</v>
      </c>
    </row>
    <row r="723" spans="1:39" x14ac:dyDescent="0.35">
      <c r="A723" t="s">
        <v>174</v>
      </c>
      <c r="B723" t="s">
        <v>306</v>
      </c>
      <c r="C723" t="s">
        <v>336</v>
      </c>
      <c r="D723" t="s">
        <v>315</v>
      </c>
      <c r="E723" t="s">
        <v>1194</v>
      </c>
      <c r="F723" t="s">
        <v>336</v>
      </c>
      <c r="H723" t="s">
        <v>35</v>
      </c>
      <c r="I723">
        <v>0</v>
      </c>
      <c r="J723">
        <v>0</v>
      </c>
      <c r="K723">
        <v>0</v>
      </c>
      <c r="L723">
        <v>0</v>
      </c>
      <c r="M723">
        <v>0</v>
      </c>
      <c r="N723">
        <v>0</v>
      </c>
      <c r="O723">
        <v>0</v>
      </c>
      <c r="P723">
        <v>0</v>
      </c>
      <c r="Q723">
        <v>0.50228022613118128</v>
      </c>
      <c r="R723">
        <v>0</v>
      </c>
      <c r="S723">
        <v>0</v>
      </c>
      <c r="T723">
        <v>0</v>
      </c>
      <c r="U723">
        <v>0</v>
      </c>
      <c r="V723">
        <v>5.0228022613118135</v>
      </c>
      <c r="W723">
        <v>0</v>
      </c>
      <c r="X723">
        <v>0</v>
      </c>
      <c r="Y723">
        <v>0</v>
      </c>
      <c r="Z723">
        <v>0</v>
      </c>
      <c r="AA723">
        <v>0</v>
      </c>
      <c r="AB723">
        <v>0</v>
      </c>
      <c r="AC723">
        <v>0</v>
      </c>
      <c r="AD723">
        <v>0</v>
      </c>
      <c r="AE723">
        <v>0</v>
      </c>
      <c r="AF723">
        <v>0</v>
      </c>
      <c r="AG723">
        <v>0</v>
      </c>
      <c r="AH723">
        <v>0</v>
      </c>
      <c r="AI723">
        <v>0</v>
      </c>
      <c r="AJ723">
        <v>0</v>
      </c>
      <c r="AK723">
        <v>0</v>
      </c>
      <c r="AL723">
        <v>0</v>
      </c>
      <c r="AM723">
        <v>0</v>
      </c>
    </row>
    <row r="724" spans="1:39" x14ac:dyDescent="0.35">
      <c r="A724" t="s">
        <v>174</v>
      </c>
      <c r="B724" t="s">
        <v>306</v>
      </c>
      <c r="C724" t="s">
        <v>336</v>
      </c>
      <c r="D724" t="s">
        <v>315</v>
      </c>
      <c r="E724" t="s">
        <v>2</v>
      </c>
      <c r="F724" t="s">
        <v>336</v>
      </c>
      <c r="H724" t="s">
        <v>35</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c r="AE724">
        <v>0</v>
      </c>
      <c r="AF724">
        <v>0</v>
      </c>
      <c r="AG724">
        <v>0</v>
      </c>
      <c r="AH724">
        <v>0</v>
      </c>
      <c r="AI724">
        <v>0</v>
      </c>
      <c r="AJ724">
        <v>0</v>
      </c>
      <c r="AK724">
        <v>0</v>
      </c>
      <c r="AL724">
        <v>0</v>
      </c>
      <c r="AM724">
        <v>0</v>
      </c>
    </row>
    <row r="725" spans="1:39" x14ac:dyDescent="0.35">
      <c r="A725" t="s">
        <v>174</v>
      </c>
      <c r="B725" t="s">
        <v>306</v>
      </c>
      <c r="C725" t="s">
        <v>336</v>
      </c>
      <c r="D725" t="s">
        <v>315</v>
      </c>
      <c r="E725" t="s">
        <v>353</v>
      </c>
      <c r="F725" t="s">
        <v>336</v>
      </c>
      <c r="H725" t="s">
        <v>35</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0</v>
      </c>
      <c r="AI725">
        <v>0</v>
      </c>
      <c r="AJ725">
        <v>0</v>
      </c>
      <c r="AK725">
        <v>0</v>
      </c>
      <c r="AL725">
        <v>0</v>
      </c>
      <c r="AM725">
        <v>0</v>
      </c>
    </row>
    <row r="726" spans="1:39" x14ac:dyDescent="0.35">
      <c r="A726" t="s">
        <v>174</v>
      </c>
      <c r="B726" t="s">
        <v>306</v>
      </c>
      <c r="C726" t="s">
        <v>336</v>
      </c>
      <c r="D726" t="s">
        <v>315</v>
      </c>
      <c r="E726" t="s">
        <v>352</v>
      </c>
      <c r="F726" t="s">
        <v>336</v>
      </c>
      <c r="H726" t="s">
        <v>68</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c r="AE726">
        <v>0</v>
      </c>
      <c r="AF726">
        <v>0</v>
      </c>
      <c r="AG726">
        <v>0</v>
      </c>
      <c r="AH726">
        <v>0</v>
      </c>
      <c r="AI726">
        <v>0</v>
      </c>
      <c r="AJ726">
        <v>0</v>
      </c>
      <c r="AK726">
        <v>0</v>
      </c>
      <c r="AL726">
        <v>0</v>
      </c>
      <c r="AM726">
        <v>0</v>
      </c>
    </row>
    <row r="727" spans="1:39" x14ac:dyDescent="0.35">
      <c r="A727" t="s">
        <v>174</v>
      </c>
      <c r="B727" t="s">
        <v>306</v>
      </c>
      <c r="C727" t="s">
        <v>336</v>
      </c>
      <c r="D727" t="s">
        <v>315</v>
      </c>
      <c r="E727" t="s">
        <v>1346</v>
      </c>
      <c r="F727" t="s">
        <v>336</v>
      </c>
      <c r="H727" t="s">
        <v>35</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c r="AE727">
        <v>0</v>
      </c>
      <c r="AF727">
        <v>0</v>
      </c>
      <c r="AG727">
        <v>0</v>
      </c>
      <c r="AH727">
        <v>0</v>
      </c>
      <c r="AI727">
        <v>0</v>
      </c>
      <c r="AJ727">
        <v>0</v>
      </c>
      <c r="AK727">
        <v>0</v>
      </c>
      <c r="AL727">
        <v>0</v>
      </c>
      <c r="AM727">
        <v>0</v>
      </c>
    </row>
    <row r="728" spans="1:39" x14ac:dyDescent="0.35">
      <c r="A728" t="s">
        <v>174</v>
      </c>
      <c r="B728" t="s">
        <v>306</v>
      </c>
      <c r="C728" t="s">
        <v>336</v>
      </c>
      <c r="D728" t="s">
        <v>315</v>
      </c>
      <c r="E728" t="s">
        <v>497</v>
      </c>
      <c r="F728" t="s">
        <v>336</v>
      </c>
      <c r="H728" t="s">
        <v>35</v>
      </c>
      <c r="I728">
        <v>0</v>
      </c>
      <c r="J728">
        <v>0</v>
      </c>
      <c r="K728">
        <v>0</v>
      </c>
      <c r="L728">
        <v>0</v>
      </c>
      <c r="M728">
        <v>0</v>
      </c>
      <c r="N728">
        <v>0</v>
      </c>
      <c r="O728">
        <v>0</v>
      </c>
      <c r="P728">
        <v>0</v>
      </c>
      <c r="Q728">
        <v>0</v>
      </c>
      <c r="R728">
        <v>0</v>
      </c>
      <c r="S728">
        <v>0</v>
      </c>
      <c r="T728">
        <v>0</v>
      </c>
      <c r="U728">
        <v>0</v>
      </c>
      <c r="V728">
        <v>30</v>
      </c>
      <c r="W728">
        <v>0</v>
      </c>
      <c r="X728">
        <v>0</v>
      </c>
      <c r="Y728">
        <v>0</v>
      </c>
      <c r="Z728">
        <v>0</v>
      </c>
      <c r="AA728">
        <v>0</v>
      </c>
      <c r="AB728">
        <v>0</v>
      </c>
      <c r="AC728">
        <v>0</v>
      </c>
      <c r="AD728">
        <v>0</v>
      </c>
      <c r="AE728">
        <v>0</v>
      </c>
      <c r="AF728">
        <v>0</v>
      </c>
      <c r="AG728">
        <v>0</v>
      </c>
      <c r="AH728">
        <v>0</v>
      </c>
      <c r="AI728">
        <v>0</v>
      </c>
      <c r="AJ728">
        <v>0</v>
      </c>
      <c r="AK728">
        <v>0</v>
      </c>
      <c r="AL728">
        <v>0</v>
      </c>
      <c r="AM728">
        <v>0</v>
      </c>
    </row>
    <row r="729" spans="1:39" x14ac:dyDescent="0.35">
      <c r="A729" t="s">
        <v>174</v>
      </c>
      <c r="B729" t="s">
        <v>306</v>
      </c>
      <c r="C729" t="s">
        <v>336</v>
      </c>
      <c r="D729" t="s">
        <v>315</v>
      </c>
      <c r="E729" t="s">
        <v>1306</v>
      </c>
      <c r="F729" t="s">
        <v>336</v>
      </c>
      <c r="H729" t="s">
        <v>35</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c r="AK729">
        <v>0</v>
      </c>
      <c r="AL729">
        <v>0</v>
      </c>
      <c r="AM729">
        <v>0</v>
      </c>
    </row>
    <row r="730" spans="1:39" x14ac:dyDescent="0.35">
      <c r="A730" t="s">
        <v>174</v>
      </c>
      <c r="B730" t="s">
        <v>306</v>
      </c>
      <c r="C730" t="s">
        <v>336</v>
      </c>
      <c r="D730" t="s">
        <v>315</v>
      </c>
      <c r="E730" t="s">
        <v>349</v>
      </c>
      <c r="F730" t="s">
        <v>336</v>
      </c>
      <c r="H730" t="s">
        <v>35</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0</v>
      </c>
    </row>
    <row r="731" spans="1:39" x14ac:dyDescent="0.35">
      <c r="A731" t="s">
        <v>174</v>
      </c>
      <c r="B731" t="s">
        <v>306</v>
      </c>
      <c r="C731" t="s">
        <v>336</v>
      </c>
      <c r="D731" t="s">
        <v>315</v>
      </c>
      <c r="E731" t="s">
        <v>985</v>
      </c>
      <c r="F731" t="s">
        <v>336</v>
      </c>
      <c r="H731" t="s">
        <v>35</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c r="AK731">
        <v>0</v>
      </c>
      <c r="AL731">
        <v>0</v>
      </c>
      <c r="AM731">
        <v>0</v>
      </c>
    </row>
    <row r="732" spans="1:39" x14ac:dyDescent="0.35">
      <c r="A732" t="s">
        <v>174</v>
      </c>
      <c r="B732" t="s">
        <v>306</v>
      </c>
      <c r="C732" t="s">
        <v>336</v>
      </c>
      <c r="D732" t="s">
        <v>315</v>
      </c>
      <c r="E732" t="s">
        <v>355</v>
      </c>
      <c r="F732" t="s">
        <v>336</v>
      </c>
      <c r="H732" t="s">
        <v>35</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0</v>
      </c>
      <c r="AI732">
        <v>0</v>
      </c>
      <c r="AJ732">
        <v>0</v>
      </c>
      <c r="AK732">
        <v>0</v>
      </c>
      <c r="AL732">
        <v>0</v>
      </c>
      <c r="AM732">
        <v>0</v>
      </c>
    </row>
    <row r="733" spans="1:39" x14ac:dyDescent="0.35">
      <c r="A733" t="s">
        <v>174</v>
      </c>
      <c r="B733" t="s">
        <v>306</v>
      </c>
      <c r="C733" t="s">
        <v>336</v>
      </c>
      <c r="D733" t="s">
        <v>315</v>
      </c>
      <c r="E733" t="s">
        <v>1339</v>
      </c>
      <c r="F733" t="s">
        <v>336</v>
      </c>
      <c r="H733" t="s">
        <v>35</v>
      </c>
      <c r="I733">
        <v>0</v>
      </c>
      <c r="J733">
        <v>0</v>
      </c>
      <c r="K733">
        <v>0</v>
      </c>
      <c r="L733">
        <v>0</v>
      </c>
      <c r="M733">
        <v>0</v>
      </c>
      <c r="N733">
        <v>50</v>
      </c>
      <c r="O733">
        <v>0</v>
      </c>
      <c r="P733">
        <v>0</v>
      </c>
      <c r="Q733">
        <v>0</v>
      </c>
      <c r="R733">
        <v>0</v>
      </c>
      <c r="S733">
        <v>0</v>
      </c>
      <c r="T733">
        <v>0</v>
      </c>
      <c r="U733">
        <v>0</v>
      </c>
      <c r="V733">
        <v>200</v>
      </c>
      <c r="W733">
        <v>0</v>
      </c>
      <c r="X733">
        <v>0</v>
      </c>
      <c r="Y733">
        <v>0</v>
      </c>
      <c r="Z733">
        <v>0</v>
      </c>
      <c r="AA733">
        <v>0</v>
      </c>
      <c r="AB733">
        <v>0</v>
      </c>
      <c r="AC733">
        <v>0</v>
      </c>
      <c r="AD733">
        <v>0</v>
      </c>
      <c r="AE733">
        <v>0</v>
      </c>
      <c r="AF733">
        <v>0</v>
      </c>
      <c r="AG733">
        <v>0</v>
      </c>
      <c r="AH733">
        <v>0</v>
      </c>
      <c r="AI733">
        <v>0</v>
      </c>
      <c r="AJ733">
        <v>0</v>
      </c>
      <c r="AK733">
        <v>0</v>
      </c>
      <c r="AL733">
        <v>0</v>
      </c>
      <c r="AM733">
        <v>0</v>
      </c>
    </row>
    <row r="734" spans="1:39" x14ac:dyDescent="0.35">
      <c r="A734" t="s">
        <v>174</v>
      </c>
      <c r="B734" t="s">
        <v>306</v>
      </c>
      <c r="C734" t="s">
        <v>336</v>
      </c>
      <c r="D734" t="s">
        <v>315</v>
      </c>
      <c r="E734" t="s">
        <v>1348</v>
      </c>
      <c r="F734" t="s">
        <v>336</v>
      </c>
      <c r="H734" t="s">
        <v>35</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c r="AD734">
        <v>0</v>
      </c>
      <c r="AE734">
        <v>0</v>
      </c>
      <c r="AF734">
        <v>0</v>
      </c>
      <c r="AG734">
        <v>0</v>
      </c>
      <c r="AH734">
        <v>0</v>
      </c>
      <c r="AI734">
        <v>0</v>
      </c>
      <c r="AJ734">
        <v>0</v>
      </c>
      <c r="AK734">
        <v>0</v>
      </c>
      <c r="AL734">
        <v>0</v>
      </c>
      <c r="AM734">
        <v>0</v>
      </c>
    </row>
    <row r="735" spans="1:39" x14ac:dyDescent="0.35">
      <c r="A735" t="s">
        <v>174</v>
      </c>
      <c r="B735" t="s">
        <v>306</v>
      </c>
      <c r="C735" t="s">
        <v>336</v>
      </c>
      <c r="D735" t="s">
        <v>315</v>
      </c>
      <c r="E735" t="s">
        <v>354</v>
      </c>
      <c r="F735" t="s">
        <v>336</v>
      </c>
      <c r="H735" t="s">
        <v>35</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c r="AE735">
        <v>0</v>
      </c>
      <c r="AF735">
        <v>0</v>
      </c>
      <c r="AG735">
        <v>0</v>
      </c>
      <c r="AH735">
        <v>0</v>
      </c>
      <c r="AI735">
        <v>0</v>
      </c>
      <c r="AJ735">
        <v>0</v>
      </c>
      <c r="AK735">
        <v>0</v>
      </c>
      <c r="AL735">
        <v>0</v>
      </c>
      <c r="AM735">
        <v>0</v>
      </c>
    </row>
    <row r="736" spans="1:39" x14ac:dyDescent="0.35">
      <c r="A736" t="s">
        <v>174</v>
      </c>
      <c r="B736" t="s">
        <v>306</v>
      </c>
      <c r="C736" t="s">
        <v>336</v>
      </c>
      <c r="D736" t="s">
        <v>315</v>
      </c>
      <c r="E736" t="s">
        <v>918</v>
      </c>
      <c r="F736" t="s">
        <v>336</v>
      </c>
      <c r="H736" t="s">
        <v>67</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c r="AE736">
        <v>0</v>
      </c>
      <c r="AF736">
        <v>0</v>
      </c>
      <c r="AG736">
        <v>0</v>
      </c>
      <c r="AH736">
        <v>0</v>
      </c>
      <c r="AI736">
        <v>0</v>
      </c>
      <c r="AJ736">
        <v>0</v>
      </c>
      <c r="AK736">
        <v>0</v>
      </c>
      <c r="AL736">
        <v>0</v>
      </c>
      <c r="AM736">
        <v>0</v>
      </c>
    </row>
    <row r="737" spans="1:39" x14ac:dyDescent="0.35">
      <c r="A737" t="s">
        <v>174</v>
      </c>
      <c r="B737" t="s">
        <v>306</v>
      </c>
      <c r="C737" t="s">
        <v>336</v>
      </c>
      <c r="D737" t="s">
        <v>315</v>
      </c>
      <c r="E737" t="s">
        <v>917</v>
      </c>
      <c r="F737" t="s">
        <v>336</v>
      </c>
      <c r="H737" t="s">
        <v>35</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c r="AE737">
        <v>0</v>
      </c>
      <c r="AF737">
        <v>0</v>
      </c>
      <c r="AG737">
        <v>0</v>
      </c>
      <c r="AH737">
        <v>0</v>
      </c>
      <c r="AI737">
        <v>0</v>
      </c>
      <c r="AJ737">
        <v>0</v>
      </c>
      <c r="AK737">
        <v>0</v>
      </c>
      <c r="AL737">
        <v>0</v>
      </c>
      <c r="AM737">
        <v>0</v>
      </c>
    </row>
    <row r="738" spans="1:39" x14ac:dyDescent="0.35">
      <c r="A738" t="s">
        <v>174</v>
      </c>
      <c r="B738" t="s">
        <v>306</v>
      </c>
      <c r="C738" t="s">
        <v>336</v>
      </c>
      <c r="D738" t="s">
        <v>315</v>
      </c>
      <c r="E738" t="s">
        <v>19</v>
      </c>
      <c r="F738" t="s">
        <v>336</v>
      </c>
      <c r="H738" t="s">
        <v>35</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0</v>
      </c>
      <c r="AI738">
        <v>0</v>
      </c>
      <c r="AJ738">
        <v>0</v>
      </c>
      <c r="AK738">
        <v>0</v>
      </c>
      <c r="AL738">
        <v>0</v>
      </c>
      <c r="AM738">
        <v>0</v>
      </c>
    </row>
    <row r="739" spans="1:39" x14ac:dyDescent="0.35">
      <c r="A739" t="s">
        <v>174</v>
      </c>
      <c r="B739" t="s">
        <v>306</v>
      </c>
      <c r="C739" t="s">
        <v>336</v>
      </c>
      <c r="D739" t="s">
        <v>315</v>
      </c>
      <c r="E739" t="s">
        <v>20</v>
      </c>
      <c r="F739" t="s">
        <v>336</v>
      </c>
      <c r="H739" t="s">
        <v>35</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v>0</v>
      </c>
      <c r="AH739">
        <v>0</v>
      </c>
      <c r="AI739">
        <v>0</v>
      </c>
      <c r="AJ739">
        <v>0</v>
      </c>
      <c r="AK739">
        <v>0</v>
      </c>
      <c r="AL739">
        <v>0</v>
      </c>
      <c r="AM739">
        <v>0</v>
      </c>
    </row>
    <row r="740" spans="1:39" x14ac:dyDescent="0.35">
      <c r="A740" t="s">
        <v>174</v>
      </c>
      <c r="B740" t="s">
        <v>306</v>
      </c>
      <c r="C740" t="s">
        <v>336</v>
      </c>
      <c r="D740" t="s">
        <v>315</v>
      </c>
      <c r="E740" t="s">
        <v>350</v>
      </c>
      <c r="F740" t="s">
        <v>336</v>
      </c>
      <c r="H740" t="s">
        <v>35</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c r="AE740">
        <v>0</v>
      </c>
      <c r="AF740">
        <v>0</v>
      </c>
      <c r="AG740">
        <v>0</v>
      </c>
      <c r="AH740">
        <v>0</v>
      </c>
      <c r="AI740">
        <v>0</v>
      </c>
      <c r="AJ740">
        <v>0</v>
      </c>
      <c r="AK740">
        <v>0</v>
      </c>
      <c r="AL740">
        <v>0</v>
      </c>
      <c r="AM740">
        <v>0</v>
      </c>
    </row>
    <row r="741" spans="1:39" x14ac:dyDescent="0.35">
      <c r="A741" t="s">
        <v>174</v>
      </c>
      <c r="B741" t="s">
        <v>306</v>
      </c>
      <c r="C741" t="s">
        <v>336</v>
      </c>
      <c r="D741" t="s">
        <v>315</v>
      </c>
      <c r="E741" t="s">
        <v>1347</v>
      </c>
      <c r="F741" t="s">
        <v>336</v>
      </c>
      <c r="H741" t="s">
        <v>35</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c r="AE741">
        <v>0</v>
      </c>
      <c r="AF741">
        <v>0</v>
      </c>
      <c r="AG741">
        <v>0</v>
      </c>
      <c r="AH741">
        <v>0</v>
      </c>
      <c r="AI741">
        <v>0</v>
      </c>
      <c r="AJ741">
        <v>0</v>
      </c>
      <c r="AK741">
        <v>0</v>
      </c>
      <c r="AL741">
        <v>0</v>
      </c>
      <c r="AM741">
        <v>0</v>
      </c>
    </row>
    <row r="742" spans="1:39" x14ac:dyDescent="0.35">
      <c r="A742" t="s">
        <v>174</v>
      </c>
      <c r="B742" t="s">
        <v>306</v>
      </c>
      <c r="C742" t="s">
        <v>336</v>
      </c>
      <c r="D742" t="s">
        <v>315</v>
      </c>
      <c r="E742" t="s">
        <v>351</v>
      </c>
      <c r="F742" t="s">
        <v>336</v>
      </c>
      <c r="H742" t="s">
        <v>35</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L742">
        <v>0</v>
      </c>
      <c r="AM742">
        <v>0</v>
      </c>
    </row>
    <row r="743" spans="1:39" x14ac:dyDescent="0.35">
      <c r="A743" t="s">
        <v>174</v>
      </c>
      <c r="B743" t="s">
        <v>306</v>
      </c>
      <c r="C743" t="s">
        <v>336</v>
      </c>
      <c r="D743" t="s">
        <v>315</v>
      </c>
      <c r="E743" t="s">
        <v>500</v>
      </c>
      <c r="F743" t="s">
        <v>336</v>
      </c>
      <c r="H743" t="s">
        <v>35</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c r="AK743">
        <v>0</v>
      </c>
      <c r="AL743">
        <v>0</v>
      </c>
      <c r="AM743">
        <v>0</v>
      </c>
    </row>
    <row r="744" spans="1:39" x14ac:dyDescent="0.35">
      <c r="A744" t="s">
        <v>174</v>
      </c>
      <c r="B744" t="s">
        <v>306</v>
      </c>
      <c r="C744" t="s">
        <v>336</v>
      </c>
      <c r="D744" t="s">
        <v>315</v>
      </c>
      <c r="E744" t="s">
        <v>501</v>
      </c>
      <c r="F744" t="s">
        <v>336</v>
      </c>
      <c r="H744" t="s">
        <v>35</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c r="AE744">
        <v>0</v>
      </c>
      <c r="AF744">
        <v>0</v>
      </c>
      <c r="AG744">
        <v>0</v>
      </c>
      <c r="AH744">
        <v>0</v>
      </c>
      <c r="AI744">
        <v>0</v>
      </c>
      <c r="AJ744">
        <v>0</v>
      </c>
      <c r="AK744">
        <v>0</v>
      </c>
      <c r="AL744">
        <v>0</v>
      </c>
      <c r="AM744">
        <v>0</v>
      </c>
    </row>
    <row r="745" spans="1:39" x14ac:dyDescent="0.35">
      <c r="A745" t="s">
        <v>174</v>
      </c>
      <c r="B745" t="s">
        <v>306</v>
      </c>
      <c r="C745" t="s">
        <v>336</v>
      </c>
      <c r="D745" t="s">
        <v>315</v>
      </c>
      <c r="E745" t="s">
        <v>916</v>
      </c>
      <c r="F745" t="s">
        <v>336</v>
      </c>
      <c r="H745" t="s">
        <v>35</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c r="AK745">
        <v>0</v>
      </c>
      <c r="AL745">
        <v>0</v>
      </c>
      <c r="AM745">
        <v>0</v>
      </c>
    </row>
    <row r="746" spans="1:39" x14ac:dyDescent="0.35">
      <c r="A746" t="s">
        <v>174</v>
      </c>
      <c r="B746" t="s">
        <v>306</v>
      </c>
      <c r="C746" t="s">
        <v>336</v>
      </c>
      <c r="D746" t="s">
        <v>315</v>
      </c>
      <c r="E746" t="s">
        <v>28</v>
      </c>
      <c r="F746" t="s">
        <v>336</v>
      </c>
      <c r="H746" t="s">
        <v>35</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c r="AF746">
        <v>0</v>
      </c>
      <c r="AG746">
        <v>0</v>
      </c>
      <c r="AH746">
        <v>0</v>
      </c>
      <c r="AI746">
        <v>0</v>
      </c>
      <c r="AJ746">
        <v>0</v>
      </c>
      <c r="AK746">
        <v>0</v>
      </c>
      <c r="AL746">
        <v>0</v>
      </c>
      <c r="AM746">
        <v>0</v>
      </c>
    </row>
    <row r="747" spans="1:39" x14ac:dyDescent="0.35">
      <c r="A747" t="s">
        <v>174</v>
      </c>
      <c r="B747" t="s">
        <v>306</v>
      </c>
      <c r="C747" t="s">
        <v>336</v>
      </c>
      <c r="D747" t="s">
        <v>315</v>
      </c>
      <c r="E747" t="s">
        <v>1318</v>
      </c>
      <c r="F747" t="s">
        <v>336</v>
      </c>
      <c r="H747" t="s">
        <v>67</v>
      </c>
      <c r="I747">
        <v>20</v>
      </c>
      <c r="J747">
        <v>0</v>
      </c>
      <c r="K747">
        <v>0</v>
      </c>
      <c r="L747">
        <v>0</v>
      </c>
      <c r="M747">
        <v>0</v>
      </c>
      <c r="N747">
        <v>0</v>
      </c>
      <c r="O747">
        <v>0</v>
      </c>
      <c r="P747">
        <v>0</v>
      </c>
      <c r="Q747">
        <v>0</v>
      </c>
      <c r="R747">
        <v>0</v>
      </c>
      <c r="S747">
        <v>0</v>
      </c>
      <c r="T747">
        <v>0</v>
      </c>
      <c r="U747">
        <v>0</v>
      </c>
      <c r="V747">
        <v>16</v>
      </c>
      <c r="W747">
        <v>0</v>
      </c>
      <c r="X747">
        <v>0</v>
      </c>
      <c r="Y747">
        <v>0</v>
      </c>
      <c r="Z747">
        <v>0</v>
      </c>
      <c r="AA747">
        <v>0</v>
      </c>
      <c r="AB747">
        <v>0</v>
      </c>
      <c r="AC747">
        <v>0</v>
      </c>
      <c r="AD747">
        <v>0</v>
      </c>
      <c r="AE747">
        <v>0</v>
      </c>
      <c r="AF747">
        <v>0</v>
      </c>
      <c r="AG747">
        <v>0</v>
      </c>
      <c r="AH747">
        <v>0</v>
      </c>
      <c r="AI747">
        <v>0</v>
      </c>
      <c r="AJ747">
        <v>0</v>
      </c>
      <c r="AK747">
        <v>0</v>
      </c>
      <c r="AL747">
        <v>0</v>
      </c>
      <c r="AM747">
        <v>0</v>
      </c>
    </row>
    <row r="748" spans="1:39" x14ac:dyDescent="0.35">
      <c r="A748" t="s">
        <v>174</v>
      </c>
      <c r="B748" t="s">
        <v>306</v>
      </c>
      <c r="C748" t="s">
        <v>336</v>
      </c>
      <c r="D748" t="s">
        <v>315</v>
      </c>
      <c r="E748" t="s">
        <v>30</v>
      </c>
      <c r="F748" t="s">
        <v>336</v>
      </c>
      <c r="H748" t="s">
        <v>67</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c r="AF748">
        <v>0</v>
      </c>
      <c r="AG748">
        <v>0</v>
      </c>
      <c r="AH748">
        <v>0</v>
      </c>
      <c r="AI748">
        <v>0</v>
      </c>
      <c r="AJ748">
        <v>0</v>
      </c>
      <c r="AK748">
        <v>0</v>
      </c>
      <c r="AL748">
        <v>0</v>
      </c>
      <c r="AM748">
        <v>0</v>
      </c>
    </row>
    <row r="749" spans="1:39" x14ac:dyDescent="0.35">
      <c r="A749" t="s">
        <v>174</v>
      </c>
      <c r="B749" t="s">
        <v>306</v>
      </c>
      <c r="C749" t="s">
        <v>336</v>
      </c>
      <c r="D749" t="s">
        <v>315</v>
      </c>
      <c r="E749" t="s">
        <v>31</v>
      </c>
      <c r="F749" t="s">
        <v>336</v>
      </c>
      <c r="H749" t="s">
        <v>35</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c r="AI749">
        <v>0</v>
      </c>
      <c r="AJ749">
        <v>0</v>
      </c>
      <c r="AK749">
        <v>0</v>
      </c>
      <c r="AL749">
        <v>0</v>
      </c>
      <c r="AM749">
        <v>0</v>
      </c>
    </row>
    <row r="750" spans="1:39" x14ac:dyDescent="0.35">
      <c r="A750" t="s">
        <v>174</v>
      </c>
      <c r="B750" t="s">
        <v>306</v>
      </c>
      <c r="C750" t="s">
        <v>336</v>
      </c>
      <c r="D750" t="s">
        <v>315</v>
      </c>
      <c r="E750" t="s">
        <v>72</v>
      </c>
      <c r="F750" t="s">
        <v>336</v>
      </c>
      <c r="H750" t="s">
        <v>35</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0</v>
      </c>
      <c r="AL750">
        <v>0</v>
      </c>
      <c r="AM750">
        <v>0</v>
      </c>
    </row>
    <row r="751" spans="1:39" x14ac:dyDescent="0.35">
      <c r="A751" t="s">
        <v>174</v>
      </c>
      <c r="B751" t="s">
        <v>306</v>
      </c>
      <c r="C751" t="s">
        <v>336</v>
      </c>
      <c r="D751" t="s">
        <v>315</v>
      </c>
      <c r="E751" t="s">
        <v>542</v>
      </c>
      <c r="F751" t="s">
        <v>336</v>
      </c>
      <c r="H751" t="s">
        <v>35</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c r="AE751">
        <v>0</v>
      </c>
      <c r="AF751">
        <v>0</v>
      </c>
      <c r="AG751">
        <v>0</v>
      </c>
      <c r="AH751">
        <v>0</v>
      </c>
      <c r="AI751">
        <v>0</v>
      </c>
      <c r="AJ751">
        <v>0</v>
      </c>
      <c r="AK751">
        <v>0</v>
      </c>
      <c r="AL751">
        <v>0</v>
      </c>
      <c r="AM751">
        <v>0</v>
      </c>
    </row>
    <row r="752" spans="1:39" x14ac:dyDescent="0.35">
      <c r="A752" t="s">
        <v>174</v>
      </c>
      <c r="B752" t="s">
        <v>306</v>
      </c>
      <c r="C752" t="s">
        <v>336</v>
      </c>
      <c r="D752" t="s">
        <v>315</v>
      </c>
      <c r="E752" t="s">
        <v>555</v>
      </c>
      <c r="F752" t="s">
        <v>336</v>
      </c>
      <c r="H752" t="s">
        <v>67</v>
      </c>
      <c r="I752">
        <v>0</v>
      </c>
      <c r="J752">
        <v>0</v>
      </c>
      <c r="K752">
        <v>0</v>
      </c>
      <c r="L752">
        <v>0</v>
      </c>
      <c r="M752">
        <v>0</v>
      </c>
      <c r="N752">
        <v>0</v>
      </c>
      <c r="O752">
        <v>0</v>
      </c>
      <c r="P752">
        <v>0</v>
      </c>
      <c r="Q752">
        <v>0</v>
      </c>
      <c r="R752">
        <v>0</v>
      </c>
      <c r="S752">
        <v>0</v>
      </c>
      <c r="T752">
        <v>0</v>
      </c>
      <c r="U752">
        <v>0</v>
      </c>
      <c r="V752">
        <v>0</v>
      </c>
      <c r="W752">
        <v>0</v>
      </c>
      <c r="X752">
        <v>0</v>
      </c>
      <c r="Y752">
        <v>0</v>
      </c>
      <c r="Z752">
        <v>0</v>
      </c>
      <c r="AA752">
        <v>0</v>
      </c>
      <c r="AB752">
        <v>0</v>
      </c>
      <c r="AC752">
        <v>0</v>
      </c>
      <c r="AD752">
        <v>0</v>
      </c>
      <c r="AE752">
        <v>0</v>
      </c>
      <c r="AF752">
        <v>0</v>
      </c>
      <c r="AG752">
        <v>0</v>
      </c>
      <c r="AH752">
        <v>0</v>
      </c>
      <c r="AI752">
        <v>0</v>
      </c>
      <c r="AJ752">
        <v>0</v>
      </c>
      <c r="AK752">
        <v>0</v>
      </c>
      <c r="AL752">
        <v>0</v>
      </c>
      <c r="AM752">
        <v>0</v>
      </c>
    </row>
    <row r="753" spans="1:39" x14ac:dyDescent="0.35">
      <c r="A753" t="s">
        <v>174</v>
      </c>
      <c r="B753" t="s">
        <v>306</v>
      </c>
      <c r="C753" t="s">
        <v>336</v>
      </c>
      <c r="D753" t="s">
        <v>315</v>
      </c>
      <c r="E753" t="s">
        <v>34</v>
      </c>
      <c r="F753" t="s">
        <v>336</v>
      </c>
      <c r="H753" t="s">
        <v>68</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c r="AE753">
        <v>0</v>
      </c>
      <c r="AF753">
        <v>0</v>
      </c>
      <c r="AG753">
        <v>0</v>
      </c>
      <c r="AH753">
        <v>0</v>
      </c>
      <c r="AI753">
        <v>0</v>
      </c>
      <c r="AJ753">
        <v>0</v>
      </c>
      <c r="AK753">
        <v>0</v>
      </c>
      <c r="AL753">
        <v>0</v>
      </c>
      <c r="AM753">
        <v>0</v>
      </c>
    </row>
    <row r="754" spans="1:39" x14ac:dyDescent="0.35">
      <c r="A754" t="s">
        <v>174</v>
      </c>
      <c r="B754" t="s">
        <v>307</v>
      </c>
      <c r="C754" t="s">
        <v>336</v>
      </c>
      <c r="D754" t="s">
        <v>315</v>
      </c>
      <c r="E754" t="s">
        <v>1316</v>
      </c>
      <c r="F754" t="s">
        <v>336</v>
      </c>
      <c r="G754" t="s">
        <v>1201</v>
      </c>
      <c r="H754" t="s">
        <v>35</v>
      </c>
      <c r="I754">
        <v>0</v>
      </c>
      <c r="J754">
        <v>0</v>
      </c>
      <c r="K754">
        <v>0</v>
      </c>
      <c r="L754">
        <v>0</v>
      </c>
      <c r="M754">
        <v>0</v>
      </c>
      <c r="N754">
        <v>0</v>
      </c>
      <c r="O754">
        <v>0</v>
      </c>
      <c r="P754">
        <v>0</v>
      </c>
      <c r="Q754">
        <v>0</v>
      </c>
      <c r="R754">
        <v>0</v>
      </c>
      <c r="S754">
        <v>0</v>
      </c>
      <c r="T754">
        <v>0</v>
      </c>
      <c r="U754">
        <v>0</v>
      </c>
      <c r="V754">
        <v>136</v>
      </c>
      <c r="W754">
        <v>0</v>
      </c>
      <c r="X754">
        <v>0</v>
      </c>
      <c r="Y754">
        <v>0</v>
      </c>
      <c r="Z754">
        <v>0</v>
      </c>
      <c r="AA754">
        <v>0</v>
      </c>
      <c r="AB754">
        <v>0</v>
      </c>
      <c r="AC754">
        <v>0</v>
      </c>
      <c r="AD754">
        <v>0</v>
      </c>
      <c r="AE754">
        <v>0</v>
      </c>
      <c r="AF754">
        <v>0</v>
      </c>
      <c r="AG754">
        <v>0</v>
      </c>
      <c r="AH754">
        <v>0</v>
      </c>
      <c r="AI754">
        <v>0</v>
      </c>
      <c r="AJ754">
        <v>0</v>
      </c>
      <c r="AK754">
        <v>0</v>
      </c>
      <c r="AL754">
        <v>0</v>
      </c>
      <c r="AM754">
        <v>0</v>
      </c>
    </row>
    <row r="755" spans="1:39" x14ac:dyDescent="0.35">
      <c r="A755" t="s">
        <v>174</v>
      </c>
      <c r="B755" t="s">
        <v>307</v>
      </c>
      <c r="C755" t="s">
        <v>336</v>
      </c>
      <c r="D755" t="s">
        <v>315</v>
      </c>
      <c r="E755" t="s">
        <v>837</v>
      </c>
      <c r="F755" t="s">
        <v>336</v>
      </c>
      <c r="G755" t="s">
        <v>1201</v>
      </c>
      <c r="H755" t="s">
        <v>69</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row>
    <row r="756" spans="1:39" x14ac:dyDescent="0.35">
      <c r="A756" t="s">
        <v>174</v>
      </c>
      <c r="B756" t="s">
        <v>307</v>
      </c>
      <c r="C756" t="s">
        <v>336</v>
      </c>
      <c r="D756" t="s">
        <v>315</v>
      </c>
      <c r="E756" t="s">
        <v>484</v>
      </c>
      <c r="F756" t="s">
        <v>336</v>
      </c>
      <c r="G756" t="s">
        <v>1201</v>
      </c>
      <c r="H756" t="s">
        <v>67</v>
      </c>
      <c r="I756">
        <v>0</v>
      </c>
      <c r="J756">
        <v>0</v>
      </c>
      <c r="K756">
        <v>0</v>
      </c>
      <c r="L756">
        <v>0</v>
      </c>
      <c r="M756">
        <v>0</v>
      </c>
      <c r="N756">
        <v>0</v>
      </c>
      <c r="O756">
        <v>0</v>
      </c>
      <c r="P756">
        <v>0</v>
      </c>
      <c r="Q756">
        <v>20</v>
      </c>
      <c r="R756">
        <v>0</v>
      </c>
      <c r="S756">
        <v>0</v>
      </c>
      <c r="T756">
        <v>0</v>
      </c>
      <c r="U756">
        <v>0</v>
      </c>
      <c r="V756">
        <v>34</v>
      </c>
      <c r="W756">
        <v>0</v>
      </c>
      <c r="X756">
        <v>0</v>
      </c>
      <c r="Y756">
        <v>0</v>
      </c>
      <c r="Z756">
        <v>0</v>
      </c>
      <c r="AA756">
        <v>0</v>
      </c>
      <c r="AB756">
        <v>0</v>
      </c>
      <c r="AC756">
        <v>0</v>
      </c>
      <c r="AD756">
        <v>0</v>
      </c>
      <c r="AE756">
        <v>0</v>
      </c>
      <c r="AF756">
        <v>0</v>
      </c>
      <c r="AG756">
        <v>0</v>
      </c>
      <c r="AH756">
        <v>0</v>
      </c>
      <c r="AI756">
        <v>0</v>
      </c>
      <c r="AJ756">
        <v>0</v>
      </c>
      <c r="AK756">
        <v>0</v>
      </c>
      <c r="AL756">
        <v>0</v>
      </c>
      <c r="AM756">
        <v>0</v>
      </c>
    </row>
    <row r="757" spans="1:39" x14ac:dyDescent="0.35">
      <c r="A757" t="s">
        <v>174</v>
      </c>
      <c r="B757" t="s">
        <v>307</v>
      </c>
      <c r="C757" t="s">
        <v>336</v>
      </c>
      <c r="D757" t="s">
        <v>315</v>
      </c>
      <c r="E757" t="s">
        <v>507</v>
      </c>
      <c r="F757" t="s">
        <v>336</v>
      </c>
      <c r="G757" t="s">
        <v>1201</v>
      </c>
      <c r="H757" t="s">
        <v>67</v>
      </c>
      <c r="I757">
        <v>0</v>
      </c>
      <c r="J757">
        <v>0</v>
      </c>
      <c r="K757">
        <v>0</v>
      </c>
      <c r="L757">
        <v>0</v>
      </c>
      <c r="M757">
        <v>0</v>
      </c>
      <c r="N757">
        <v>0</v>
      </c>
      <c r="O757">
        <v>0</v>
      </c>
      <c r="P757">
        <v>0</v>
      </c>
      <c r="Q757">
        <v>0</v>
      </c>
      <c r="R757">
        <v>0</v>
      </c>
      <c r="S757">
        <v>0</v>
      </c>
      <c r="T757">
        <v>0</v>
      </c>
      <c r="U757">
        <v>0</v>
      </c>
      <c r="V757">
        <v>8</v>
      </c>
      <c r="W757">
        <v>0</v>
      </c>
      <c r="X757">
        <v>0</v>
      </c>
      <c r="Y757">
        <v>0</v>
      </c>
      <c r="Z757">
        <v>0</v>
      </c>
      <c r="AA757">
        <v>0</v>
      </c>
      <c r="AB757">
        <v>0</v>
      </c>
      <c r="AC757">
        <v>0</v>
      </c>
      <c r="AD757">
        <v>0</v>
      </c>
      <c r="AE757">
        <v>0</v>
      </c>
      <c r="AF757">
        <v>0</v>
      </c>
      <c r="AG757">
        <v>0</v>
      </c>
      <c r="AH757">
        <v>0</v>
      </c>
      <c r="AI757">
        <v>0</v>
      </c>
      <c r="AJ757">
        <v>0</v>
      </c>
      <c r="AK757">
        <v>0</v>
      </c>
      <c r="AL757">
        <v>0</v>
      </c>
      <c r="AM757">
        <v>0</v>
      </c>
    </row>
    <row r="758" spans="1:39" x14ac:dyDescent="0.35">
      <c r="A758" t="s">
        <v>174</v>
      </c>
      <c r="B758" t="s">
        <v>307</v>
      </c>
      <c r="C758" t="s">
        <v>336</v>
      </c>
      <c r="D758" t="s">
        <v>315</v>
      </c>
      <c r="E758" t="s">
        <v>540</v>
      </c>
      <c r="F758" t="s">
        <v>336</v>
      </c>
      <c r="G758" t="s">
        <v>1201</v>
      </c>
      <c r="H758" t="s">
        <v>67</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0</v>
      </c>
    </row>
    <row r="759" spans="1:39" x14ac:dyDescent="0.35">
      <c r="A759" t="s">
        <v>174</v>
      </c>
      <c r="B759" t="s">
        <v>307</v>
      </c>
      <c r="C759" t="s">
        <v>336</v>
      </c>
      <c r="D759" t="s">
        <v>315</v>
      </c>
      <c r="E759" t="s">
        <v>496</v>
      </c>
      <c r="F759" t="s">
        <v>336</v>
      </c>
      <c r="G759" t="s">
        <v>1201</v>
      </c>
      <c r="H759" t="s">
        <v>35</v>
      </c>
      <c r="I759">
        <v>0</v>
      </c>
      <c r="J759">
        <v>0</v>
      </c>
      <c r="K759">
        <v>0</v>
      </c>
      <c r="L759">
        <v>0</v>
      </c>
      <c r="M759">
        <v>0</v>
      </c>
      <c r="N759">
        <v>0</v>
      </c>
      <c r="O759">
        <v>0</v>
      </c>
      <c r="P759">
        <v>0</v>
      </c>
      <c r="Q759">
        <v>0</v>
      </c>
      <c r="R759">
        <v>0</v>
      </c>
      <c r="S759">
        <v>0</v>
      </c>
      <c r="T759">
        <v>0</v>
      </c>
      <c r="U759">
        <v>0</v>
      </c>
      <c r="V759">
        <v>18</v>
      </c>
      <c r="W759">
        <v>0</v>
      </c>
      <c r="X759">
        <v>0</v>
      </c>
      <c r="Y759">
        <v>0</v>
      </c>
      <c r="Z759">
        <v>0</v>
      </c>
      <c r="AA759">
        <v>0</v>
      </c>
      <c r="AB759">
        <v>0</v>
      </c>
      <c r="AC759">
        <v>0</v>
      </c>
      <c r="AD759">
        <v>0</v>
      </c>
      <c r="AE759">
        <v>0</v>
      </c>
      <c r="AF759">
        <v>0</v>
      </c>
      <c r="AG759">
        <v>0</v>
      </c>
      <c r="AH759">
        <v>0</v>
      </c>
      <c r="AI759">
        <v>0</v>
      </c>
      <c r="AJ759">
        <v>0</v>
      </c>
      <c r="AK759">
        <v>0</v>
      </c>
      <c r="AL759">
        <v>0</v>
      </c>
      <c r="AM759">
        <v>0</v>
      </c>
    </row>
    <row r="760" spans="1:39" x14ac:dyDescent="0.35">
      <c r="A760" t="s">
        <v>174</v>
      </c>
      <c r="B760" t="s">
        <v>307</v>
      </c>
      <c r="C760" t="s">
        <v>336</v>
      </c>
      <c r="D760" t="s">
        <v>315</v>
      </c>
      <c r="E760" t="s">
        <v>1195</v>
      </c>
      <c r="F760" t="s">
        <v>336</v>
      </c>
      <c r="G760" t="s">
        <v>1201</v>
      </c>
      <c r="H760" t="s">
        <v>35</v>
      </c>
      <c r="I760">
        <v>0</v>
      </c>
      <c r="J760">
        <v>0</v>
      </c>
      <c r="K760">
        <v>0</v>
      </c>
      <c r="L760">
        <v>0</v>
      </c>
      <c r="M760">
        <v>0</v>
      </c>
      <c r="N760">
        <v>0</v>
      </c>
      <c r="O760">
        <v>0</v>
      </c>
      <c r="P760">
        <v>0</v>
      </c>
      <c r="Q760">
        <v>0</v>
      </c>
      <c r="R760">
        <v>0</v>
      </c>
      <c r="S760">
        <v>0</v>
      </c>
      <c r="T760">
        <v>0</v>
      </c>
      <c r="U760">
        <v>0</v>
      </c>
      <c r="V760">
        <v>4.8</v>
      </c>
      <c r="W760">
        <v>0</v>
      </c>
      <c r="X760">
        <v>0</v>
      </c>
      <c r="Y760">
        <v>0</v>
      </c>
      <c r="Z760">
        <v>0</v>
      </c>
      <c r="AA760">
        <v>0</v>
      </c>
      <c r="AB760">
        <v>0</v>
      </c>
      <c r="AC760">
        <v>0</v>
      </c>
      <c r="AD760">
        <v>0</v>
      </c>
      <c r="AE760">
        <v>0</v>
      </c>
      <c r="AF760">
        <v>0</v>
      </c>
      <c r="AG760">
        <v>0</v>
      </c>
      <c r="AH760">
        <v>0</v>
      </c>
      <c r="AI760">
        <v>0</v>
      </c>
      <c r="AJ760">
        <v>0</v>
      </c>
      <c r="AK760">
        <v>0</v>
      </c>
      <c r="AL760">
        <v>0</v>
      </c>
      <c r="AM760">
        <v>0</v>
      </c>
    </row>
    <row r="761" spans="1:39" x14ac:dyDescent="0.35">
      <c r="A761" t="s">
        <v>174</v>
      </c>
      <c r="B761" t="s">
        <v>307</v>
      </c>
      <c r="C761" t="s">
        <v>336</v>
      </c>
      <c r="D761" t="s">
        <v>315</v>
      </c>
      <c r="E761" t="s">
        <v>511</v>
      </c>
      <c r="F761" t="s">
        <v>336</v>
      </c>
      <c r="G761" t="s">
        <v>1201</v>
      </c>
      <c r="H761" t="s">
        <v>35</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c r="AF761">
        <v>0</v>
      </c>
      <c r="AG761">
        <v>0</v>
      </c>
      <c r="AH761">
        <v>0</v>
      </c>
      <c r="AI761">
        <v>0</v>
      </c>
      <c r="AJ761">
        <v>0</v>
      </c>
      <c r="AK761">
        <v>0</v>
      </c>
      <c r="AL761">
        <v>0</v>
      </c>
      <c r="AM761">
        <v>0</v>
      </c>
    </row>
    <row r="762" spans="1:39" x14ac:dyDescent="0.35">
      <c r="A762" t="s">
        <v>174</v>
      </c>
      <c r="B762" t="s">
        <v>307</v>
      </c>
      <c r="C762" t="s">
        <v>336</v>
      </c>
      <c r="D762" t="s">
        <v>315</v>
      </c>
      <c r="E762" t="s">
        <v>509</v>
      </c>
      <c r="F762" t="s">
        <v>336</v>
      </c>
      <c r="G762" t="s">
        <v>1201</v>
      </c>
      <c r="H762" t="s">
        <v>35</v>
      </c>
      <c r="I762">
        <v>0</v>
      </c>
      <c r="J762">
        <v>0</v>
      </c>
      <c r="K762">
        <v>0</v>
      </c>
      <c r="L762">
        <v>0</v>
      </c>
      <c r="M762">
        <v>0</v>
      </c>
      <c r="N762">
        <v>0</v>
      </c>
      <c r="O762">
        <v>0</v>
      </c>
      <c r="P762">
        <v>0</v>
      </c>
      <c r="Q762">
        <v>0</v>
      </c>
      <c r="R762">
        <v>0</v>
      </c>
      <c r="S762">
        <v>0</v>
      </c>
      <c r="T762">
        <v>0</v>
      </c>
      <c r="U762">
        <v>0</v>
      </c>
      <c r="V762">
        <v>38.64</v>
      </c>
      <c r="W762">
        <v>0</v>
      </c>
      <c r="X762">
        <v>0</v>
      </c>
      <c r="Y762">
        <v>0</v>
      </c>
      <c r="Z762">
        <v>0</v>
      </c>
      <c r="AA762">
        <v>0</v>
      </c>
      <c r="AB762">
        <v>0</v>
      </c>
      <c r="AC762">
        <v>0</v>
      </c>
      <c r="AD762">
        <v>0</v>
      </c>
      <c r="AE762">
        <v>0</v>
      </c>
      <c r="AF762">
        <v>0</v>
      </c>
      <c r="AG762">
        <v>0</v>
      </c>
      <c r="AH762">
        <v>0</v>
      </c>
      <c r="AI762">
        <v>0</v>
      </c>
      <c r="AJ762">
        <v>0</v>
      </c>
      <c r="AK762">
        <v>0</v>
      </c>
      <c r="AL762">
        <v>0</v>
      </c>
      <c r="AM762">
        <v>0</v>
      </c>
    </row>
    <row r="763" spans="1:39" x14ac:dyDescent="0.35">
      <c r="A763" t="s">
        <v>174</v>
      </c>
      <c r="B763" t="s">
        <v>307</v>
      </c>
      <c r="C763" t="s">
        <v>336</v>
      </c>
      <c r="D763" t="s">
        <v>315</v>
      </c>
      <c r="E763" t="s">
        <v>1345</v>
      </c>
      <c r="F763" t="s">
        <v>336</v>
      </c>
      <c r="G763" t="s">
        <v>1201</v>
      </c>
      <c r="H763" t="s">
        <v>35</v>
      </c>
      <c r="I763">
        <v>0</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0</v>
      </c>
      <c r="AE763">
        <v>0</v>
      </c>
      <c r="AF763">
        <v>0</v>
      </c>
      <c r="AG763">
        <v>0</v>
      </c>
      <c r="AH763">
        <v>0</v>
      </c>
      <c r="AI763">
        <v>0</v>
      </c>
      <c r="AJ763">
        <v>0</v>
      </c>
      <c r="AK763">
        <v>0</v>
      </c>
      <c r="AL763">
        <v>0</v>
      </c>
      <c r="AM763">
        <v>0</v>
      </c>
    </row>
    <row r="764" spans="1:39" x14ac:dyDescent="0.35">
      <c r="A764" t="s">
        <v>174</v>
      </c>
      <c r="B764" t="s">
        <v>307</v>
      </c>
      <c r="C764" t="s">
        <v>336</v>
      </c>
      <c r="D764" t="s">
        <v>315</v>
      </c>
      <c r="E764" t="s">
        <v>1344</v>
      </c>
      <c r="F764" t="s">
        <v>336</v>
      </c>
      <c r="G764" t="s">
        <v>1201</v>
      </c>
      <c r="H764" t="s">
        <v>35</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c r="AE764">
        <v>0</v>
      </c>
      <c r="AF764">
        <v>0</v>
      </c>
      <c r="AG764">
        <v>0</v>
      </c>
      <c r="AH764">
        <v>0</v>
      </c>
      <c r="AI764">
        <v>0</v>
      </c>
      <c r="AJ764">
        <v>0</v>
      </c>
      <c r="AK764">
        <v>0</v>
      </c>
      <c r="AL764">
        <v>0</v>
      </c>
      <c r="AM764">
        <v>0</v>
      </c>
    </row>
    <row r="765" spans="1:39" x14ac:dyDescent="0.35">
      <c r="A765" t="s">
        <v>174</v>
      </c>
      <c r="B765" t="s">
        <v>307</v>
      </c>
      <c r="C765" t="s">
        <v>336</v>
      </c>
      <c r="D765" t="s">
        <v>315</v>
      </c>
      <c r="E765" t="s">
        <v>1343</v>
      </c>
      <c r="F765" t="s">
        <v>336</v>
      </c>
      <c r="G765" t="s">
        <v>1201</v>
      </c>
      <c r="H765" t="s">
        <v>35</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row>
    <row r="766" spans="1:39" x14ac:dyDescent="0.35">
      <c r="A766" t="s">
        <v>174</v>
      </c>
      <c r="B766" t="s">
        <v>307</v>
      </c>
      <c r="C766" t="s">
        <v>336</v>
      </c>
      <c r="D766" t="s">
        <v>315</v>
      </c>
      <c r="E766" t="s">
        <v>1196</v>
      </c>
      <c r="F766" t="s">
        <v>336</v>
      </c>
      <c r="G766" t="s">
        <v>1201</v>
      </c>
      <c r="H766" t="s">
        <v>35</v>
      </c>
      <c r="I766">
        <v>0</v>
      </c>
      <c r="J766">
        <v>0</v>
      </c>
      <c r="K766">
        <v>0</v>
      </c>
      <c r="L766">
        <v>0</v>
      </c>
      <c r="M766">
        <v>0</v>
      </c>
      <c r="N766">
        <v>0</v>
      </c>
      <c r="O766">
        <v>0</v>
      </c>
      <c r="P766">
        <v>0</v>
      </c>
      <c r="Q766">
        <v>172.8</v>
      </c>
      <c r="R766">
        <v>0</v>
      </c>
      <c r="S766">
        <v>0</v>
      </c>
      <c r="T766">
        <v>0</v>
      </c>
      <c r="U766">
        <v>0</v>
      </c>
      <c r="V766">
        <v>94</v>
      </c>
      <c r="W766">
        <v>0</v>
      </c>
      <c r="X766">
        <v>0</v>
      </c>
      <c r="Y766">
        <v>0</v>
      </c>
      <c r="Z766">
        <v>0</v>
      </c>
      <c r="AA766">
        <v>0</v>
      </c>
      <c r="AB766">
        <v>0</v>
      </c>
      <c r="AC766">
        <v>0</v>
      </c>
      <c r="AD766">
        <v>0</v>
      </c>
      <c r="AE766">
        <v>0</v>
      </c>
      <c r="AF766">
        <v>0</v>
      </c>
      <c r="AG766">
        <v>0</v>
      </c>
      <c r="AH766">
        <v>0</v>
      </c>
      <c r="AI766">
        <v>0</v>
      </c>
      <c r="AJ766">
        <v>0</v>
      </c>
      <c r="AK766">
        <v>0</v>
      </c>
      <c r="AL766">
        <v>0</v>
      </c>
      <c r="AM766">
        <v>0</v>
      </c>
    </row>
    <row r="767" spans="1:39" x14ac:dyDescent="0.35">
      <c r="A767" t="s">
        <v>174</v>
      </c>
      <c r="B767" t="s">
        <v>307</v>
      </c>
      <c r="C767" t="s">
        <v>336</v>
      </c>
      <c r="D767" t="s">
        <v>315</v>
      </c>
      <c r="E767" t="s">
        <v>1194</v>
      </c>
      <c r="F767" t="s">
        <v>336</v>
      </c>
      <c r="G767" t="s">
        <v>1201</v>
      </c>
      <c r="H767" t="s">
        <v>35</v>
      </c>
      <c r="I767">
        <v>0</v>
      </c>
      <c r="J767">
        <v>0</v>
      </c>
      <c r="K767">
        <v>0</v>
      </c>
      <c r="L767">
        <v>0</v>
      </c>
      <c r="M767">
        <v>0</v>
      </c>
      <c r="N767">
        <v>0</v>
      </c>
      <c r="O767">
        <v>0</v>
      </c>
      <c r="P767">
        <v>0</v>
      </c>
      <c r="Q767">
        <v>0</v>
      </c>
      <c r="R767">
        <v>0</v>
      </c>
      <c r="S767">
        <v>0</v>
      </c>
      <c r="T767">
        <v>0</v>
      </c>
      <c r="U767">
        <v>0</v>
      </c>
      <c r="V767">
        <v>45.6</v>
      </c>
      <c r="W767">
        <v>0</v>
      </c>
      <c r="X767">
        <v>0</v>
      </c>
      <c r="Y767">
        <v>0</v>
      </c>
      <c r="Z767">
        <v>0</v>
      </c>
      <c r="AA767">
        <v>0</v>
      </c>
      <c r="AB767">
        <v>0</v>
      </c>
      <c r="AC767">
        <v>0</v>
      </c>
      <c r="AD767">
        <v>0</v>
      </c>
      <c r="AE767">
        <v>0</v>
      </c>
      <c r="AF767">
        <v>0</v>
      </c>
      <c r="AG767">
        <v>0</v>
      </c>
      <c r="AH767">
        <v>0</v>
      </c>
      <c r="AI767">
        <v>0</v>
      </c>
      <c r="AJ767">
        <v>0</v>
      </c>
      <c r="AK767">
        <v>0</v>
      </c>
      <c r="AL767">
        <v>0</v>
      </c>
      <c r="AM767">
        <v>0</v>
      </c>
    </row>
    <row r="768" spans="1:39" x14ac:dyDescent="0.35">
      <c r="A768" t="s">
        <v>174</v>
      </c>
      <c r="B768" t="s">
        <v>307</v>
      </c>
      <c r="C768" t="s">
        <v>336</v>
      </c>
      <c r="D768" t="s">
        <v>315</v>
      </c>
      <c r="E768" t="s">
        <v>2</v>
      </c>
      <c r="F768" t="s">
        <v>336</v>
      </c>
      <c r="G768" t="s">
        <v>1201</v>
      </c>
      <c r="H768" t="s">
        <v>35</v>
      </c>
      <c r="I768">
        <v>0</v>
      </c>
      <c r="J768">
        <v>0</v>
      </c>
      <c r="K768">
        <v>0</v>
      </c>
      <c r="L768">
        <v>0</v>
      </c>
      <c r="M768">
        <v>0</v>
      </c>
      <c r="N768">
        <v>0</v>
      </c>
      <c r="O768">
        <v>0</v>
      </c>
      <c r="P768">
        <v>0</v>
      </c>
      <c r="Q768">
        <v>16.8</v>
      </c>
      <c r="R768">
        <v>0</v>
      </c>
      <c r="S768">
        <v>0</v>
      </c>
      <c r="T768">
        <v>0</v>
      </c>
      <c r="U768">
        <v>0</v>
      </c>
      <c r="V768">
        <v>26.4</v>
      </c>
      <c r="W768">
        <v>0</v>
      </c>
      <c r="X768">
        <v>0</v>
      </c>
      <c r="Y768">
        <v>0</v>
      </c>
      <c r="Z768">
        <v>0</v>
      </c>
      <c r="AA768">
        <v>0</v>
      </c>
      <c r="AB768">
        <v>0</v>
      </c>
      <c r="AC768">
        <v>0</v>
      </c>
      <c r="AD768">
        <v>0</v>
      </c>
      <c r="AE768">
        <v>0</v>
      </c>
      <c r="AF768">
        <v>0</v>
      </c>
      <c r="AG768">
        <v>0</v>
      </c>
      <c r="AH768">
        <v>0</v>
      </c>
      <c r="AI768">
        <v>0</v>
      </c>
      <c r="AJ768">
        <v>0</v>
      </c>
      <c r="AK768">
        <v>0</v>
      </c>
      <c r="AL768">
        <v>0</v>
      </c>
      <c r="AM768">
        <v>0</v>
      </c>
    </row>
    <row r="769" spans="1:39" x14ac:dyDescent="0.35">
      <c r="A769" t="s">
        <v>174</v>
      </c>
      <c r="B769" t="s">
        <v>307</v>
      </c>
      <c r="C769" t="s">
        <v>336</v>
      </c>
      <c r="D769" t="s">
        <v>315</v>
      </c>
      <c r="E769" t="s">
        <v>353</v>
      </c>
      <c r="F769" t="s">
        <v>336</v>
      </c>
      <c r="G769" t="s">
        <v>1201</v>
      </c>
      <c r="H769" t="s">
        <v>35</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row>
    <row r="770" spans="1:39" x14ac:dyDescent="0.35">
      <c r="A770" t="s">
        <v>174</v>
      </c>
      <c r="B770" t="s">
        <v>307</v>
      </c>
      <c r="C770" t="s">
        <v>336</v>
      </c>
      <c r="D770" t="s">
        <v>315</v>
      </c>
      <c r="E770" t="s">
        <v>352</v>
      </c>
      <c r="F770" t="s">
        <v>336</v>
      </c>
      <c r="G770" t="s">
        <v>1201</v>
      </c>
      <c r="H770" t="s">
        <v>68</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c r="AE770">
        <v>0</v>
      </c>
      <c r="AF770">
        <v>0</v>
      </c>
      <c r="AG770">
        <v>0</v>
      </c>
      <c r="AH770">
        <v>0</v>
      </c>
      <c r="AI770">
        <v>0</v>
      </c>
      <c r="AJ770">
        <v>0</v>
      </c>
      <c r="AK770">
        <v>0</v>
      </c>
      <c r="AL770">
        <v>0</v>
      </c>
      <c r="AM770">
        <v>0</v>
      </c>
    </row>
    <row r="771" spans="1:39" x14ac:dyDescent="0.35">
      <c r="A771" t="s">
        <v>174</v>
      </c>
      <c r="B771" t="s">
        <v>307</v>
      </c>
      <c r="C771" t="s">
        <v>336</v>
      </c>
      <c r="D771" t="s">
        <v>315</v>
      </c>
      <c r="E771" t="s">
        <v>1346</v>
      </c>
      <c r="F771" t="s">
        <v>336</v>
      </c>
      <c r="G771" t="s">
        <v>1201</v>
      </c>
      <c r="H771" t="s">
        <v>35</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c r="AE771">
        <v>0</v>
      </c>
      <c r="AF771">
        <v>0</v>
      </c>
      <c r="AG771">
        <v>0</v>
      </c>
      <c r="AH771">
        <v>0</v>
      </c>
      <c r="AI771">
        <v>0</v>
      </c>
      <c r="AJ771">
        <v>0</v>
      </c>
      <c r="AK771">
        <v>0</v>
      </c>
      <c r="AL771">
        <v>0</v>
      </c>
      <c r="AM771">
        <v>0</v>
      </c>
    </row>
    <row r="772" spans="1:39" x14ac:dyDescent="0.35">
      <c r="A772" t="s">
        <v>174</v>
      </c>
      <c r="B772" t="s">
        <v>307</v>
      </c>
      <c r="C772" t="s">
        <v>336</v>
      </c>
      <c r="D772" t="s">
        <v>315</v>
      </c>
      <c r="E772" t="s">
        <v>497</v>
      </c>
      <c r="F772" t="s">
        <v>336</v>
      </c>
      <c r="G772" t="s">
        <v>1201</v>
      </c>
      <c r="H772" t="s">
        <v>35</v>
      </c>
      <c r="I772">
        <v>0</v>
      </c>
      <c r="J772">
        <v>0</v>
      </c>
      <c r="K772">
        <v>0</v>
      </c>
      <c r="L772">
        <v>0</v>
      </c>
      <c r="M772">
        <v>0</v>
      </c>
      <c r="N772">
        <v>0</v>
      </c>
      <c r="O772">
        <v>0</v>
      </c>
      <c r="P772">
        <v>0</v>
      </c>
      <c r="Q772">
        <v>0</v>
      </c>
      <c r="R772">
        <v>0</v>
      </c>
      <c r="S772">
        <v>0</v>
      </c>
      <c r="T772">
        <v>0</v>
      </c>
      <c r="U772">
        <v>0</v>
      </c>
      <c r="V772">
        <v>10</v>
      </c>
      <c r="W772">
        <v>0</v>
      </c>
      <c r="X772">
        <v>0</v>
      </c>
      <c r="Y772">
        <v>0</v>
      </c>
      <c r="Z772">
        <v>0</v>
      </c>
      <c r="AA772">
        <v>0</v>
      </c>
      <c r="AB772">
        <v>0</v>
      </c>
      <c r="AC772">
        <v>0</v>
      </c>
      <c r="AD772">
        <v>0</v>
      </c>
      <c r="AE772">
        <v>0</v>
      </c>
      <c r="AF772">
        <v>0</v>
      </c>
      <c r="AG772">
        <v>0</v>
      </c>
      <c r="AH772">
        <v>0</v>
      </c>
      <c r="AI772">
        <v>0</v>
      </c>
      <c r="AJ772">
        <v>0</v>
      </c>
      <c r="AK772">
        <v>0</v>
      </c>
      <c r="AL772">
        <v>0</v>
      </c>
      <c r="AM772">
        <v>0</v>
      </c>
    </row>
    <row r="773" spans="1:39" x14ac:dyDescent="0.35">
      <c r="A773" t="s">
        <v>174</v>
      </c>
      <c r="B773" t="s">
        <v>307</v>
      </c>
      <c r="C773" t="s">
        <v>336</v>
      </c>
      <c r="D773" t="s">
        <v>315</v>
      </c>
      <c r="E773" t="s">
        <v>1306</v>
      </c>
      <c r="F773" t="s">
        <v>336</v>
      </c>
      <c r="G773" t="s">
        <v>1201</v>
      </c>
      <c r="H773" t="s">
        <v>35</v>
      </c>
      <c r="I773">
        <v>0</v>
      </c>
      <c r="J773">
        <v>0</v>
      </c>
      <c r="K773">
        <v>0</v>
      </c>
      <c r="L773">
        <v>0</v>
      </c>
      <c r="M773">
        <v>0</v>
      </c>
      <c r="N773">
        <v>0</v>
      </c>
      <c r="O773">
        <v>0</v>
      </c>
      <c r="P773">
        <v>0</v>
      </c>
      <c r="Q773">
        <v>0</v>
      </c>
      <c r="R773">
        <v>0</v>
      </c>
      <c r="S773">
        <v>0</v>
      </c>
      <c r="T773">
        <v>0</v>
      </c>
      <c r="U773">
        <v>0</v>
      </c>
      <c r="V773">
        <v>200</v>
      </c>
      <c r="W773">
        <v>0</v>
      </c>
      <c r="X773">
        <v>0</v>
      </c>
      <c r="Y773">
        <v>0</v>
      </c>
      <c r="Z773">
        <v>0</v>
      </c>
      <c r="AA773">
        <v>0</v>
      </c>
      <c r="AB773">
        <v>0</v>
      </c>
      <c r="AC773">
        <v>0</v>
      </c>
      <c r="AD773">
        <v>0</v>
      </c>
      <c r="AE773">
        <v>0</v>
      </c>
      <c r="AF773">
        <v>0</v>
      </c>
      <c r="AG773">
        <v>0</v>
      </c>
      <c r="AH773">
        <v>0</v>
      </c>
      <c r="AI773">
        <v>0</v>
      </c>
      <c r="AJ773">
        <v>0</v>
      </c>
      <c r="AK773">
        <v>0</v>
      </c>
      <c r="AL773">
        <v>0</v>
      </c>
      <c r="AM773">
        <v>0</v>
      </c>
    </row>
    <row r="774" spans="1:39" x14ac:dyDescent="0.35">
      <c r="A774" t="s">
        <v>174</v>
      </c>
      <c r="B774" t="s">
        <v>307</v>
      </c>
      <c r="C774" t="s">
        <v>336</v>
      </c>
      <c r="D774" t="s">
        <v>315</v>
      </c>
      <c r="E774" t="s">
        <v>349</v>
      </c>
      <c r="F774" t="s">
        <v>336</v>
      </c>
      <c r="G774" t="s">
        <v>1201</v>
      </c>
      <c r="H774" t="s">
        <v>35</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c r="AE774">
        <v>0</v>
      </c>
      <c r="AF774">
        <v>0</v>
      </c>
      <c r="AG774">
        <v>0</v>
      </c>
      <c r="AH774">
        <v>0</v>
      </c>
      <c r="AI774">
        <v>0</v>
      </c>
      <c r="AJ774">
        <v>0</v>
      </c>
      <c r="AK774">
        <v>0</v>
      </c>
      <c r="AL774">
        <v>0</v>
      </c>
      <c r="AM774">
        <v>0</v>
      </c>
    </row>
    <row r="775" spans="1:39" x14ac:dyDescent="0.35">
      <c r="A775" t="s">
        <v>174</v>
      </c>
      <c r="B775" t="s">
        <v>307</v>
      </c>
      <c r="C775" t="s">
        <v>336</v>
      </c>
      <c r="D775" t="s">
        <v>315</v>
      </c>
      <c r="E775" t="s">
        <v>985</v>
      </c>
      <c r="F775" t="s">
        <v>336</v>
      </c>
      <c r="G775" t="s">
        <v>1201</v>
      </c>
      <c r="H775" t="s">
        <v>35</v>
      </c>
      <c r="I775">
        <v>0</v>
      </c>
      <c r="J775">
        <v>0</v>
      </c>
      <c r="K775">
        <v>0</v>
      </c>
      <c r="L775">
        <v>0</v>
      </c>
      <c r="M775">
        <v>0</v>
      </c>
      <c r="N775">
        <v>0</v>
      </c>
      <c r="O775">
        <v>0</v>
      </c>
      <c r="P775">
        <v>0</v>
      </c>
      <c r="Q775">
        <v>0</v>
      </c>
      <c r="R775">
        <v>0</v>
      </c>
      <c r="S775">
        <v>0</v>
      </c>
      <c r="T775">
        <v>0</v>
      </c>
      <c r="U775">
        <v>0</v>
      </c>
      <c r="V775">
        <v>72</v>
      </c>
      <c r="W775">
        <v>0</v>
      </c>
      <c r="X775">
        <v>0</v>
      </c>
      <c r="Y775">
        <v>0</v>
      </c>
      <c r="Z775">
        <v>0</v>
      </c>
      <c r="AA775">
        <v>0</v>
      </c>
      <c r="AB775">
        <v>0</v>
      </c>
      <c r="AC775">
        <v>0</v>
      </c>
      <c r="AD775">
        <v>0</v>
      </c>
      <c r="AE775">
        <v>0</v>
      </c>
      <c r="AF775">
        <v>0</v>
      </c>
      <c r="AG775">
        <v>0</v>
      </c>
      <c r="AH775">
        <v>0</v>
      </c>
      <c r="AI775">
        <v>0</v>
      </c>
      <c r="AJ775">
        <v>0</v>
      </c>
      <c r="AK775">
        <v>0</v>
      </c>
      <c r="AL775">
        <v>0</v>
      </c>
      <c r="AM775">
        <v>0</v>
      </c>
    </row>
    <row r="776" spans="1:39" x14ac:dyDescent="0.35">
      <c r="A776" t="s">
        <v>174</v>
      </c>
      <c r="B776" t="s">
        <v>307</v>
      </c>
      <c r="C776" t="s">
        <v>336</v>
      </c>
      <c r="D776" t="s">
        <v>315</v>
      </c>
      <c r="E776" t="s">
        <v>355</v>
      </c>
      <c r="F776" t="s">
        <v>336</v>
      </c>
      <c r="G776" t="s">
        <v>1201</v>
      </c>
      <c r="H776" t="s">
        <v>35</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c r="AD776">
        <v>0</v>
      </c>
      <c r="AE776">
        <v>0</v>
      </c>
      <c r="AF776">
        <v>0</v>
      </c>
      <c r="AG776">
        <v>0</v>
      </c>
      <c r="AH776">
        <v>0</v>
      </c>
      <c r="AI776">
        <v>0</v>
      </c>
      <c r="AJ776">
        <v>0</v>
      </c>
      <c r="AK776">
        <v>0</v>
      </c>
      <c r="AL776">
        <v>0</v>
      </c>
      <c r="AM776">
        <v>0</v>
      </c>
    </row>
    <row r="777" spans="1:39" x14ac:dyDescent="0.35">
      <c r="A777" t="s">
        <v>174</v>
      </c>
      <c r="B777" t="s">
        <v>307</v>
      </c>
      <c r="C777" t="s">
        <v>336</v>
      </c>
      <c r="D777" t="s">
        <v>315</v>
      </c>
      <c r="E777" t="s">
        <v>1339</v>
      </c>
      <c r="F777" t="s">
        <v>336</v>
      </c>
      <c r="G777" t="s">
        <v>1201</v>
      </c>
      <c r="H777" t="s">
        <v>35</v>
      </c>
      <c r="I777">
        <v>0</v>
      </c>
      <c r="J777">
        <v>0</v>
      </c>
      <c r="K777">
        <v>0</v>
      </c>
      <c r="L777">
        <v>0</v>
      </c>
      <c r="M777">
        <v>0</v>
      </c>
      <c r="N777">
        <v>0</v>
      </c>
      <c r="O777">
        <v>0</v>
      </c>
      <c r="P777">
        <v>0</v>
      </c>
      <c r="Q777">
        <v>0</v>
      </c>
      <c r="R777">
        <v>0</v>
      </c>
      <c r="S777">
        <v>0</v>
      </c>
      <c r="T777">
        <v>0</v>
      </c>
      <c r="U777">
        <v>0</v>
      </c>
      <c r="V777">
        <v>200</v>
      </c>
      <c r="W777">
        <v>0</v>
      </c>
      <c r="X777">
        <v>0</v>
      </c>
      <c r="Y777">
        <v>0</v>
      </c>
      <c r="Z777">
        <v>0</v>
      </c>
      <c r="AA777">
        <v>0</v>
      </c>
      <c r="AB777">
        <v>0</v>
      </c>
      <c r="AC777">
        <v>0</v>
      </c>
      <c r="AD777">
        <v>0</v>
      </c>
      <c r="AE777">
        <v>0</v>
      </c>
      <c r="AF777">
        <v>0</v>
      </c>
      <c r="AG777">
        <v>0</v>
      </c>
      <c r="AH777">
        <v>0</v>
      </c>
      <c r="AI777">
        <v>0</v>
      </c>
      <c r="AJ777">
        <v>0</v>
      </c>
      <c r="AK777">
        <v>0</v>
      </c>
      <c r="AL777">
        <v>0</v>
      </c>
      <c r="AM777">
        <v>0</v>
      </c>
    </row>
    <row r="778" spans="1:39" x14ac:dyDescent="0.35">
      <c r="A778" t="s">
        <v>174</v>
      </c>
      <c r="B778" t="s">
        <v>307</v>
      </c>
      <c r="C778" t="s">
        <v>336</v>
      </c>
      <c r="D778" t="s">
        <v>315</v>
      </c>
      <c r="E778" t="s">
        <v>1348</v>
      </c>
      <c r="F778" t="s">
        <v>336</v>
      </c>
      <c r="G778" t="s">
        <v>1201</v>
      </c>
      <c r="H778" t="s">
        <v>35</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c r="AE778">
        <v>0</v>
      </c>
      <c r="AF778">
        <v>0</v>
      </c>
      <c r="AG778">
        <v>0</v>
      </c>
      <c r="AH778">
        <v>0</v>
      </c>
      <c r="AI778">
        <v>0</v>
      </c>
      <c r="AJ778">
        <v>0</v>
      </c>
      <c r="AK778">
        <v>0</v>
      </c>
      <c r="AL778">
        <v>0</v>
      </c>
      <c r="AM778">
        <v>0</v>
      </c>
    </row>
    <row r="779" spans="1:39" x14ac:dyDescent="0.35">
      <c r="A779" t="s">
        <v>174</v>
      </c>
      <c r="B779" t="s">
        <v>307</v>
      </c>
      <c r="C779" t="s">
        <v>336</v>
      </c>
      <c r="D779" t="s">
        <v>315</v>
      </c>
      <c r="E779" t="s">
        <v>354</v>
      </c>
      <c r="F779" t="s">
        <v>336</v>
      </c>
      <c r="G779" t="s">
        <v>1201</v>
      </c>
      <c r="H779" t="s">
        <v>35</v>
      </c>
      <c r="I779">
        <v>0</v>
      </c>
      <c r="J779">
        <v>0</v>
      </c>
      <c r="K779">
        <v>0</v>
      </c>
      <c r="L779">
        <v>0</v>
      </c>
      <c r="M779">
        <v>0</v>
      </c>
      <c r="N779">
        <v>0</v>
      </c>
      <c r="O779">
        <v>0</v>
      </c>
      <c r="P779">
        <v>0</v>
      </c>
      <c r="Q779">
        <v>0</v>
      </c>
      <c r="R779">
        <v>0</v>
      </c>
      <c r="S779">
        <v>0</v>
      </c>
      <c r="T779">
        <v>0</v>
      </c>
      <c r="U779">
        <v>0</v>
      </c>
      <c r="V779">
        <v>0</v>
      </c>
      <c r="W779">
        <v>0</v>
      </c>
      <c r="X779">
        <v>0</v>
      </c>
      <c r="Y779">
        <v>0</v>
      </c>
      <c r="Z779">
        <v>0</v>
      </c>
      <c r="AA779">
        <v>0</v>
      </c>
      <c r="AB779">
        <v>0</v>
      </c>
      <c r="AC779">
        <v>0</v>
      </c>
      <c r="AD779">
        <v>0</v>
      </c>
      <c r="AE779">
        <v>0</v>
      </c>
      <c r="AF779">
        <v>0</v>
      </c>
      <c r="AG779">
        <v>0</v>
      </c>
      <c r="AH779">
        <v>0</v>
      </c>
      <c r="AI779">
        <v>0</v>
      </c>
      <c r="AJ779">
        <v>0</v>
      </c>
      <c r="AK779">
        <v>0</v>
      </c>
      <c r="AL779">
        <v>0</v>
      </c>
      <c r="AM779">
        <v>0</v>
      </c>
    </row>
    <row r="780" spans="1:39" x14ac:dyDescent="0.35">
      <c r="A780" t="s">
        <v>174</v>
      </c>
      <c r="B780" t="s">
        <v>307</v>
      </c>
      <c r="C780" t="s">
        <v>336</v>
      </c>
      <c r="D780" t="s">
        <v>315</v>
      </c>
      <c r="E780" t="s">
        <v>918</v>
      </c>
      <c r="F780" t="s">
        <v>336</v>
      </c>
      <c r="G780" t="s">
        <v>1201</v>
      </c>
      <c r="H780" t="s">
        <v>67</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c r="AE780">
        <v>0</v>
      </c>
      <c r="AF780">
        <v>0</v>
      </c>
      <c r="AG780">
        <v>0</v>
      </c>
      <c r="AH780">
        <v>0</v>
      </c>
      <c r="AI780">
        <v>0</v>
      </c>
      <c r="AJ780">
        <v>0</v>
      </c>
      <c r="AK780">
        <v>0</v>
      </c>
      <c r="AL780">
        <v>0</v>
      </c>
      <c r="AM780">
        <v>0</v>
      </c>
    </row>
    <row r="781" spans="1:39" x14ac:dyDescent="0.35">
      <c r="A781" t="s">
        <v>174</v>
      </c>
      <c r="B781" t="s">
        <v>307</v>
      </c>
      <c r="C781" t="s">
        <v>336</v>
      </c>
      <c r="D781" t="s">
        <v>315</v>
      </c>
      <c r="E781" t="s">
        <v>19</v>
      </c>
      <c r="F781" t="s">
        <v>336</v>
      </c>
      <c r="G781" t="s">
        <v>1201</v>
      </c>
      <c r="H781" t="s">
        <v>35</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c r="AD781">
        <v>0</v>
      </c>
      <c r="AE781">
        <v>0</v>
      </c>
      <c r="AF781">
        <v>0</v>
      </c>
      <c r="AG781">
        <v>0</v>
      </c>
      <c r="AH781">
        <v>0</v>
      </c>
      <c r="AI781">
        <v>0</v>
      </c>
      <c r="AJ781">
        <v>0</v>
      </c>
      <c r="AK781">
        <v>0</v>
      </c>
      <c r="AL781">
        <v>0</v>
      </c>
      <c r="AM781">
        <v>0</v>
      </c>
    </row>
    <row r="782" spans="1:39" x14ac:dyDescent="0.35">
      <c r="A782" t="s">
        <v>174</v>
      </c>
      <c r="B782" t="s">
        <v>307</v>
      </c>
      <c r="C782" t="s">
        <v>336</v>
      </c>
      <c r="D782" t="s">
        <v>315</v>
      </c>
      <c r="E782" t="s">
        <v>20</v>
      </c>
      <c r="F782" t="s">
        <v>336</v>
      </c>
      <c r="G782" t="s">
        <v>1201</v>
      </c>
      <c r="H782" t="s">
        <v>35</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0</v>
      </c>
      <c r="AI782">
        <v>0</v>
      </c>
      <c r="AJ782">
        <v>0</v>
      </c>
      <c r="AK782">
        <v>0</v>
      </c>
      <c r="AL782">
        <v>0</v>
      </c>
      <c r="AM782">
        <v>0</v>
      </c>
    </row>
    <row r="783" spans="1:39" x14ac:dyDescent="0.35">
      <c r="A783" t="s">
        <v>174</v>
      </c>
      <c r="B783" t="s">
        <v>307</v>
      </c>
      <c r="C783" t="s">
        <v>336</v>
      </c>
      <c r="D783" t="s">
        <v>315</v>
      </c>
      <c r="E783" t="s">
        <v>350</v>
      </c>
      <c r="F783" t="s">
        <v>336</v>
      </c>
      <c r="G783" t="s">
        <v>1201</v>
      </c>
      <c r="H783" t="s">
        <v>35</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c r="AE783">
        <v>0</v>
      </c>
      <c r="AF783">
        <v>0</v>
      </c>
      <c r="AG783">
        <v>0</v>
      </c>
      <c r="AH783">
        <v>0</v>
      </c>
      <c r="AI783">
        <v>0</v>
      </c>
      <c r="AJ783">
        <v>0</v>
      </c>
      <c r="AK783">
        <v>0</v>
      </c>
      <c r="AL783">
        <v>0</v>
      </c>
      <c r="AM783">
        <v>0</v>
      </c>
    </row>
    <row r="784" spans="1:39" x14ac:dyDescent="0.35">
      <c r="A784" t="s">
        <v>174</v>
      </c>
      <c r="B784" t="s">
        <v>307</v>
      </c>
      <c r="C784" t="s">
        <v>336</v>
      </c>
      <c r="D784" t="s">
        <v>315</v>
      </c>
      <c r="E784" t="s">
        <v>1347</v>
      </c>
      <c r="F784" t="s">
        <v>336</v>
      </c>
      <c r="G784" t="s">
        <v>1201</v>
      </c>
      <c r="H784" t="s">
        <v>35</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c r="AE784">
        <v>0</v>
      </c>
      <c r="AF784">
        <v>0</v>
      </c>
      <c r="AG784">
        <v>0</v>
      </c>
      <c r="AH784">
        <v>0</v>
      </c>
      <c r="AI784">
        <v>0</v>
      </c>
      <c r="AJ784">
        <v>0</v>
      </c>
      <c r="AK784">
        <v>0</v>
      </c>
      <c r="AL784">
        <v>0</v>
      </c>
      <c r="AM784">
        <v>0</v>
      </c>
    </row>
    <row r="785" spans="1:39" x14ac:dyDescent="0.35">
      <c r="A785" t="s">
        <v>174</v>
      </c>
      <c r="B785" t="s">
        <v>307</v>
      </c>
      <c r="C785" t="s">
        <v>336</v>
      </c>
      <c r="D785" t="s">
        <v>315</v>
      </c>
      <c r="E785" t="s">
        <v>351</v>
      </c>
      <c r="F785" t="s">
        <v>336</v>
      </c>
      <c r="G785" t="s">
        <v>1201</v>
      </c>
      <c r="H785" t="s">
        <v>35</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row>
    <row r="786" spans="1:39" x14ac:dyDescent="0.35">
      <c r="A786" t="s">
        <v>174</v>
      </c>
      <c r="B786" t="s">
        <v>307</v>
      </c>
      <c r="C786" t="s">
        <v>336</v>
      </c>
      <c r="D786" t="s">
        <v>315</v>
      </c>
      <c r="E786" t="s">
        <v>500</v>
      </c>
      <c r="F786" t="s">
        <v>336</v>
      </c>
      <c r="G786" t="s">
        <v>1201</v>
      </c>
      <c r="H786" t="s">
        <v>35</v>
      </c>
      <c r="I786">
        <v>0</v>
      </c>
      <c r="J786">
        <v>0</v>
      </c>
      <c r="K786">
        <v>0</v>
      </c>
      <c r="L786">
        <v>0</v>
      </c>
      <c r="M786">
        <v>0</v>
      </c>
      <c r="N786">
        <v>0</v>
      </c>
      <c r="O786">
        <v>0</v>
      </c>
      <c r="P786">
        <v>0</v>
      </c>
      <c r="Q786">
        <v>0</v>
      </c>
      <c r="R786">
        <v>0</v>
      </c>
      <c r="S786">
        <v>0</v>
      </c>
      <c r="T786">
        <v>0</v>
      </c>
      <c r="U786">
        <v>0</v>
      </c>
      <c r="V786">
        <v>72</v>
      </c>
      <c r="W786">
        <v>0</v>
      </c>
      <c r="X786">
        <v>0</v>
      </c>
      <c r="Y786">
        <v>0</v>
      </c>
      <c r="Z786">
        <v>0</v>
      </c>
      <c r="AA786">
        <v>0</v>
      </c>
      <c r="AB786">
        <v>0</v>
      </c>
      <c r="AC786">
        <v>0</v>
      </c>
      <c r="AD786">
        <v>0</v>
      </c>
      <c r="AE786">
        <v>0</v>
      </c>
      <c r="AF786">
        <v>0</v>
      </c>
      <c r="AG786">
        <v>0</v>
      </c>
      <c r="AH786">
        <v>0</v>
      </c>
      <c r="AI786">
        <v>0</v>
      </c>
      <c r="AJ786">
        <v>0</v>
      </c>
      <c r="AK786">
        <v>0</v>
      </c>
      <c r="AL786">
        <v>0</v>
      </c>
      <c r="AM786">
        <v>0</v>
      </c>
    </row>
    <row r="787" spans="1:39" x14ac:dyDescent="0.35">
      <c r="A787" t="s">
        <v>174</v>
      </c>
      <c r="B787" t="s">
        <v>307</v>
      </c>
      <c r="C787" t="s">
        <v>336</v>
      </c>
      <c r="D787" t="s">
        <v>315</v>
      </c>
      <c r="E787" t="s">
        <v>501</v>
      </c>
      <c r="F787" t="s">
        <v>336</v>
      </c>
      <c r="G787" t="s">
        <v>1201</v>
      </c>
      <c r="H787" t="s">
        <v>35</v>
      </c>
      <c r="I787">
        <v>0</v>
      </c>
      <c r="J787">
        <v>0</v>
      </c>
      <c r="K787">
        <v>0</v>
      </c>
      <c r="L787">
        <v>0</v>
      </c>
      <c r="M787">
        <v>0</v>
      </c>
      <c r="N787">
        <v>0</v>
      </c>
      <c r="O787">
        <v>0</v>
      </c>
      <c r="P787">
        <v>0</v>
      </c>
      <c r="Q787">
        <v>0</v>
      </c>
      <c r="R787">
        <v>0</v>
      </c>
      <c r="S787">
        <v>0</v>
      </c>
      <c r="T787">
        <v>0</v>
      </c>
      <c r="U787">
        <v>0</v>
      </c>
      <c r="V787">
        <v>80</v>
      </c>
      <c r="W787">
        <v>0</v>
      </c>
      <c r="X787">
        <v>0</v>
      </c>
      <c r="Y787">
        <v>0</v>
      </c>
      <c r="Z787">
        <v>0</v>
      </c>
      <c r="AA787">
        <v>0</v>
      </c>
      <c r="AB787">
        <v>0</v>
      </c>
      <c r="AC787">
        <v>0</v>
      </c>
      <c r="AD787">
        <v>0</v>
      </c>
      <c r="AE787">
        <v>0</v>
      </c>
      <c r="AF787">
        <v>0</v>
      </c>
      <c r="AG787">
        <v>0</v>
      </c>
      <c r="AH787">
        <v>0</v>
      </c>
      <c r="AI787">
        <v>0</v>
      </c>
      <c r="AJ787">
        <v>0</v>
      </c>
      <c r="AK787">
        <v>0</v>
      </c>
      <c r="AL787">
        <v>0</v>
      </c>
      <c r="AM787">
        <v>0</v>
      </c>
    </row>
    <row r="788" spans="1:39" x14ac:dyDescent="0.35">
      <c r="A788" t="s">
        <v>174</v>
      </c>
      <c r="B788" t="s">
        <v>307</v>
      </c>
      <c r="C788" t="s">
        <v>336</v>
      </c>
      <c r="D788" t="s">
        <v>315</v>
      </c>
      <c r="E788" t="s">
        <v>28</v>
      </c>
      <c r="F788" t="s">
        <v>336</v>
      </c>
      <c r="G788" t="s">
        <v>1201</v>
      </c>
      <c r="H788" t="s">
        <v>35</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c r="AI788">
        <v>0</v>
      </c>
      <c r="AJ788">
        <v>0</v>
      </c>
      <c r="AK788">
        <v>0</v>
      </c>
      <c r="AL788">
        <v>0</v>
      </c>
      <c r="AM788">
        <v>0</v>
      </c>
    </row>
    <row r="789" spans="1:39" x14ac:dyDescent="0.35">
      <c r="A789" t="s">
        <v>174</v>
      </c>
      <c r="B789" t="s">
        <v>307</v>
      </c>
      <c r="C789" t="s">
        <v>336</v>
      </c>
      <c r="D789" t="s">
        <v>315</v>
      </c>
      <c r="E789" t="s">
        <v>1318</v>
      </c>
      <c r="F789" t="s">
        <v>336</v>
      </c>
      <c r="G789" t="s">
        <v>1201</v>
      </c>
      <c r="H789" t="s">
        <v>67</v>
      </c>
      <c r="I789">
        <v>0</v>
      </c>
      <c r="J789">
        <v>0</v>
      </c>
      <c r="K789">
        <v>0</v>
      </c>
      <c r="L789">
        <v>0</v>
      </c>
      <c r="M789">
        <v>0</v>
      </c>
      <c r="N789">
        <v>0</v>
      </c>
      <c r="O789">
        <v>0</v>
      </c>
      <c r="P789">
        <v>0</v>
      </c>
      <c r="Q789">
        <v>0</v>
      </c>
      <c r="R789">
        <v>0</v>
      </c>
      <c r="S789">
        <v>0</v>
      </c>
      <c r="T789">
        <v>0</v>
      </c>
      <c r="U789">
        <v>0</v>
      </c>
      <c r="V789">
        <v>8</v>
      </c>
      <c r="W789">
        <v>0</v>
      </c>
      <c r="X789">
        <v>0</v>
      </c>
      <c r="Y789">
        <v>0</v>
      </c>
      <c r="Z789">
        <v>0</v>
      </c>
      <c r="AA789">
        <v>0</v>
      </c>
      <c r="AB789">
        <v>0</v>
      </c>
      <c r="AC789">
        <v>0</v>
      </c>
      <c r="AD789">
        <v>0</v>
      </c>
      <c r="AE789">
        <v>0</v>
      </c>
      <c r="AF789">
        <v>0</v>
      </c>
      <c r="AG789">
        <v>0</v>
      </c>
      <c r="AH789">
        <v>0</v>
      </c>
      <c r="AI789">
        <v>0</v>
      </c>
      <c r="AJ789">
        <v>0</v>
      </c>
      <c r="AK789">
        <v>0</v>
      </c>
      <c r="AL789">
        <v>0</v>
      </c>
      <c r="AM789">
        <v>0</v>
      </c>
    </row>
    <row r="790" spans="1:39" x14ac:dyDescent="0.35">
      <c r="A790" t="s">
        <v>174</v>
      </c>
      <c r="B790" t="s">
        <v>307</v>
      </c>
      <c r="C790" t="s">
        <v>336</v>
      </c>
      <c r="D790" t="s">
        <v>315</v>
      </c>
      <c r="E790" t="s">
        <v>30</v>
      </c>
      <c r="F790" t="s">
        <v>336</v>
      </c>
      <c r="G790" t="s">
        <v>1201</v>
      </c>
      <c r="H790" t="s">
        <v>67</v>
      </c>
      <c r="I790">
        <v>0</v>
      </c>
      <c r="J790">
        <v>0</v>
      </c>
      <c r="K790">
        <v>0</v>
      </c>
      <c r="L790">
        <v>0</v>
      </c>
      <c r="M790">
        <v>0</v>
      </c>
      <c r="N790">
        <v>0</v>
      </c>
      <c r="O790">
        <v>0</v>
      </c>
      <c r="P790">
        <v>0</v>
      </c>
      <c r="Q790">
        <v>0</v>
      </c>
      <c r="R790">
        <v>0</v>
      </c>
      <c r="S790">
        <v>0</v>
      </c>
      <c r="T790">
        <v>0</v>
      </c>
      <c r="U790">
        <v>0</v>
      </c>
      <c r="V790">
        <v>0.15</v>
      </c>
      <c r="W790">
        <v>0</v>
      </c>
      <c r="X790">
        <v>0</v>
      </c>
      <c r="Y790">
        <v>0</v>
      </c>
      <c r="Z790">
        <v>0</v>
      </c>
      <c r="AA790">
        <v>0</v>
      </c>
      <c r="AB790">
        <v>0</v>
      </c>
      <c r="AC790">
        <v>0</v>
      </c>
      <c r="AD790">
        <v>0</v>
      </c>
      <c r="AE790">
        <v>0</v>
      </c>
      <c r="AF790">
        <v>0</v>
      </c>
      <c r="AG790">
        <v>0</v>
      </c>
      <c r="AH790">
        <v>0</v>
      </c>
      <c r="AI790">
        <v>0</v>
      </c>
      <c r="AJ790">
        <v>0</v>
      </c>
      <c r="AK790">
        <v>0</v>
      </c>
      <c r="AL790">
        <v>0</v>
      </c>
      <c r="AM790">
        <v>0</v>
      </c>
    </row>
    <row r="791" spans="1:39" x14ac:dyDescent="0.35">
      <c r="A791" t="s">
        <v>174</v>
      </c>
      <c r="B791" t="s">
        <v>307</v>
      </c>
      <c r="C791" t="s">
        <v>336</v>
      </c>
      <c r="D791" t="s">
        <v>315</v>
      </c>
      <c r="E791" t="s">
        <v>31</v>
      </c>
      <c r="F791" t="s">
        <v>336</v>
      </c>
      <c r="G791" t="s">
        <v>1201</v>
      </c>
      <c r="H791" t="s">
        <v>35</v>
      </c>
      <c r="I791">
        <v>0</v>
      </c>
      <c r="J791">
        <v>0</v>
      </c>
      <c r="K791">
        <v>0</v>
      </c>
      <c r="L791">
        <v>0</v>
      </c>
      <c r="M791">
        <v>0</v>
      </c>
      <c r="N791">
        <v>0</v>
      </c>
      <c r="O791">
        <v>0</v>
      </c>
      <c r="P791">
        <v>0</v>
      </c>
      <c r="Q791">
        <v>0</v>
      </c>
      <c r="R791">
        <v>0</v>
      </c>
      <c r="S791">
        <v>0</v>
      </c>
      <c r="T791">
        <v>0</v>
      </c>
      <c r="U791">
        <v>0</v>
      </c>
      <c r="V791">
        <v>4.8499999999999996</v>
      </c>
      <c r="W791">
        <v>0</v>
      </c>
      <c r="X791">
        <v>0</v>
      </c>
      <c r="Y791">
        <v>0</v>
      </c>
      <c r="Z791">
        <v>0</v>
      </c>
      <c r="AA791">
        <v>0</v>
      </c>
      <c r="AB791">
        <v>0</v>
      </c>
      <c r="AC791">
        <v>0</v>
      </c>
      <c r="AD791">
        <v>0</v>
      </c>
      <c r="AE791">
        <v>0</v>
      </c>
      <c r="AF791">
        <v>0</v>
      </c>
      <c r="AG791">
        <v>0</v>
      </c>
      <c r="AH791">
        <v>0</v>
      </c>
      <c r="AI791">
        <v>0</v>
      </c>
      <c r="AJ791">
        <v>0</v>
      </c>
      <c r="AK791">
        <v>0</v>
      </c>
      <c r="AL791">
        <v>0</v>
      </c>
      <c r="AM791">
        <v>0</v>
      </c>
    </row>
    <row r="792" spans="1:39" x14ac:dyDescent="0.35">
      <c r="A792" t="s">
        <v>174</v>
      </c>
      <c r="B792" t="s">
        <v>307</v>
      </c>
      <c r="C792" t="s">
        <v>336</v>
      </c>
      <c r="D792" t="s">
        <v>315</v>
      </c>
      <c r="E792" t="s">
        <v>72</v>
      </c>
      <c r="F792" t="s">
        <v>336</v>
      </c>
      <c r="G792" t="s">
        <v>1201</v>
      </c>
      <c r="H792" t="s">
        <v>35</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0</v>
      </c>
      <c r="AE792">
        <v>0</v>
      </c>
      <c r="AF792">
        <v>0</v>
      </c>
      <c r="AG792">
        <v>0</v>
      </c>
      <c r="AH792">
        <v>0</v>
      </c>
      <c r="AI792">
        <v>0</v>
      </c>
      <c r="AJ792">
        <v>0</v>
      </c>
      <c r="AK792">
        <v>0</v>
      </c>
      <c r="AL792">
        <v>0</v>
      </c>
      <c r="AM792">
        <v>0</v>
      </c>
    </row>
    <row r="793" spans="1:39" x14ac:dyDescent="0.35">
      <c r="A793" t="s">
        <v>174</v>
      </c>
      <c r="B793" t="s">
        <v>307</v>
      </c>
      <c r="C793" t="s">
        <v>336</v>
      </c>
      <c r="D793" t="s">
        <v>315</v>
      </c>
      <c r="E793" t="s">
        <v>542</v>
      </c>
      <c r="F793" t="s">
        <v>336</v>
      </c>
      <c r="G793" t="s">
        <v>1201</v>
      </c>
      <c r="H793" t="s">
        <v>35</v>
      </c>
      <c r="I793">
        <v>0</v>
      </c>
      <c r="J793">
        <v>0</v>
      </c>
      <c r="K793">
        <v>0</v>
      </c>
      <c r="L793">
        <v>0</v>
      </c>
      <c r="M793">
        <v>0</v>
      </c>
      <c r="N793">
        <v>0</v>
      </c>
      <c r="O793">
        <v>0</v>
      </c>
      <c r="P793">
        <v>0</v>
      </c>
      <c r="Q793">
        <v>0</v>
      </c>
      <c r="R793">
        <v>0</v>
      </c>
      <c r="S793">
        <v>0</v>
      </c>
      <c r="T793">
        <v>0</v>
      </c>
      <c r="U793">
        <v>0</v>
      </c>
      <c r="V793">
        <v>0</v>
      </c>
      <c r="W793">
        <v>0</v>
      </c>
      <c r="X793">
        <v>0</v>
      </c>
      <c r="Y793">
        <v>0</v>
      </c>
      <c r="Z793">
        <v>0</v>
      </c>
      <c r="AA793">
        <v>0</v>
      </c>
      <c r="AB793">
        <v>0</v>
      </c>
      <c r="AC793">
        <v>0</v>
      </c>
      <c r="AD793">
        <v>0</v>
      </c>
      <c r="AE793">
        <v>0</v>
      </c>
      <c r="AF793">
        <v>0</v>
      </c>
      <c r="AG793">
        <v>0</v>
      </c>
      <c r="AH793">
        <v>0</v>
      </c>
      <c r="AI793">
        <v>0</v>
      </c>
      <c r="AJ793">
        <v>0</v>
      </c>
      <c r="AK793">
        <v>0</v>
      </c>
      <c r="AL793">
        <v>0</v>
      </c>
      <c r="AM793">
        <v>0</v>
      </c>
    </row>
    <row r="794" spans="1:39" x14ac:dyDescent="0.35">
      <c r="A794" t="s">
        <v>174</v>
      </c>
      <c r="B794" t="s">
        <v>307</v>
      </c>
      <c r="C794" t="s">
        <v>336</v>
      </c>
      <c r="D794" t="s">
        <v>315</v>
      </c>
      <c r="E794" t="s">
        <v>555</v>
      </c>
      <c r="F794" t="s">
        <v>336</v>
      </c>
      <c r="G794" t="s">
        <v>1201</v>
      </c>
      <c r="H794" t="s">
        <v>67</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c r="AD794">
        <v>0</v>
      </c>
      <c r="AE794">
        <v>0</v>
      </c>
      <c r="AF794">
        <v>0</v>
      </c>
      <c r="AG794">
        <v>0</v>
      </c>
      <c r="AH794">
        <v>0</v>
      </c>
      <c r="AI794">
        <v>0</v>
      </c>
      <c r="AJ794">
        <v>0</v>
      </c>
      <c r="AK794">
        <v>0</v>
      </c>
      <c r="AL794">
        <v>0</v>
      </c>
      <c r="AM794">
        <v>0</v>
      </c>
    </row>
    <row r="795" spans="1:39" x14ac:dyDescent="0.35">
      <c r="A795" t="s">
        <v>174</v>
      </c>
      <c r="B795" t="s">
        <v>307</v>
      </c>
      <c r="C795" t="s">
        <v>336</v>
      </c>
      <c r="D795" t="s">
        <v>315</v>
      </c>
      <c r="E795" t="s">
        <v>34</v>
      </c>
      <c r="F795" t="s">
        <v>336</v>
      </c>
      <c r="G795" t="s">
        <v>1201</v>
      </c>
      <c r="H795" t="s">
        <v>68</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c r="AE795">
        <v>0</v>
      </c>
      <c r="AF795">
        <v>0</v>
      </c>
      <c r="AG795">
        <v>0</v>
      </c>
      <c r="AH795">
        <v>0</v>
      </c>
      <c r="AI795">
        <v>0</v>
      </c>
      <c r="AJ795">
        <v>0</v>
      </c>
      <c r="AK795">
        <v>0</v>
      </c>
      <c r="AL795">
        <v>0</v>
      </c>
      <c r="AM795">
        <v>0</v>
      </c>
    </row>
    <row r="796" spans="1:39" x14ac:dyDescent="0.35">
      <c r="A796" t="s">
        <v>174</v>
      </c>
      <c r="B796" t="s">
        <v>482</v>
      </c>
      <c r="C796" t="s">
        <v>176</v>
      </c>
      <c r="D796" t="s">
        <v>315</v>
      </c>
      <c r="E796" t="s">
        <v>1316</v>
      </c>
      <c r="F796" t="s">
        <v>182</v>
      </c>
      <c r="G796" t="s">
        <v>1326</v>
      </c>
      <c r="H796" t="s">
        <v>35</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0</v>
      </c>
    </row>
    <row r="797" spans="1:39" x14ac:dyDescent="0.35">
      <c r="A797" t="s">
        <v>174</v>
      </c>
      <c r="B797" t="s">
        <v>482</v>
      </c>
      <c r="C797" t="s">
        <v>176</v>
      </c>
      <c r="D797" t="s">
        <v>315</v>
      </c>
      <c r="E797" t="s">
        <v>1316</v>
      </c>
      <c r="F797" t="s">
        <v>182</v>
      </c>
      <c r="G797" t="s">
        <v>1440</v>
      </c>
      <c r="H797" t="s">
        <v>35</v>
      </c>
      <c r="I797">
        <v>0</v>
      </c>
      <c r="J797">
        <v>0</v>
      </c>
      <c r="K797">
        <v>0</v>
      </c>
      <c r="L797">
        <v>0</v>
      </c>
      <c r="M797">
        <v>0</v>
      </c>
      <c r="N797">
        <v>0</v>
      </c>
      <c r="O797">
        <v>0</v>
      </c>
      <c r="P797">
        <v>0</v>
      </c>
      <c r="Q797">
        <v>0</v>
      </c>
      <c r="R797">
        <v>0</v>
      </c>
      <c r="S797">
        <v>0</v>
      </c>
      <c r="T797">
        <v>306</v>
      </c>
      <c r="U797">
        <v>0</v>
      </c>
      <c r="V797">
        <v>0</v>
      </c>
      <c r="W797">
        <v>0</v>
      </c>
      <c r="X797">
        <v>0</v>
      </c>
      <c r="Y797">
        <v>0</v>
      </c>
      <c r="Z797">
        <v>0</v>
      </c>
      <c r="AA797">
        <v>0</v>
      </c>
      <c r="AB797">
        <v>0</v>
      </c>
      <c r="AC797">
        <v>0</v>
      </c>
      <c r="AD797">
        <v>0</v>
      </c>
      <c r="AE797">
        <v>0</v>
      </c>
      <c r="AF797">
        <v>0</v>
      </c>
      <c r="AG797">
        <v>0</v>
      </c>
      <c r="AH797">
        <v>0</v>
      </c>
      <c r="AI797">
        <v>0</v>
      </c>
      <c r="AJ797">
        <v>0</v>
      </c>
      <c r="AK797">
        <v>0</v>
      </c>
      <c r="AL797">
        <v>0</v>
      </c>
      <c r="AM797">
        <v>0</v>
      </c>
    </row>
    <row r="798" spans="1:39" x14ac:dyDescent="0.35">
      <c r="A798" t="s">
        <v>174</v>
      </c>
      <c r="B798" t="s">
        <v>482</v>
      </c>
      <c r="C798" t="s">
        <v>176</v>
      </c>
      <c r="D798" t="s">
        <v>315</v>
      </c>
      <c r="E798" t="s">
        <v>1316</v>
      </c>
      <c r="F798" t="s">
        <v>180</v>
      </c>
      <c r="G798" t="s">
        <v>1325</v>
      </c>
      <c r="H798" t="s">
        <v>35</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c r="AE798">
        <v>0</v>
      </c>
      <c r="AF798">
        <v>0</v>
      </c>
      <c r="AG798">
        <v>0</v>
      </c>
      <c r="AH798">
        <v>0</v>
      </c>
      <c r="AI798">
        <v>0</v>
      </c>
      <c r="AJ798">
        <v>0</v>
      </c>
      <c r="AK798">
        <v>0</v>
      </c>
      <c r="AL798">
        <v>0</v>
      </c>
      <c r="AM798">
        <v>0</v>
      </c>
    </row>
    <row r="799" spans="1:39" x14ac:dyDescent="0.35">
      <c r="A799" t="s">
        <v>174</v>
      </c>
      <c r="B799" t="s">
        <v>482</v>
      </c>
      <c r="C799" t="s">
        <v>176</v>
      </c>
      <c r="D799" t="s">
        <v>315</v>
      </c>
      <c r="E799" t="s">
        <v>1316</v>
      </c>
      <c r="F799" t="s">
        <v>180</v>
      </c>
      <c r="G799" t="s">
        <v>1439</v>
      </c>
      <c r="H799" t="s">
        <v>35</v>
      </c>
      <c r="I799">
        <v>1904</v>
      </c>
      <c r="J799">
        <v>1819</v>
      </c>
      <c r="K799">
        <v>2057</v>
      </c>
      <c r="L799">
        <v>1768</v>
      </c>
      <c r="M799">
        <v>2074</v>
      </c>
      <c r="N799">
        <v>1088</v>
      </c>
      <c r="O799">
        <v>2873</v>
      </c>
      <c r="P799">
        <v>1802</v>
      </c>
      <c r="Q799">
        <v>1921</v>
      </c>
      <c r="R799">
        <v>0</v>
      </c>
      <c r="S799">
        <v>2040</v>
      </c>
      <c r="T799">
        <v>2414</v>
      </c>
      <c r="U799">
        <v>2329</v>
      </c>
      <c r="V799">
        <v>1054</v>
      </c>
      <c r="W799">
        <v>0</v>
      </c>
      <c r="X799">
        <v>0</v>
      </c>
      <c r="Y799">
        <v>0</v>
      </c>
      <c r="Z799">
        <v>0</v>
      </c>
      <c r="AA799">
        <v>0</v>
      </c>
      <c r="AB799">
        <v>0</v>
      </c>
      <c r="AC799">
        <v>0</v>
      </c>
      <c r="AD799">
        <v>0</v>
      </c>
      <c r="AE799">
        <v>0</v>
      </c>
      <c r="AF799">
        <v>0</v>
      </c>
      <c r="AG799">
        <v>0</v>
      </c>
      <c r="AH799">
        <v>0</v>
      </c>
      <c r="AI799">
        <v>0</v>
      </c>
      <c r="AJ799">
        <v>0</v>
      </c>
      <c r="AK799">
        <v>0</v>
      </c>
      <c r="AL799">
        <v>0</v>
      </c>
      <c r="AM799">
        <v>0</v>
      </c>
    </row>
    <row r="800" spans="1:39" x14ac:dyDescent="0.35">
      <c r="A800" t="s">
        <v>174</v>
      </c>
      <c r="B800" t="s">
        <v>482</v>
      </c>
      <c r="C800" t="s">
        <v>176</v>
      </c>
      <c r="D800" t="s">
        <v>315</v>
      </c>
      <c r="E800" t="s">
        <v>1316</v>
      </c>
      <c r="F800" t="s">
        <v>181</v>
      </c>
      <c r="G800" t="s">
        <v>1456</v>
      </c>
      <c r="H800" t="s">
        <v>35</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c r="AE800">
        <v>0</v>
      </c>
      <c r="AF800">
        <v>0</v>
      </c>
      <c r="AG800">
        <v>0</v>
      </c>
      <c r="AH800">
        <v>0</v>
      </c>
      <c r="AI800">
        <v>0</v>
      </c>
      <c r="AJ800">
        <v>0</v>
      </c>
      <c r="AK800">
        <v>0</v>
      </c>
      <c r="AL800">
        <v>0</v>
      </c>
      <c r="AM800">
        <v>0</v>
      </c>
    </row>
    <row r="801" spans="1:39" x14ac:dyDescent="0.35">
      <c r="A801" t="s">
        <v>174</v>
      </c>
      <c r="B801" t="s">
        <v>482</v>
      </c>
      <c r="C801" t="s">
        <v>176</v>
      </c>
      <c r="D801" t="s">
        <v>315</v>
      </c>
      <c r="E801" t="s">
        <v>1316</v>
      </c>
      <c r="F801" t="s">
        <v>181</v>
      </c>
      <c r="G801" t="s">
        <v>1455</v>
      </c>
      <c r="H801" t="s">
        <v>35</v>
      </c>
      <c r="I801">
        <v>0</v>
      </c>
      <c r="J801">
        <v>0</v>
      </c>
      <c r="K801">
        <v>0</v>
      </c>
      <c r="L801">
        <v>0</v>
      </c>
      <c r="M801">
        <v>0</v>
      </c>
      <c r="N801">
        <v>204</v>
      </c>
      <c r="O801">
        <v>0</v>
      </c>
      <c r="P801">
        <v>0</v>
      </c>
      <c r="Q801">
        <v>0</v>
      </c>
      <c r="R801">
        <v>0</v>
      </c>
      <c r="S801">
        <v>0</v>
      </c>
      <c r="T801">
        <v>0</v>
      </c>
      <c r="U801">
        <v>0</v>
      </c>
      <c r="V801">
        <v>204</v>
      </c>
      <c r="W801">
        <v>0</v>
      </c>
      <c r="X801">
        <v>0</v>
      </c>
      <c r="Y801">
        <v>0</v>
      </c>
      <c r="Z801">
        <v>0</v>
      </c>
      <c r="AA801">
        <v>0</v>
      </c>
      <c r="AB801">
        <v>0</v>
      </c>
      <c r="AC801">
        <v>0</v>
      </c>
      <c r="AD801">
        <v>0</v>
      </c>
      <c r="AE801">
        <v>0</v>
      </c>
      <c r="AF801">
        <v>0</v>
      </c>
      <c r="AG801">
        <v>0</v>
      </c>
      <c r="AH801">
        <v>0</v>
      </c>
      <c r="AI801">
        <v>0</v>
      </c>
      <c r="AJ801">
        <v>0</v>
      </c>
      <c r="AK801">
        <v>0</v>
      </c>
      <c r="AL801">
        <v>0</v>
      </c>
      <c r="AM801">
        <v>0</v>
      </c>
    </row>
    <row r="802" spans="1:39" x14ac:dyDescent="0.35">
      <c r="A802" t="s">
        <v>174</v>
      </c>
      <c r="B802" t="s">
        <v>482</v>
      </c>
      <c r="C802" t="s">
        <v>176</v>
      </c>
      <c r="D802" t="s">
        <v>315</v>
      </c>
      <c r="E802" t="s">
        <v>1316</v>
      </c>
      <c r="F802" t="s">
        <v>179</v>
      </c>
      <c r="G802" t="s">
        <v>1324</v>
      </c>
      <c r="H802" t="s">
        <v>35</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c r="AE802">
        <v>0</v>
      </c>
      <c r="AF802">
        <v>0</v>
      </c>
      <c r="AG802">
        <v>0</v>
      </c>
      <c r="AH802">
        <v>0</v>
      </c>
      <c r="AI802">
        <v>0</v>
      </c>
      <c r="AJ802">
        <v>0</v>
      </c>
      <c r="AK802">
        <v>0</v>
      </c>
      <c r="AL802">
        <v>0</v>
      </c>
      <c r="AM802">
        <v>0</v>
      </c>
    </row>
    <row r="803" spans="1:39" x14ac:dyDescent="0.35">
      <c r="A803" t="s">
        <v>174</v>
      </c>
      <c r="B803" t="s">
        <v>482</v>
      </c>
      <c r="C803" t="s">
        <v>176</v>
      </c>
      <c r="D803" t="s">
        <v>315</v>
      </c>
      <c r="E803" t="s">
        <v>1316</v>
      </c>
      <c r="F803" t="s">
        <v>179</v>
      </c>
      <c r="G803" t="s">
        <v>1438</v>
      </c>
      <c r="H803" t="s">
        <v>35</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c r="AI803">
        <v>0</v>
      </c>
      <c r="AJ803">
        <v>0</v>
      </c>
      <c r="AK803">
        <v>0</v>
      </c>
      <c r="AL803">
        <v>0</v>
      </c>
      <c r="AM803">
        <v>0</v>
      </c>
    </row>
    <row r="804" spans="1:39" x14ac:dyDescent="0.35">
      <c r="A804" t="s">
        <v>174</v>
      </c>
      <c r="B804" t="s">
        <v>482</v>
      </c>
      <c r="C804" t="s">
        <v>176</v>
      </c>
      <c r="D804" t="s">
        <v>315</v>
      </c>
      <c r="E804" t="s">
        <v>837</v>
      </c>
      <c r="F804" t="s">
        <v>182</v>
      </c>
      <c r="G804" t="s">
        <v>840</v>
      </c>
      <c r="H804" t="s">
        <v>69</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0</v>
      </c>
      <c r="AI804">
        <v>0</v>
      </c>
      <c r="AJ804">
        <v>0</v>
      </c>
      <c r="AK804">
        <v>0</v>
      </c>
      <c r="AL804">
        <v>0</v>
      </c>
      <c r="AM804">
        <v>0</v>
      </c>
    </row>
    <row r="805" spans="1:39" x14ac:dyDescent="0.35">
      <c r="A805" t="s">
        <v>174</v>
      </c>
      <c r="B805" t="s">
        <v>482</v>
      </c>
      <c r="C805" t="s">
        <v>176</v>
      </c>
      <c r="D805" t="s">
        <v>315</v>
      </c>
      <c r="E805" t="s">
        <v>837</v>
      </c>
      <c r="F805" t="s">
        <v>180</v>
      </c>
      <c r="G805" t="s">
        <v>839</v>
      </c>
      <c r="H805" t="s">
        <v>69</v>
      </c>
      <c r="I805">
        <v>0</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0</v>
      </c>
      <c r="AD805">
        <v>0</v>
      </c>
      <c r="AE805">
        <v>0</v>
      </c>
      <c r="AF805">
        <v>0</v>
      </c>
      <c r="AG805">
        <v>0</v>
      </c>
      <c r="AH805">
        <v>0</v>
      </c>
      <c r="AI805">
        <v>0</v>
      </c>
      <c r="AJ805">
        <v>0</v>
      </c>
      <c r="AK805">
        <v>0</v>
      </c>
      <c r="AL805">
        <v>0</v>
      </c>
      <c r="AM805">
        <v>0</v>
      </c>
    </row>
    <row r="806" spans="1:39" x14ac:dyDescent="0.35">
      <c r="A806" t="s">
        <v>174</v>
      </c>
      <c r="B806" t="s">
        <v>482</v>
      </c>
      <c r="C806" t="s">
        <v>176</v>
      </c>
      <c r="D806" t="s">
        <v>315</v>
      </c>
      <c r="E806" t="s">
        <v>837</v>
      </c>
      <c r="F806" t="s">
        <v>183</v>
      </c>
      <c r="G806" t="s">
        <v>1107</v>
      </c>
      <c r="H806" t="s">
        <v>69</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c r="AE806">
        <v>0</v>
      </c>
      <c r="AF806">
        <v>0</v>
      </c>
      <c r="AG806">
        <v>0</v>
      </c>
      <c r="AH806">
        <v>0</v>
      </c>
      <c r="AI806">
        <v>0</v>
      </c>
      <c r="AJ806">
        <v>0</v>
      </c>
      <c r="AK806">
        <v>0</v>
      </c>
      <c r="AL806">
        <v>0</v>
      </c>
      <c r="AM806">
        <v>0</v>
      </c>
    </row>
    <row r="807" spans="1:39" x14ac:dyDescent="0.35">
      <c r="A807" t="s">
        <v>174</v>
      </c>
      <c r="B807" t="s">
        <v>482</v>
      </c>
      <c r="C807" t="s">
        <v>176</v>
      </c>
      <c r="D807" t="s">
        <v>315</v>
      </c>
      <c r="E807" t="s">
        <v>837</v>
      </c>
      <c r="F807" t="s">
        <v>179</v>
      </c>
      <c r="G807" t="s">
        <v>838</v>
      </c>
      <c r="H807" t="s">
        <v>69</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row>
    <row r="808" spans="1:39" x14ac:dyDescent="0.35">
      <c r="A808" t="s">
        <v>174</v>
      </c>
      <c r="B808" t="s">
        <v>482</v>
      </c>
      <c r="C808" t="s">
        <v>176</v>
      </c>
      <c r="D808" t="s">
        <v>315</v>
      </c>
      <c r="E808" t="s">
        <v>914</v>
      </c>
      <c r="F808" t="s">
        <v>182</v>
      </c>
      <c r="G808" t="s">
        <v>932</v>
      </c>
      <c r="H808" t="s">
        <v>35</v>
      </c>
      <c r="I808">
        <v>0</v>
      </c>
      <c r="J808">
        <v>0</v>
      </c>
      <c r="K808">
        <v>0</v>
      </c>
      <c r="L808">
        <v>0</v>
      </c>
      <c r="M808">
        <v>0</v>
      </c>
      <c r="N808">
        <v>0</v>
      </c>
      <c r="O808">
        <v>0</v>
      </c>
      <c r="P808">
        <v>0</v>
      </c>
      <c r="Q808">
        <v>0</v>
      </c>
      <c r="R808">
        <v>0</v>
      </c>
      <c r="S808">
        <v>0</v>
      </c>
      <c r="T808">
        <v>0</v>
      </c>
      <c r="U808">
        <v>0</v>
      </c>
      <c r="V808">
        <v>0</v>
      </c>
      <c r="W808">
        <v>0</v>
      </c>
      <c r="X808">
        <v>0</v>
      </c>
      <c r="Y808">
        <v>0</v>
      </c>
      <c r="Z808">
        <v>0</v>
      </c>
      <c r="AA808">
        <v>0</v>
      </c>
      <c r="AB808">
        <v>0</v>
      </c>
      <c r="AC808">
        <v>0</v>
      </c>
      <c r="AD808">
        <v>0</v>
      </c>
      <c r="AE808">
        <v>0</v>
      </c>
      <c r="AF808">
        <v>0</v>
      </c>
      <c r="AG808">
        <v>0</v>
      </c>
      <c r="AH808">
        <v>0</v>
      </c>
      <c r="AI808">
        <v>0</v>
      </c>
      <c r="AJ808">
        <v>0</v>
      </c>
      <c r="AK808">
        <v>0</v>
      </c>
      <c r="AL808">
        <v>0</v>
      </c>
      <c r="AM808">
        <v>0</v>
      </c>
    </row>
    <row r="809" spans="1:39" x14ac:dyDescent="0.35">
      <c r="A809" t="s">
        <v>174</v>
      </c>
      <c r="B809" t="s">
        <v>482</v>
      </c>
      <c r="C809" t="s">
        <v>176</v>
      </c>
      <c r="D809" t="s">
        <v>315</v>
      </c>
      <c r="E809" t="s">
        <v>914</v>
      </c>
      <c r="F809" t="s">
        <v>180</v>
      </c>
      <c r="G809" t="s">
        <v>930</v>
      </c>
      <c r="H809" t="s">
        <v>35</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0</v>
      </c>
      <c r="AC809">
        <v>0</v>
      </c>
      <c r="AD809">
        <v>0</v>
      </c>
      <c r="AE809">
        <v>0</v>
      </c>
      <c r="AF809">
        <v>0</v>
      </c>
      <c r="AG809">
        <v>0</v>
      </c>
      <c r="AH809">
        <v>0</v>
      </c>
      <c r="AI809">
        <v>0</v>
      </c>
      <c r="AJ809">
        <v>0</v>
      </c>
      <c r="AK809">
        <v>0</v>
      </c>
      <c r="AL809">
        <v>0</v>
      </c>
      <c r="AM809">
        <v>0</v>
      </c>
    </row>
    <row r="810" spans="1:39" x14ac:dyDescent="0.35">
      <c r="A810" t="s">
        <v>174</v>
      </c>
      <c r="B810" t="s">
        <v>482</v>
      </c>
      <c r="C810" t="s">
        <v>176</v>
      </c>
      <c r="D810" t="s">
        <v>315</v>
      </c>
      <c r="E810" t="s">
        <v>914</v>
      </c>
      <c r="F810" t="s">
        <v>181</v>
      </c>
      <c r="G810" t="s">
        <v>931</v>
      </c>
      <c r="H810" t="s">
        <v>35</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0</v>
      </c>
      <c r="AI810">
        <v>0</v>
      </c>
      <c r="AJ810">
        <v>0</v>
      </c>
      <c r="AK810">
        <v>0</v>
      </c>
      <c r="AL810">
        <v>0</v>
      </c>
      <c r="AM810">
        <v>0</v>
      </c>
    </row>
    <row r="811" spans="1:39" x14ac:dyDescent="0.35">
      <c r="A811" t="s">
        <v>174</v>
      </c>
      <c r="B811" t="s">
        <v>482</v>
      </c>
      <c r="C811" t="s">
        <v>176</v>
      </c>
      <c r="D811" t="s">
        <v>315</v>
      </c>
      <c r="E811" t="s">
        <v>914</v>
      </c>
      <c r="F811" t="s">
        <v>179</v>
      </c>
      <c r="G811" t="s">
        <v>929</v>
      </c>
      <c r="H811" t="s">
        <v>35</v>
      </c>
      <c r="I811">
        <v>0</v>
      </c>
      <c r="J811">
        <v>0</v>
      </c>
      <c r="K811">
        <v>0</v>
      </c>
      <c r="L811">
        <v>0</v>
      </c>
      <c r="M811">
        <v>0</v>
      </c>
      <c r="N811">
        <v>0</v>
      </c>
      <c r="O811">
        <v>0</v>
      </c>
      <c r="P811">
        <v>0</v>
      </c>
      <c r="Q811">
        <v>0</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row>
    <row r="812" spans="1:39" x14ac:dyDescent="0.35">
      <c r="A812" t="s">
        <v>174</v>
      </c>
      <c r="B812" t="s">
        <v>482</v>
      </c>
      <c r="C812" t="s">
        <v>176</v>
      </c>
      <c r="D812" t="s">
        <v>315</v>
      </c>
      <c r="E812" t="s">
        <v>484</v>
      </c>
      <c r="F812" t="s">
        <v>182</v>
      </c>
      <c r="G812" t="s">
        <v>648</v>
      </c>
      <c r="H812" t="s">
        <v>67</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row>
    <row r="813" spans="1:39" x14ac:dyDescent="0.35">
      <c r="A813" t="s">
        <v>174</v>
      </c>
      <c r="B813" t="s">
        <v>482</v>
      </c>
      <c r="C813" t="s">
        <v>176</v>
      </c>
      <c r="D813" t="s">
        <v>315</v>
      </c>
      <c r="E813" t="s">
        <v>484</v>
      </c>
      <c r="F813" t="s">
        <v>182</v>
      </c>
      <c r="G813" t="s">
        <v>1263</v>
      </c>
      <c r="H813" t="s">
        <v>67</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row>
    <row r="814" spans="1:39" x14ac:dyDescent="0.35">
      <c r="A814" t="s">
        <v>174</v>
      </c>
      <c r="B814" t="s">
        <v>482</v>
      </c>
      <c r="C814" t="s">
        <v>176</v>
      </c>
      <c r="D814" t="s">
        <v>315</v>
      </c>
      <c r="E814" t="s">
        <v>484</v>
      </c>
      <c r="F814" t="s">
        <v>182</v>
      </c>
      <c r="G814" t="s">
        <v>1267</v>
      </c>
      <c r="H814" t="s">
        <v>67</v>
      </c>
      <c r="I814">
        <v>0</v>
      </c>
      <c r="J814">
        <v>0</v>
      </c>
      <c r="K814">
        <v>0</v>
      </c>
      <c r="L814">
        <v>0</v>
      </c>
      <c r="M814">
        <v>0</v>
      </c>
      <c r="N814">
        <v>0</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0</v>
      </c>
    </row>
    <row r="815" spans="1:39" x14ac:dyDescent="0.35">
      <c r="A815" t="s">
        <v>174</v>
      </c>
      <c r="B815" t="s">
        <v>482</v>
      </c>
      <c r="C815" t="s">
        <v>176</v>
      </c>
      <c r="D815" t="s">
        <v>315</v>
      </c>
      <c r="E815" t="s">
        <v>484</v>
      </c>
      <c r="F815" t="s">
        <v>182</v>
      </c>
      <c r="G815" t="s">
        <v>1279</v>
      </c>
      <c r="H815" t="s">
        <v>67</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c r="AD815">
        <v>0</v>
      </c>
      <c r="AE815">
        <v>0</v>
      </c>
      <c r="AF815">
        <v>0</v>
      </c>
      <c r="AG815">
        <v>0</v>
      </c>
      <c r="AH815">
        <v>0</v>
      </c>
      <c r="AI815">
        <v>0</v>
      </c>
      <c r="AJ815">
        <v>0</v>
      </c>
      <c r="AK815">
        <v>0</v>
      </c>
      <c r="AL815">
        <v>0</v>
      </c>
      <c r="AM815">
        <v>0</v>
      </c>
    </row>
    <row r="816" spans="1:39" x14ac:dyDescent="0.35">
      <c r="A816" t="s">
        <v>174</v>
      </c>
      <c r="B816" t="s">
        <v>482</v>
      </c>
      <c r="C816" t="s">
        <v>176</v>
      </c>
      <c r="D816" t="s">
        <v>315</v>
      </c>
      <c r="E816" t="s">
        <v>484</v>
      </c>
      <c r="F816" t="s">
        <v>182</v>
      </c>
      <c r="G816" t="s">
        <v>1291</v>
      </c>
      <c r="H816" t="s">
        <v>67</v>
      </c>
      <c r="I816">
        <v>0</v>
      </c>
      <c r="J816">
        <v>0</v>
      </c>
      <c r="K816">
        <v>0</v>
      </c>
      <c r="L816">
        <v>0</v>
      </c>
      <c r="M816">
        <v>0</v>
      </c>
      <c r="N816">
        <v>0</v>
      </c>
      <c r="O816">
        <v>0</v>
      </c>
      <c r="P816">
        <v>0</v>
      </c>
      <c r="Q816">
        <v>0</v>
      </c>
      <c r="R816">
        <v>0</v>
      </c>
      <c r="S816">
        <v>0</v>
      </c>
      <c r="T816">
        <v>0</v>
      </c>
      <c r="U816">
        <v>0</v>
      </c>
      <c r="V816">
        <v>0</v>
      </c>
      <c r="W816">
        <v>0</v>
      </c>
      <c r="X816">
        <v>0</v>
      </c>
      <c r="Y816">
        <v>0</v>
      </c>
      <c r="Z816">
        <v>0</v>
      </c>
      <c r="AA816">
        <v>0</v>
      </c>
      <c r="AB816">
        <v>0</v>
      </c>
      <c r="AC816">
        <v>0</v>
      </c>
      <c r="AD816">
        <v>0</v>
      </c>
      <c r="AE816">
        <v>0</v>
      </c>
      <c r="AF816">
        <v>0</v>
      </c>
      <c r="AG816">
        <v>0</v>
      </c>
      <c r="AH816">
        <v>0</v>
      </c>
      <c r="AI816">
        <v>0</v>
      </c>
      <c r="AJ816">
        <v>0</v>
      </c>
      <c r="AK816">
        <v>0</v>
      </c>
      <c r="AL816">
        <v>0</v>
      </c>
      <c r="AM816">
        <v>0</v>
      </c>
    </row>
    <row r="817" spans="1:39" x14ac:dyDescent="0.35">
      <c r="A817" t="s">
        <v>174</v>
      </c>
      <c r="B817" t="s">
        <v>482</v>
      </c>
      <c r="C817" t="s">
        <v>176</v>
      </c>
      <c r="D817" t="s">
        <v>315</v>
      </c>
      <c r="E817" t="s">
        <v>484</v>
      </c>
      <c r="F817" t="s">
        <v>180</v>
      </c>
      <c r="G817" t="s">
        <v>646</v>
      </c>
      <c r="H817" t="s">
        <v>67</v>
      </c>
      <c r="I817">
        <v>9</v>
      </c>
      <c r="J817">
        <v>21</v>
      </c>
      <c r="K817">
        <v>10</v>
      </c>
      <c r="L817">
        <v>31</v>
      </c>
      <c r="M817">
        <v>13</v>
      </c>
      <c r="N817">
        <v>5</v>
      </c>
      <c r="O817">
        <v>124</v>
      </c>
      <c r="P817">
        <v>145</v>
      </c>
      <c r="Q817">
        <v>26</v>
      </c>
      <c r="R817">
        <v>0</v>
      </c>
      <c r="S817">
        <v>26</v>
      </c>
      <c r="T817">
        <v>16</v>
      </c>
      <c r="U817">
        <v>7</v>
      </c>
      <c r="V817">
        <v>14</v>
      </c>
      <c r="W817">
        <v>0</v>
      </c>
      <c r="X817">
        <v>0</v>
      </c>
      <c r="Y817">
        <v>0</v>
      </c>
      <c r="Z817">
        <v>0</v>
      </c>
      <c r="AA817">
        <v>0</v>
      </c>
      <c r="AB817">
        <v>0</v>
      </c>
      <c r="AC817">
        <v>0</v>
      </c>
      <c r="AD817">
        <v>0</v>
      </c>
      <c r="AE817">
        <v>0</v>
      </c>
      <c r="AF817">
        <v>0</v>
      </c>
      <c r="AG817">
        <v>0</v>
      </c>
      <c r="AH817">
        <v>0</v>
      </c>
      <c r="AI817">
        <v>0</v>
      </c>
      <c r="AJ817">
        <v>0</v>
      </c>
      <c r="AK817">
        <v>0</v>
      </c>
      <c r="AL817">
        <v>0</v>
      </c>
      <c r="AM817">
        <v>0</v>
      </c>
    </row>
    <row r="818" spans="1:39" x14ac:dyDescent="0.35">
      <c r="A818" t="s">
        <v>174</v>
      </c>
      <c r="B818" t="s">
        <v>482</v>
      </c>
      <c r="C818" t="s">
        <v>176</v>
      </c>
      <c r="D818" t="s">
        <v>315</v>
      </c>
      <c r="E818" t="s">
        <v>484</v>
      </c>
      <c r="F818" t="s">
        <v>180</v>
      </c>
      <c r="G818" t="s">
        <v>1261</v>
      </c>
      <c r="H818" t="s">
        <v>67</v>
      </c>
      <c r="I818">
        <v>9</v>
      </c>
      <c r="J818">
        <v>16</v>
      </c>
      <c r="K818">
        <v>6</v>
      </c>
      <c r="L818">
        <v>11</v>
      </c>
      <c r="M818">
        <v>46</v>
      </c>
      <c r="N818">
        <v>2</v>
      </c>
      <c r="O818">
        <v>4</v>
      </c>
      <c r="P818">
        <v>22</v>
      </c>
      <c r="Q818">
        <v>23</v>
      </c>
      <c r="R818">
        <v>76</v>
      </c>
      <c r="S818">
        <v>10</v>
      </c>
      <c r="T818">
        <v>44</v>
      </c>
      <c r="U818">
        <v>34</v>
      </c>
      <c r="V818">
        <v>34</v>
      </c>
      <c r="W818">
        <v>0</v>
      </c>
      <c r="X818">
        <v>0</v>
      </c>
      <c r="Y818">
        <v>0</v>
      </c>
      <c r="Z818">
        <v>0</v>
      </c>
      <c r="AA818">
        <v>0</v>
      </c>
      <c r="AB818">
        <v>0</v>
      </c>
      <c r="AC818">
        <v>0</v>
      </c>
      <c r="AD818">
        <v>0</v>
      </c>
      <c r="AE818">
        <v>0</v>
      </c>
      <c r="AF818">
        <v>0</v>
      </c>
      <c r="AG818">
        <v>0</v>
      </c>
      <c r="AH818">
        <v>0</v>
      </c>
      <c r="AI818">
        <v>0</v>
      </c>
      <c r="AJ818">
        <v>0</v>
      </c>
      <c r="AK818">
        <v>0</v>
      </c>
      <c r="AL818">
        <v>0</v>
      </c>
      <c r="AM818">
        <v>0</v>
      </c>
    </row>
    <row r="819" spans="1:39" x14ac:dyDescent="0.35">
      <c r="A819" t="s">
        <v>174</v>
      </c>
      <c r="B819" t="s">
        <v>482</v>
      </c>
      <c r="C819" t="s">
        <v>176</v>
      </c>
      <c r="D819" t="s">
        <v>315</v>
      </c>
      <c r="E819" t="s">
        <v>484</v>
      </c>
      <c r="F819" t="s">
        <v>180</v>
      </c>
      <c r="G819" t="s">
        <v>1265</v>
      </c>
      <c r="H819" t="s">
        <v>67</v>
      </c>
      <c r="I819">
        <v>9</v>
      </c>
      <c r="J819">
        <v>0</v>
      </c>
      <c r="K819">
        <v>0</v>
      </c>
      <c r="L819">
        <v>0</v>
      </c>
      <c r="M819">
        <v>0</v>
      </c>
      <c r="N819">
        <v>0</v>
      </c>
      <c r="O819">
        <v>0</v>
      </c>
      <c r="P819">
        <v>0</v>
      </c>
      <c r="Q819">
        <v>0</v>
      </c>
      <c r="R819">
        <v>18</v>
      </c>
      <c r="S819">
        <v>0</v>
      </c>
      <c r="T819">
        <v>0</v>
      </c>
      <c r="U819">
        <v>0</v>
      </c>
      <c r="V819">
        <v>0</v>
      </c>
      <c r="W819">
        <v>0</v>
      </c>
      <c r="X819">
        <v>0</v>
      </c>
      <c r="Y819">
        <v>0</v>
      </c>
      <c r="Z819">
        <v>0</v>
      </c>
      <c r="AA819">
        <v>0</v>
      </c>
      <c r="AB819">
        <v>0</v>
      </c>
      <c r="AC819">
        <v>0</v>
      </c>
      <c r="AD819">
        <v>0</v>
      </c>
      <c r="AE819">
        <v>0</v>
      </c>
      <c r="AF819">
        <v>0</v>
      </c>
      <c r="AG819">
        <v>0</v>
      </c>
      <c r="AH819">
        <v>0</v>
      </c>
      <c r="AI819">
        <v>0</v>
      </c>
      <c r="AJ819">
        <v>0</v>
      </c>
      <c r="AK819">
        <v>0</v>
      </c>
      <c r="AL819">
        <v>0</v>
      </c>
      <c r="AM819">
        <v>0</v>
      </c>
    </row>
    <row r="820" spans="1:39" x14ac:dyDescent="0.35">
      <c r="A820" t="s">
        <v>174</v>
      </c>
      <c r="B820" t="s">
        <v>482</v>
      </c>
      <c r="C820" t="s">
        <v>176</v>
      </c>
      <c r="D820" t="s">
        <v>315</v>
      </c>
      <c r="E820" t="s">
        <v>484</v>
      </c>
      <c r="F820" t="s">
        <v>180</v>
      </c>
      <c r="G820" t="s">
        <v>1275</v>
      </c>
      <c r="H820" t="s">
        <v>67</v>
      </c>
      <c r="I820">
        <v>9</v>
      </c>
      <c r="J820">
        <v>1</v>
      </c>
      <c r="K820">
        <v>10</v>
      </c>
      <c r="L820">
        <v>17</v>
      </c>
      <c r="M820">
        <v>7</v>
      </c>
      <c r="N820">
        <v>7</v>
      </c>
      <c r="O820">
        <v>12</v>
      </c>
      <c r="P820">
        <v>10</v>
      </c>
      <c r="Q820">
        <v>15</v>
      </c>
      <c r="R820">
        <v>0</v>
      </c>
      <c r="S820">
        <v>5</v>
      </c>
      <c r="T820">
        <v>31</v>
      </c>
      <c r="U820">
        <v>27</v>
      </c>
      <c r="V820">
        <v>45</v>
      </c>
      <c r="W820">
        <v>0</v>
      </c>
      <c r="X820">
        <v>0</v>
      </c>
      <c r="Y820">
        <v>0</v>
      </c>
      <c r="Z820">
        <v>0</v>
      </c>
      <c r="AA820">
        <v>0</v>
      </c>
      <c r="AB820">
        <v>0</v>
      </c>
      <c r="AC820">
        <v>0</v>
      </c>
      <c r="AD820">
        <v>0</v>
      </c>
      <c r="AE820">
        <v>0</v>
      </c>
      <c r="AF820">
        <v>0</v>
      </c>
      <c r="AG820">
        <v>0</v>
      </c>
      <c r="AH820">
        <v>0</v>
      </c>
      <c r="AI820">
        <v>0</v>
      </c>
      <c r="AJ820">
        <v>0</v>
      </c>
      <c r="AK820">
        <v>0</v>
      </c>
      <c r="AL820">
        <v>0</v>
      </c>
      <c r="AM820">
        <v>0</v>
      </c>
    </row>
    <row r="821" spans="1:39" x14ac:dyDescent="0.35">
      <c r="A821" t="s">
        <v>174</v>
      </c>
      <c r="B821" t="s">
        <v>482</v>
      </c>
      <c r="C821" t="s">
        <v>176</v>
      </c>
      <c r="D821" t="s">
        <v>315</v>
      </c>
      <c r="E821" t="s">
        <v>484</v>
      </c>
      <c r="F821" t="s">
        <v>180</v>
      </c>
      <c r="G821" t="s">
        <v>1287</v>
      </c>
      <c r="H821" t="s">
        <v>67</v>
      </c>
      <c r="I821">
        <v>9</v>
      </c>
      <c r="J821">
        <v>0</v>
      </c>
      <c r="K821">
        <v>0</v>
      </c>
      <c r="L821">
        <v>0</v>
      </c>
      <c r="M821">
        <v>0</v>
      </c>
      <c r="N821">
        <v>0</v>
      </c>
      <c r="O821">
        <v>0</v>
      </c>
      <c r="P821">
        <v>0</v>
      </c>
      <c r="Q821">
        <v>0</v>
      </c>
      <c r="R821">
        <v>11</v>
      </c>
      <c r="S821">
        <v>0</v>
      </c>
      <c r="T821">
        <v>0</v>
      </c>
      <c r="U821">
        <v>0</v>
      </c>
      <c r="V821">
        <v>0</v>
      </c>
      <c r="W821">
        <v>0</v>
      </c>
      <c r="X821">
        <v>0</v>
      </c>
      <c r="Y821">
        <v>0</v>
      </c>
      <c r="Z821">
        <v>0</v>
      </c>
      <c r="AA821">
        <v>0</v>
      </c>
      <c r="AB821">
        <v>0</v>
      </c>
      <c r="AC821">
        <v>0</v>
      </c>
      <c r="AD821">
        <v>0</v>
      </c>
      <c r="AE821">
        <v>0</v>
      </c>
      <c r="AF821">
        <v>0</v>
      </c>
      <c r="AG821">
        <v>0</v>
      </c>
      <c r="AH821">
        <v>0</v>
      </c>
      <c r="AI821">
        <v>0</v>
      </c>
      <c r="AJ821">
        <v>0</v>
      </c>
      <c r="AK821">
        <v>0</v>
      </c>
      <c r="AL821">
        <v>0</v>
      </c>
      <c r="AM821">
        <v>0</v>
      </c>
    </row>
    <row r="822" spans="1:39" x14ac:dyDescent="0.35">
      <c r="A822" t="s">
        <v>174</v>
      </c>
      <c r="B822" t="s">
        <v>482</v>
      </c>
      <c r="C822" t="s">
        <v>176</v>
      </c>
      <c r="D822" t="s">
        <v>315</v>
      </c>
      <c r="E822" t="s">
        <v>484</v>
      </c>
      <c r="F822" t="s">
        <v>181</v>
      </c>
      <c r="G822" t="s">
        <v>647</v>
      </c>
      <c r="H822" t="s">
        <v>67</v>
      </c>
      <c r="I822">
        <v>32</v>
      </c>
      <c r="J822">
        <v>15</v>
      </c>
      <c r="K822">
        <v>46</v>
      </c>
      <c r="L822">
        <v>45</v>
      </c>
      <c r="M822">
        <v>11</v>
      </c>
      <c r="N822">
        <v>38</v>
      </c>
      <c r="O822">
        <v>21</v>
      </c>
      <c r="P822">
        <v>32</v>
      </c>
      <c r="Q822">
        <v>25</v>
      </c>
      <c r="R822">
        <v>0</v>
      </c>
      <c r="S822">
        <v>20</v>
      </c>
      <c r="T822">
        <v>23</v>
      </c>
      <c r="U822">
        <v>28</v>
      </c>
      <c r="V822">
        <v>36</v>
      </c>
      <c r="W822">
        <v>0</v>
      </c>
      <c r="X822">
        <v>0</v>
      </c>
      <c r="Y822">
        <v>0</v>
      </c>
      <c r="Z822">
        <v>0</v>
      </c>
      <c r="AA822">
        <v>0</v>
      </c>
      <c r="AB822">
        <v>0</v>
      </c>
      <c r="AC822">
        <v>0</v>
      </c>
      <c r="AD822">
        <v>0</v>
      </c>
      <c r="AE822">
        <v>0</v>
      </c>
      <c r="AF822">
        <v>0</v>
      </c>
      <c r="AG822">
        <v>0</v>
      </c>
      <c r="AH822">
        <v>0</v>
      </c>
      <c r="AI822">
        <v>0</v>
      </c>
      <c r="AJ822">
        <v>0</v>
      </c>
      <c r="AK822">
        <v>0</v>
      </c>
      <c r="AL822">
        <v>0</v>
      </c>
      <c r="AM822">
        <v>0</v>
      </c>
    </row>
    <row r="823" spans="1:39" x14ac:dyDescent="0.35">
      <c r="A823" t="s">
        <v>174</v>
      </c>
      <c r="B823" t="s">
        <v>482</v>
      </c>
      <c r="C823" t="s">
        <v>176</v>
      </c>
      <c r="D823" t="s">
        <v>315</v>
      </c>
      <c r="E823" t="s">
        <v>484</v>
      </c>
      <c r="F823" t="s">
        <v>181</v>
      </c>
      <c r="G823" t="s">
        <v>1262</v>
      </c>
      <c r="H823" t="s">
        <v>67</v>
      </c>
      <c r="I823">
        <v>32</v>
      </c>
      <c r="J823">
        <v>0</v>
      </c>
      <c r="K823">
        <v>0</v>
      </c>
      <c r="L823">
        <v>0</v>
      </c>
      <c r="M823">
        <v>0</v>
      </c>
      <c r="N823">
        <v>0</v>
      </c>
      <c r="O823">
        <v>0</v>
      </c>
      <c r="P823">
        <v>0</v>
      </c>
      <c r="Q823">
        <v>0</v>
      </c>
      <c r="R823">
        <v>34</v>
      </c>
      <c r="S823">
        <v>0</v>
      </c>
      <c r="T823">
        <v>0</v>
      </c>
      <c r="U823">
        <v>0</v>
      </c>
      <c r="V823">
        <v>0</v>
      </c>
      <c r="W823">
        <v>0</v>
      </c>
      <c r="X823">
        <v>0</v>
      </c>
      <c r="Y823">
        <v>0</v>
      </c>
      <c r="Z823">
        <v>0</v>
      </c>
      <c r="AA823">
        <v>0</v>
      </c>
      <c r="AB823">
        <v>0</v>
      </c>
      <c r="AC823">
        <v>0</v>
      </c>
      <c r="AD823">
        <v>0</v>
      </c>
      <c r="AE823">
        <v>0</v>
      </c>
      <c r="AF823">
        <v>0</v>
      </c>
      <c r="AG823">
        <v>0</v>
      </c>
      <c r="AH823">
        <v>0</v>
      </c>
      <c r="AI823">
        <v>0</v>
      </c>
      <c r="AJ823">
        <v>0</v>
      </c>
      <c r="AK823">
        <v>0</v>
      </c>
      <c r="AL823">
        <v>0</v>
      </c>
      <c r="AM823">
        <v>0</v>
      </c>
    </row>
    <row r="824" spans="1:39" x14ac:dyDescent="0.35">
      <c r="A824" t="s">
        <v>174</v>
      </c>
      <c r="B824" t="s">
        <v>482</v>
      </c>
      <c r="C824" t="s">
        <v>176</v>
      </c>
      <c r="D824" t="s">
        <v>315</v>
      </c>
      <c r="E824" t="s">
        <v>484</v>
      </c>
      <c r="F824" t="s">
        <v>181</v>
      </c>
      <c r="G824" t="s">
        <v>1266</v>
      </c>
      <c r="H824" t="s">
        <v>67</v>
      </c>
      <c r="I824">
        <v>32</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c r="AD824">
        <v>0</v>
      </c>
      <c r="AE824">
        <v>0</v>
      </c>
      <c r="AF824">
        <v>0</v>
      </c>
      <c r="AG824">
        <v>0</v>
      </c>
      <c r="AH824">
        <v>0</v>
      </c>
      <c r="AI824">
        <v>0</v>
      </c>
      <c r="AJ824">
        <v>0</v>
      </c>
      <c r="AK824">
        <v>0</v>
      </c>
      <c r="AL824">
        <v>0</v>
      </c>
      <c r="AM824">
        <v>0</v>
      </c>
    </row>
    <row r="825" spans="1:39" x14ac:dyDescent="0.35">
      <c r="A825" t="s">
        <v>174</v>
      </c>
      <c r="B825" t="s">
        <v>482</v>
      </c>
      <c r="C825" t="s">
        <v>176</v>
      </c>
      <c r="D825" t="s">
        <v>315</v>
      </c>
      <c r="E825" t="s">
        <v>484</v>
      </c>
      <c r="F825" t="s">
        <v>181</v>
      </c>
      <c r="G825" t="s">
        <v>1277</v>
      </c>
      <c r="H825" t="s">
        <v>67</v>
      </c>
      <c r="I825">
        <v>32</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row>
    <row r="826" spans="1:39" x14ac:dyDescent="0.35">
      <c r="A826" t="s">
        <v>174</v>
      </c>
      <c r="B826" t="s">
        <v>482</v>
      </c>
      <c r="C826" t="s">
        <v>176</v>
      </c>
      <c r="D826" t="s">
        <v>315</v>
      </c>
      <c r="E826" t="s">
        <v>484</v>
      </c>
      <c r="F826" t="s">
        <v>181</v>
      </c>
      <c r="G826" t="s">
        <v>1289</v>
      </c>
      <c r="H826" t="s">
        <v>67</v>
      </c>
      <c r="I826">
        <v>32</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c r="AE826">
        <v>0</v>
      </c>
      <c r="AF826">
        <v>0</v>
      </c>
      <c r="AG826">
        <v>0</v>
      </c>
      <c r="AH826">
        <v>0</v>
      </c>
      <c r="AI826">
        <v>0</v>
      </c>
      <c r="AJ826">
        <v>0</v>
      </c>
      <c r="AK826">
        <v>0</v>
      </c>
      <c r="AL826">
        <v>0</v>
      </c>
      <c r="AM826">
        <v>0</v>
      </c>
    </row>
    <row r="827" spans="1:39" x14ac:dyDescent="0.35">
      <c r="A827" t="s">
        <v>174</v>
      </c>
      <c r="B827" t="s">
        <v>482</v>
      </c>
      <c r="C827" t="s">
        <v>176</v>
      </c>
      <c r="D827" t="s">
        <v>315</v>
      </c>
      <c r="E827" t="s">
        <v>484</v>
      </c>
      <c r="F827" t="s">
        <v>179</v>
      </c>
      <c r="G827" t="s">
        <v>645</v>
      </c>
      <c r="H827" t="s">
        <v>67</v>
      </c>
      <c r="I827">
        <v>0</v>
      </c>
      <c r="J827">
        <v>0</v>
      </c>
      <c r="K827">
        <v>0</v>
      </c>
      <c r="L827">
        <v>0</v>
      </c>
      <c r="M827">
        <v>0</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0</v>
      </c>
      <c r="AL827">
        <v>0</v>
      </c>
      <c r="AM827">
        <v>0</v>
      </c>
    </row>
    <row r="828" spans="1:39" x14ac:dyDescent="0.35">
      <c r="A828" t="s">
        <v>174</v>
      </c>
      <c r="B828" t="s">
        <v>482</v>
      </c>
      <c r="C828" t="s">
        <v>176</v>
      </c>
      <c r="D828" t="s">
        <v>315</v>
      </c>
      <c r="E828" t="s">
        <v>484</v>
      </c>
      <c r="F828" t="s">
        <v>179</v>
      </c>
      <c r="G828" t="s">
        <v>1260</v>
      </c>
      <c r="H828" t="s">
        <v>67</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0</v>
      </c>
      <c r="AH828">
        <v>0</v>
      </c>
      <c r="AI828">
        <v>0</v>
      </c>
      <c r="AJ828">
        <v>0</v>
      </c>
      <c r="AK828">
        <v>0</v>
      </c>
      <c r="AL828">
        <v>0</v>
      </c>
      <c r="AM828">
        <v>0</v>
      </c>
    </row>
    <row r="829" spans="1:39" x14ac:dyDescent="0.35">
      <c r="A829" t="s">
        <v>174</v>
      </c>
      <c r="B829" t="s">
        <v>482</v>
      </c>
      <c r="C829" t="s">
        <v>176</v>
      </c>
      <c r="D829" t="s">
        <v>315</v>
      </c>
      <c r="E829" t="s">
        <v>484</v>
      </c>
      <c r="F829" t="s">
        <v>179</v>
      </c>
      <c r="G829" t="s">
        <v>1264</v>
      </c>
      <c r="H829" t="s">
        <v>67</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c r="AI829">
        <v>0</v>
      </c>
      <c r="AJ829">
        <v>0</v>
      </c>
      <c r="AK829">
        <v>0</v>
      </c>
      <c r="AL829">
        <v>0</v>
      </c>
      <c r="AM829">
        <v>0</v>
      </c>
    </row>
    <row r="830" spans="1:39" x14ac:dyDescent="0.35">
      <c r="A830" t="s">
        <v>174</v>
      </c>
      <c r="B830" t="s">
        <v>482</v>
      </c>
      <c r="C830" t="s">
        <v>176</v>
      </c>
      <c r="D830" t="s">
        <v>315</v>
      </c>
      <c r="E830" t="s">
        <v>484</v>
      </c>
      <c r="F830" t="s">
        <v>179</v>
      </c>
      <c r="G830" t="s">
        <v>1273</v>
      </c>
      <c r="H830" t="s">
        <v>67</v>
      </c>
      <c r="I830">
        <v>0</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c r="AE830">
        <v>0</v>
      </c>
      <c r="AF830">
        <v>0</v>
      </c>
      <c r="AG830">
        <v>0</v>
      </c>
      <c r="AH830">
        <v>0</v>
      </c>
      <c r="AI830">
        <v>0</v>
      </c>
      <c r="AJ830">
        <v>0</v>
      </c>
      <c r="AK830">
        <v>0</v>
      </c>
      <c r="AL830">
        <v>0</v>
      </c>
      <c r="AM830">
        <v>0</v>
      </c>
    </row>
    <row r="831" spans="1:39" x14ac:dyDescent="0.35">
      <c r="A831" t="s">
        <v>174</v>
      </c>
      <c r="B831" t="s">
        <v>482</v>
      </c>
      <c r="C831" t="s">
        <v>176</v>
      </c>
      <c r="D831" t="s">
        <v>315</v>
      </c>
      <c r="E831" t="s">
        <v>484</v>
      </c>
      <c r="F831" t="s">
        <v>179</v>
      </c>
      <c r="G831" t="s">
        <v>1285</v>
      </c>
      <c r="H831" t="s">
        <v>67</v>
      </c>
      <c r="I831">
        <v>0</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c r="AD831">
        <v>0</v>
      </c>
      <c r="AE831">
        <v>0</v>
      </c>
      <c r="AF831">
        <v>0</v>
      </c>
      <c r="AG831">
        <v>0</v>
      </c>
      <c r="AH831">
        <v>0</v>
      </c>
      <c r="AI831">
        <v>0</v>
      </c>
      <c r="AJ831">
        <v>0</v>
      </c>
      <c r="AK831">
        <v>0</v>
      </c>
      <c r="AL831">
        <v>0</v>
      </c>
      <c r="AM831">
        <v>0</v>
      </c>
    </row>
    <row r="832" spans="1:39" x14ac:dyDescent="0.35">
      <c r="A832" t="s">
        <v>174</v>
      </c>
      <c r="B832" t="s">
        <v>482</v>
      </c>
      <c r="C832" t="s">
        <v>176</v>
      </c>
      <c r="D832" t="s">
        <v>315</v>
      </c>
      <c r="E832" t="s">
        <v>507</v>
      </c>
      <c r="F832" t="s">
        <v>182</v>
      </c>
      <c r="G832" t="s">
        <v>671</v>
      </c>
      <c r="H832" t="s">
        <v>67</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c r="AD832">
        <v>0</v>
      </c>
      <c r="AE832">
        <v>0</v>
      </c>
      <c r="AF832">
        <v>0</v>
      </c>
      <c r="AG832">
        <v>0</v>
      </c>
      <c r="AH832">
        <v>0</v>
      </c>
      <c r="AI832">
        <v>0</v>
      </c>
      <c r="AJ832">
        <v>0</v>
      </c>
      <c r="AK832">
        <v>0</v>
      </c>
      <c r="AL832">
        <v>0</v>
      </c>
      <c r="AM832">
        <v>0</v>
      </c>
    </row>
    <row r="833" spans="1:39" x14ac:dyDescent="0.35">
      <c r="A833" t="s">
        <v>174</v>
      </c>
      <c r="B833" t="s">
        <v>482</v>
      </c>
      <c r="C833" t="s">
        <v>176</v>
      </c>
      <c r="D833" t="s">
        <v>315</v>
      </c>
      <c r="E833" t="s">
        <v>507</v>
      </c>
      <c r="F833" t="s">
        <v>180</v>
      </c>
      <c r="G833" t="s">
        <v>669</v>
      </c>
      <c r="H833" t="s">
        <v>67</v>
      </c>
      <c r="I833">
        <v>11</v>
      </c>
      <c r="J833">
        <v>4</v>
      </c>
      <c r="K833">
        <v>0</v>
      </c>
      <c r="L833">
        <v>0</v>
      </c>
      <c r="M833">
        <v>2</v>
      </c>
      <c r="N833">
        <v>6</v>
      </c>
      <c r="O833">
        <v>73</v>
      </c>
      <c r="P833">
        <v>48</v>
      </c>
      <c r="Q833">
        <v>0</v>
      </c>
      <c r="R833">
        <v>0</v>
      </c>
      <c r="S833">
        <v>11</v>
      </c>
      <c r="T833">
        <v>25</v>
      </c>
      <c r="U833">
        <v>3</v>
      </c>
      <c r="V833">
        <v>5</v>
      </c>
      <c r="W833">
        <v>0</v>
      </c>
      <c r="X833">
        <v>0</v>
      </c>
      <c r="Y833">
        <v>0</v>
      </c>
      <c r="Z833">
        <v>0</v>
      </c>
      <c r="AA833">
        <v>0</v>
      </c>
      <c r="AB833">
        <v>0</v>
      </c>
      <c r="AC833">
        <v>0</v>
      </c>
      <c r="AD833">
        <v>0</v>
      </c>
      <c r="AE833">
        <v>0</v>
      </c>
      <c r="AF833">
        <v>0</v>
      </c>
      <c r="AG833">
        <v>0</v>
      </c>
      <c r="AH833">
        <v>0</v>
      </c>
      <c r="AI833">
        <v>0</v>
      </c>
      <c r="AJ833">
        <v>0</v>
      </c>
      <c r="AK833">
        <v>0</v>
      </c>
      <c r="AL833">
        <v>0</v>
      </c>
      <c r="AM833">
        <v>0</v>
      </c>
    </row>
    <row r="834" spans="1:39" x14ac:dyDescent="0.35">
      <c r="A834" t="s">
        <v>174</v>
      </c>
      <c r="B834" t="s">
        <v>482</v>
      </c>
      <c r="C834" t="s">
        <v>176</v>
      </c>
      <c r="D834" t="s">
        <v>315</v>
      </c>
      <c r="E834" t="s">
        <v>507</v>
      </c>
      <c r="F834" t="s">
        <v>181</v>
      </c>
      <c r="G834" t="s">
        <v>670</v>
      </c>
      <c r="H834" t="s">
        <v>67</v>
      </c>
      <c r="I834">
        <v>29</v>
      </c>
      <c r="J834">
        <v>42</v>
      </c>
      <c r="K834">
        <v>47</v>
      </c>
      <c r="L834">
        <v>40</v>
      </c>
      <c r="M834">
        <v>52</v>
      </c>
      <c r="N834">
        <v>77</v>
      </c>
      <c r="O834">
        <v>6</v>
      </c>
      <c r="P834">
        <v>24</v>
      </c>
      <c r="Q834">
        <v>64</v>
      </c>
      <c r="R834">
        <v>0</v>
      </c>
      <c r="S834">
        <v>55</v>
      </c>
      <c r="T834">
        <v>60</v>
      </c>
      <c r="U834">
        <v>79</v>
      </c>
      <c r="V834">
        <v>92</v>
      </c>
      <c r="W834">
        <v>0</v>
      </c>
      <c r="X834">
        <v>0</v>
      </c>
      <c r="Y834">
        <v>0</v>
      </c>
      <c r="Z834">
        <v>0</v>
      </c>
      <c r="AA834">
        <v>0</v>
      </c>
      <c r="AB834">
        <v>0</v>
      </c>
      <c r="AC834">
        <v>0</v>
      </c>
      <c r="AD834">
        <v>0</v>
      </c>
      <c r="AE834">
        <v>0</v>
      </c>
      <c r="AF834">
        <v>0</v>
      </c>
      <c r="AG834">
        <v>0</v>
      </c>
      <c r="AH834">
        <v>0</v>
      </c>
      <c r="AI834">
        <v>0</v>
      </c>
      <c r="AJ834">
        <v>0</v>
      </c>
      <c r="AK834">
        <v>0</v>
      </c>
      <c r="AL834">
        <v>0</v>
      </c>
      <c r="AM834">
        <v>0</v>
      </c>
    </row>
    <row r="835" spans="1:39" x14ac:dyDescent="0.35">
      <c r="A835" t="s">
        <v>174</v>
      </c>
      <c r="B835" t="s">
        <v>482</v>
      </c>
      <c r="C835" t="s">
        <v>176</v>
      </c>
      <c r="D835" t="s">
        <v>315</v>
      </c>
      <c r="E835" t="s">
        <v>507</v>
      </c>
      <c r="F835" t="s">
        <v>179</v>
      </c>
      <c r="G835" t="s">
        <v>668</v>
      </c>
      <c r="H835" t="s">
        <v>67</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c r="AE835">
        <v>0</v>
      </c>
      <c r="AF835">
        <v>0</v>
      </c>
      <c r="AG835">
        <v>0</v>
      </c>
      <c r="AH835">
        <v>0</v>
      </c>
      <c r="AI835">
        <v>0</v>
      </c>
      <c r="AJ835">
        <v>0</v>
      </c>
      <c r="AK835">
        <v>0</v>
      </c>
      <c r="AL835">
        <v>0</v>
      </c>
      <c r="AM835">
        <v>0</v>
      </c>
    </row>
    <row r="836" spans="1:39" x14ac:dyDescent="0.35">
      <c r="A836" t="s">
        <v>174</v>
      </c>
      <c r="B836" t="s">
        <v>482</v>
      </c>
      <c r="C836" t="s">
        <v>176</v>
      </c>
      <c r="D836" t="s">
        <v>315</v>
      </c>
      <c r="E836" t="s">
        <v>915</v>
      </c>
      <c r="F836" t="s">
        <v>182</v>
      </c>
      <c r="G836" t="s">
        <v>936</v>
      </c>
      <c r="H836" t="s">
        <v>35</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0</v>
      </c>
      <c r="AI836">
        <v>0</v>
      </c>
      <c r="AJ836">
        <v>0</v>
      </c>
      <c r="AK836">
        <v>0</v>
      </c>
      <c r="AL836">
        <v>0</v>
      </c>
      <c r="AM836">
        <v>0</v>
      </c>
    </row>
    <row r="837" spans="1:39" x14ac:dyDescent="0.35">
      <c r="A837" t="s">
        <v>174</v>
      </c>
      <c r="B837" t="s">
        <v>482</v>
      </c>
      <c r="C837" t="s">
        <v>176</v>
      </c>
      <c r="D837" t="s">
        <v>315</v>
      </c>
      <c r="E837" t="s">
        <v>915</v>
      </c>
      <c r="F837" t="s">
        <v>180</v>
      </c>
      <c r="G837" t="s">
        <v>934</v>
      </c>
      <c r="H837" t="s">
        <v>35</v>
      </c>
      <c r="I837">
        <v>0</v>
      </c>
      <c r="J837">
        <v>0</v>
      </c>
      <c r="K837">
        <v>0</v>
      </c>
      <c r="L837">
        <v>0</v>
      </c>
      <c r="M837">
        <v>0</v>
      </c>
      <c r="N837">
        <v>0</v>
      </c>
      <c r="O837">
        <v>0</v>
      </c>
      <c r="P837">
        <v>0</v>
      </c>
      <c r="Q837">
        <v>0</v>
      </c>
      <c r="R837">
        <v>20</v>
      </c>
      <c r="S837">
        <v>0</v>
      </c>
      <c r="T837">
        <v>0</v>
      </c>
      <c r="U837">
        <v>0</v>
      </c>
      <c r="V837">
        <v>0</v>
      </c>
      <c r="W837">
        <v>0</v>
      </c>
      <c r="X837">
        <v>0</v>
      </c>
      <c r="Y837">
        <v>0</v>
      </c>
      <c r="Z837">
        <v>0</v>
      </c>
      <c r="AA837">
        <v>0</v>
      </c>
      <c r="AB837">
        <v>0</v>
      </c>
      <c r="AC837">
        <v>0</v>
      </c>
      <c r="AD837">
        <v>0</v>
      </c>
      <c r="AE837">
        <v>0</v>
      </c>
      <c r="AF837">
        <v>0</v>
      </c>
      <c r="AG837">
        <v>0</v>
      </c>
      <c r="AH837">
        <v>0</v>
      </c>
      <c r="AI837">
        <v>0</v>
      </c>
      <c r="AJ837">
        <v>0</v>
      </c>
      <c r="AK837">
        <v>0</v>
      </c>
      <c r="AL837">
        <v>0</v>
      </c>
      <c r="AM837">
        <v>0</v>
      </c>
    </row>
    <row r="838" spans="1:39" x14ac:dyDescent="0.35">
      <c r="A838" t="s">
        <v>174</v>
      </c>
      <c r="B838" t="s">
        <v>482</v>
      </c>
      <c r="C838" t="s">
        <v>176</v>
      </c>
      <c r="D838" t="s">
        <v>315</v>
      </c>
      <c r="E838" t="s">
        <v>915</v>
      </c>
      <c r="F838" t="s">
        <v>181</v>
      </c>
      <c r="G838" t="s">
        <v>935</v>
      </c>
      <c r="H838" t="s">
        <v>35</v>
      </c>
      <c r="I838">
        <v>0</v>
      </c>
      <c r="J838">
        <v>0</v>
      </c>
      <c r="K838">
        <v>0</v>
      </c>
      <c r="L838">
        <v>0</v>
      </c>
      <c r="M838">
        <v>0</v>
      </c>
      <c r="N838">
        <v>0</v>
      </c>
      <c r="O838">
        <v>0</v>
      </c>
      <c r="P838">
        <v>0</v>
      </c>
      <c r="Q838">
        <v>0</v>
      </c>
      <c r="R838">
        <v>101</v>
      </c>
      <c r="S838">
        <v>0</v>
      </c>
      <c r="T838">
        <v>0</v>
      </c>
      <c r="U838">
        <v>0</v>
      </c>
      <c r="V838">
        <v>0</v>
      </c>
      <c r="W838">
        <v>0</v>
      </c>
      <c r="X838">
        <v>0</v>
      </c>
      <c r="Y838">
        <v>0</v>
      </c>
      <c r="Z838">
        <v>0</v>
      </c>
      <c r="AA838">
        <v>0</v>
      </c>
      <c r="AB838">
        <v>0</v>
      </c>
      <c r="AC838">
        <v>0</v>
      </c>
      <c r="AD838">
        <v>0</v>
      </c>
      <c r="AE838">
        <v>0</v>
      </c>
      <c r="AF838">
        <v>0</v>
      </c>
      <c r="AG838">
        <v>0</v>
      </c>
      <c r="AH838">
        <v>0</v>
      </c>
      <c r="AI838">
        <v>0</v>
      </c>
      <c r="AJ838">
        <v>0</v>
      </c>
      <c r="AK838">
        <v>0</v>
      </c>
      <c r="AL838">
        <v>0</v>
      </c>
      <c r="AM838">
        <v>0</v>
      </c>
    </row>
    <row r="839" spans="1:39" x14ac:dyDescent="0.35">
      <c r="A839" t="s">
        <v>174</v>
      </c>
      <c r="B839" t="s">
        <v>482</v>
      </c>
      <c r="C839" t="s">
        <v>176</v>
      </c>
      <c r="D839" t="s">
        <v>315</v>
      </c>
      <c r="E839" t="s">
        <v>915</v>
      </c>
      <c r="F839" t="s">
        <v>179</v>
      </c>
      <c r="G839" t="s">
        <v>933</v>
      </c>
      <c r="H839" t="s">
        <v>35</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c r="AD839">
        <v>0</v>
      </c>
      <c r="AE839">
        <v>0</v>
      </c>
      <c r="AF839">
        <v>0</v>
      </c>
      <c r="AG839">
        <v>0</v>
      </c>
      <c r="AH839">
        <v>0</v>
      </c>
      <c r="AI839">
        <v>0</v>
      </c>
      <c r="AJ839">
        <v>0</v>
      </c>
      <c r="AK839">
        <v>0</v>
      </c>
      <c r="AL839">
        <v>0</v>
      </c>
      <c r="AM839">
        <v>0</v>
      </c>
    </row>
    <row r="840" spans="1:39" x14ac:dyDescent="0.35">
      <c r="A840" t="s">
        <v>174</v>
      </c>
      <c r="B840" t="s">
        <v>482</v>
      </c>
      <c r="C840" t="s">
        <v>176</v>
      </c>
      <c r="D840" t="s">
        <v>315</v>
      </c>
      <c r="E840" t="s">
        <v>540</v>
      </c>
      <c r="F840" t="s">
        <v>182</v>
      </c>
      <c r="G840" t="s">
        <v>682</v>
      </c>
      <c r="H840" t="s">
        <v>67</v>
      </c>
      <c r="I840">
        <v>0</v>
      </c>
      <c r="J840">
        <v>0</v>
      </c>
      <c r="K840">
        <v>0</v>
      </c>
      <c r="L840">
        <v>0</v>
      </c>
      <c r="M840">
        <v>0</v>
      </c>
      <c r="N840">
        <v>0</v>
      </c>
      <c r="O840">
        <v>0</v>
      </c>
      <c r="P840">
        <v>0</v>
      </c>
      <c r="Q840">
        <v>0</v>
      </c>
      <c r="R840">
        <v>0</v>
      </c>
      <c r="S840">
        <v>0</v>
      </c>
      <c r="T840">
        <v>0</v>
      </c>
      <c r="U840">
        <v>0</v>
      </c>
      <c r="V840">
        <v>0</v>
      </c>
      <c r="W840">
        <v>0</v>
      </c>
      <c r="X840">
        <v>0</v>
      </c>
      <c r="Y840">
        <v>0</v>
      </c>
      <c r="Z840">
        <v>0</v>
      </c>
      <c r="AA840">
        <v>0</v>
      </c>
      <c r="AB840">
        <v>0</v>
      </c>
      <c r="AC840">
        <v>0</v>
      </c>
      <c r="AD840">
        <v>0</v>
      </c>
      <c r="AE840">
        <v>0</v>
      </c>
      <c r="AF840">
        <v>0</v>
      </c>
      <c r="AG840">
        <v>0</v>
      </c>
      <c r="AH840">
        <v>0</v>
      </c>
      <c r="AI840">
        <v>0</v>
      </c>
      <c r="AJ840">
        <v>0</v>
      </c>
      <c r="AK840">
        <v>0</v>
      </c>
      <c r="AL840">
        <v>0</v>
      </c>
      <c r="AM840">
        <v>0</v>
      </c>
    </row>
    <row r="841" spans="1:39" x14ac:dyDescent="0.35">
      <c r="A841" t="s">
        <v>174</v>
      </c>
      <c r="B841" t="s">
        <v>482</v>
      </c>
      <c r="C841" t="s">
        <v>176</v>
      </c>
      <c r="D841" t="s">
        <v>315</v>
      </c>
      <c r="E841" t="s">
        <v>540</v>
      </c>
      <c r="F841" t="s">
        <v>180</v>
      </c>
      <c r="G841" t="s">
        <v>680</v>
      </c>
      <c r="H841" t="s">
        <v>67</v>
      </c>
      <c r="I841">
        <v>2</v>
      </c>
      <c r="J841">
        <v>7</v>
      </c>
      <c r="K841">
        <v>2</v>
      </c>
      <c r="L841">
        <v>2</v>
      </c>
      <c r="M841">
        <v>1</v>
      </c>
      <c r="N841">
        <v>1</v>
      </c>
      <c r="O841">
        <v>6</v>
      </c>
      <c r="P841">
        <v>23</v>
      </c>
      <c r="Q841">
        <v>9</v>
      </c>
      <c r="R841">
        <v>0</v>
      </c>
      <c r="S841">
        <v>7</v>
      </c>
      <c r="T841">
        <v>39</v>
      </c>
      <c r="U841">
        <v>1</v>
      </c>
      <c r="V841">
        <v>2</v>
      </c>
      <c r="W841">
        <v>0</v>
      </c>
      <c r="X841">
        <v>0</v>
      </c>
      <c r="Y841">
        <v>0</v>
      </c>
      <c r="Z841">
        <v>0</v>
      </c>
      <c r="AA841">
        <v>0</v>
      </c>
      <c r="AB841">
        <v>0</v>
      </c>
      <c r="AC841">
        <v>0</v>
      </c>
      <c r="AD841">
        <v>0</v>
      </c>
      <c r="AE841">
        <v>0</v>
      </c>
      <c r="AF841">
        <v>0</v>
      </c>
      <c r="AG841">
        <v>0</v>
      </c>
      <c r="AH841">
        <v>0</v>
      </c>
      <c r="AI841">
        <v>0</v>
      </c>
      <c r="AJ841">
        <v>0</v>
      </c>
      <c r="AK841">
        <v>0</v>
      </c>
      <c r="AL841">
        <v>0</v>
      </c>
      <c r="AM841">
        <v>0</v>
      </c>
    </row>
    <row r="842" spans="1:39" x14ac:dyDescent="0.35">
      <c r="A842" t="s">
        <v>174</v>
      </c>
      <c r="B842" t="s">
        <v>482</v>
      </c>
      <c r="C842" t="s">
        <v>176</v>
      </c>
      <c r="D842" t="s">
        <v>315</v>
      </c>
      <c r="E842" t="s">
        <v>540</v>
      </c>
      <c r="F842" t="s">
        <v>181</v>
      </c>
      <c r="G842" t="s">
        <v>681</v>
      </c>
      <c r="H842" t="s">
        <v>67</v>
      </c>
      <c r="I842">
        <v>38</v>
      </c>
      <c r="J842">
        <v>39</v>
      </c>
      <c r="K842">
        <v>48</v>
      </c>
      <c r="L842">
        <v>61</v>
      </c>
      <c r="M842">
        <v>11</v>
      </c>
      <c r="N842">
        <v>24</v>
      </c>
      <c r="O842">
        <v>55</v>
      </c>
      <c r="P842">
        <v>17</v>
      </c>
      <c r="Q842">
        <v>17</v>
      </c>
      <c r="R842">
        <v>0</v>
      </c>
      <c r="S842">
        <v>47</v>
      </c>
      <c r="T842">
        <v>36</v>
      </c>
      <c r="U842">
        <v>6</v>
      </c>
      <c r="V842">
        <v>21</v>
      </c>
      <c r="W842">
        <v>0</v>
      </c>
      <c r="X842">
        <v>0</v>
      </c>
      <c r="Y842">
        <v>0</v>
      </c>
      <c r="Z842">
        <v>0</v>
      </c>
      <c r="AA842">
        <v>0</v>
      </c>
      <c r="AB842">
        <v>0</v>
      </c>
      <c r="AC842">
        <v>0</v>
      </c>
      <c r="AD842">
        <v>0</v>
      </c>
      <c r="AE842">
        <v>0</v>
      </c>
      <c r="AF842">
        <v>0</v>
      </c>
      <c r="AG842">
        <v>0</v>
      </c>
      <c r="AH842">
        <v>0</v>
      </c>
      <c r="AI842">
        <v>0</v>
      </c>
      <c r="AJ842">
        <v>0</v>
      </c>
      <c r="AK842">
        <v>0</v>
      </c>
      <c r="AL842">
        <v>0</v>
      </c>
      <c r="AM842">
        <v>0</v>
      </c>
    </row>
    <row r="843" spans="1:39" x14ac:dyDescent="0.35">
      <c r="A843" t="s">
        <v>174</v>
      </c>
      <c r="B843" t="s">
        <v>482</v>
      </c>
      <c r="C843" t="s">
        <v>176</v>
      </c>
      <c r="D843" t="s">
        <v>315</v>
      </c>
      <c r="E843" t="s">
        <v>540</v>
      </c>
      <c r="F843" t="s">
        <v>179</v>
      </c>
      <c r="G843" t="s">
        <v>679</v>
      </c>
      <c r="H843" t="s">
        <v>67</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c r="AI843">
        <v>0</v>
      </c>
      <c r="AJ843">
        <v>0</v>
      </c>
      <c r="AK843">
        <v>0</v>
      </c>
      <c r="AL843">
        <v>0</v>
      </c>
      <c r="AM843">
        <v>0</v>
      </c>
    </row>
    <row r="844" spans="1:39" x14ac:dyDescent="0.35">
      <c r="A844" t="s">
        <v>174</v>
      </c>
      <c r="B844" t="s">
        <v>482</v>
      </c>
      <c r="C844" t="s">
        <v>176</v>
      </c>
      <c r="D844" t="s">
        <v>315</v>
      </c>
      <c r="E844" t="s">
        <v>496</v>
      </c>
      <c r="F844" t="s">
        <v>182</v>
      </c>
      <c r="G844" t="s">
        <v>706</v>
      </c>
      <c r="H844" t="s">
        <v>35</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c r="AE844">
        <v>0</v>
      </c>
      <c r="AF844">
        <v>0</v>
      </c>
      <c r="AG844">
        <v>0</v>
      </c>
      <c r="AH844">
        <v>0</v>
      </c>
      <c r="AI844">
        <v>0</v>
      </c>
      <c r="AJ844">
        <v>0</v>
      </c>
      <c r="AK844">
        <v>0</v>
      </c>
      <c r="AL844">
        <v>0</v>
      </c>
      <c r="AM844">
        <v>0</v>
      </c>
    </row>
    <row r="845" spans="1:39" x14ac:dyDescent="0.35">
      <c r="A845" t="s">
        <v>174</v>
      </c>
      <c r="B845" t="s">
        <v>482</v>
      </c>
      <c r="C845" t="s">
        <v>176</v>
      </c>
      <c r="D845" t="s">
        <v>315</v>
      </c>
      <c r="E845" t="s">
        <v>496</v>
      </c>
      <c r="F845" t="s">
        <v>182</v>
      </c>
      <c r="G845" t="s">
        <v>857</v>
      </c>
      <c r="H845" t="s">
        <v>35</v>
      </c>
      <c r="I845">
        <v>0</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v>0</v>
      </c>
      <c r="AH845">
        <v>0</v>
      </c>
      <c r="AI845">
        <v>0</v>
      </c>
      <c r="AJ845">
        <v>0</v>
      </c>
      <c r="AK845">
        <v>0</v>
      </c>
      <c r="AL845">
        <v>0</v>
      </c>
      <c r="AM845">
        <v>0</v>
      </c>
    </row>
    <row r="846" spans="1:39" x14ac:dyDescent="0.35">
      <c r="A846" t="s">
        <v>174</v>
      </c>
      <c r="B846" t="s">
        <v>482</v>
      </c>
      <c r="C846" t="s">
        <v>176</v>
      </c>
      <c r="D846" t="s">
        <v>315</v>
      </c>
      <c r="E846" t="s">
        <v>496</v>
      </c>
      <c r="F846" t="s">
        <v>182</v>
      </c>
      <c r="G846" t="s">
        <v>861</v>
      </c>
      <c r="H846" t="s">
        <v>35</v>
      </c>
      <c r="I846">
        <v>0</v>
      </c>
      <c r="J846">
        <v>0</v>
      </c>
      <c r="K846">
        <v>0</v>
      </c>
      <c r="L846">
        <v>0</v>
      </c>
      <c r="M846">
        <v>0</v>
      </c>
      <c r="N846">
        <v>0</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0</v>
      </c>
    </row>
    <row r="847" spans="1:39" x14ac:dyDescent="0.35">
      <c r="A847" t="s">
        <v>174</v>
      </c>
      <c r="B847" t="s">
        <v>482</v>
      </c>
      <c r="C847" t="s">
        <v>176</v>
      </c>
      <c r="D847" t="s">
        <v>315</v>
      </c>
      <c r="E847" t="s">
        <v>496</v>
      </c>
      <c r="F847" t="s">
        <v>180</v>
      </c>
      <c r="G847" t="s">
        <v>704</v>
      </c>
      <c r="H847" t="s">
        <v>35</v>
      </c>
      <c r="I847">
        <v>0</v>
      </c>
      <c r="J847">
        <v>0</v>
      </c>
      <c r="K847">
        <v>0</v>
      </c>
      <c r="L847">
        <v>0</v>
      </c>
      <c r="M847">
        <v>0</v>
      </c>
      <c r="N847">
        <v>55</v>
      </c>
      <c r="O847">
        <v>0</v>
      </c>
      <c r="P847">
        <v>0</v>
      </c>
      <c r="Q847">
        <v>0</v>
      </c>
      <c r="R847">
        <v>13</v>
      </c>
      <c r="S847">
        <v>0</v>
      </c>
      <c r="T847">
        <v>0</v>
      </c>
      <c r="U847">
        <v>0</v>
      </c>
      <c r="V847">
        <v>0</v>
      </c>
      <c r="W847">
        <v>0</v>
      </c>
      <c r="X847">
        <v>0</v>
      </c>
      <c r="Y847">
        <v>0</v>
      </c>
      <c r="Z847">
        <v>0</v>
      </c>
      <c r="AA847">
        <v>0</v>
      </c>
      <c r="AB847">
        <v>0</v>
      </c>
      <c r="AC847">
        <v>0</v>
      </c>
      <c r="AD847">
        <v>0</v>
      </c>
      <c r="AE847">
        <v>0</v>
      </c>
      <c r="AF847">
        <v>0</v>
      </c>
      <c r="AG847">
        <v>0</v>
      </c>
      <c r="AH847">
        <v>0</v>
      </c>
      <c r="AI847">
        <v>0</v>
      </c>
      <c r="AJ847">
        <v>0</v>
      </c>
      <c r="AK847">
        <v>0</v>
      </c>
      <c r="AL847">
        <v>0</v>
      </c>
      <c r="AM847">
        <v>0</v>
      </c>
    </row>
    <row r="848" spans="1:39" x14ac:dyDescent="0.35">
      <c r="A848" t="s">
        <v>174</v>
      </c>
      <c r="B848" t="s">
        <v>482</v>
      </c>
      <c r="C848" t="s">
        <v>176</v>
      </c>
      <c r="D848" t="s">
        <v>315</v>
      </c>
      <c r="E848" t="s">
        <v>496</v>
      </c>
      <c r="F848" t="s">
        <v>180</v>
      </c>
      <c r="G848" t="s">
        <v>855</v>
      </c>
      <c r="H848" t="s">
        <v>35</v>
      </c>
      <c r="I848">
        <v>9.0368408885526358E-2</v>
      </c>
      <c r="J848">
        <v>8.9317613433369067E-2</v>
      </c>
      <c r="K848">
        <v>0.26847823802618587</v>
      </c>
      <c r="L848">
        <v>1.7338124960595173E-2</v>
      </c>
      <c r="M848">
        <v>0</v>
      </c>
      <c r="N848">
        <v>8.5639829350818583E-2</v>
      </c>
      <c r="O848">
        <v>15.452472521698928</v>
      </c>
      <c r="P848">
        <v>0</v>
      </c>
      <c r="Q848">
        <v>0</v>
      </c>
      <c r="R848">
        <v>0</v>
      </c>
      <c r="S848">
        <v>0</v>
      </c>
      <c r="T848">
        <v>8.9317613433369067E-2</v>
      </c>
      <c r="U848">
        <v>0.35727045373347627</v>
      </c>
      <c r="V848">
        <v>8.2487442994346724E-2</v>
      </c>
      <c r="W848">
        <v>0</v>
      </c>
      <c r="X848">
        <v>0</v>
      </c>
      <c r="Y848">
        <v>0</v>
      </c>
      <c r="Z848">
        <v>0</v>
      </c>
      <c r="AA848">
        <v>0</v>
      </c>
      <c r="AB848">
        <v>0</v>
      </c>
      <c r="AC848">
        <v>0</v>
      </c>
      <c r="AD848">
        <v>0</v>
      </c>
      <c r="AE848">
        <v>0</v>
      </c>
      <c r="AF848">
        <v>0</v>
      </c>
      <c r="AG848">
        <v>0</v>
      </c>
      <c r="AH848">
        <v>0</v>
      </c>
      <c r="AI848">
        <v>0</v>
      </c>
      <c r="AJ848">
        <v>0</v>
      </c>
      <c r="AK848">
        <v>0</v>
      </c>
      <c r="AL848">
        <v>0</v>
      </c>
      <c r="AM848">
        <v>0</v>
      </c>
    </row>
    <row r="849" spans="1:39" x14ac:dyDescent="0.35">
      <c r="A849" t="s">
        <v>174</v>
      </c>
      <c r="B849" t="s">
        <v>482</v>
      </c>
      <c r="C849" t="s">
        <v>176</v>
      </c>
      <c r="D849" t="s">
        <v>315</v>
      </c>
      <c r="E849" t="s">
        <v>496</v>
      </c>
      <c r="F849" t="s">
        <v>180</v>
      </c>
      <c r="G849" t="s">
        <v>859</v>
      </c>
      <c r="H849" t="s">
        <v>35</v>
      </c>
      <c r="I849">
        <v>0</v>
      </c>
      <c r="J849">
        <v>0</v>
      </c>
      <c r="K849">
        <v>0</v>
      </c>
      <c r="L849">
        <v>0</v>
      </c>
      <c r="M849">
        <v>0</v>
      </c>
      <c r="N849">
        <v>0</v>
      </c>
      <c r="O849">
        <v>0</v>
      </c>
      <c r="P849">
        <v>0</v>
      </c>
      <c r="Q849">
        <v>0</v>
      </c>
      <c r="R849">
        <v>0</v>
      </c>
      <c r="S849">
        <v>0</v>
      </c>
      <c r="T849">
        <v>0</v>
      </c>
      <c r="U849">
        <v>0</v>
      </c>
      <c r="V849">
        <v>0</v>
      </c>
      <c r="W849">
        <v>0</v>
      </c>
      <c r="X849">
        <v>0</v>
      </c>
      <c r="Y849">
        <v>0</v>
      </c>
      <c r="Z849">
        <v>0</v>
      </c>
      <c r="AA849">
        <v>0</v>
      </c>
      <c r="AB849">
        <v>0</v>
      </c>
      <c r="AC849">
        <v>0</v>
      </c>
      <c r="AD849">
        <v>0</v>
      </c>
      <c r="AE849">
        <v>0</v>
      </c>
      <c r="AF849">
        <v>0</v>
      </c>
      <c r="AG849">
        <v>0</v>
      </c>
      <c r="AH849">
        <v>0</v>
      </c>
      <c r="AI849">
        <v>0</v>
      </c>
      <c r="AJ849">
        <v>0</v>
      </c>
      <c r="AK849">
        <v>0</v>
      </c>
      <c r="AL849">
        <v>0</v>
      </c>
      <c r="AM849">
        <v>0</v>
      </c>
    </row>
    <row r="850" spans="1:39" x14ac:dyDescent="0.35">
      <c r="A850" t="s">
        <v>174</v>
      </c>
      <c r="B850" t="s">
        <v>482</v>
      </c>
      <c r="C850" t="s">
        <v>176</v>
      </c>
      <c r="D850" t="s">
        <v>315</v>
      </c>
      <c r="E850" t="s">
        <v>496</v>
      </c>
      <c r="F850" t="s">
        <v>181</v>
      </c>
      <c r="G850" t="s">
        <v>705</v>
      </c>
      <c r="H850" t="s">
        <v>35</v>
      </c>
      <c r="I850">
        <v>0</v>
      </c>
      <c r="J850">
        <v>0</v>
      </c>
      <c r="K850">
        <v>0</v>
      </c>
      <c r="L850">
        <v>0</v>
      </c>
      <c r="M850">
        <v>0</v>
      </c>
      <c r="N850">
        <v>0</v>
      </c>
      <c r="O850">
        <v>0</v>
      </c>
      <c r="P850">
        <v>0</v>
      </c>
      <c r="Q850">
        <v>0</v>
      </c>
      <c r="R850">
        <v>78</v>
      </c>
      <c r="S850">
        <v>0</v>
      </c>
      <c r="T850">
        <v>0</v>
      </c>
      <c r="U850">
        <v>0</v>
      </c>
      <c r="V850">
        <v>0</v>
      </c>
      <c r="W850">
        <v>0</v>
      </c>
      <c r="X850">
        <v>0</v>
      </c>
      <c r="Y850">
        <v>0</v>
      </c>
      <c r="Z850">
        <v>0</v>
      </c>
      <c r="AA850">
        <v>0</v>
      </c>
      <c r="AB850">
        <v>0</v>
      </c>
      <c r="AC850">
        <v>0</v>
      </c>
      <c r="AD850">
        <v>0</v>
      </c>
      <c r="AE850">
        <v>0</v>
      </c>
      <c r="AF850">
        <v>0</v>
      </c>
      <c r="AG850">
        <v>0</v>
      </c>
      <c r="AH850">
        <v>0</v>
      </c>
      <c r="AI850">
        <v>0</v>
      </c>
      <c r="AJ850">
        <v>0</v>
      </c>
      <c r="AK850">
        <v>0</v>
      </c>
      <c r="AL850">
        <v>0</v>
      </c>
      <c r="AM850">
        <v>0</v>
      </c>
    </row>
    <row r="851" spans="1:39" x14ac:dyDescent="0.35">
      <c r="A851" t="s">
        <v>174</v>
      </c>
      <c r="B851" t="s">
        <v>482</v>
      </c>
      <c r="C851" t="s">
        <v>176</v>
      </c>
      <c r="D851" t="s">
        <v>315</v>
      </c>
      <c r="E851" t="s">
        <v>496</v>
      </c>
      <c r="F851" t="s">
        <v>181</v>
      </c>
      <c r="G851" t="s">
        <v>856</v>
      </c>
      <c r="H851" t="s">
        <v>35</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row>
    <row r="852" spans="1:39" x14ac:dyDescent="0.35">
      <c r="A852" t="s">
        <v>174</v>
      </c>
      <c r="B852" t="s">
        <v>482</v>
      </c>
      <c r="C852" t="s">
        <v>176</v>
      </c>
      <c r="D852" t="s">
        <v>315</v>
      </c>
      <c r="E852" t="s">
        <v>496</v>
      </c>
      <c r="F852" t="s">
        <v>181</v>
      </c>
      <c r="G852" t="s">
        <v>860</v>
      </c>
      <c r="H852" t="s">
        <v>35</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0</v>
      </c>
    </row>
    <row r="853" spans="1:39" x14ac:dyDescent="0.35">
      <c r="A853" t="s">
        <v>174</v>
      </c>
      <c r="B853" t="s">
        <v>482</v>
      </c>
      <c r="C853" t="s">
        <v>176</v>
      </c>
      <c r="D853" t="s">
        <v>315</v>
      </c>
      <c r="E853" t="s">
        <v>496</v>
      </c>
      <c r="F853" t="s">
        <v>179</v>
      </c>
      <c r="G853" t="s">
        <v>703</v>
      </c>
      <c r="H853" t="s">
        <v>35</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c r="AI853">
        <v>0</v>
      </c>
      <c r="AJ853">
        <v>0</v>
      </c>
      <c r="AK853">
        <v>0</v>
      </c>
      <c r="AL853">
        <v>0</v>
      </c>
      <c r="AM853">
        <v>0</v>
      </c>
    </row>
    <row r="854" spans="1:39" x14ac:dyDescent="0.35">
      <c r="A854" t="s">
        <v>174</v>
      </c>
      <c r="B854" t="s">
        <v>482</v>
      </c>
      <c r="C854" t="s">
        <v>176</v>
      </c>
      <c r="D854" t="s">
        <v>315</v>
      </c>
      <c r="E854" t="s">
        <v>496</v>
      </c>
      <c r="F854" t="s">
        <v>179</v>
      </c>
      <c r="G854" t="s">
        <v>854</v>
      </c>
      <c r="H854" t="s">
        <v>35</v>
      </c>
      <c r="I854">
        <v>0</v>
      </c>
      <c r="J854">
        <v>0</v>
      </c>
      <c r="K854">
        <v>0</v>
      </c>
      <c r="L854">
        <v>0</v>
      </c>
      <c r="M854">
        <v>0</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row>
    <row r="855" spans="1:39" x14ac:dyDescent="0.35">
      <c r="A855" t="s">
        <v>174</v>
      </c>
      <c r="B855" t="s">
        <v>482</v>
      </c>
      <c r="C855" t="s">
        <v>176</v>
      </c>
      <c r="D855" t="s">
        <v>315</v>
      </c>
      <c r="E855" t="s">
        <v>496</v>
      </c>
      <c r="F855" t="s">
        <v>179</v>
      </c>
      <c r="G855" t="s">
        <v>858</v>
      </c>
      <c r="H855" t="s">
        <v>35</v>
      </c>
      <c r="I855">
        <v>0</v>
      </c>
      <c r="J855">
        <v>0</v>
      </c>
      <c r="K855">
        <v>0</v>
      </c>
      <c r="L855">
        <v>0</v>
      </c>
      <c r="M855">
        <v>0</v>
      </c>
      <c r="N855">
        <v>0</v>
      </c>
      <c r="O855">
        <v>0</v>
      </c>
      <c r="P855">
        <v>0</v>
      </c>
      <c r="Q855">
        <v>0</v>
      </c>
      <c r="R855">
        <v>0</v>
      </c>
      <c r="S855">
        <v>0</v>
      </c>
      <c r="T855">
        <v>0</v>
      </c>
      <c r="U855">
        <v>0</v>
      </c>
      <c r="V855">
        <v>0</v>
      </c>
      <c r="W855">
        <v>0</v>
      </c>
      <c r="X855">
        <v>0</v>
      </c>
      <c r="Y855">
        <v>0</v>
      </c>
      <c r="Z855">
        <v>0</v>
      </c>
      <c r="AA855">
        <v>0</v>
      </c>
      <c r="AB855">
        <v>0</v>
      </c>
      <c r="AC855">
        <v>0</v>
      </c>
      <c r="AD855">
        <v>0</v>
      </c>
      <c r="AE855">
        <v>0</v>
      </c>
      <c r="AF855">
        <v>0</v>
      </c>
      <c r="AG855">
        <v>0</v>
      </c>
      <c r="AH855">
        <v>0</v>
      </c>
      <c r="AI855">
        <v>0</v>
      </c>
      <c r="AJ855">
        <v>0</v>
      </c>
      <c r="AK855">
        <v>0</v>
      </c>
      <c r="AL855">
        <v>0</v>
      </c>
      <c r="AM855">
        <v>0</v>
      </c>
    </row>
    <row r="856" spans="1:39" x14ac:dyDescent="0.35">
      <c r="A856" t="s">
        <v>174</v>
      </c>
      <c r="B856" t="s">
        <v>482</v>
      </c>
      <c r="C856" t="s">
        <v>176</v>
      </c>
      <c r="D856" t="s">
        <v>315</v>
      </c>
      <c r="E856" t="s">
        <v>1195</v>
      </c>
      <c r="F856" t="s">
        <v>182</v>
      </c>
      <c r="G856" t="s">
        <v>722</v>
      </c>
      <c r="H856" t="s">
        <v>35</v>
      </c>
      <c r="I856">
        <v>0</v>
      </c>
      <c r="J856">
        <v>0</v>
      </c>
      <c r="K856">
        <v>0</v>
      </c>
      <c r="L856">
        <v>0</v>
      </c>
      <c r="M856">
        <v>0</v>
      </c>
      <c r="N856">
        <v>0</v>
      </c>
      <c r="O856">
        <v>0</v>
      </c>
      <c r="P856">
        <v>0</v>
      </c>
      <c r="Q856">
        <v>0</v>
      </c>
      <c r="R856">
        <v>0</v>
      </c>
      <c r="S856">
        <v>0</v>
      </c>
      <c r="T856">
        <v>0</v>
      </c>
      <c r="U856">
        <v>0</v>
      </c>
      <c r="V856">
        <v>0</v>
      </c>
      <c r="W856">
        <v>0</v>
      </c>
      <c r="X856">
        <v>0</v>
      </c>
      <c r="Y856">
        <v>0</v>
      </c>
      <c r="Z856">
        <v>0</v>
      </c>
      <c r="AA856">
        <v>0</v>
      </c>
      <c r="AB856">
        <v>0</v>
      </c>
      <c r="AC856">
        <v>0</v>
      </c>
      <c r="AD856">
        <v>0</v>
      </c>
      <c r="AE856">
        <v>0</v>
      </c>
      <c r="AF856">
        <v>0</v>
      </c>
      <c r="AG856">
        <v>0</v>
      </c>
      <c r="AH856">
        <v>0</v>
      </c>
      <c r="AI856">
        <v>0</v>
      </c>
      <c r="AJ856">
        <v>0</v>
      </c>
      <c r="AK856">
        <v>0</v>
      </c>
      <c r="AL856">
        <v>0</v>
      </c>
      <c r="AM856">
        <v>0</v>
      </c>
    </row>
    <row r="857" spans="1:39" x14ac:dyDescent="0.35">
      <c r="A857" t="s">
        <v>174</v>
      </c>
      <c r="B857" t="s">
        <v>482</v>
      </c>
      <c r="C857" t="s">
        <v>176</v>
      </c>
      <c r="D857" t="s">
        <v>315</v>
      </c>
      <c r="E857" t="s">
        <v>1195</v>
      </c>
      <c r="F857" t="s">
        <v>182</v>
      </c>
      <c r="G857" t="s">
        <v>869</v>
      </c>
      <c r="H857" t="s">
        <v>35</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c r="AD857">
        <v>0</v>
      </c>
      <c r="AE857">
        <v>0</v>
      </c>
      <c r="AF857">
        <v>0</v>
      </c>
      <c r="AG857">
        <v>0</v>
      </c>
      <c r="AH857">
        <v>0</v>
      </c>
      <c r="AI857">
        <v>0</v>
      </c>
      <c r="AJ857">
        <v>0</v>
      </c>
      <c r="AK857">
        <v>0</v>
      </c>
      <c r="AL857">
        <v>0</v>
      </c>
      <c r="AM857">
        <v>0</v>
      </c>
    </row>
    <row r="858" spans="1:39" x14ac:dyDescent="0.35">
      <c r="A858" t="s">
        <v>174</v>
      </c>
      <c r="B858" t="s">
        <v>482</v>
      </c>
      <c r="C858" t="s">
        <v>176</v>
      </c>
      <c r="D858" t="s">
        <v>315</v>
      </c>
      <c r="E858" t="s">
        <v>1195</v>
      </c>
      <c r="F858" t="s">
        <v>182</v>
      </c>
      <c r="G858" t="s">
        <v>873</v>
      </c>
      <c r="H858" t="s">
        <v>35</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0</v>
      </c>
      <c r="AM858">
        <v>0</v>
      </c>
    </row>
    <row r="859" spans="1:39" x14ac:dyDescent="0.35">
      <c r="A859" t="s">
        <v>174</v>
      </c>
      <c r="B859" t="s">
        <v>482</v>
      </c>
      <c r="C859" t="s">
        <v>176</v>
      </c>
      <c r="D859" t="s">
        <v>315</v>
      </c>
      <c r="E859" t="s">
        <v>1195</v>
      </c>
      <c r="F859" t="s">
        <v>180</v>
      </c>
      <c r="G859" t="s">
        <v>720</v>
      </c>
      <c r="H859" t="s">
        <v>35</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c r="AE859">
        <v>0</v>
      </c>
      <c r="AF859">
        <v>0</v>
      </c>
      <c r="AG859">
        <v>0</v>
      </c>
      <c r="AH859">
        <v>0</v>
      </c>
      <c r="AI859">
        <v>0</v>
      </c>
      <c r="AJ859">
        <v>0</v>
      </c>
      <c r="AK859">
        <v>0</v>
      </c>
      <c r="AL859">
        <v>0</v>
      </c>
      <c r="AM859">
        <v>0</v>
      </c>
    </row>
    <row r="860" spans="1:39" x14ac:dyDescent="0.35">
      <c r="A860" t="s">
        <v>174</v>
      </c>
      <c r="B860" t="s">
        <v>482</v>
      </c>
      <c r="C860" t="s">
        <v>176</v>
      </c>
      <c r="D860" t="s">
        <v>315</v>
      </c>
      <c r="E860" t="s">
        <v>1195</v>
      </c>
      <c r="F860" t="s">
        <v>180</v>
      </c>
      <c r="G860" t="s">
        <v>867</v>
      </c>
      <c r="H860" t="s">
        <v>35</v>
      </c>
      <c r="I860">
        <v>4.5184204442763179E-2</v>
      </c>
      <c r="J860">
        <v>4.4658806716684533E-2</v>
      </c>
      <c r="K860">
        <v>0.13423911901309293</v>
      </c>
      <c r="L860">
        <v>8.6690624802975864E-3</v>
      </c>
      <c r="M860">
        <v>0</v>
      </c>
      <c r="N860">
        <v>4.2819914675409292E-2</v>
      </c>
      <c r="O860">
        <v>7.7262362608494639</v>
      </c>
      <c r="P860">
        <v>0</v>
      </c>
      <c r="Q860">
        <v>0</v>
      </c>
      <c r="R860">
        <v>0</v>
      </c>
      <c r="S860">
        <v>0</v>
      </c>
      <c r="T860">
        <v>4.4658806716684533E-2</v>
      </c>
      <c r="U860">
        <v>0.17863522686673813</v>
      </c>
      <c r="V860">
        <v>4.1243721497173362E-2</v>
      </c>
      <c r="W860">
        <v>0</v>
      </c>
      <c r="X860">
        <v>0</v>
      </c>
      <c r="Y860">
        <v>0</v>
      </c>
      <c r="Z860">
        <v>0</v>
      </c>
      <c r="AA860">
        <v>0</v>
      </c>
      <c r="AB860">
        <v>0</v>
      </c>
      <c r="AC860">
        <v>0</v>
      </c>
      <c r="AD860">
        <v>0</v>
      </c>
      <c r="AE860">
        <v>0</v>
      </c>
      <c r="AF860">
        <v>0</v>
      </c>
      <c r="AG860">
        <v>0</v>
      </c>
      <c r="AH860">
        <v>0</v>
      </c>
      <c r="AI860">
        <v>0</v>
      </c>
      <c r="AJ860">
        <v>0</v>
      </c>
      <c r="AK860">
        <v>0</v>
      </c>
      <c r="AL860">
        <v>0</v>
      </c>
      <c r="AM860">
        <v>0</v>
      </c>
    </row>
    <row r="861" spans="1:39" x14ac:dyDescent="0.35">
      <c r="A861" t="s">
        <v>174</v>
      </c>
      <c r="B861" t="s">
        <v>482</v>
      </c>
      <c r="C861" t="s">
        <v>176</v>
      </c>
      <c r="D861" t="s">
        <v>315</v>
      </c>
      <c r="E861" t="s">
        <v>1195</v>
      </c>
      <c r="F861" t="s">
        <v>180</v>
      </c>
      <c r="G861" t="s">
        <v>871</v>
      </c>
      <c r="H861" t="s">
        <v>35</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0</v>
      </c>
      <c r="AC861">
        <v>0</v>
      </c>
      <c r="AD861">
        <v>0</v>
      </c>
      <c r="AE861">
        <v>0</v>
      </c>
      <c r="AF861">
        <v>0</v>
      </c>
      <c r="AG861">
        <v>0</v>
      </c>
      <c r="AH861">
        <v>0</v>
      </c>
      <c r="AI861">
        <v>0</v>
      </c>
      <c r="AJ861">
        <v>0</v>
      </c>
      <c r="AK861">
        <v>0</v>
      </c>
      <c r="AL861">
        <v>0</v>
      </c>
      <c r="AM861">
        <v>0</v>
      </c>
    </row>
    <row r="862" spans="1:39" x14ac:dyDescent="0.35">
      <c r="A862" t="s">
        <v>174</v>
      </c>
      <c r="B862" t="s">
        <v>482</v>
      </c>
      <c r="C862" t="s">
        <v>176</v>
      </c>
      <c r="D862" t="s">
        <v>315</v>
      </c>
      <c r="E862" t="s">
        <v>1195</v>
      </c>
      <c r="F862" t="s">
        <v>181</v>
      </c>
      <c r="G862" t="s">
        <v>721</v>
      </c>
      <c r="H862" t="s">
        <v>35</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c r="AE862">
        <v>0</v>
      </c>
      <c r="AF862">
        <v>0</v>
      </c>
      <c r="AG862">
        <v>0</v>
      </c>
      <c r="AH862">
        <v>0</v>
      </c>
      <c r="AI862">
        <v>0</v>
      </c>
      <c r="AJ862">
        <v>0</v>
      </c>
      <c r="AK862">
        <v>0</v>
      </c>
      <c r="AL862">
        <v>0</v>
      </c>
      <c r="AM862">
        <v>0</v>
      </c>
    </row>
    <row r="863" spans="1:39" x14ac:dyDescent="0.35">
      <c r="A863" t="s">
        <v>174</v>
      </c>
      <c r="B863" t="s">
        <v>482</v>
      </c>
      <c r="C863" t="s">
        <v>176</v>
      </c>
      <c r="D863" t="s">
        <v>315</v>
      </c>
      <c r="E863" t="s">
        <v>1195</v>
      </c>
      <c r="F863" t="s">
        <v>181</v>
      </c>
      <c r="G863" t="s">
        <v>868</v>
      </c>
      <c r="H863" t="s">
        <v>35</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c r="AD863">
        <v>0</v>
      </c>
      <c r="AE863">
        <v>0</v>
      </c>
      <c r="AF863">
        <v>0</v>
      </c>
      <c r="AG863">
        <v>0</v>
      </c>
      <c r="AH863">
        <v>0</v>
      </c>
      <c r="AI863">
        <v>0</v>
      </c>
      <c r="AJ863">
        <v>0</v>
      </c>
      <c r="AK863">
        <v>0</v>
      </c>
      <c r="AL863">
        <v>0</v>
      </c>
      <c r="AM863">
        <v>0</v>
      </c>
    </row>
    <row r="864" spans="1:39" x14ac:dyDescent="0.35">
      <c r="A864" t="s">
        <v>174</v>
      </c>
      <c r="B864" t="s">
        <v>482</v>
      </c>
      <c r="C864" t="s">
        <v>176</v>
      </c>
      <c r="D864" t="s">
        <v>315</v>
      </c>
      <c r="E864" t="s">
        <v>1195</v>
      </c>
      <c r="F864" t="s">
        <v>181</v>
      </c>
      <c r="G864" t="s">
        <v>872</v>
      </c>
      <c r="H864" t="s">
        <v>35</v>
      </c>
      <c r="I864">
        <v>0</v>
      </c>
      <c r="J864">
        <v>0</v>
      </c>
      <c r="K864">
        <v>0</v>
      </c>
      <c r="L864">
        <v>0</v>
      </c>
      <c r="M864">
        <v>0</v>
      </c>
      <c r="N864">
        <v>0</v>
      </c>
      <c r="O864">
        <v>0</v>
      </c>
      <c r="P864">
        <v>0</v>
      </c>
      <c r="Q864">
        <v>0</v>
      </c>
      <c r="R864">
        <v>0</v>
      </c>
      <c r="S864">
        <v>0</v>
      </c>
      <c r="T864">
        <v>0</v>
      </c>
      <c r="U864">
        <v>0</v>
      </c>
      <c r="V864">
        <v>0</v>
      </c>
      <c r="W864">
        <v>0</v>
      </c>
      <c r="X864">
        <v>0</v>
      </c>
      <c r="Y864">
        <v>0</v>
      </c>
      <c r="Z864">
        <v>0</v>
      </c>
      <c r="AA864">
        <v>0</v>
      </c>
      <c r="AB864">
        <v>0</v>
      </c>
      <c r="AC864">
        <v>0</v>
      </c>
      <c r="AD864">
        <v>0</v>
      </c>
      <c r="AE864">
        <v>0</v>
      </c>
      <c r="AF864">
        <v>0</v>
      </c>
      <c r="AG864">
        <v>0</v>
      </c>
      <c r="AH864">
        <v>0</v>
      </c>
      <c r="AI864">
        <v>0</v>
      </c>
      <c r="AJ864">
        <v>0</v>
      </c>
      <c r="AK864">
        <v>0</v>
      </c>
      <c r="AL864">
        <v>0</v>
      </c>
      <c r="AM864">
        <v>0</v>
      </c>
    </row>
    <row r="865" spans="1:39" x14ac:dyDescent="0.35">
      <c r="A865" t="s">
        <v>174</v>
      </c>
      <c r="B865" t="s">
        <v>482</v>
      </c>
      <c r="C865" t="s">
        <v>176</v>
      </c>
      <c r="D865" t="s">
        <v>315</v>
      </c>
      <c r="E865" t="s">
        <v>1195</v>
      </c>
      <c r="F865" t="s">
        <v>179</v>
      </c>
      <c r="G865" t="s">
        <v>719</v>
      </c>
      <c r="H865" t="s">
        <v>35</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0</v>
      </c>
      <c r="AC865">
        <v>0</v>
      </c>
      <c r="AD865">
        <v>0</v>
      </c>
      <c r="AE865">
        <v>0</v>
      </c>
      <c r="AF865">
        <v>0</v>
      </c>
      <c r="AG865">
        <v>0</v>
      </c>
      <c r="AH865">
        <v>0</v>
      </c>
      <c r="AI865">
        <v>0</v>
      </c>
      <c r="AJ865">
        <v>0</v>
      </c>
      <c r="AK865">
        <v>0</v>
      </c>
      <c r="AL865">
        <v>0</v>
      </c>
      <c r="AM865">
        <v>0</v>
      </c>
    </row>
    <row r="866" spans="1:39" x14ac:dyDescent="0.35">
      <c r="A866" t="s">
        <v>174</v>
      </c>
      <c r="B866" t="s">
        <v>482</v>
      </c>
      <c r="C866" t="s">
        <v>176</v>
      </c>
      <c r="D866" t="s">
        <v>315</v>
      </c>
      <c r="E866" t="s">
        <v>1195</v>
      </c>
      <c r="F866" t="s">
        <v>179</v>
      </c>
      <c r="G866" t="s">
        <v>866</v>
      </c>
      <c r="H866" t="s">
        <v>35</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c r="AE866">
        <v>0</v>
      </c>
      <c r="AF866">
        <v>0</v>
      </c>
      <c r="AG866">
        <v>0</v>
      </c>
      <c r="AH866">
        <v>0</v>
      </c>
      <c r="AI866">
        <v>0</v>
      </c>
      <c r="AJ866">
        <v>0</v>
      </c>
      <c r="AK866">
        <v>0</v>
      </c>
      <c r="AL866">
        <v>0</v>
      </c>
      <c r="AM866">
        <v>0</v>
      </c>
    </row>
    <row r="867" spans="1:39" x14ac:dyDescent="0.35">
      <c r="A867" t="s">
        <v>174</v>
      </c>
      <c r="B867" t="s">
        <v>482</v>
      </c>
      <c r="C867" t="s">
        <v>176</v>
      </c>
      <c r="D867" t="s">
        <v>315</v>
      </c>
      <c r="E867" t="s">
        <v>1195</v>
      </c>
      <c r="F867" t="s">
        <v>179</v>
      </c>
      <c r="G867" t="s">
        <v>870</v>
      </c>
      <c r="H867" t="s">
        <v>35</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c r="AD867">
        <v>0</v>
      </c>
      <c r="AE867">
        <v>0</v>
      </c>
      <c r="AF867">
        <v>0</v>
      </c>
      <c r="AG867">
        <v>0</v>
      </c>
      <c r="AH867">
        <v>0</v>
      </c>
      <c r="AI867">
        <v>0</v>
      </c>
      <c r="AJ867">
        <v>0</v>
      </c>
      <c r="AK867">
        <v>0</v>
      </c>
      <c r="AL867">
        <v>0</v>
      </c>
      <c r="AM867">
        <v>0</v>
      </c>
    </row>
    <row r="868" spans="1:39" x14ac:dyDescent="0.35">
      <c r="A868" t="s">
        <v>174</v>
      </c>
      <c r="B868" t="s">
        <v>482</v>
      </c>
      <c r="C868" t="s">
        <v>176</v>
      </c>
      <c r="D868" t="s">
        <v>315</v>
      </c>
      <c r="E868" t="s">
        <v>511</v>
      </c>
      <c r="F868" t="s">
        <v>182</v>
      </c>
      <c r="G868" t="s">
        <v>678</v>
      </c>
      <c r="H868" t="s">
        <v>35</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0</v>
      </c>
    </row>
    <row r="869" spans="1:39" x14ac:dyDescent="0.35">
      <c r="A869" t="s">
        <v>174</v>
      </c>
      <c r="B869" t="s">
        <v>482</v>
      </c>
      <c r="C869" t="s">
        <v>176</v>
      </c>
      <c r="D869" t="s">
        <v>315</v>
      </c>
      <c r="E869" t="s">
        <v>511</v>
      </c>
      <c r="F869" t="s">
        <v>182</v>
      </c>
      <c r="G869" t="s">
        <v>850</v>
      </c>
      <c r="H869" t="s">
        <v>35</v>
      </c>
      <c r="I869">
        <v>0</v>
      </c>
      <c r="J869">
        <v>0</v>
      </c>
      <c r="K869">
        <v>0</v>
      </c>
      <c r="L869">
        <v>0</v>
      </c>
      <c r="M869">
        <v>0</v>
      </c>
      <c r="N869">
        <v>0</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0</v>
      </c>
      <c r="AM869">
        <v>0</v>
      </c>
    </row>
    <row r="870" spans="1:39" x14ac:dyDescent="0.35">
      <c r="A870" t="s">
        <v>174</v>
      </c>
      <c r="B870" t="s">
        <v>482</v>
      </c>
      <c r="C870" t="s">
        <v>176</v>
      </c>
      <c r="D870" t="s">
        <v>315</v>
      </c>
      <c r="E870" t="s">
        <v>511</v>
      </c>
      <c r="F870" t="s">
        <v>182</v>
      </c>
      <c r="G870" t="s">
        <v>853</v>
      </c>
      <c r="H870" t="s">
        <v>35</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c r="AE870">
        <v>0</v>
      </c>
      <c r="AF870">
        <v>0</v>
      </c>
      <c r="AG870">
        <v>0</v>
      </c>
      <c r="AH870">
        <v>0</v>
      </c>
      <c r="AI870">
        <v>0</v>
      </c>
      <c r="AJ870">
        <v>0</v>
      </c>
      <c r="AK870">
        <v>0</v>
      </c>
      <c r="AL870">
        <v>0</v>
      </c>
      <c r="AM870">
        <v>0</v>
      </c>
    </row>
    <row r="871" spans="1:39" x14ac:dyDescent="0.35">
      <c r="A871" t="s">
        <v>174</v>
      </c>
      <c r="B871" t="s">
        <v>482</v>
      </c>
      <c r="C871" t="s">
        <v>176</v>
      </c>
      <c r="D871" t="s">
        <v>315</v>
      </c>
      <c r="E871" t="s">
        <v>511</v>
      </c>
      <c r="F871" t="s">
        <v>180</v>
      </c>
      <c r="G871" t="s">
        <v>677</v>
      </c>
      <c r="H871" t="s">
        <v>35</v>
      </c>
      <c r="I871">
        <v>0</v>
      </c>
      <c r="J871">
        <v>0</v>
      </c>
      <c r="K871">
        <v>0</v>
      </c>
      <c r="L871">
        <v>0</v>
      </c>
      <c r="M871">
        <v>0</v>
      </c>
      <c r="N871">
        <v>0</v>
      </c>
      <c r="O871">
        <v>0</v>
      </c>
      <c r="P871">
        <v>0</v>
      </c>
      <c r="Q871">
        <v>0</v>
      </c>
      <c r="R871">
        <v>0</v>
      </c>
      <c r="S871">
        <v>0</v>
      </c>
      <c r="T871">
        <v>0</v>
      </c>
      <c r="U871">
        <v>0</v>
      </c>
      <c r="V871">
        <v>0</v>
      </c>
      <c r="W871">
        <v>0</v>
      </c>
      <c r="X871">
        <v>0</v>
      </c>
      <c r="Y871">
        <v>0</v>
      </c>
      <c r="Z871">
        <v>0</v>
      </c>
      <c r="AA871">
        <v>0</v>
      </c>
      <c r="AB871">
        <v>0</v>
      </c>
      <c r="AC871">
        <v>0</v>
      </c>
      <c r="AD871">
        <v>0</v>
      </c>
      <c r="AE871">
        <v>0</v>
      </c>
      <c r="AF871">
        <v>0</v>
      </c>
      <c r="AG871">
        <v>0</v>
      </c>
      <c r="AH871">
        <v>0</v>
      </c>
      <c r="AI871">
        <v>0</v>
      </c>
      <c r="AJ871">
        <v>0</v>
      </c>
      <c r="AK871">
        <v>0</v>
      </c>
      <c r="AL871">
        <v>0</v>
      </c>
      <c r="AM871">
        <v>0</v>
      </c>
    </row>
    <row r="872" spans="1:39" x14ac:dyDescent="0.35">
      <c r="A872" t="s">
        <v>174</v>
      </c>
      <c r="B872" t="s">
        <v>482</v>
      </c>
      <c r="C872" t="s">
        <v>176</v>
      </c>
      <c r="D872" t="s">
        <v>315</v>
      </c>
      <c r="E872" t="s">
        <v>511</v>
      </c>
      <c r="F872" t="s">
        <v>180</v>
      </c>
      <c r="G872" t="s">
        <v>849</v>
      </c>
      <c r="H872" t="s">
        <v>35</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c r="AD872">
        <v>0</v>
      </c>
      <c r="AE872">
        <v>0</v>
      </c>
      <c r="AF872">
        <v>0</v>
      </c>
      <c r="AG872">
        <v>0</v>
      </c>
      <c r="AH872">
        <v>0</v>
      </c>
      <c r="AI872">
        <v>0</v>
      </c>
      <c r="AJ872">
        <v>0</v>
      </c>
      <c r="AK872">
        <v>0</v>
      </c>
      <c r="AL872">
        <v>0</v>
      </c>
      <c r="AM872">
        <v>0</v>
      </c>
    </row>
    <row r="873" spans="1:39" x14ac:dyDescent="0.35">
      <c r="A873" t="s">
        <v>174</v>
      </c>
      <c r="B873" t="s">
        <v>482</v>
      </c>
      <c r="C873" t="s">
        <v>176</v>
      </c>
      <c r="D873" t="s">
        <v>315</v>
      </c>
      <c r="E873" t="s">
        <v>511</v>
      </c>
      <c r="F873" t="s">
        <v>180</v>
      </c>
      <c r="G873" t="s">
        <v>852</v>
      </c>
      <c r="H873" t="s">
        <v>35</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c r="AD873">
        <v>0</v>
      </c>
      <c r="AE873">
        <v>0</v>
      </c>
      <c r="AF873">
        <v>0</v>
      </c>
      <c r="AG873">
        <v>0</v>
      </c>
      <c r="AH873">
        <v>0</v>
      </c>
      <c r="AI873">
        <v>0</v>
      </c>
      <c r="AJ873">
        <v>0</v>
      </c>
      <c r="AK873">
        <v>0</v>
      </c>
      <c r="AL873">
        <v>0</v>
      </c>
      <c r="AM873">
        <v>0</v>
      </c>
    </row>
    <row r="874" spans="1:39" x14ac:dyDescent="0.35">
      <c r="A874" t="s">
        <v>174</v>
      </c>
      <c r="B874" t="s">
        <v>482</v>
      </c>
      <c r="C874" t="s">
        <v>176</v>
      </c>
      <c r="D874" t="s">
        <v>315</v>
      </c>
      <c r="E874" t="s">
        <v>511</v>
      </c>
      <c r="F874" t="s">
        <v>183</v>
      </c>
      <c r="G874" t="s">
        <v>1108</v>
      </c>
      <c r="H874" t="s">
        <v>35</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c r="AD874">
        <v>0</v>
      </c>
      <c r="AE874">
        <v>0</v>
      </c>
      <c r="AF874">
        <v>0</v>
      </c>
      <c r="AG874">
        <v>0</v>
      </c>
      <c r="AH874">
        <v>0</v>
      </c>
      <c r="AI874">
        <v>0</v>
      </c>
      <c r="AJ874">
        <v>0</v>
      </c>
      <c r="AK874">
        <v>0</v>
      </c>
      <c r="AL874">
        <v>0</v>
      </c>
      <c r="AM874">
        <v>0</v>
      </c>
    </row>
    <row r="875" spans="1:39" x14ac:dyDescent="0.35">
      <c r="A875" t="s">
        <v>174</v>
      </c>
      <c r="B875" t="s">
        <v>482</v>
      </c>
      <c r="C875" t="s">
        <v>176</v>
      </c>
      <c r="D875" t="s">
        <v>315</v>
      </c>
      <c r="E875" t="s">
        <v>511</v>
      </c>
      <c r="F875" t="s">
        <v>181</v>
      </c>
      <c r="G875" t="s">
        <v>1109</v>
      </c>
      <c r="H875" t="s">
        <v>35</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row>
    <row r="876" spans="1:39" x14ac:dyDescent="0.35">
      <c r="A876" t="s">
        <v>174</v>
      </c>
      <c r="B876" t="s">
        <v>482</v>
      </c>
      <c r="C876" t="s">
        <v>176</v>
      </c>
      <c r="D876" t="s">
        <v>315</v>
      </c>
      <c r="E876" t="s">
        <v>511</v>
      </c>
      <c r="F876" t="s">
        <v>181</v>
      </c>
      <c r="G876" t="s">
        <v>1110</v>
      </c>
      <c r="H876" t="s">
        <v>35</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c r="AD876">
        <v>0</v>
      </c>
      <c r="AE876">
        <v>0</v>
      </c>
      <c r="AF876">
        <v>0</v>
      </c>
      <c r="AG876">
        <v>0</v>
      </c>
      <c r="AH876">
        <v>0</v>
      </c>
      <c r="AI876">
        <v>0</v>
      </c>
      <c r="AJ876">
        <v>0</v>
      </c>
      <c r="AK876">
        <v>0</v>
      </c>
      <c r="AL876">
        <v>0</v>
      </c>
      <c r="AM876">
        <v>0</v>
      </c>
    </row>
    <row r="877" spans="1:39" x14ac:dyDescent="0.35">
      <c r="A877" t="s">
        <v>174</v>
      </c>
      <c r="B877" t="s">
        <v>482</v>
      </c>
      <c r="C877" t="s">
        <v>176</v>
      </c>
      <c r="D877" t="s">
        <v>315</v>
      </c>
      <c r="E877" t="s">
        <v>511</v>
      </c>
      <c r="F877" t="s">
        <v>179</v>
      </c>
      <c r="G877" t="s">
        <v>676</v>
      </c>
      <c r="H877" t="s">
        <v>35</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c r="AE877">
        <v>0</v>
      </c>
      <c r="AF877">
        <v>0</v>
      </c>
      <c r="AG877">
        <v>0</v>
      </c>
      <c r="AH877">
        <v>0</v>
      </c>
      <c r="AI877">
        <v>0</v>
      </c>
      <c r="AJ877">
        <v>0</v>
      </c>
      <c r="AK877">
        <v>0</v>
      </c>
      <c r="AL877">
        <v>0</v>
      </c>
      <c r="AM877">
        <v>0</v>
      </c>
    </row>
    <row r="878" spans="1:39" x14ac:dyDescent="0.35">
      <c r="A878" t="s">
        <v>174</v>
      </c>
      <c r="B878" t="s">
        <v>482</v>
      </c>
      <c r="C878" t="s">
        <v>176</v>
      </c>
      <c r="D878" t="s">
        <v>315</v>
      </c>
      <c r="E878" t="s">
        <v>511</v>
      </c>
      <c r="F878" t="s">
        <v>179</v>
      </c>
      <c r="G878" t="s">
        <v>848</v>
      </c>
      <c r="H878" t="s">
        <v>35</v>
      </c>
      <c r="I878">
        <v>0</v>
      </c>
      <c r="J878">
        <v>0</v>
      </c>
      <c r="K878">
        <v>0</v>
      </c>
      <c r="L878">
        <v>0</v>
      </c>
      <c r="M878">
        <v>0</v>
      </c>
      <c r="N878">
        <v>0</v>
      </c>
      <c r="O878">
        <v>0</v>
      </c>
      <c r="P878">
        <v>0</v>
      </c>
      <c r="Q878">
        <v>0</v>
      </c>
      <c r="R878">
        <v>0</v>
      </c>
      <c r="S878">
        <v>0</v>
      </c>
      <c r="T878">
        <v>0</v>
      </c>
      <c r="U878">
        <v>0</v>
      </c>
      <c r="V878">
        <v>0</v>
      </c>
      <c r="W878">
        <v>0</v>
      </c>
      <c r="X878">
        <v>0</v>
      </c>
      <c r="Y878">
        <v>0</v>
      </c>
      <c r="Z878">
        <v>0</v>
      </c>
      <c r="AA878">
        <v>0</v>
      </c>
      <c r="AB878">
        <v>0</v>
      </c>
      <c r="AC878">
        <v>0</v>
      </c>
      <c r="AD878">
        <v>0</v>
      </c>
      <c r="AE878">
        <v>0</v>
      </c>
      <c r="AF878">
        <v>0</v>
      </c>
      <c r="AG878">
        <v>0</v>
      </c>
      <c r="AH878">
        <v>0</v>
      </c>
      <c r="AI878">
        <v>0</v>
      </c>
      <c r="AJ878">
        <v>0</v>
      </c>
      <c r="AK878">
        <v>0</v>
      </c>
      <c r="AL878">
        <v>0</v>
      </c>
      <c r="AM878">
        <v>0</v>
      </c>
    </row>
    <row r="879" spans="1:39" x14ac:dyDescent="0.35">
      <c r="A879" t="s">
        <v>174</v>
      </c>
      <c r="B879" t="s">
        <v>482</v>
      </c>
      <c r="C879" t="s">
        <v>176</v>
      </c>
      <c r="D879" t="s">
        <v>315</v>
      </c>
      <c r="E879" t="s">
        <v>511</v>
      </c>
      <c r="F879" t="s">
        <v>179</v>
      </c>
      <c r="G879" t="s">
        <v>851</v>
      </c>
      <c r="H879" t="s">
        <v>35</v>
      </c>
      <c r="I879">
        <v>0</v>
      </c>
      <c r="J879">
        <v>0</v>
      </c>
      <c r="K879">
        <v>0</v>
      </c>
      <c r="L879">
        <v>0</v>
      </c>
      <c r="M879">
        <v>0</v>
      </c>
      <c r="N879">
        <v>0</v>
      </c>
      <c r="O879">
        <v>0</v>
      </c>
      <c r="P879">
        <v>0</v>
      </c>
      <c r="Q879">
        <v>0</v>
      </c>
      <c r="R879">
        <v>0</v>
      </c>
      <c r="S879">
        <v>0</v>
      </c>
      <c r="T879">
        <v>0</v>
      </c>
      <c r="U879">
        <v>0</v>
      </c>
      <c r="V879">
        <v>0</v>
      </c>
      <c r="W879">
        <v>0</v>
      </c>
      <c r="X879">
        <v>0</v>
      </c>
      <c r="Y879">
        <v>0</v>
      </c>
      <c r="Z879">
        <v>0</v>
      </c>
      <c r="AA879">
        <v>0</v>
      </c>
      <c r="AB879">
        <v>0</v>
      </c>
      <c r="AC879">
        <v>0</v>
      </c>
      <c r="AD879">
        <v>0</v>
      </c>
      <c r="AE879">
        <v>0</v>
      </c>
      <c r="AF879">
        <v>0</v>
      </c>
      <c r="AG879">
        <v>0</v>
      </c>
      <c r="AH879">
        <v>0</v>
      </c>
      <c r="AI879">
        <v>0</v>
      </c>
      <c r="AJ879">
        <v>0</v>
      </c>
      <c r="AK879">
        <v>0</v>
      </c>
      <c r="AL879">
        <v>0</v>
      </c>
      <c r="AM879">
        <v>0</v>
      </c>
    </row>
    <row r="880" spans="1:39" x14ac:dyDescent="0.35">
      <c r="A880" t="s">
        <v>174</v>
      </c>
      <c r="B880" t="s">
        <v>482</v>
      </c>
      <c r="C880" t="s">
        <v>176</v>
      </c>
      <c r="D880" t="s">
        <v>315</v>
      </c>
      <c r="E880" t="s">
        <v>509</v>
      </c>
      <c r="F880" t="s">
        <v>182</v>
      </c>
      <c r="G880" t="s">
        <v>675</v>
      </c>
      <c r="H880" t="s">
        <v>35</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row>
    <row r="881" spans="1:39" x14ac:dyDescent="0.35">
      <c r="A881" t="s">
        <v>174</v>
      </c>
      <c r="B881" t="s">
        <v>482</v>
      </c>
      <c r="C881" t="s">
        <v>176</v>
      </c>
      <c r="D881" t="s">
        <v>315</v>
      </c>
      <c r="E881" t="s">
        <v>509</v>
      </c>
      <c r="F881" t="s">
        <v>182</v>
      </c>
      <c r="G881" t="s">
        <v>877</v>
      </c>
      <c r="H881" t="s">
        <v>35</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c r="AD881">
        <v>0</v>
      </c>
      <c r="AE881">
        <v>0</v>
      </c>
      <c r="AF881">
        <v>0</v>
      </c>
      <c r="AG881">
        <v>0</v>
      </c>
      <c r="AH881">
        <v>0</v>
      </c>
      <c r="AI881">
        <v>0</v>
      </c>
      <c r="AJ881">
        <v>0</v>
      </c>
      <c r="AK881">
        <v>0</v>
      </c>
      <c r="AL881">
        <v>0</v>
      </c>
      <c r="AM881">
        <v>0</v>
      </c>
    </row>
    <row r="882" spans="1:39" x14ac:dyDescent="0.35">
      <c r="A882" t="s">
        <v>174</v>
      </c>
      <c r="B882" t="s">
        <v>482</v>
      </c>
      <c r="C882" t="s">
        <v>176</v>
      </c>
      <c r="D882" t="s">
        <v>315</v>
      </c>
      <c r="E882" t="s">
        <v>509</v>
      </c>
      <c r="F882" t="s">
        <v>180</v>
      </c>
      <c r="G882" t="s">
        <v>673</v>
      </c>
      <c r="H882" t="s">
        <v>35</v>
      </c>
      <c r="I882">
        <v>0</v>
      </c>
      <c r="J882">
        <v>0</v>
      </c>
      <c r="K882">
        <v>0</v>
      </c>
      <c r="L882">
        <v>0</v>
      </c>
      <c r="M882">
        <v>0</v>
      </c>
      <c r="N882">
        <v>0</v>
      </c>
      <c r="O882">
        <v>0</v>
      </c>
      <c r="P882">
        <v>0</v>
      </c>
      <c r="Q882">
        <v>0</v>
      </c>
      <c r="R882">
        <v>0</v>
      </c>
      <c r="S882">
        <v>0</v>
      </c>
      <c r="T882">
        <v>0</v>
      </c>
      <c r="U882">
        <v>0</v>
      </c>
      <c r="V882">
        <v>0</v>
      </c>
      <c r="W882">
        <v>0</v>
      </c>
      <c r="X882">
        <v>0</v>
      </c>
      <c r="Y882">
        <v>0</v>
      </c>
      <c r="Z882">
        <v>0</v>
      </c>
      <c r="AA882">
        <v>0</v>
      </c>
      <c r="AB882">
        <v>0</v>
      </c>
      <c r="AC882">
        <v>0</v>
      </c>
      <c r="AD882">
        <v>0</v>
      </c>
      <c r="AE882">
        <v>0</v>
      </c>
      <c r="AF882">
        <v>0</v>
      </c>
      <c r="AG882">
        <v>0</v>
      </c>
      <c r="AH882">
        <v>0</v>
      </c>
      <c r="AI882">
        <v>0</v>
      </c>
      <c r="AJ882">
        <v>0</v>
      </c>
      <c r="AK882">
        <v>0</v>
      </c>
      <c r="AL882">
        <v>0</v>
      </c>
      <c r="AM882">
        <v>0</v>
      </c>
    </row>
    <row r="883" spans="1:39" x14ac:dyDescent="0.35">
      <c r="A883" t="s">
        <v>174</v>
      </c>
      <c r="B883" t="s">
        <v>482</v>
      </c>
      <c r="C883" t="s">
        <v>176</v>
      </c>
      <c r="D883" t="s">
        <v>315</v>
      </c>
      <c r="E883" t="s">
        <v>509</v>
      </c>
      <c r="F883" t="s">
        <v>180</v>
      </c>
      <c r="G883" t="s">
        <v>875</v>
      </c>
      <c r="H883" t="s">
        <v>35</v>
      </c>
      <c r="I883">
        <v>0.36617279280415271</v>
      </c>
      <c r="J883">
        <v>0.36191496963201142</v>
      </c>
      <c r="K883">
        <v>1.0878738204821048</v>
      </c>
      <c r="L883">
        <v>7.0254082340331633E-2</v>
      </c>
      <c r="M883">
        <v>0</v>
      </c>
      <c r="N883">
        <v>0.34701258852951683</v>
      </c>
      <c r="O883">
        <v>62.613418657924043</v>
      </c>
      <c r="P883">
        <v>0</v>
      </c>
      <c r="Q883">
        <v>0</v>
      </c>
      <c r="R883">
        <v>0</v>
      </c>
      <c r="S883">
        <v>0</v>
      </c>
      <c r="T883">
        <v>0.36191496963201142</v>
      </c>
      <c r="U883">
        <v>1.4476598785280457</v>
      </c>
      <c r="V883">
        <v>0.33423911901309289</v>
      </c>
      <c r="W883">
        <v>0</v>
      </c>
      <c r="X883">
        <v>0</v>
      </c>
      <c r="Y883">
        <v>0</v>
      </c>
      <c r="Z883">
        <v>0</v>
      </c>
      <c r="AA883">
        <v>0</v>
      </c>
      <c r="AB883">
        <v>0</v>
      </c>
      <c r="AC883">
        <v>0</v>
      </c>
      <c r="AD883">
        <v>0</v>
      </c>
      <c r="AE883">
        <v>0</v>
      </c>
      <c r="AF883">
        <v>0</v>
      </c>
      <c r="AG883">
        <v>0</v>
      </c>
      <c r="AH883">
        <v>0</v>
      </c>
      <c r="AI883">
        <v>0</v>
      </c>
      <c r="AJ883">
        <v>0</v>
      </c>
      <c r="AK883">
        <v>0</v>
      </c>
      <c r="AL883">
        <v>0</v>
      </c>
      <c r="AM883">
        <v>0</v>
      </c>
    </row>
    <row r="884" spans="1:39" x14ac:dyDescent="0.35">
      <c r="A884" t="s">
        <v>174</v>
      </c>
      <c r="B884" t="s">
        <v>482</v>
      </c>
      <c r="C884" t="s">
        <v>176</v>
      </c>
      <c r="D884" t="s">
        <v>315</v>
      </c>
      <c r="E884" t="s">
        <v>509</v>
      </c>
      <c r="F884" t="s">
        <v>181</v>
      </c>
      <c r="G884" t="s">
        <v>674</v>
      </c>
      <c r="H884" t="s">
        <v>35</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0</v>
      </c>
      <c r="AC884">
        <v>0</v>
      </c>
      <c r="AD884">
        <v>0</v>
      </c>
      <c r="AE884">
        <v>0</v>
      </c>
      <c r="AF884">
        <v>0</v>
      </c>
      <c r="AG884">
        <v>0</v>
      </c>
      <c r="AH884">
        <v>0</v>
      </c>
      <c r="AI884">
        <v>0</v>
      </c>
      <c r="AJ884">
        <v>0</v>
      </c>
      <c r="AK884">
        <v>0</v>
      </c>
      <c r="AL884">
        <v>0</v>
      </c>
      <c r="AM884">
        <v>0</v>
      </c>
    </row>
    <row r="885" spans="1:39" x14ac:dyDescent="0.35">
      <c r="A885" t="s">
        <v>174</v>
      </c>
      <c r="B885" t="s">
        <v>482</v>
      </c>
      <c r="C885" t="s">
        <v>176</v>
      </c>
      <c r="D885" t="s">
        <v>315</v>
      </c>
      <c r="E885" t="s">
        <v>509</v>
      </c>
      <c r="F885" t="s">
        <v>181</v>
      </c>
      <c r="G885" t="s">
        <v>876</v>
      </c>
      <c r="H885" t="s">
        <v>35</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c r="AE885">
        <v>0</v>
      </c>
      <c r="AF885">
        <v>0</v>
      </c>
      <c r="AG885">
        <v>0</v>
      </c>
      <c r="AH885">
        <v>0</v>
      </c>
      <c r="AI885">
        <v>0</v>
      </c>
      <c r="AJ885">
        <v>0</v>
      </c>
      <c r="AK885">
        <v>0</v>
      </c>
      <c r="AL885">
        <v>0</v>
      </c>
      <c r="AM885">
        <v>0</v>
      </c>
    </row>
    <row r="886" spans="1:39" x14ac:dyDescent="0.35">
      <c r="A886" t="s">
        <v>174</v>
      </c>
      <c r="B886" t="s">
        <v>482</v>
      </c>
      <c r="C886" t="s">
        <v>176</v>
      </c>
      <c r="D886" t="s">
        <v>315</v>
      </c>
      <c r="E886" t="s">
        <v>509</v>
      </c>
      <c r="F886" t="s">
        <v>179</v>
      </c>
      <c r="G886" t="s">
        <v>672</v>
      </c>
      <c r="H886" t="s">
        <v>35</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c r="AE886">
        <v>0</v>
      </c>
      <c r="AF886">
        <v>0</v>
      </c>
      <c r="AG886">
        <v>0</v>
      </c>
      <c r="AH886">
        <v>0</v>
      </c>
      <c r="AI886">
        <v>0</v>
      </c>
      <c r="AJ886">
        <v>0</v>
      </c>
      <c r="AK886">
        <v>0</v>
      </c>
      <c r="AL886">
        <v>0</v>
      </c>
      <c r="AM886">
        <v>0</v>
      </c>
    </row>
    <row r="887" spans="1:39" x14ac:dyDescent="0.35">
      <c r="A887" t="s">
        <v>174</v>
      </c>
      <c r="B887" t="s">
        <v>482</v>
      </c>
      <c r="C887" t="s">
        <v>176</v>
      </c>
      <c r="D887" t="s">
        <v>315</v>
      </c>
      <c r="E887" t="s">
        <v>509</v>
      </c>
      <c r="F887" t="s">
        <v>179</v>
      </c>
      <c r="G887" t="s">
        <v>874</v>
      </c>
      <c r="H887" t="s">
        <v>35</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c r="AD887">
        <v>0</v>
      </c>
      <c r="AE887">
        <v>0</v>
      </c>
      <c r="AF887">
        <v>0</v>
      </c>
      <c r="AG887">
        <v>0</v>
      </c>
      <c r="AH887">
        <v>0</v>
      </c>
      <c r="AI887">
        <v>0</v>
      </c>
      <c r="AJ887">
        <v>0</v>
      </c>
      <c r="AK887">
        <v>0</v>
      </c>
      <c r="AL887">
        <v>0</v>
      </c>
      <c r="AM887">
        <v>0</v>
      </c>
    </row>
    <row r="888" spans="1:39" x14ac:dyDescent="0.35">
      <c r="A888" t="s">
        <v>174</v>
      </c>
      <c r="B888" t="s">
        <v>482</v>
      </c>
      <c r="C888" t="s">
        <v>176</v>
      </c>
      <c r="D888" t="s">
        <v>315</v>
      </c>
      <c r="E888" t="s">
        <v>1345</v>
      </c>
      <c r="F888" t="s">
        <v>182</v>
      </c>
      <c r="G888" t="s">
        <v>1363</v>
      </c>
      <c r="H888" t="s">
        <v>35</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c r="AD888">
        <v>0</v>
      </c>
      <c r="AE888">
        <v>0</v>
      </c>
      <c r="AF888">
        <v>0</v>
      </c>
      <c r="AG888">
        <v>0</v>
      </c>
      <c r="AH888">
        <v>0</v>
      </c>
      <c r="AI888">
        <v>0</v>
      </c>
      <c r="AJ888">
        <v>0</v>
      </c>
      <c r="AK888">
        <v>0</v>
      </c>
      <c r="AL888">
        <v>0</v>
      </c>
      <c r="AM888">
        <v>0</v>
      </c>
    </row>
    <row r="889" spans="1:39" x14ac:dyDescent="0.35">
      <c r="A889" t="s">
        <v>174</v>
      </c>
      <c r="B889" t="s">
        <v>482</v>
      </c>
      <c r="C889" t="s">
        <v>176</v>
      </c>
      <c r="D889" t="s">
        <v>315</v>
      </c>
      <c r="E889" t="s">
        <v>1345</v>
      </c>
      <c r="F889" t="s">
        <v>180</v>
      </c>
      <c r="G889" t="s">
        <v>1361</v>
      </c>
      <c r="H889" t="s">
        <v>35</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c r="AD889">
        <v>0</v>
      </c>
      <c r="AE889">
        <v>0</v>
      </c>
      <c r="AF889">
        <v>0</v>
      </c>
      <c r="AG889">
        <v>0</v>
      </c>
      <c r="AH889">
        <v>0</v>
      </c>
      <c r="AI889">
        <v>0</v>
      </c>
      <c r="AJ889">
        <v>0</v>
      </c>
      <c r="AK889">
        <v>0</v>
      </c>
      <c r="AL889">
        <v>0</v>
      </c>
      <c r="AM889">
        <v>0</v>
      </c>
    </row>
    <row r="890" spans="1:39" x14ac:dyDescent="0.35">
      <c r="A890" t="s">
        <v>174</v>
      </c>
      <c r="B890" t="s">
        <v>482</v>
      </c>
      <c r="C890" t="s">
        <v>176</v>
      </c>
      <c r="D890" t="s">
        <v>315</v>
      </c>
      <c r="E890" t="s">
        <v>1345</v>
      </c>
      <c r="F890" t="s">
        <v>181</v>
      </c>
      <c r="G890" t="s">
        <v>1362</v>
      </c>
      <c r="H890" t="s">
        <v>35</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c r="AK890">
        <v>0</v>
      </c>
      <c r="AL890">
        <v>0</v>
      </c>
      <c r="AM890">
        <v>0</v>
      </c>
    </row>
    <row r="891" spans="1:39" x14ac:dyDescent="0.35">
      <c r="A891" t="s">
        <v>174</v>
      </c>
      <c r="B891" t="s">
        <v>482</v>
      </c>
      <c r="C891" t="s">
        <v>176</v>
      </c>
      <c r="D891" t="s">
        <v>315</v>
      </c>
      <c r="E891" t="s">
        <v>1345</v>
      </c>
      <c r="F891" t="s">
        <v>179</v>
      </c>
      <c r="G891" t="s">
        <v>1360</v>
      </c>
      <c r="H891" t="s">
        <v>35</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row>
    <row r="892" spans="1:39" x14ac:dyDescent="0.35">
      <c r="A892" t="s">
        <v>174</v>
      </c>
      <c r="B892" t="s">
        <v>482</v>
      </c>
      <c r="C892" t="s">
        <v>176</v>
      </c>
      <c r="D892" t="s">
        <v>315</v>
      </c>
      <c r="E892" t="s">
        <v>1344</v>
      </c>
      <c r="F892" t="s">
        <v>182</v>
      </c>
      <c r="G892" t="s">
        <v>1359</v>
      </c>
      <c r="H892" t="s">
        <v>35</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c r="AK892">
        <v>0</v>
      </c>
      <c r="AL892">
        <v>0</v>
      </c>
      <c r="AM892">
        <v>0</v>
      </c>
    </row>
    <row r="893" spans="1:39" x14ac:dyDescent="0.35">
      <c r="A893" t="s">
        <v>174</v>
      </c>
      <c r="B893" t="s">
        <v>482</v>
      </c>
      <c r="C893" t="s">
        <v>176</v>
      </c>
      <c r="D893" t="s">
        <v>315</v>
      </c>
      <c r="E893" t="s">
        <v>1344</v>
      </c>
      <c r="F893" t="s">
        <v>180</v>
      </c>
      <c r="G893" t="s">
        <v>1357</v>
      </c>
      <c r="H893" t="s">
        <v>35</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c r="AE893">
        <v>0</v>
      </c>
      <c r="AF893">
        <v>0</v>
      </c>
      <c r="AG893">
        <v>0</v>
      </c>
      <c r="AH893">
        <v>0</v>
      </c>
      <c r="AI893">
        <v>0</v>
      </c>
      <c r="AJ893">
        <v>0</v>
      </c>
      <c r="AK893">
        <v>0</v>
      </c>
      <c r="AL893">
        <v>0</v>
      </c>
      <c r="AM893">
        <v>0</v>
      </c>
    </row>
    <row r="894" spans="1:39" x14ac:dyDescent="0.35">
      <c r="A894" t="s">
        <v>174</v>
      </c>
      <c r="B894" t="s">
        <v>482</v>
      </c>
      <c r="C894" t="s">
        <v>176</v>
      </c>
      <c r="D894" t="s">
        <v>315</v>
      </c>
      <c r="E894" t="s">
        <v>1344</v>
      </c>
      <c r="F894" t="s">
        <v>181</v>
      </c>
      <c r="G894" t="s">
        <v>1358</v>
      </c>
      <c r="H894" t="s">
        <v>35</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0</v>
      </c>
      <c r="AC894">
        <v>0</v>
      </c>
      <c r="AD894">
        <v>0</v>
      </c>
      <c r="AE894">
        <v>0</v>
      </c>
      <c r="AF894">
        <v>0</v>
      </c>
      <c r="AG894">
        <v>0</v>
      </c>
      <c r="AH894">
        <v>0</v>
      </c>
      <c r="AI894">
        <v>0</v>
      </c>
      <c r="AJ894">
        <v>0</v>
      </c>
      <c r="AK894">
        <v>0</v>
      </c>
      <c r="AL894">
        <v>0</v>
      </c>
      <c r="AM894">
        <v>0</v>
      </c>
    </row>
    <row r="895" spans="1:39" x14ac:dyDescent="0.35">
      <c r="A895" t="s">
        <v>174</v>
      </c>
      <c r="B895" t="s">
        <v>482</v>
      </c>
      <c r="C895" t="s">
        <v>176</v>
      </c>
      <c r="D895" t="s">
        <v>315</v>
      </c>
      <c r="E895" t="s">
        <v>1344</v>
      </c>
      <c r="F895" t="s">
        <v>179</v>
      </c>
      <c r="G895" t="s">
        <v>1356</v>
      </c>
      <c r="H895" t="s">
        <v>35</v>
      </c>
      <c r="I895">
        <v>0</v>
      </c>
      <c r="J895">
        <v>0</v>
      </c>
      <c r="K895">
        <v>0</v>
      </c>
      <c r="L895">
        <v>0</v>
      </c>
      <c r="M895">
        <v>0</v>
      </c>
      <c r="N895">
        <v>0</v>
      </c>
      <c r="O895">
        <v>0</v>
      </c>
      <c r="P895">
        <v>0</v>
      </c>
      <c r="Q895">
        <v>0</v>
      </c>
      <c r="R895">
        <v>0</v>
      </c>
      <c r="S895">
        <v>0</v>
      </c>
      <c r="T895">
        <v>0</v>
      </c>
      <c r="U895">
        <v>0</v>
      </c>
      <c r="V895">
        <v>0</v>
      </c>
      <c r="W895">
        <v>0</v>
      </c>
      <c r="X895">
        <v>0</v>
      </c>
      <c r="Y895">
        <v>0</v>
      </c>
      <c r="Z895">
        <v>0</v>
      </c>
      <c r="AA895">
        <v>0</v>
      </c>
      <c r="AB895">
        <v>0</v>
      </c>
      <c r="AC895">
        <v>0</v>
      </c>
      <c r="AD895">
        <v>0</v>
      </c>
      <c r="AE895">
        <v>0</v>
      </c>
      <c r="AF895">
        <v>0</v>
      </c>
      <c r="AG895">
        <v>0</v>
      </c>
      <c r="AH895">
        <v>0</v>
      </c>
      <c r="AI895">
        <v>0</v>
      </c>
      <c r="AJ895">
        <v>0</v>
      </c>
      <c r="AK895">
        <v>0</v>
      </c>
      <c r="AL895">
        <v>0</v>
      </c>
      <c r="AM895">
        <v>0</v>
      </c>
    </row>
    <row r="896" spans="1:39" x14ac:dyDescent="0.35">
      <c r="A896" t="s">
        <v>174</v>
      </c>
      <c r="B896" t="s">
        <v>482</v>
      </c>
      <c r="C896" t="s">
        <v>176</v>
      </c>
      <c r="D896" t="s">
        <v>315</v>
      </c>
      <c r="E896" t="s">
        <v>1343</v>
      </c>
      <c r="F896" t="s">
        <v>182</v>
      </c>
      <c r="G896" t="s">
        <v>1355</v>
      </c>
      <c r="H896" t="s">
        <v>35</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c r="AD896">
        <v>0</v>
      </c>
      <c r="AE896">
        <v>0</v>
      </c>
      <c r="AF896">
        <v>0</v>
      </c>
      <c r="AG896">
        <v>0</v>
      </c>
      <c r="AH896">
        <v>0</v>
      </c>
      <c r="AI896">
        <v>0</v>
      </c>
      <c r="AJ896">
        <v>0</v>
      </c>
      <c r="AK896">
        <v>0</v>
      </c>
      <c r="AL896">
        <v>0</v>
      </c>
      <c r="AM896">
        <v>0</v>
      </c>
    </row>
    <row r="897" spans="1:39" x14ac:dyDescent="0.35">
      <c r="A897" t="s">
        <v>174</v>
      </c>
      <c r="B897" t="s">
        <v>482</v>
      </c>
      <c r="C897" t="s">
        <v>176</v>
      </c>
      <c r="D897" t="s">
        <v>315</v>
      </c>
      <c r="E897" t="s">
        <v>1343</v>
      </c>
      <c r="F897" t="s">
        <v>180</v>
      </c>
      <c r="G897" t="s">
        <v>1353</v>
      </c>
      <c r="H897" t="s">
        <v>35</v>
      </c>
      <c r="I897">
        <v>0</v>
      </c>
      <c r="J897">
        <v>0</v>
      </c>
      <c r="K897">
        <v>0</v>
      </c>
      <c r="L897">
        <v>0</v>
      </c>
      <c r="M897">
        <v>0</v>
      </c>
      <c r="N897">
        <v>0</v>
      </c>
      <c r="O897">
        <v>0</v>
      </c>
      <c r="P897">
        <v>0</v>
      </c>
      <c r="Q897">
        <v>0</v>
      </c>
      <c r="R897">
        <v>0</v>
      </c>
      <c r="S897">
        <v>0</v>
      </c>
      <c r="T897">
        <v>0</v>
      </c>
      <c r="U897">
        <v>0</v>
      </c>
      <c r="V897">
        <v>0</v>
      </c>
      <c r="W897">
        <v>0</v>
      </c>
      <c r="X897">
        <v>0</v>
      </c>
      <c r="Y897">
        <v>0</v>
      </c>
      <c r="Z897">
        <v>0</v>
      </c>
      <c r="AA897">
        <v>0</v>
      </c>
      <c r="AB897">
        <v>0</v>
      </c>
      <c r="AC897">
        <v>0</v>
      </c>
      <c r="AD897">
        <v>0</v>
      </c>
      <c r="AE897">
        <v>0</v>
      </c>
      <c r="AF897">
        <v>0</v>
      </c>
      <c r="AG897">
        <v>0</v>
      </c>
      <c r="AH897">
        <v>0</v>
      </c>
      <c r="AI897">
        <v>0</v>
      </c>
      <c r="AJ897">
        <v>0</v>
      </c>
      <c r="AK897">
        <v>0</v>
      </c>
      <c r="AL897">
        <v>0</v>
      </c>
      <c r="AM897">
        <v>0</v>
      </c>
    </row>
    <row r="898" spans="1:39" x14ac:dyDescent="0.35">
      <c r="A898" t="s">
        <v>174</v>
      </c>
      <c r="B898" t="s">
        <v>482</v>
      </c>
      <c r="C898" t="s">
        <v>176</v>
      </c>
      <c r="D898" t="s">
        <v>315</v>
      </c>
      <c r="E898" t="s">
        <v>1343</v>
      </c>
      <c r="F898" t="s">
        <v>181</v>
      </c>
      <c r="G898" t="s">
        <v>1354</v>
      </c>
      <c r="H898" t="s">
        <v>35</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c r="AD898">
        <v>0</v>
      </c>
      <c r="AE898">
        <v>0</v>
      </c>
      <c r="AF898">
        <v>0</v>
      </c>
      <c r="AG898">
        <v>0</v>
      </c>
      <c r="AH898">
        <v>0</v>
      </c>
      <c r="AI898">
        <v>0</v>
      </c>
      <c r="AJ898">
        <v>0</v>
      </c>
      <c r="AK898">
        <v>0</v>
      </c>
      <c r="AL898">
        <v>0</v>
      </c>
      <c r="AM898">
        <v>0</v>
      </c>
    </row>
    <row r="899" spans="1:39" x14ac:dyDescent="0.35">
      <c r="A899" t="s">
        <v>174</v>
      </c>
      <c r="B899" t="s">
        <v>482</v>
      </c>
      <c r="C899" t="s">
        <v>176</v>
      </c>
      <c r="D899" t="s">
        <v>315</v>
      </c>
      <c r="E899" t="s">
        <v>1343</v>
      </c>
      <c r="F899" t="s">
        <v>179</v>
      </c>
      <c r="G899" t="s">
        <v>1352</v>
      </c>
      <c r="H899" t="s">
        <v>35</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0</v>
      </c>
      <c r="AC899">
        <v>0</v>
      </c>
      <c r="AD899">
        <v>0</v>
      </c>
      <c r="AE899">
        <v>0</v>
      </c>
      <c r="AF899">
        <v>0</v>
      </c>
      <c r="AG899">
        <v>0</v>
      </c>
      <c r="AH899">
        <v>0</v>
      </c>
      <c r="AI899">
        <v>0</v>
      </c>
      <c r="AJ899">
        <v>0</v>
      </c>
      <c r="AK899">
        <v>0</v>
      </c>
      <c r="AL899">
        <v>0</v>
      </c>
      <c r="AM899">
        <v>0</v>
      </c>
    </row>
    <row r="900" spans="1:39" x14ac:dyDescent="0.35">
      <c r="A900" t="s">
        <v>174</v>
      </c>
      <c r="B900" t="s">
        <v>482</v>
      </c>
      <c r="C900" t="s">
        <v>176</v>
      </c>
      <c r="D900" t="s">
        <v>315</v>
      </c>
      <c r="E900" t="s">
        <v>1196</v>
      </c>
      <c r="F900" t="s">
        <v>182</v>
      </c>
      <c r="G900" t="s">
        <v>1259</v>
      </c>
      <c r="H900" t="s">
        <v>35</v>
      </c>
      <c r="I900">
        <v>0</v>
      </c>
      <c r="J900">
        <v>0</v>
      </c>
      <c r="K900">
        <v>0</v>
      </c>
      <c r="L900">
        <v>0</v>
      </c>
      <c r="M900">
        <v>0</v>
      </c>
      <c r="N900">
        <v>0</v>
      </c>
      <c r="O900">
        <v>0</v>
      </c>
      <c r="P900">
        <v>0</v>
      </c>
      <c r="Q900">
        <v>0</v>
      </c>
      <c r="R900">
        <v>0</v>
      </c>
      <c r="S900">
        <v>0</v>
      </c>
      <c r="T900">
        <v>0</v>
      </c>
      <c r="U900">
        <v>0</v>
      </c>
      <c r="V900">
        <v>0</v>
      </c>
      <c r="W900">
        <v>0</v>
      </c>
      <c r="X900">
        <v>0</v>
      </c>
      <c r="Y900">
        <v>0</v>
      </c>
      <c r="Z900">
        <v>0</v>
      </c>
      <c r="AA900">
        <v>0</v>
      </c>
      <c r="AB900">
        <v>0</v>
      </c>
      <c r="AC900">
        <v>0</v>
      </c>
      <c r="AD900">
        <v>0</v>
      </c>
      <c r="AE900">
        <v>0</v>
      </c>
      <c r="AF900">
        <v>0</v>
      </c>
      <c r="AG900">
        <v>0</v>
      </c>
      <c r="AH900">
        <v>0</v>
      </c>
      <c r="AI900">
        <v>0</v>
      </c>
      <c r="AJ900">
        <v>0</v>
      </c>
      <c r="AK900">
        <v>0</v>
      </c>
      <c r="AL900">
        <v>0</v>
      </c>
      <c r="AM900">
        <v>0</v>
      </c>
    </row>
    <row r="901" spans="1:39" x14ac:dyDescent="0.35">
      <c r="A901" t="s">
        <v>174</v>
      </c>
      <c r="B901" t="s">
        <v>482</v>
      </c>
      <c r="C901" t="s">
        <v>176</v>
      </c>
      <c r="D901" t="s">
        <v>315</v>
      </c>
      <c r="E901" t="s">
        <v>1196</v>
      </c>
      <c r="F901" t="s">
        <v>182</v>
      </c>
      <c r="G901" t="s">
        <v>1255</v>
      </c>
      <c r="H901" t="s">
        <v>35</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c r="AI901">
        <v>0</v>
      </c>
      <c r="AJ901">
        <v>0</v>
      </c>
      <c r="AK901">
        <v>0</v>
      </c>
      <c r="AL901">
        <v>0</v>
      </c>
      <c r="AM901">
        <v>0</v>
      </c>
    </row>
    <row r="902" spans="1:39" x14ac:dyDescent="0.35">
      <c r="A902" t="s">
        <v>174</v>
      </c>
      <c r="B902" t="s">
        <v>482</v>
      </c>
      <c r="C902" t="s">
        <v>176</v>
      </c>
      <c r="D902" t="s">
        <v>315</v>
      </c>
      <c r="E902" t="s">
        <v>1196</v>
      </c>
      <c r="F902" t="s">
        <v>182</v>
      </c>
      <c r="G902" t="s">
        <v>1278</v>
      </c>
      <c r="H902" t="s">
        <v>35</v>
      </c>
      <c r="I902">
        <v>0</v>
      </c>
      <c r="J902">
        <v>0</v>
      </c>
      <c r="K902">
        <v>0</v>
      </c>
      <c r="L902">
        <v>0</v>
      </c>
      <c r="M902">
        <v>0</v>
      </c>
      <c r="N902">
        <v>0</v>
      </c>
      <c r="O902">
        <v>0</v>
      </c>
      <c r="P902">
        <v>0</v>
      </c>
      <c r="Q902">
        <v>0</v>
      </c>
      <c r="R902">
        <v>0</v>
      </c>
      <c r="S902">
        <v>0</v>
      </c>
      <c r="T902">
        <v>0</v>
      </c>
      <c r="U902">
        <v>0</v>
      </c>
      <c r="V902">
        <v>0</v>
      </c>
      <c r="W902">
        <v>0</v>
      </c>
      <c r="X902">
        <v>0</v>
      </c>
      <c r="Y902">
        <v>0</v>
      </c>
      <c r="Z902">
        <v>0</v>
      </c>
      <c r="AA902">
        <v>0</v>
      </c>
      <c r="AB902">
        <v>0</v>
      </c>
      <c r="AC902">
        <v>0</v>
      </c>
      <c r="AD902">
        <v>0</v>
      </c>
      <c r="AE902">
        <v>0</v>
      </c>
      <c r="AF902">
        <v>0</v>
      </c>
      <c r="AG902">
        <v>0</v>
      </c>
      <c r="AH902">
        <v>0</v>
      </c>
      <c r="AI902">
        <v>0</v>
      </c>
      <c r="AJ902">
        <v>0</v>
      </c>
      <c r="AK902">
        <v>0</v>
      </c>
      <c r="AL902">
        <v>0</v>
      </c>
      <c r="AM902">
        <v>0</v>
      </c>
    </row>
    <row r="903" spans="1:39" x14ac:dyDescent="0.35">
      <c r="A903" t="s">
        <v>174</v>
      </c>
      <c r="B903" t="s">
        <v>482</v>
      </c>
      <c r="C903" t="s">
        <v>176</v>
      </c>
      <c r="D903" t="s">
        <v>315</v>
      </c>
      <c r="E903" t="s">
        <v>1196</v>
      </c>
      <c r="F903" t="s">
        <v>182</v>
      </c>
      <c r="G903" t="s">
        <v>1290</v>
      </c>
      <c r="H903" t="s">
        <v>35</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row>
    <row r="904" spans="1:39" x14ac:dyDescent="0.35">
      <c r="A904" t="s">
        <v>174</v>
      </c>
      <c r="B904" t="s">
        <v>482</v>
      </c>
      <c r="C904" t="s">
        <v>176</v>
      </c>
      <c r="D904" t="s">
        <v>315</v>
      </c>
      <c r="E904" t="s">
        <v>1196</v>
      </c>
      <c r="F904" t="s">
        <v>182</v>
      </c>
      <c r="G904" t="s">
        <v>698</v>
      </c>
      <c r="H904" t="s">
        <v>35</v>
      </c>
      <c r="I904">
        <v>0</v>
      </c>
      <c r="J904">
        <v>0</v>
      </c>
      <c r="K904">
        <v>0</v>
      </c>
      <c r="L904">
        <v>0</v>
      </c>
      <c r="M904">
        <v>0</v>
      </c>
      <c r="N904">
        <v>0</v>
      </c>
      <c r="O904">
        <v>0</v>
      </c>
      <c r="P904">
        <v>0</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row>
    <row r="905" spans="1:39" x14ac:dyDescent="0.35">
      <c r="A905" t="s">
        <v>174</v>
      </c>
      <c r="B905" t="s">
        <v>482</v>
      </c>
      <c r="C905" t="s">
        <v>176</v>
      </c>
      <c r="D905" t="s">
        <v>315</v>
      </c>
      <c r="E905" t="s">
        <v>1196</v>
      </c>
      <c r="F905" t="s">
        <v>182</v>
      </c>
      <c r="G905" t="s">
        <v>892</v>
      </c>
      <c r="H905" t="s">
        <v>35</v>
      </c>
      <c r="I905">
        <v>0</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c r="AD905">
        <v>0</v>
      </c>
      <c r="AE905">
        <v>0</v>
      </c>
      <c r="AF905">
        <v>0</v>
      </c>
      <c r="AG905">
        <v>0</v>
      </c>
      <c r="AH905">
        <v>0</v>
      </c>
      <c r="AI905">
        <v>0</v>
      </c>
      <c r="AJ905">
        <v>0</v>
      </c>
      <c r="AK905">
        <v>0</v>
      </c>
      <c r="AL905">
        <v>0</v>
      </c>
      <c r="AM905">
        <v>0</v>
      </c>
    </row>
    <row r="906" spans="1:39" x14ac:dyDescent="0.35">
      <c r="A906" t="s">
        <v>174</v>
      </c>
      <c r="B906" t="s">
        <v>482</v>
      </c>
      <c r="C906" t="s">
        <v>176</v>
      </c>
      <c r="D906" t="s">
        <v>315</v>
      </c>
      <c r="E906" t="s">
        <v>1196</v>
      </c>
      <c r="F906" t="s">
        <v>182</v>
      </c>
      <c r="G906" t="s">
        <v>900</v>
      </c>
      <c r="H906" t="s">
        <v>35</v>
      </c>
      <c r="I906">
        <v>0</v>
      </c>
      <c r="J906">
        <v>0</v>
      </c>
      <c r="K906">
        <v>0</v>
      </c>
      <c r="L906">
        <v>0</v>
      </c>
      <c r="M906">
        <v>0</v>
      </c>
      <c r="N906">
        <v>0</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0</v>
      </c>
      <c r="AI906">
        <v>0</v>
      </c>
      <c r="AJ906">
        <v>0</v>
      </c>
      <c r="AK906">
        <v>0</v>
      </c>
      <c r="AL906">
        <v>0</v>
      </c>
      <c r="AM906">
        <v>0</v>
      </c>
    </row>
    <row r="907" spans="1:39" x14ac:dyDescent="0.35">
      <c r="A907" t="s">
        <v>174</v>
      </c>
      <c r="B907" t="s">
        <v>482</v>
      </c>
      <c r="C907" t="s">
        <v>176</v>
      </c>
      <c r="D907" t="s">
        <v>315</v>
      </c>
      <c r="E907" t="s">
        <v>1196</v>
      </c>
      <c r="F907" t="s">
        <v>182</v>
      </c>
      <c r="G907" t="s">
        <v>896</v>
      </c>
      <c r="H907" t="s">
        <v>35</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c r="AE907">
        <v>0</v>
      </c>
      <c r="AF907">
        <v>0</v>
      </c>
      <c r="AG907">
        <v>0</v>
      </c>
      <c r="AH907">
        <v>0</v>
      </c>
      <c r="AI907">
        <v>0</v>
      </c>
      <c r="AJ907">
        <v>0</v>
      </c>
      <c r="AK907">
        <v>0</v>
      </c>
      <c r="AL907">
        <v>0</v>
      </c>
      <c r="AM907">
        <v>0</v>
      </c>
    </row>
    <row r="908" spans="1:39" x14ac:dyDescent="0.35">
      <c r="A908" t="s">
        <v>174</v>
      </c>
      <c r="B908" t="s">
        <v>482</v>
      </c>
      <c r="C908" t="s">
        <v>176</v>
      </c>
      <c r="D908" t="s">
        <v>315</v>
      </c>
      <c r="E908" t="s">
        <v>1196</v>
      </c>
      <c r="F908" t="s">
        <v>180</v>
      </c>
      <c r="G908" t="s">
        <v>1257</v>
      </c>
      <c r="H908" t="s">
        <v>35</v>
      </c>
      <c r="I908">
        <v>84.600000000000009</v>
      </c>
      <c r="J908">
        <v>150.4</v>
      </c>
      <c r="K908">
        <v>56.400000000000006</v>
      </c>
      <c r="L908">
        <v>103.4</v>
      </c>
      <c r="M908">
        <v>432.40000000000003</v>
      </c>
      <c r="N908">
        <v>18.8</v>
      </c>
      <c r="O908">
        <v>37.6</v>
      </c>
      <c r="P908">
        <v>206.8</v>
      </c>
      <c r="Q908">
        <v>216.20000000000002</v>
      </c>
      <c r="R908">
        <v>714.4</v>
      </c>
      <c r="S908">
        <v>94</v>
      </c>
      <c r="T908">
        <v>413.6</v>
      </c>
      <c r="U908">
        <v>319.60000000000002</v>
      </c>
      <c r="V908">
        <v>319.60000000000002</v>
      </c>
      <c r="W908">
        <v>0</v>
      </c>
      <c r="X908">
        <v>0</v>
      </c>
      <c r="Y908">
        <v>0</v>
      </c>
      <c r="Z908">
        <v>0</v>
      </c>
      <c r="AA908">
        <v>0</v>
      </c>
      <c r="AB908">
        <v>0</v>
      </c>
      <c r="AC908">
        <v>0</v>
      </c>
      <c r="AD908">
        <v>0</v>
      </c>
      <c r="AE908">
        <v>0</v>
      </c>
      <c r="AF908">
        <v>0</v>
      </c>
      <c r="AG908">
        <v>0</v>
      </c>
      <c r="AH908">
        <v>0</v>
      </c>
      <c r="AI908">
        <v>0</v>
      </c>
      <c r="AJ908">
        <v>0</v>
      </c>
      <c r="AK908">
        <v>0</v>
      </c>
      <c r="AL908">
        <v>0</v>
      </c>
      <c r="AM908">
        <v>0</v>
      </c>
    </row>
    <row r="909" spans="1:39" x14ac:dyDescent="0.35">
      <c r="A909" t="s">
        <v>174</v>
      </c>
      <c r="B909" t="s">
        <v>482</v>
      </c>
      <c r="C909" t="s">
        <v>176</v>
      </c>
      <c r="D909" t="s">
        <v>315</v>
      </c>
      <c r="E909" t="s">
        <v>1196</v>
      </c>
      <c r="F909" t="s">
        <v>180</v>
      </c>
      <c r="G909" t="s">
        <v>1253</v>
      </c>
      <c r="H909" t="s">
        <v>35</v>
      </c>
      <c r="I909">
        <v>81.179999999999993</v>
      </c>
      <c r="J909">
        <v>0</v>
      </c>
      <c r="K909">
        <v>0</v>
      </c>
      <c r="L909">
        <v>0</v>
      </c>
      <c r="M909">
        <v>0</v>
      </c>
      <c r="N909">
        <v>0</v>
      </c>
      <c r="O909">
        <v>0</v>
      </c>
      <c r="P909">
        <v>0</v>
      </c>
      <c r="Q909">
        <v>0</v>
      </c>
      <c r="R909">
        <v>162.35999999999999</v>
      </c>
      <c r="S909">
        <v>0</v>
      </c>
      <c r="T909">
        <v>0</v>
      </c>
      <c r="U909">
        <v>0</v>
      </c>
      <c r="V909">
        <v>0</v>
      </c>
      <c r="W909">
        <v>0</v>
      </c>
      <c r="X909">
        <v>0</v>
      </c>
      <c r="Y909">
        <v>0</v>
      </c>
      <c r="Z909">
        <v>0</v>
      </c>
      <c r="AA909">
        <v>0</v>
      </c>
      <c r="AB909">
        <v>0</v>
      </c>
      <c r="AC909">
        <v>0</v>
      </c>
      <c r="AD909">
        <v>0</v>
      </c>
      <c r="AE909">
        <v>0</v>
      </c>
      <c r="AF909">
        <v>0</v>
      </c>
      <c r="AG909">
        <v>0</v>
      </c>
      <c r="AH909">
        <v>0</v>
      </c>
      <c r="AI909">
        <v>0</v>
      </c>
      <c r="AJ909">
        <v>0</v>
      </c>
      <c r="AK909">
        <v>0</v>
      </c>
      <c r="AL909">
        <v>0</v>
      </c>
      <c r="AM909">
        <v>0</v>
      </c>
    </row>
    <row r="910" spans="1:39" x14ac:dyDescent="0.35">
      <c r="A910" t="s">
        <v>174</v>
      </c>
      <c r="B910" t="s">
        <v>482</v>
      </c>
      <c r="C910" t="s">
        <v>176</v>
      </c>
      <c r="D910" t="s">
        <v>315</v>
      </c>
      <c r="E910" t="s">
        <v>1196</v>
      </c>
      <c r="F910" t="s">
        <v>180</v>
      </c>
      <c r="G910" t="s">
        <v>1274</v>
      </c>
      <c r="H910" t="s">
        <v>35</v>
      </c>
      <c r="I910">
        <v>77.760000000000005</v>
      </c>
      <c r="J910">
        <v>8.64</v>
      </c>
      <c r="K910">
        <v>86.4</v>
      </c>
      <c r="L910">
        <v>146.88</v>
      </c>
      <c r="M910">
        <v>60.480000000000004</v>
      </c>
      <c r="N910">
        <v>60.480000000000004</v>
      </c>
      <c r="O910">
        <v>103.68</v>
      </c>
      <c r="P910">
        <v>86.4</v>
      </c>
      <c r="Q910">
        <v>129.60000000000002</v>
      </c>
      <c r="R910">
        <v>0</v>
      </c>
      <c r="S910">
        <v>43.2</v>
      </c>
      <c r="T910">
        <v>267.84000000000003</v>
      </c>
      <c r="U910">
        <v>233.28000000000003</v>
      </c>
      <c r="V910">
        <v>388.8</v>
      </c>
      <c r="W910">
        <v>0</v>
      </c>
      <c r="X910">
        <v>0</v>
      </c>
      <c r="Y910">
        <v>0</v>
      </c>
      <c r="Z910">
        <v>0</v>
      </c>
      <c r="AA910">
        <v>0</v>
      </c>
      <c r="AB910">
        <v>0</v>
      </c>
      <c r="AC910">
        <v>0</v>
      </c>
      <c r="AD910">
        <v>0</v>
      </c>
      <c r="AE910">
        <v>0</v>
      </c>
      <c r="AF910">
        <v>0</v>
      </c>
      <c r="AG910">
        <v>0</v>
      </c>
      <c r="AH910">
        <v>0</v>
      </c>
      <c r="AI910">
        <v>0</v>
      </c>
      <c r="AJ910">
        <v>0</v>
      </c>
      <c r="AK910">
        <v>0</v>
      </c>
      <c r="AL910">
        <v>0</v>
      </c>
      <c r="AM910">
        <v>0</v>
      </c>
    </row>
    <row r="911" spans="1:39" x14ac:dyDescent="0.35">
      <c r="A911" t="s">
        <v>174</v>
      </c>
      <c r="B911" t="s">
        <v>482</v>
      </c>
      <c r="C911" t="s">
        <v>176</v>
      </c>
      <c r="D911" t="s">
        <v>315</v>
      </c>
      <c r="E911" t="s">
        <v>1196</v>
      </c>
      <c r="F911" t="s">
        <v>180</v>
      </c>
      <c r="G911" t="s">
        <v>1286</v>
      </c>
      <c r="H911" t="s">
        <v>35</v>
      </c>
      <c r="I911">
        <v>67.680000000000007</v>
      </c>
      <c r="J911">
        <v>0</v>
      </c>
      <c r="K911">
        <v>0</v>
      </c>
      <c r="L911">
        <v>0</v>
      </c>
      <c r="M911">
        <v>0</v>
      </c>
      <c r="N911">
        <v>0</v>
      </c>
      <c r="O911">
        <v>0</v>
      </c>
      <c r="P911">
        <v>0</v>
      </c>
      <c r="Q911">
        <v>0</v>
      </c>
      <c r="R911">
        <v>82.72</v>
      </c>
      <c r="S911">
        <v>0</v>
      </c>
      <c r="T911">
        <v>0</v>
      </c>
      <c r="U911">
        <v>0</v>
      </c>
      <c r="V911">
        <v>0</v>
      </c>
      <c r="W911">
        <v>0</v>
      </c>
      <c r="X911">
        <v>0</v>
      </c>
      <c r="Y911">
        <v>0</v>
      </c>
      <c r="Z911">
        <v>0</v>
      </c>
      <c r="AA911">
        <v>0</v>
      </c>
      <c r="AB911">
        <v>0</v>
      </c>
      <c r="AC911">
        <v>0</v>
      </c>
      <c r="AD911">
        <v>0</v>
      </c>
      <c r="AE911">
        <v>0</v>
      </c>
      <c r="AF911">
        <v>0</v>
      </c>
      <c r="AG911">
        <v>0</v>
      </c>
      <c r="AH911">
        <v>0</v>
      </c>
      <c r="AI911">
        <v>0</v>
      </c>
      <c r="AJ911">
        <v>0</v>
      </c>
      <c r="AK911">
        <v>0</v>
      </c>
      <c r="AL911">
        <v>0</v>
      </c>
      <c r="AM911">
        <v>0</v>
      </c>
    </row>
    <row r="912" spans="1:39" x14ac:dyDescent="0.35">
      <c r="A912" t="s">
        <v>174</v>
      </c>
      <c r="B912" t="s">
        <v>482</v>
      </c>
      <c r="C912" t="s">
        <v>176</v>
      </c>
      <c r="D912" t="s">
        <v>315</v>
      </c>
      <c r="E912" t="s">
        <v>1196</v>
      </c>
      <c r="F912" t="s">
        <v>180</v>
      </c>
      <c r="G912" t="s">
        <v>696</v>
      </c>
      <c r="H912" t="s">
        <v>35</v>
      </c>
      <c r="I912">
        <v>0</v>
      </c>
      <c r="J912">
        <v>0</v>
      </c>
      <c r="K912">
        <v>0</v>
      </c>
      <c r="L912">
        <v>0</v>
      </c>
      <c r="M912">
        <v>0</v>
      </c>
      <c r="N912">
        <v>0</v>
      </c>
      <c r="O912">
        <v>0</v>
      </c>
      <c r="P912">
        <v>0</v>
      </c>
      <c r="Q912">
        <v>0</v>
      </c>
      <c r="R912">
        <v>0</v>
      </c>
      <c r="S912">
        <v>0</v>
      </c>
      <c r="T912">
        <v>0</v>
      </c>
      <c r="U912">
        <v>0</v>
      </c>
      <c r="V912">
        <v>0</v>
      </c>
      <c r="W912">
        <v>0</v>
      </c>
      <c r="X912">
        <v>0</v>
      </c>
      <c r="Y912">
        <v>0</v>
      </c>
      <c r="Z912">
        <v>0</v>
      </c>
      <c r="AA912">
        <v>0</v>
      </c>
      <c r="AB912">
        <v>0</v>
      </c>
      <c r="AC912">
        <v>0</v>
      </c>
      <c r="AD912">
        <v>0</v>
      </c>
      <c r="AE912">
        <v>0</v>
      </c>
      <c r="AF912">
        <v>0</v>
      </c>
      <c r="AG912">
        <v>0</v>
      </c>
      <c r="AH912">
        <v>0</v>
      </c>
      <c r="AI912">
        <v>0</v>
      </c>
      <c r="AJ912">
        <v>0</v>
      </c>
      <c r="AK912">
        <v>0</v>
      </c>
      <c r="AL912">
        <v>0</v>
      </c>
      <c r="AM912">
        <v>0</v>
      </c>
    </row>
    <row r="913" spans="1:39" x14ac:dyDescent="0.35">
      <c r="A913" t="s">
        <v>174</v>
      </c>
      <c r="B913" t="s">
        <v>482</v>
      </c>
      <c r="C913" t="s">
        <v>176</v>
      </c>
      <c r="D913" t="s">
        <v>315</v>
      </c>
      <c r="E913" t="s">
        <v>1196</v>
      </c>
      <c r="F913" t="s">
        <v>180</v>
      </c>
      <c r="G913" t="s">
        <v>890</v>
      </c>
      <c r="H913" t="s">
        <v>35</v>
      </c>
      <c r="I913">
        <v>0</v>
      </c>
      <c r="J913">
        <v>0</v>
      </c>
      <c r="K913">
        <v>0</v>
      </c>
      <c r="L913">
        <v>0</v>
      </c>
      <c r="M913">
        <v>0</v>
      </c>
      <c r="N913">
        <v>0</v>
      </c>
      <c r="O913">
        <v>0</v>
      </c>
      <c r="P913">
        <v>0</v>
      </c>
      <c r="Q913">
        <v>0</v>
      </c>
      <c r="R913">
        <v>0</v>
      </c>
      <c r="S913">
        <v>0</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row>
    <row r="914" spans="1:39" x14ac:dyDescent="0.35">
      <c r="A914" t="s">
        <v>174</v>
      </c>
      <c r="B914" t="s">
        <v>482</v>
      </c>
      <c r="C914" t="s">
        <v>176</v>
      </c>
      <c r="D914" t="s">
        <v>315</v>
      </c>
      <c r="E914" t="s">
        <v>1196</v>
      </c>
      <c r="F914" t="s">
        <v>180</v>
      </c>
      <c r="G914" t="s">
        <v>898</v>
      </c>
      <c r="H914" t="s">
        <v>35</v>
      </c>
      <c r="I914">
        <v>0</v>
      </c>
      <c r="J914">
        <v>0</v>
      </c>
      <c r="K914">
        <v>0</v>
      </c>
      <c r="L914">
        <v>0</v>
      </c>
      <c r="M914">
        <v>551</v>
      </c>
      <c r="N914">
        <v>0</v>
      </c>
      <c r="O914">
        <v>0</v>
      </c>
      <c r="P914">
        <v>0</v>
      </c>
      <c r="Q914">
        <v>0</v>
      </c>
      <c r="R914">
        <v>0</v>
      </c>
      <c r="S914">
        <v>0</v>
      </c>
      <c r="T914">
        <v>622</v>
      </c>
      <c r="U914">
        <v>316</v>
      </c>
      <c r="V914">
        <v>201</v>
      </c>
      <c r="W914">
        <v>0</v>
      </c>
      <c r="X914">
        <v>0</v>
      </c>
      <c r="Y914">
        <v>0</v>
      </c>
      <c r="Z914">
        <v>0</v>
      </c>
      <c r="AA914">
        <v>0</v>
      </c>
      <c r="AB914">
        <v>0</v>
      </c>
      <c r="AC914">
        <v>0</v>
      </c>
      <c r="AD914">
        <v>0</v>
      </c>
      <c r="AE914">
        <v>0</v>
      </c>
      <c r="AF914">
        <v>0</v>
      </c>
      <c r="AG914">
        <v>0</v>
      </c>
      <c r="AH914">
        <v>0</v>
      </c>
      <c r="AI914">
        <v>0</v>
      </c>
      <c r="AJ914">
        <v>0</v>
      </c>
      <c r="AK914">
        <v>0</v>
      </c>
      <c r="AL914">
        <v>0</v>
      </c>
      <c r="AM914">
        <v>0</v>
      </c>
    </row>
    <row r="915" spans="1:39" x14ac:dyDescent="0.35">
      <c r="A915" t="s">
        <v>174</v>
      </c>
      <c r="B915" t="s">
        <v>482</v>
      </c>
      <c r="C915" t="s">
        <v>176</v>
      </c>
      <c r="D915" t="s">
        <v>315</v>
      </c>
      <c r="E915" t="s">
        <v>1196</v>
      </c>
      <c r="F915" t="s">
        <v>180</v>
      </c>
      <c r="G915" t="s">
        <v>894</v>
      </c>
      <c r="H915" t="s">
        <v>35</v>
      </c>
      <c r="I915">
        <v>0</v>
      </c>
      <c r="J915">
        <v>0</v>
      </c>
      <c r="K915">
        <v>0</v>
      </c>
      <c r="L915">
        <v>0</v>
      </c>
      <c r="M915">
        <v>0</v>
      </c>
      <c r="N915">
        <v>0</v>
      </c>
      <c r="O915">
        <v>0</v>
      </c>
      <c r="P915">
        <v>0</v>
      </c>
      <c r="Q915">
        <v>0</v>
      </c>
      <c r="R915">
        <v>741</v>
      </c>
      <c r="S915">
        <v>0</v>
      </c>
      <c r="T915">
        <v>0</v>
      </c>
      <c r="U915">
        <v>0</v>
      </c>
      <c r="V915">
        <v>0</v>
      </c>
      <c r="W915">
        <v>0</v>
      </c>
      <c r="X915">
        <v>0</v>
      </c>
      <c r="Y915">
        <v>0</v>
      </c>
      <c r="Z915">
        <v>0</v>
      </c>
      <c r="AA915">
        <v>0</v>
      </c>
      <c r="AB915">
        <v>0</v>
      </c>
      <c r="AC915">
        <v>0</v>
      </c>
      <c r="AD915">
        <v>0</v>
      </c>
      <c r="AE915">
        <v>0</v>
      </c>
      <c r="AF915">
        <v>0</v>
      </c>
      <c r="AG915">
        <v>0</v>
      </c>
      <c r="AH915">
        <v>0</v>
      </c>
      <c r="AI915">
        <v>0</v>
      </c>
      <c r="AJ915">
        <v>0</v>
      </c>
      <c r="AK915">
        <v>0</v>
      </c>
      <c r="AL915">
        <v>0</v>
      </c>
      <c r="AM915">
        <v>0</v>
      </c>
    </row>
    <row r="916" spans="1:39" x14ac:dyDescent="0.35">
      <c r="A916" t="s">
        <v>174</v>
      </c>
      <c r="B916" t="s">
        <v>482</v>
      </c>
      <c r="C916" t="s">
        <v>176</v>
      </c>
      <c r="D916" t="s">
        <v>315</v>
      </c>
      <c r="E916" t="s">
        <v>1196</v>
      </c>
      <c r="F916" t="s">
        <v>181</v>
      </c>
      <c r="G916" t="s">
        <v>1258</v>
      </c>
      <c r="H916" t="s">
        <v>35</v>
      </c>
      <c r="I916">
        <v>300.8</v>
      </c>
      <c r="J916">
        <v>0</v>
      </c>
      <c r="K916">
        <v>0</v>
      </c>
      <c r="L916">
        <v>0</v>
      </c>
      <c r="M916">
        <v>0</v>
      </c>
      <c r="N916">
        <v>0</v>
      </c>
      <c r="O916">
        <v>0</v>
      </c>
      <c r="P916">
        <v>0</v>
      </c>
      <c r="Q916">
        <v>0</v>
      </c>
      <c r="R916">
        <v>319.60000000000002</v>
      </c>
      <c r="S916">
        <v>0</v>
      </c>
      <c r="T916">
        <v>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row>
    <row r="917" spans="1:39" x14ac:dyDescent="0.35">
      <c r="A917" t="s">
        <v>174</v>
      </c>
      <c r="B917" t="s">
        <v>482</v>
      </c>
      <c r="C917" t="s">
        <v>176</v>
      </c>
      <c r="D917" t="s">
        <v>315</v>
      </c>
      <c r="E917" t="s">
        <v>1196</v>
      </c>
      <c r="F917" t="s">
        <v>181</v>
      </c>
      <c r="G917" t="s">
        <v>1254</v>
      </c>
      <c r="H917" t="s">
        <v>35</v>
      </c>
      <c r="I917">
        <v>288.64</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c r="AE917">
        <v>0</v>
      </c>
      <c r="AF917">
        <v>0</v>
      </c>
      <c r="AG917">
        <v>0</v>
      </c>
      <c r="AH917">
        <v>0</v>
      </c>
      <c r="AI917">
        <v>0</v>
      </c>
      <c r="AJ917">
        <v>0</v>
      </c>
      <c r="AK917">
        <v>0</v>
      </c>
      <c r="AL917">
        <v>0</v>
      </c>
      <c r="AM917">
        <v>0</v>
      </c>
    </row>
    <row r="918" spans="1:39" x14ac:dyDescent="0.35">
      <c r="A918" t="s">
        <v>174</v>
      </c>
      <c r="B918" t="s">
        <v>482</v>
      </c>
      <c r="C918" t="s">
        <v>176</v>
      </c>
      <c r="D918" t="s">
        <v>315</v>
      </c>
      <c r="E918" t="s">
        <v>1196</v>
      </c>
      <c r="F918" t="s">
        <v>181</v>
      </c>
      <c r="G918" t="s">
        <v>1276</v>
      </c>
      <c r="H918" t="s">
        <v>35</v>
      </c>
      <c r="I918">
        <v>276.48</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0</v>
      </c>
      <c r="AI918">
        <v>0</v>
      </c>
      <c r="AJ918">
        <v>0</v>
      </c>
      <c r="AK918">
        <v>0</v>
      </c>
      <c r="AL918">
        <v>0</v>
      </c>
      <c r="AM918">
        <v>0</v>
      </c>
    </row>
    <row r="919" spans="1:39" x14ac:dyDescent="0.35">
      <c r="A919" t="s">
        <v>174</v>
      </c>
      <c r="B919" t="s">
        <v>482</v>
      </c>
      <c r="C919" t="s">
        <v>176</v>
      </c>
      <c r="D919" t="s">
        <v>315</v>
      </c>
      <c r="E919" t="s">
        <v>1196</v>
      </c>
      <c r="F919" t="s">
        <v>181</v>
      </c>
      <c r="G919" t="s">
        <v>1288</v>
      </c>
      <c r="H919" t="s">
        <v>35</v>
      </c>
      <c r="I919">
        <v>240.64000000000001</v>
      </c>
      <c r="J919">
        <v>0</v>
      </c>
      <c r="K919">
        <v>0</v>
      </c>
      <c r="L919">
        <v>0</v>
      </c>
      <c r="M919">
        <v>0</v>
      </c>
      <c r="N919">
        <v>0</v>
      </c>
      <c r="O919">
        <v>0</v>
      </c>
      <c r="P919">
        <v>0</v>
      </c>
      <c r="Q919">
        <v>0</v>
      </c>
      <c r="R919">
        <v>0</v>
      </c>
      <c r="S919">
        <v>0</v>
      </c>
      <c r="T919">
        <v>0</v>
      </c>
      <c r="U919">
        <v>0</v>
      </c>
      <c r="V919">
        <v>0</v>
      </c>
      <c r="W919">
        <v>0</v>
      </c>
      <c r="X919">
        <v>0</v>
      </c>
      <c r="Y919">
        <v>0</v>
      </c>
      <c r="Z919">
        <v>0</v>
      </c>
      <c r="AA919">
        <v>0</v>
      </c>
      <c r="AB919">
        <v>0</v>
      </c>
      <c r="AC919">
        <v>0</v>
      </c>
      <c r="AD919">
        <v>0</v>
      </c>
      <c r="AE919">
        <v>0</v>
      </c>
      <c r="AF919">
        <v>0</v>
      </c>
      <c r="AG919">
        <v>0</v>
      </c>
      <c r="AH919">
        <v>0</v>
      </c>
      <c r="AI919">
        <v>0</v>
      </c>
      <c r="AJ919">
        <v>0</v>
      </c>
      <c r="AK919">
        <v>0</v>
      </c>
      <c r="AL919">
        <v>0</v>
      </c>
      <c r="AM919">
        <v>0</v>
      </c>
    </row>
    <row r="920" spans="1:39" x14ac:dyDescent="0.35">
      <c r="A920" t="s">
        <v>174</v>
      </c>
      <c r="B920" t="s">
        <v>482</v>
      </c>
      <c r="C920" t="s">
        <v>176</v>
      </c>
      <c r="D920" t="s">
        <v>315</v>
      </c>
      <c r="E920" t="s">
        <v>1196</v>
      </c>
      <c r="F920" t="s">
        <v>181</v>
      </c>
      <c r="G920" t="s">
        <v>697</v>
      </c>
      <c r="H920" t="s">
        <v>35</v>
      </c>
      <c r="I920">
        <v>0</v>
      </c>
      <c r="J920">
        <v>0</v>
      </c>
      <c r="K920">
        <v>0</v>
      </c>
      <c r="L920">
        <v>0</v>
      </c>
      <c r="M920">
        <v>0</v>
      </c>
      <c r="N920">
        <v>0</v>
      </c>
      <c r="O920">
        <v>0</v>
      </c>
      <c r="P920">
        <v>0</v>
      </c>
      <c r="Q920">
        <v>0</v>
      </c>
      <c r="R920">
        <v>0</v>
      </c>
      <c r="S920">
        <v>0</v>
      </c>
      <c r="T920">
        <v>0</v>
      </c>
      <c r="U920">
        <v>0</v>
      </c>
      <c r="V920">
        <v>0</v>
      </c>
      <c r="W920">
        <v>0</v>
      </c>
      <c r="X920">
        <v>0</v>
      </c>
      <c r="Y920">
        <v>0</v>
      </c>
      <c r="Z920">
        <v>0</v>
      </c>
      <c r="AA920">
        <v>0</v>
      </c>
      <c r="AB920">
        <v>0</v>
      </c>
      <c r="AC920">
        <v>0</v>
      </c>
      <c r="AD920">
        <v>0</v>
      </c>
      <c r="AE920">
        <v>0</v>
      </c>
      <c r="AF920">
        <v>0</v>
      </c>
      <c r="AG920">
        <v>0</v>
      </c>
      <c r="AH920">
        <v>0</v>
      </c>
      <c r="AI920">
        <v>0</v>
      </c>
      <c r="AJ920">
        <v>0</v>
      </c>
      <c r="AK920">
        <v>0</v>
      </c>
      <c r="AL920">
        <v>0</v>
      </c>
      <c r="AM920">
        <v>0</v>
      </c>
    </row>
    <row r="921" spans="1:39" x14ac:dyDescent="0.35">
      <c r="A921" t="s">
        <v>174</v>
      </c>
      <c r="B921" t="s">
        <v>482</v>
      </c>
      <c r="C921" t="s">
        <v>176</v>
      </c>
      <c r="D921" t="s">
        <v>315</v>
      </c>
      <c r="E921" t="s">
        <v>1196</v>
      </c>
      <c r="F921" t="s">
        <v>181</v>
      </c>
      <c r="G921" t="s">
        <v>891</v>
      </c>
      <c r="H921" t="s">
        <v>35</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0</v>
      </c>
      <c r="AC921">
        <v>0</v>
      </c>
      <c r="AD921">
        <v>0</v>
      </c>
      <c r="AE921">
        <v>0</v>
      </c>
      <c r="AF921">
        <v>0</v>
      </c>
      <c r="AG921">
        <v>0</v>
      </c>
      <c r="AH921">
        <v>0</v>
      </c>
      <c r="AI921">
        <v>0</v>
      </c>
      <c r="AJ921">
        <v>0</v>
      </c>
      <c r="AK921">
        <v>0</v>
      </c>
      <c r="AL921">
        <v>0</v>
      </c>
      <c r="AM921">
        <v>0</v>
      </c>
    </row>
    <row r="922" spans="1:39" x14ac:dyDescent="0.35">
      <c r="A922" t="s">
        <v>174</v>
      </c>
      <c r="B922" t="s">
        <v>482</v>
      </c>
      <c r="C922" t="s">
        <v>176</v>
      </c>
      <c r="D922" t="s">
        <v>315</v>
      </c>
      <c r="E922" t="s">
        <v>1196</v>
      </c>
      <c r="F922" t="s">
        <v>181</v>
      </c>
      <c r="G922" t="s">
        <v>899</v>
      </c>
      <c r="H922" t="s">
        <v>35</v>
      </c>
      <c r="I922">
        <v>0</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c r="AD922">
        <v>0</v>
      </c>
      <c r="AE922">
        <v>0</v>
      </c>
      <c r="AF922">
        <v>0</v>
      </c>
      <c r="AG922">
        <v>0</v>
      </c>
      <c r="AH922">
        <v>0</v>
      </c>
      <c r="AI922">
        <v>0</v>
      </c>
      <c r="AJ922">
        <v>0</v>
      </c>
      <c r="AK922">
        <v>0</v>
      </c>
      <c r="AL922">
        <v>0</v>
      </c>
      <c r="AM922">
        <v>0</v>
      </c>
    </row>
    <row r="923" spans="1:39" x14ac:dyDescent="0.35">
      <c r="A923" t="s">
        <v>174</v>
      </c>
      <c r="B923" t="s">
        <v>482</v>
      </c>
      <c r="C923" t="s">
        <v>176</v>
      </c>
      <c r="D923" t="s">
        <v>315</v>
      </c>
      <c r="E923" t="s">
        <v>1196</v>
      </c>
      <c r="F923" t="s">
        <v>181</v>
      </c>
      <c r="G923" t="s">
        <v>895</v>
      </c>
      <c r="H923" t="s">
        <v>35</v>
      </c>
      <c r="I923">
        <v>0</v>
      </c>
      <c r="J923">
        <v>0</v>
      </c>
      <c r="K923">
        <v>0</v>
      </c>
      <c r="L923" s="66">
        <v>0</v>
      </c>
      <c r="M923">
        <v>0</v>
      </c>
      <c r="N923">
        <v>0</v>
      </c>
      <c r="O923">
        <v>0</v>
      </c>
      <c r="P923">
        <v>0</v>
      </c>
      <c r="Q923">
        <v>0</v>
      </c>
      <c r="R923">
        <v>0</v>
      </c>
      <c r="S923">
        <v>0</v>
      </c>
      <c r="T923">
        <v>0</v>
      </c>
      <c r="U923">
        <v>0</v>
      </c>
      <c r="V923">
        <v>0</v>
      </c>
      <c r="W923">
        <v>0</v>
      </c>
      <c r="X923">
        <v>0</v>
      </c>
      <c r="Y923">
        <v>0</v>
      </c>
      <c r="Z923">
        <v>0</v>
      </c>
      <c r="AA923">
        <v>0</v>
      </c>
      <c r="AB923">
        <v>0</v>
      </c>
      <c r="AC923">
        <v>0</v>
      </c>
      <c r="AD923">
        <v>0</v>
      </c>
      <c r="AE923">
        <v>0</v>
      </c>
      <c r="AF923">
        <v>0</v>
      </c>
      <c r="AG923">
        <v>0</v>
      </c>
      <c r="AH923">
        <v>0</v>
      </c>
      <c r="AI923">
        <v>0</v>
      </c>
      <c r="AJ923">
        <v>0</v>
      </c>
      <c r="AK923">
        <v>0</v>
      </c>
      <c r="AL923">
        <v>0</v>
      </c>
      <c r="AM923">
        <v>0</v>
      </c>
    </row>
    <row r="924" spans="1:39" x14ac:dyDescent="0.35">
      <c r="A924" t="s">
        <v>174</v>
      </c>
      <c r="B924" t="s">
        <v>482</v>
      </c>
      <c r="C924" t="s">
        <v>176</v>
      </c>
      <c r="D924" t="s">
        <v>315</v>
      </c>
      <c r="E924" t="s">
        <v>1196</v>
      </c>
      <c r="F924" t="s">
        <v>179</v>
      </c>
      <c r="G924" t="s">
        <v>1256</v>
      </c>
      <c r="H924" t="s">
        <v>35</v>
      </c>
      <c r="I924">
        <v>0</v>
      </c>
      <c r="J924">
        <v>0</v>
      </c>
      <c r="K924">
        <v>0</v>
      </c>
      <c r="L924">
        <v>0</v>
      </c>
      <c r="M924">
        <v>0</v>
      </c>
      <c r="N924">
        <v>0</v>
      </c>
      <c r="O924">
        <v>0</v>
      </c>
      <c r="P924">
        <v>0</v>
      </c>
      <c r="Q924">
        <v>0</v>
      </c>
      <c r="R924">
        <v>0</v>
      </c>
      <c r="S924">
        <v>0</v>
      </c>
      <c r="T924">
        <v>0</v>
      </c>
      <c r="U924">
        <v>0</v>
      </c>
      <c r="V924">
        <v>0</v>
      </c>
      <c r="W924">
        <v>0</v>
      </c>
      <c r="X924">
        <v>0</v>
      </c>
      <c r="Y924">
        <v>0</v>
      </c>
      <c r="Z924">
        <v>0</v>
      </c>
      <c r="AA924">
        <v>0</v>
      </c>
      <c r="AB924">
        <v>0</v>
      </c>
      <c r="AC924">
        <v>0</v>
      </c>
      <c r="AD924">
        <v>0</v>
      </c>
      <c r="AE924">
        <v>0</v>
      </c>
      <c r="AF924">
        <v>0</v>
      </c>
      <c r="AG924">
        <v>0</v>
      </c>
      <c r="AH924">
        <v>0</v>
      </c>
      <c r="AI924">
        <v>0</v>
      </c>
      <c r="AJ924">
        <v>0</v>
      </c>
      <c r="AK924">
        <v>0</v>
      </c>
      <c r="AL924">
        <v>0</v>
      </c>
      <c r="AM924">
        <v>0</v>
      </c>
    </row>
    <row r="925" spans="1:39" x14ac:dyDescent="0.35">
      <c r="A925" t="s">
        <v>174</v>
      </c>
      <c r="B925" t="s">
        <v>482</v>
      </c>
      <c r="C925" t="s">
        <v>176</v>
      </c>
      <c r="D925" t="s">
        <v>315</v>
      </c>
      <c r="E925" t="s">
        <v>1196</v>
      </c>
      <c r="F925" t="s">
        <v>179</v>
      </c>
      <c r="G925" t="s">
        <v>1252</v>
      </c>
      <c r="H925" t="s">
        <v>35</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0</v>
      </c>
      <c r="AC925">
        <v>0</v>
      </c>
      <c r="AD925">
        <v>0</v>
      </c>
      <c r="AE925">
        <v>0</v>
      </c>
      <c r="AF925">
        <v>0</v>
      </c>
      <c r="AG925">
        <v>0</v>
      </c>
      <c r="AH925">
        <v>0</v>
      </c>
      <c r="AI925">
        <v>0</v>
      </c>
      <c r="AJ925">
        <v>0</v>
      </c>
      <c r="AK925">
        <v>0</v>
      </c>
      <c r="AL925">
        <v>0</v>
      </c>
      <c r="AM925">
        <v>0</v>
      </c>
    </row>
    <row r="926" spans="1:39" x14ac:dyDescent="0.35">
      <c r="A926" t="s">
        <v>174</v>
      </c>
      <c r="B926" t="s">
        <v>482</v>
      </c>
      <c r="C926" t="s">
        <v>176</v>
      </c>
      <c r="D926" t="s">
        <v>315</v>
      </c>
      <c r="E926" t="s">
        <v>1196</v>
      </c>
      <c r="F926" t="s">
        <v>179</v>
      </c>
      <c r="G926" t="s">
        <v>1272</v>
      </c>
      <c r="H926" t="s">
        <v>35</v>
      </c>
      <c r="I926">
        <v>0</v>
      </c>
      <c r="J926">
        <v>0</v>
      </c>
      <c r="K926">
        <v>0</v>
      </c>
      <c r="L926">
        <v>0</v>
      </c>
      <c r="M926">
        <v>0</v>
      </c>
      <c r="N926">
        <v>0</v>
      </c>
      <c r="O926">
        <v>0</v>
      </c>
      <c r="P926">
        <v>0</v>
      </c>
      <c r="Q926">
        <v>0</v>
      </c>
      <c r="R926">
        <v>0</v>
      </c>
      <c r="S926">
        <v>0</v>
      </c>
      <c r="T926">
        <v>0</v>
      </c>
      <c r="U926">
        <v>0</v>
      </c>
      <c r="V926">
        <v>0</v>
      </c>
      <c r="W926">
        <v>0</v>
      </c>
      <c r="X926">
        <v>0</v>
      </c>
      <c r="Y926">
        <v>0</v>
      </c>
      <c r="Z926">
        <v>0</v>
      </c>
      <c r="AA926">
        <v>0</v>
      </c>
      <c r="AB926">
        <v>0</v>
      </c>
      <c r="AC926">
        <v>0</v>
      </c>
      <c r="AD926">
        <v>0</v>
      </c>
      <c r="AE926">
        <v>0</v>
      </c>
      <c r="AF926">
        <v>0</v>
      </c>
      <c r="AG926">
        <v>0</v>
      </c>
      <c r="AH926">
        <v>0</v>
      </c>
      <c r="AI926">
        <v>0</v>
      </c>
      <c r="AJ926">
        <v>0</v>
      </c>
      <c r="AK926">
        <v>0</v>
      </c>
      <c r="AL926">
        <v>0</v>
      </c>
      <c r="AM926">
        <v>0</v>
      </c>
    </row>
    <row r="927" spans="1:39" x14ac:dyDescent="0.35">
      <c r="A927" t="s">
        <v>174</v>
      </c>
      <c r="B927" t="s">
        <v>482</v>
      </c>
      <c r="C927" t="s">
        <v>176</v>
      </c>
      <c r="D927" t="s">
        <v>315</v>
      </c>
      <c r="E927" t="s">
        <v>1196</v>
      </c>
      <c r="F927" t="s">
        <v>179</v>
      </c>
      <c r="G927" t="s">
        <v>1284</v>
      </c>
      <c r="H927" t="s">
        <v>35</v>
      </c>
      <c r="I927">
        <v>0</v>
      </c>
      <c r="J927">
        <v>0</v>
      </c>
      <c r="K927">
        <v>0</v>
      </c>
      <c r="L927">
        <v>0</v>
      </c>
      <c r="M927">
        <v>0</v>
      </c>
      <c r="N927">
        <v>0</v>
      </c>
      <c r="O927">
        <v>0</v>
      </c>
      <c r="P927">
        <v>0</v>
      </c>
      <c r="Q927">
        <v>0</v>
      </c>
      <c r="R927">
        <v>0</v>
      </c>
      <c r="S927">
        <v>0</v>
      </c>
      <c r="T927">
        <v>0</v>
      </c>
      <c r="U927">
        <v>0</v>
      </c>
      <c r="V927">
        <v>0</v>
      </c>
      <c r="W927">
        <v>0</v>
      </c>
      <c r="X927">
        <v>0</v>
      </c>
      <c r="Y927">
        <v>0</v>
      </c>
      <c r="Z927">
        <v>0</v>
      </c>
      <c r="AA927">
        <v>0</v>
      </c>
      <c r="AB927">
        <v>0</v>
      </c>
      <c r="AC927">
        <v>0</v>
      </c>
      <c r="AD927">
        <v>0</v>
      </c>
      <c r="AE927">
        <v>0</v>
      </c>
      <c r="AF927">
        <v>0</v>
      </c>
      <c r="AG927">
        <v>0</v>
      </c>
      <c r="AH927">
        <v>0</v>
      </c>
      <c r="AI927">
        <v>0</v>
      </c>
      <c r="AJ927">
        <v>0</v>
      </c>
      <c r="AK927">
        <v>0</v>
      </c>
      <c r="AL927">
        <v>0</v>
      </c>
      <c r="AM927">
        <v>0</v>
      </c>
    </row>
    <row r="928" spans="1:39" x14ac:dyDescent="0.35">
      <c r="A928" t="s">
        <v>174</v>
      </c>
      <c r="B928" t="s">
        <v>482</v>
      </c>
      <c r="C928" t="s">
        <v>176</v>
      </c>
      <c r="D928" t="s">
        <v>315</v>
      </c>
      <c r="E928" t="s">
        <v>1196</v>
      </c>
      <c r="F928" t="s">
        <v>179</v>
      </c>
      <c r="G928" t="s">
        <v>695</v>
      </c>
      <c r="H928" t="s">
        <v>35</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c r="AE928">
        <v>0</v>
      </c>
      <c r="AF928">
        <v>0</v>
      </c>
      <c r="AG928">
        <v>0</v>
      </c>
      <c r="AH928">
        <v>0</v>
      </c>
      <c r="AI928">
        <v>0</v>
      </c>
      <c r="AJ928">
        <v>0</v>
      </c>
      <c r="AK928">
        <v>0</v>
      </c>
      <c r="AL928">
        <v>0</v>
      </c>
      <c r="AM928">
        <v>0</v>
      </c>
    </row>
    <row r="929" spans="1:39" x14ac:dyDescent="0.35">
      <c r="A929" t="s">
        <v>174</v>
      </c>
      <c r="B929" t="s">
        <v>482</v>
      </c>
      <c r="C929" t="s">
        <v>176</v>
      </c>
      <c r="D929" t="s">
        <v>315</v>
      </c>
      <c r="E929" t="s">
        <v>1196</v>
      </c>
      <c r="F929" t="s">
        <v>179</v>
      </c>
      <c r="G929" t="s">
        <v>889</v>
      </c>
      <c r="H929" t="s">
        <v>35</v>
      </c>
      <c r="I929">
        <v>0</v>
      </c>
      <c r="J929">
        <v>0</v>
      </c>
      <c r="K929">
        <v>0</v>
      </c>
      <c r="L929">
        <v>0</v>
      </c>
      <c r="M929">
        <v>0</v>
      </c>
      <c r="N929">
        <v>0</v>
      </c>
      <c r="O929">
        <v>0</v>
      </c>
      <c r="P929">
        <v>0</v>
      </c>
      <c r="Q929">
        <v>0</v>
      </c>
      <c r="R929">
        <v>0</v>
      </c>
      <c r="S929">
        <v>0</v>
      </c>
      <c r="T929">
        <v>0</v>
      </c>
      <c r="U929">
        <v>0</v>
      </c>
      <c r="V929">
        <v>0</v>
      </c>
      <c r="W929">
        <v>0</v>
      </c>
      <c r="X929">
        <v>0</v>
      </c>
      <c r="Y929">
        <v>0</v>
      </c>
      <c r="Z929">
        <v>0</v>
      </c>
      <c r="AA929">
        <v>0</v>
      </c>
      <c r="AB929">
        <v>0</v>
      </c>
      <c r="AC929">
        <v>0</v>
      </c>
      <c r="AD929">
        <v>0</v>
      </c>
      <c r="AE929">
        <v>0</v>
      </c>
      <c r="AF929">
        <v>0</v>
      </c>
      <c r="AG929">
        <v>0</v>
      </c>
      <c r="AH929">
        <v>0</v>
      </c>
      <c r="AI929">
        <v>0</v>
      </c>
      <c r="AJ929">
        <v>0</v>
      </c>
      <c r="AK929">
        <v>0</v>
      </c>
      <c r="AL929">
        <v>0</v>
      </c>
      <c r="AM929">
        <v>0</v>
      </c>
    </row>
    <row r="930" spans="1:39" x14ac:dyDescent="0.35">
      <c r="A930" t="s">
        <v>174</v>
      </c>
      <c r="B930" t="s">
        <v>482</v>
      </c>
      <c r="C930" t="s">
        <v>176</v>
      </c>
      <c r="D930" t="s">
        <v>315</v>
      </c>
      <c r="E930" t="s">
        <v>1196</v>
      </c>
      <c r="F930" t="s">
        <v>179</v>
      </c>
      <c r="G930" t="s">
        <v>897</v>
      </c>
      <c r="H930" t="s">
        <v>35</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c r="AD930">
        <v>0</v>
      </c>
      <c r="AE930">
        <v>0</v>
      </c>
      <c r="AF930">
        <v>0</v>
      </c>
      <c r="AG930">
        <v>0</v>
      </c>
      <c r="AH930">
        <v>0</v>
      </c>
      <c r="AI930">
        <v>0</v>
      </c>
      <c r="AJ930">
        <v>0</v>
      </c>
      <c r="AK930">
        <v>0</v>
      </c>
      <c r="AL930">
        <v>0</v>
      </c>
      <c r="AM930">
        <v>0</v>
      </c>
    </row>
    <row r="931" spans="1:39" x14ac:dyDescent="0.35">
      <c r="A931" t="s">
        <v>174</v>
      </c>
      <c r="B931" t="s">
        <v>482</v>
      </c>
      <c r="C931" t="s">
        <v>176</v>
      </c>
      <c r="D931" t="s">
        <v>315</v>
      </c>
      <c r="E931" t="s">
        <v>1196</v>
      </c>
      <c r="F931" t="s">
        <v>179</v>
      </c>
      <c r="G931" t="s">
        <v>893</v>
      </c>
      <c r="H931" t="s">
        <v>35</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c r="AD931">
        <v>0</v>
      </c>
      <c r="AE931">
        <v>0</v>
      </c>
      <c r="AF931">
        <v>0</v>
      </c>
      <c r="AG931">
        <v>0</v>
      </c>
      <c r="AH931">
        <v>0</v>
      </c>
      <c r="AI931">
        <v>0</v>
      </c>
      <c r="AJ931">
        <v>0</v>
      </c>
      <c r="AK931">
        <v>0</v>
      </c>
      <c r="AL931">
        <v>0</v>
      </c>
      <c r="AM931">
        <v>0</v>
      </c>
    </row>
    <row r="932" spans="1:39" x14ac:dyDescent="0.35">
      <c r="A932" t="s">
        <v>174</v>
      </c>
      <c r="B932" t="s">
        <v>482</v>
      </c>
      <c r="C932" t="s">
        <v>176</v>
      </c>
      <c r="D932" t="s">
        <v>315</v>
      </c>
      <c r="E932" t="s">
        <v>1194</v>
      </c>
      <c r="F932" t="s">
        <v>182</v>
      </c>
      <c r="G932" t="s">
        <v>885</v>
      </c>
      <c r="H932" t="s">
        <v>35</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0</v>
      </c>
      <c r="AC932">
        <v>0</v>
      </c>
      <c r="AD932">
        <v>0</v>
      </c>
      <c r="AE932">
        <v>0</v>
      </c>
      <c r="AF932">
        <v>0</v>
      </c>
      <c r="AG932">
        <v>0</v>
      </c>
      <c r="AH932">
        <v>0</v>
      </c>
      <c r="AI932">
        <v>0</v>
      </c>
      <c r="AJ932">
        <v>0</v>
      </c>
      <c r="AK932">
        <v>0</v>
      </c>
      <c r="AL932">
        <v>0</v>
      </c>
      <c r="AM932">
        <v>0</v>
      </c>
    </row>
    <row r="933" spans="1:39" x14ac:dyDescent="0.35">
      <c r="A933" t="s">
        <v>174</v>
      </c>
      <c r="B933" t="s">
        <v>482</v>
      </c>
      <c r="C933" t="s">
        <v>176</v>
      </c>
      <c r="D933" t="s">
        <v>315</v>
      </c>
      <c r="E933" t="s">
        <v>1194</v>
      </c>
      <c r="F933" t="s">
        <v>182</v>
      </c>
      <c r="G933" t="s">
        <v>726</v>
      </c>
      <c r="H933" t="s">
        <v>35</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c r="AD933">
        <v>0</v>
      </c>
      <c r="AE933">
        <v>0</v>
      </c>
      <c r="AF933">
        <v>0</v>
      </c>
      <c r="AG933">
        <v>0</v>
      </c>
      <c r="AH933">
        <v>0</v>
      </c>
      <c r="AI933">
        <v>0</v>
      </c>
      <c r="AJ933">
        <v>0</v>
      </c>
      <c r="AK933">
        <v>0</v>
      </c>
      <c r="AL933">
        <v>0</v>
      </c>
      <c r="AM933">
        <v>0</v>
      </c>
    </row>
    <row r="934" spans="1:39" x14ac:dyDescent="0.35">
      <c r="A934" t="s">
        <v>174</v>
      </c>
      <c r="B934" t="s">
        <v>482</v>
      </c>
      <c r="C934" t="s">
        <v>176</v>
      </c>
      <c r="D934" t="s">
        <v>315</v>
      </c>
      <c r="E934" t="s">
        <v>1194</v>
      </c>
      <c r="F934" t="s">
        <v>182</v>
      </c>
      <c r="G934" t="s">
        <v>881</v>
      </c>
      <c r="H934" t="s">
        <v>35</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0</v>
      </c>
      <c r="AC934">
        <v>0</v>
      </c>
      <c r="AD934">
        <v>0</v>
      </c>
      <c r="AE934">
        <v>0</v>
      </c>
      <c r="AF934">
        <v>0</v>
      </c>
      <c r="AG934">
        <v>0</v>
      </c>
      <c r="AH934">
        <v>0</v>
      </c>
      <c r="AI934">
        <v>0</v>
      </c>
      <c r="AJ934">
        <v>0</v>
      </c>
      <c r="AK934">
        <v>0</v>
      </c>
      <c r="AL934">
        <v>0</v>
      </c>
      <c r="AM934">
        <v>0</v>
      </c>
    </row>
    <row r="935" spans="1:39" x14ac:dyDescent="0.35">
      <c r="A935" t="s">
        <v>174</v>
      </c>
      <c r="B935" t="s">
        <v>482</v>
      </c>
      <c r="C935" t="s">
        <v>176</v>
      </c>
      <c r="D935" t="s">
        <v>315</v>
      </c>
      <c r="E935" t="s">
        <v>1194</v>
      </c>
      <c r="F935" t="s">
        <v>180</v>
      </c>
      <c r="G935" t="s">
        <v>883</v>
      </c>
      <c r="H935" t="s">
        <v>35</v>
      </c>
      <c r="I935">
        <v>0</v>
      </c>
      <c r="J935">
        <v>0</v>
      </c>
      <c r="K935">
        <v>0</v>
      </c>
      <c r="L935">
        <v>0</v>
      </c>
      <c r="M935">
        <v>0</v>
      </c>
      <c r="N935">
        <v>0</v>
      </c>
      <c r="O935">
        <v>0</v>
      </c>
      <c r="P935">
        <v>0</v>
      </c>
      <c r="Q935">
        <v>0</v>
      </c>
      <c r="R935">
        <v>0</v>
      </c>
      <c r="S935">
        <v>0</v>
      </c>
      <c r="T935">
        <v>0</v>
      </c>
      <c r="U935">
        <v>0</v>
      </c>
      <c r="V935">
        <v>0</v>
      </c>
      <c r="W935">
        <v>0</v>
      </c>
      <c r="X935">
        <v>0</v>
      </c>
      <c r="Y935">
        <v>0</v>
      </c>
      <c r="Z935">
        <v>0</v>
      </c>
      <c r="AA935">
        <v>0</v>
      </c>
      <c r="AB935">
        <v>0</v>
      </c>
      <c r="AC935">
        <v>0</v>
      </c>
      <c r="AD935">
        <v>0</v>
      </c>
      <c r="AE935">
        <v>0</v>
      </c>
      <c r="AF935">
        <v>0</v>
      </c>
      <c r="AG935">
        <v>0</v>
      </c>
      <c r="AH935">
        <v>0</v>
      </c>
      <c r="AI935">
        <v>0</v>
      </c>
      <c r="AJ935">
        <v>0</v>
      </c>
      <c r="AK935">
        <v>0</v>
      </c>
      <c r="AL935">
        <v>0</v>
      </c>
      <c r="AM935">
        <v>0</v>
      </c>
    </row>
    <row r="936" spans="1:39" x14ac:dyDescent="0.35">
      <c r="A936" t="s">
        <v>174</v>
      </c>
      <c r="B936" t="s">
        <v>482</v>
      </c>
      <c r="C936" t="s">
        <v>176</v>
      </c>
      <c r="D936" t="s">
        <v>315</v>
      </c>
      <c r="E936" t="s">
        <v>1194</v>
      </c>
      <c r="F936" t="s">
        <v>180</v>
      </c>
      <c r="G936" t="s">
        <v>724</v>
      </c>
      <c r="H936" t="s">
        <v>35</v>
      </c>
      <c r="I936">
        <v>0</v>
      </c>
      <c r="J936">
        <v>0</v>
      </c>
      <c r="K936">
        <v>0</v>
      </c>
      <c r="L936">
        <v>0</v>
      </c>
      <c r="M936">
        <v>0</v>
      </c>
      <c r="N936">
        <v>0</v>
      </c>
      <c r="O936">
        <v>0</v>
      </c>
      <c r="P936">
        <v>0</v>
      </c>
      <c r="Q936">
        <v>0</v>
      </c>
      <c r="R936">
        <v>0</v>
      </c>
      <c r="S936">
        <v>0</v>
      </c>
      <c r="T936">
        <v>0</v>
      </c>
      <c r="U936">
        <v>0</v>
      </c>
      <c r="V936">
        <v>0</v>
      </c>
      <c r="W936">
        <v>0</v>
      </c>
      <c r="X936">
        <v>0</v>
      </c>
      <c r="Y936">
        <v>0</v>
      </c>
      <c r="Z936">
        <v>0</v>
      </c>
      <c r="AA936">
        <v>0</v>
      </c>
      <c r="AB936">
        <v>0</v>
      </c>
      <c r="AC936">
        <v>0</v>
      </c>
      <c r="AD936">
        <v>0</v>
      </c>
      <c r="AE936">
        <v>0</v>
      </c>
      <c r="AF936">
        <v>0</v>
      </c>
      <c r="AG936">
        <v>0</v>
      </c>
      <c r="AH936">
        <v>0</v>
      </c>
      <c r="AI936">
        <v>0</v>
      </c>
      <c r="AJ936">
        <v>0</v>
      </c>
      <c r="AK936">
        <v>0</v>
      </c>
      <c r="AL936">
        <v>0</v>
      </c>
      <c r="AM936">
        <v>0</v>
      </c>
    </row>
    <row r="937" spans="1:39" x14ac:dyDescent="0.35">
      <c r="A937" t="s">
        <v>174</v>
      </c>
      <c r="B937" t="s">
        <v>482</v>
      </c>
      <c r="C937" t="s">
        <v>176</v>
      </c>
      <c r="D937" t="s">
        <v>315</v>
      </c>
      <c r="E937" t="s">
        <v>1194</v>
      </c>
      <c r="F937" t="s">
        <v>180</v>
      </c>
      <c r="G937" t="s">
        <v>879</v>
      </c>
      <c r="H937" t="s">
        <v>35</v>
      </c>
      <c r="I937">
        <v>0.43196099447281594</v>
      </c>
      <c r="J937">
        <v>0.42693819221150414</v>
      </c>
      <c r="K937">
        <v>1.2833259777651682</v>
      </c>
      <c r="L937">
        <v>8.2876237311644924E-2</v>
      </c>
      <c r="M937">
        <v>0</v>
      </c>
      <c r="N937">
        <v>0.40935838429691279</v>
      </c>
      <c r="O937">
        <v>73.862818653720865</v>
      </c>
      <c r="P937">
        <v>0</v>
      </c>
      <c r="Q937">
        <v>0</v>
      </c>
      <c r="R937">
        <v>0</v>
      </c>
      <c r="S937">
        <v>0</v>
      </c>
      <c r="T937">
        <v>0.42693819221150414</v>
      </c>
      <c r="U937">
        <v>1.7077527688460166</v>
      </c>
      <c r="V937">
        <v>0.39428997751297734</v>
      </c>
      <c r="W937">
        <v>0</v>
      </c>
      <c r="X937">
        <v>0</v>
      </c>
      <c r="Y937">
        <v>0</v>
      </c>
      <c r="Z937">
        <v>0</v>
      </c>
      <c r="AA937">
        <v>0</v>
      </c>
      <c r="AB937">
        <v>0</v>
      </c>
      <c r="AC937">
        <v>0</v>
      </c>
      <c r="AD937">
        <v>0</v>
      </c>
      <c r="AE937">
        <v>0</v>
      </c>
      <c r="AF937">
        <v>0</v>
      </c>
      <c r="AG937">
        <v>0</v>
      </c>
      <c r="AH937">
        <v>0</v>
      </c>
      <c r="AI937">
        <v>0</v>
      </c>
      <c r="AJ937">
        <v>0</v>
      </c>
      <c r="AK937">
        <v>0</v>
      </c>
      <c r="AL937">
        <v>0</v>
      </c>
      <c r="AM937">
        <v>0</v>
      </c>
    </row>
    <row r="938" spans="1:39" x14ac:dyDescent="0.35">
      <c r="A938" t="s">
        <v>174</v>
      </c>
      <c r="B938" t="s">
        <v>482</v>
      </c>
      <c r="C938" t="s">
        <v>176</v>
      </c>
      <c r="D938" t="s">
        <v>315</v>
      </c>
      <c r="E938" t="s">
        <v>1194</v>
      </c>
      <c r="F938" t="s">
        <v>181</v>
      </c>
      <c r="G938" t="s">
        <v>884</v>
      </c>
      <c r="H938" t="s">
        <v>35</v>
      </c>
      <c r="I938">
        <v>0</v>
      </c>
      <c r="J938">
        <v>0</v>
      </c>
      <c r="K938">
        <v>0</v>
      </c>
      <c r="L938">
        <v>0</v>
      </c>
      <c r="M938">
        <v>0</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c r="AI938">
        <v>0</v>
      </c>
      <c r="AJ938">
        <v>0</v>
      </c>
      <c r="AK938">
        <v>0</v>
      </c>
      <c r="AL938">
        <v>0</v>
      </c>
      <c r="AM938">
        <v>0</v>
      </c>
    </row>
    <row r="939" spans="1:39" x14ac:dyDescent="0.35">
      <c r="A939" t="s">
        <v>174</v>
      </c>
      <c r="B939" t="s">
        <v>482</v>
      </c>
      <c r="C939" t="s">
        <v>176</v>
      </c>
      <c r="D939" t="s">
        <v>315</v>
      </c>
      <c r="E939" t="s">
        <v>1194</v>
      </c>
      <c r="F939" t="s">
        <v>181</v>
      </c>
      <c r="G939" t="s">
        <v>725</v>
      </c>
      <c r="H939" t="s">
        <v>35</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0</v>
      </c>
      <c r="AI939">
        <v>0</v>
      </c>
      <c r="AJ939">
        <v>0</v>
      </c>
      <c r="AK939">
        <v>0</v>
      </c>
      <c r="AL939">
        <v>0</v>
      </c>
      <c r="AM939">
        <v>0</v>
      </c>
    </row>
    <row r="940" spans="1:39" x14ac:dyDescent="0.35">
      <c r="A940" t="s">
        <v>174</v>
      </c>
      <c r="B940" t="s">
        <v>482</v>
      </c>
      <c r="C940" t="s">
        <v>176</v>
      </c>
      <c r="D940" t="s">
        <v>315</v>
      </c>
      <c r="E940" t="s">
        <v>1194</v>
      </c>
      <c r="F940" t="s">
        <v>181</v>
      </c>
      <c r="G940" t="s">
        <v>880</v>
      </c>
      <c r="H940" t="s">
        <v>35</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c r="AE940">
        <v>0</v>
      </c>
      <c r="AF940">
        <v>0</v>
      </c>
      <c r="AG940">
        <v>0</v>
      </c>
      <c r="AH940">
        <v>0</v>
      </c>
      <c r="AI940">
        <v>0</v>
      </c>
      <c r="AJ940">
        <v>0</v>
      </c>
      <c r="AK940">
        <v>0</v>
      </c>
      <c r="AL940">
        <v>0</v>
      </c>
      <c r="AM940">
        <v>0</v>
      </c>
    </row>
    <row r="941" spans="1:39" x14ac:dyDescent="0.35">
      <c r="A941" t="s">
        <v>174</v>
      </c>
      <c r="B941" t="s">
        <v>482</v>
      </c>
      <c r="C941" t="s">
        <v>176</v>
      </c>
      <c r="D941" t="s">
        <v>315</v>
      </c>
      <c r="E941" t="s">
        <v>1194</v>
      </c>
      <c r="F941" t="s">
        <v>179</v>
      </c>
      <c r="G941" t="s">
        <v>882</v>
      </c>
      <c r="H941" t="s">
        <v>35</v>
      </c>
      <c r="I941">
        <v>0</v>
      </c>
      <c r="J941">
        <v>0</v>
      </c>
      <c r="K941">
        <v>0</v>
      </c>
      <c r="L941">
        <v>0</v>
      </c>
      <c r="M941">
        <v>0</v>
      </c>
      <c r="N941">
        <v>0</v>
      </c>
      <c r="O941">
        <v>0</v>
      </c>
      <c r="P941">
        <v>0</v>
      </c>
      <c r="Q941">
        <v>0</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0</v>
      </c>
      <c r="AL941">
        <v>0</v>
      </c>
      <c r="AM941">
        <v>0</v>
      </c>
    </row>
    <row r="942" spans="1:39" x14ac:dyDescent="0.35">
      <c r="A942" t="s">
        <v>174</v>
      </c>
      <c r="B942" t="s">
        <v>482</v>
      </c>
      <c r="C942" t="s">
        <v>176</v>
      </c>
      <c r="D942" t="s">
        <v>315</v>
      </c>
      <c r="E942" t="s">
        <v>1194</v>
      </c>
      <c r="F942" t="s">
        <v>179</v>
      </c>
      <c r="G942" t="s">
        <v>723</v>
      </c>
      <c r="H942" t="s">
        <v>35</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c r="AE942">
        <v>0</v>
      </c>
      <c r="AF942">
        <v>0</v>
      </c>
      <c r="AG942">
        <v>0</v>
      </c>
      <c r="AH942">
        <v>0</v>
      </c>
      <c r="AI942">
        <v>0</v>
      </c>
      <c r="AJ942">
        <v>0</v>
      </c>
      <c r="AK942">
        <v>0</v>
      </c>
      <c r="AL942">
        <v>0</v>
      </c>
      <c r="AM942">
        <v>0</v>
      </c>
    </row>
    <row r="943" spans="1:39" x14ac:dyDescent="0.35">
      <c r="A943" t="s">
        <v>174</v>
      </c>
      <c r="B943" t="s">
        <v>482</v>
      </c>
      <c r="C943" t="s">
        <v>176</v>
      </c>
      <c r="D943" t="s">
        <v>315</v>
      </c>
      <c r="E943" t="s">
        <v>1194</v>
      </c>
      <c r="F943" t="s">
        <v>179</v>
      </c>
      <c r="G943" t="s">
        <v>878</v>
      </c>
      <c r="H943" t="s">
        <v>35</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c r="AD943">
        <v>0</v>
      </c>
      <c r="AE943">
        <v>0</v>
      </c>
      <c r="AF943">
        <v>0</v>
      </c>
      <c r="AG943">
        <v>0</v>
      </c>
      <c r="AH943">
        <v>0</v>
      </c>
      <c r="AI943">
        <v>0</v>
      </c>
      <c r="AJ943">
        <v>0</v>
      </c>
      <c r="AK943">
        <v>0</v>
      </c>
      <c r="AL943">
        <v>0</v>
      </c>
      <c r="AM943">
        <v>0</v>
      </c>
    </row>
    <row r="944" spans="1:39" x14ac:dyDescent="0.35">
      <c r="A944" t="s">
        <v>174</v>
      </c>
      <c r="B944" t="s">
        <v>482</v>
      </c>
      <c r="C944" t="s">
        <v>176</v>
      </c>
      <c r="D944" t="s">
        <v>315</v>
      </c>
      <c r="E944" t="s">
        <v>2</v>
      </c>
      <c r="F944" t="s">
        <v>182</v>
      </c>
      <c r="G944" t="s">
        <v>1271</v>
      </c>
      <c r="H944" t="s">
        <v>35</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0</v>
      </c>
      <c r="AC944">
        <v>0</v>
      </c>
      <c r="AD944">
        <v>0</v>
      </c>
      <c r="AE944">
        <v>0</v>
      </c>
      <c r="AF944">
        <v>0</v>
      </c>
      <c r="AG944">
        <v>0</v>
      </c>
      <c r="AH944">
        <v>0</v>
      </c>
      <c r="AI944">
        <v>0</v>
      </c>
      <c r="AJ944">
        <v>0</v>
      </c>
      <c r="AK944">
        <v>0</v>
      </c>
      <c r="AL944">
        <v>0</v>
      </c>
      <c r="AM944">
        <v>0</v>
      </c>
    </row>
    <row r="945" spans="1:39" x14ac:dyDescent="0.35">
      <c r="A945" t="s">
        <v>174</v>
      </c>
      <c r="B945" t="s">
        <v>482</v>
      </c>
      <c r="C945" t="s">
        <v>176</v>
      </c>
      <c r="D945" t="s">
        <v>315</v>
      </c>
      <c r="E945" t="s">
        <v>2</v>
      </c>
      <c r="F945" t="s">
        <v>182</v>
      </c>
      <c r="G945" t="s">
        <v>1283</v>
      </c>
      <c r="H945" t="s">
        <v>35</v>
      </c>
      <c r="I945">
        <v>0</v>
      </c>
      <c r="J945">
        <v>0</v>
      </c>
      <c r="K945">
        <v>0</v>
      </c>
      <c r="L945">
        <v>0</v>
      </c>
      <c r="M945">
        <v>0</v>
      </c>
      <c r="N945">
        <v>0</v>
      </c>
      <c r="O945">
        <v>0</v>
      </c>
      <c r="P945">
        <v>0</v>
      </c>
      <c r="Q945">
        <v>0</v>
      </c>
      <c r="R945">
        <v>0</v>
      </c>
      <c r="S945">
        <v>0</v>
      </c>
      <c r="T945">
        <v>0</v>
      </c>
      <c r="U945">
        <v>0</v>
      </c>
      <c r="V945">
        <v>0</v>
      </c>
      <c r="W945">
        <v>0</v>
      </c>
      <c r="X945">
        <v>0</v>
      </c>
      <c r="Y945">
        <v>0</v>
      </c>
      <c r="Z945">
        <v>0</v>
      </c>
      <c r="AA945">
        <v>0</v>
      </c>
      <c r="AB945">
        <v>0</v>
      </c>
      <c r="AC945">
        <v>0</v>
      </c>
      <c r="AD945">
        <v>0</v>
      </c>
      <c r="AE945">
        <v>0</v>
      </c>
      <c r="AF945">
        <v>0</v>
      </c>
      <c r="AG945">
        <v>0</v>
      </c>
      <c r="AH945">
        <v>0</v>
      </c>
      <c r="AI945">
        <v>0</v>
      </c>
      <c r="AJ945">
        <v>0</v>
      </c>
      <c r="AK945">
        <v>0</v>
      </c>
      <c r="AL945">
        <v>0</v>
      </c>
      <c r="AM945">
        <v>0</v>
      </c>
    </row>
    <row r="946" spans="1:39" x14ac:dyDescent="0.35">
      <c r="A946" t="s">
        <v>174</v>
      </c>
      <c r="B946" t="s">
        <v>482</v>
      </c>
      <c r="C946" t="s">
        <v>176</v>
      </c>
      <c r="D946" t="s">
        <v>315</v>
      </c>
      <c r="E946" t="s">
        <v>2</v>
      </c>
      <c r="F946" t="s">
        <v>182</v>
      </c>
      <c r="G946" t="s">
        <v>1295</v>
      </c>
      <c r="H946" t="s">
        <v>35</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c r="AK946">
        <v>0</v>
      </c>
      <c r="AL946">
        <v>0</v>
      </c>
      <c r="AM946">
        <v>0</v>
      </c>
    </row>
    <row r="947" spans="1:39" x14ac:dyDescent="0.35">
      <c r="A947" t="s">
        <v>174</v>
      </c>
      <c r="B947" t="s">
        <v>482</v>
      </c>
      <c r="C947" t="s">
        <v>176</v>
      </c>
      <c r="D947" t="s">
        <v>315</v>
      </c>
      <c r="E947" t="s">
        <v>2</v>
      </c>
      <c r="F947" t="s">
        <v>182</v>
      </c>
      <c r="G947" t="s">
        <v>187</v>
      </c>
      <c r="H947" t="s">
        <v>35</v>
      </c>
      <c r="I947">
        <v>0</v>
      </c>
      <c r="J947">
        <v>0</v>
      </c>
      <c r="K947">
        <v>0</v>
      </c>
      <c r="L947">
        <v>0</v>
      </c>
      <c r="M947">
        <v>0</v>
      </c>
      <c r="N947">
        <v>0</v>
      </c>
      <c r="O947">
        <v>0</v>
      </c>
      <c r="P947">
        <v>0</v>
      </c>
      <c r="Q947">
        <v>0</v>
      </c>
      <c r="R947">
        <v>0</v>
      </c>
      <c r="S947">
        <v>0</v>
      </c>
      <c r="T947">
        <v>0</v>
      </c>
      <c r="U947">
        <v>0</v>
      </c>
      <c r="V947">
        <v>0</v>
      </c>
      <c r="W947">
        <v>0</v>
      </c>
      <c r="X947">
        <v>0</v>
      </c>
      <c r="Y947">
        <v>0</v>
      </c>
      <c r="Z947">
        <v>0</v>
      </c>
      <c r="AA947">
        <v>0</v>
      </c>
      <c r="AB947">
        <v>0</v>
      </c>
      <c r="AC947">
        <v>0</v>
      </c>
      <c r="AD947">
        <v>0</v>
      </c>
      <c r="AE947">
        <v>0</v>
      </c>
      <c r="AF947">
        <v>0</v>
      </c>
      <c r="AG947">
        <v>0</v>
      </c>
      <c r="AH947">
        <v>0</v>
      </c>
      <c r="AI947">
        <v>0</v>
      </c>
      <c r="AJ947">
        <v>0</v>
      </c>
      <c r="AK947">
        <v>0</v>
      </c>
      <c r="AL947">
        <v>0</v>
      </c>
      <c r="AM947">
        <v>0</v>
      </c>
    </row>
    <row r="948" spans="1:39" x14ac:dyDescent="0.35">
      <c r="A948" t="s">
        <v>174</v>
      </c>
      <c r="B948" t="s">
        <v>482</v>
      </c>
      <c r="C948" t="s">
        <v>176</v>
      </c>
      <c r="D948" t="s">
        <v>315</v>
      </c>
      <c r="E948" t="s">
        <v>2</v>
      </c>
      <c r="F948" t="s">
        <v>182</v>
      </c>
      <c r="G948" t="s">
        <v>904</v>
      </c>
      <c r="H948" t="s">
        <v>35</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c r="AE948">
        <v>0</v>
      </c>
      <c r="AF948">
        <v>0</v>
      </c>
      <c r="AG948">
        <v>0</v>
      </c>
      <c r="AH948">
        <v>0</v>
      </c>
      <c r="AI948">
        <v>0</v>
      </c>
      <c r="AJ948">
        <v>0</v>
      </c>
      <c r="AK948">
        <v>0</v>
      </c>
      <c r="AL948">
        <v>0</v>
      </c>
      <c r="AM948">
        <v>0</v>
      </c>
    </row>
    <row r="949" spans="1:39" x14ac:dyDescent="0.35">
      <c r="A949" t="s">
        <v>174</v>
      </c>
      <c r="B949" t="s">
        <v>482</v>
      </c>
      <c r="C949" t="s">
        <v>176</v>
      </c>
      <c r="D949" t="s">
        <v>315</v>
      </c>
      <c r="E949" t="s">
        <v>2</v>
      </c>
      <c r="F949" t="s">
        <v>182</v>
      </c>
      <c r="G949" t="s">
        <v>908</v>
      </c>
      <c r="H949" t="s">
        <v>35</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c r="AD949">
        <v>0</v>
      </c>
      <c r="AE949">
        <v>0</v>
      </c>
      <c r="AF949">
        <v>0</v>
      </c>
      <c r="AG949">
        <v>0</v>
      </c>
      <c r="AH949">
        <v>0</v>
      </c>
      <c r="AI949">
        <v>0</v>
      </c>
      <c r="AJ949">
        <v>0</v>
      </c>
      <c r="AK949">
        <v>0</v>
      </c>
      <c r="AL949">
        <v>0</v>
      </c>
      <c r="AM949">
        <v>0</v>
      </c>
    </row>
    <row r="950" spans="1:39" x14ac:dyDescent="0.35">
      <c r="A950" t="s">
        <v>174</v>
      </c>
      <c r="B950" t="s">
        <v>482</v>
      </c>
      <c r="C950" t="s">
        <v>176</v>
      </c>
      <c r="D950" t="s">
        <v>315</v>
      </c>
      <c r="E950" t="s">
        <v>2</v>
      </c>
      <c r="F950" t="s">
        <v>182</v>
      </c>
      <c r="G950" t="s">
        <v>912</v>
      </c>
      <c r="H950" t="s">
        <v>35</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c r="AE950">
        <v>0</v>
      </c>
      <c r="AF950">
        <v>0</v>
      </c>
      <c r="AG950">
        <v>0</v>
      </c>
      <c r="AH950">
        <v>0</v>
      </c>
      <c r="AI950">
        <v>0</v>
      </c>
      <c r="AJ950">
        <v>0</v>
      </c>
      <c r="AK950">
        <v>0</v>
      </c>
      <c r="AL950">
        <v>0</v>
      </c>
      <c r="AM950">
        <v>0</v>
      </c>
    </row>
    <row r="951" spans="1:39" x14ac:dyDescent="0.35">
      <c r="A951" t="s">
        <v>174</v>
      </c>
      <c r="B951" t="s">
        <v>482</v>
      </c>
      <c r="C951" t="s">
        <v>176</v>
      </c>
      <c r="D951" t="s">
        <v>315</v>
      </c>
      <c r="E951" t="s">
        <v>2</v>
      </c>
      <c r="F951" t="s">
        <v>182</v>
      </c>
      <c r="G951" t="s">
        <v>865</v>
      </c>
      <c r="H951" t="s">
        <v>35</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c r="AE951">
        <v>0</v>
      </c>
      <c r="AF951">
        <v>0</v>
      </c>
      <c r="AG951">
        <v>0</v>
      </c>
      <c r="AH951">
        <v>0</v>
      </c>
      <c r="AI951">
        <v>0</v>
      </c>
      <c r="AJ951">
        <v>0</v>
      </c>
      <c r="AK951">
        <v>0</v>
      </c>
      <c r="AL951">
        <v>0</v>
      </c>
      <c r="AM951">
        <v>0</v>
      </c>
    </row>
    <row r="952" spans="1:39" x14ac:dyDescent="0.35">
      <c r="A952" t="s">
        <v>174</v>
      </c>
      <c r="B952" t="s">
        <v>482</v>
      </c>
      <c r="C952" t="s">
        <v>176</v>
      </c>
      <c r="D952" t="s">
        <v>315</v>
      </c>
      <c r="E952" t="s">
        <v>2</v>
      </c>
      <c r="F952" t="s">
        <v>180</v>
      </c>
      <c r="G952" t="s">
        <v>1269</v>
      </c>
      <c r="H952" t="s">
        <v>35</v>
      </c>
      <c r="I952">
        <v>3.7800000000000002</v>
      </c>
      <c r="J952">
        <v>0</v>
      </c>
      <c r="K952">
        <v>0</v>
      </c>
      <c r="L952">
        <v>0</v>
      </c>
      <c r="M952">
        <v>0</v>
      </c>
      <c r="N952">
        <v>0</v>
      </c>
      <c r="O952">
        <v>0</v>
      </c>
      <c r="P952">
        <v>0</v>
      </c>
      <c r="Q952">
        <v>0</v>
      </c>
      <c r="R952">
        <v>7.5600000000000005</v>
      </c>
      <c r="S952">
        <v>0</v>
      </c>
      <c r="T952">
        <v>0</v>
      </c>
      <c r="U952">
        <v>0</v>
      </c>
      <c r="V952">
        <v>0</v>
      </c>
      <c r="W952">
        <v>0</v>
      </c>
      <c r="X952">
        <v>0</v>
      </c>
      <c r="Y952">
        <v>0</v>
      </c>
      <c r="Z952">
        <v>0</v>
      </c>
      <c r="AA952">
        <v>0</v>
      </c>
      <c r="AB952">
        <v>0</v>
      </c>
      <c r="AC952">
        <v>0</v>
      </c>
      <c r="AD952">
        <v>0</v>
      </c>
      <c r="AE952">
        <v>0</v>
      </c>
      <c r="AF952">
        <v>0</v>
      </c>
      <c r="AG952">
        <v>0</v>
      </c>
      <c r="AH952">
        <v>0</v>
      </c>
      <c r="AI952">
        <v>0</v>
      </c>
      <c r="AJ952">
        <v>0</v>
      </c>
      <c r="AK952">
        <v>0</v>
      </c>
      <c r="AL952">
        <v>0</v>
      </c>
      <c r="AM952">
        <v>0</v>
      </c>
    </row>
    <row r="953" spans="1:39" x14ac:dyDescent="0.35">
      <c r="A953" t="s">
        <v>174</v>
      </c>
      <c r="B953" t="s">
        <v>482</v>
      </c>
      <c r="C953" t="s">
        <v>176</v>
      </c>
      <c r="D953" t="s">
        <v>315</v>
      </c>
      <c r="E953" t="s">
        <v>2</v>
      </c>
      <c r="F953" t="s">
        <v>180</v>
      </c>
      <c r="G953" t="s">
        <v>1281</v>
      </c>
      <c r="H953" t="s">
        <v>35</v>
      </c>
      <c r="I953">
        <v>7.5600000000000005</v>
      </c>
      <c r="J953">
        <v>0.84000000000000008</v>
      </c>
      <c r="K953">
        <v>8.4</v>
      </c>
      <c r="L953">
        <v>14.280000000000001</v>
      </c>
      <c r="M953">
        <v>5.8800000000000008</v>
      </c>
      <c r="N953">
        <v>5.8800000000000008</v>
      </c>
      <c r="O953">
        <v>10.080000000000002</v>
      </c>
      <c r="P953">
        <v>8.4</v>
      </c>
      <c r="Q953">
        <v>12.600000000000001</v>
      </c>
      <c r="R953">
        <v>0</v>
      </c>
      <c r="S953">
        <v>4.2</v>
      </c>
      <c r="T953">
        <v>26.040000000000003</v>
      </c>
      <c r="U953">
        <v>22.680000000000003</v>
      </c>
      <c r="V953">
        <v>37.800000000000004</v>
      </c>
      <c r="W953">
        <v>0</v>
      </c>
      <c r="X953">
        <v>0</v>
      </c>
      <c r="Y953">
        <v>0</v>
      </c>
      <c r="Z953">
        <v>0</v>
      </c>
      <c r="AA953">
        <v>0</v>
      </c>
      <c r="AB953">
        <v>0</v>
      </c>
      <c r="AC953">
        <v>0</v>
      </c>
      <c r="AD953">
        <v>0</v>
      </c>
      <c r="AE953">
        <v>0</v>
      </c>
      <c r="AF953">
        <v>0</v>
      </c>
      <c r="AG953">
        <v>0</v>
      </c>
      <c r="AH953">
        <v>0</v>
      </c>
      <c r="AI953">
        <v>0</v>
      </c>
      <c r="AJ953">
        <v>0</v>
      </c>
      <c r="AK953">
        <v>0</v>
      </c>
      <c r="AL953">
        <v>0</v>
      </c>
      <c r="AM953">
        <v>0</v>
      </c>
    </row>
    <row r="954" spans="1:39" x14ac:dyDescent="0.35">
      <c r="A954" t="s">
        <v>174</v>
      </c>
      <c r="B954" t="s">
        <v>482</v>
      </c>
      <c r="C954" t="s">
        <v>176</v>
      </c>
      <c r="D954" t="s">
        <v>315</v>
      </c>
      <c r="E954" t="s">
        <v>2</v>
      </c>
      <c r="F954" t="s">
        <v>180</v>
      </c>
      <c r="G954" t="s">
        <v>1293</v>
      </c>
      <c r="H954" t="s">
        <v>35</v>
      </c>
      <c r="I954">
        <v>21.240000000000002</v>
      </c>
      <c r="J954">
        <v>0</v>
      </c>
      <c r="K954">
        <v>0</v>
      </c>
      <c r="L954">
        <v>0</v>
      </c>
      <c r="M954">
        <v>0</v>
      </c>
      <c r="N954">
        <v>0</v>
      </c>
      <c r="O954">
        <v>0</v>
      </c>
      <c r="P954">
        <v>0</v>
      </c>
      <c r="Q954">
        <v>0</v>
      </c>
      <c r="R954">
        <v>25.960000000000004</v>
      </c>
      <c r="S954">
        <v>0</v>
      </c>
      <c r="T954">
        <v>0</v>
      </c>
      <c r="U954">
        <v>0</v>
      </c>
      <c r="V954">
        <v>0</v>
      </c>
      <c r="W954">
        <v>0</v>
      </c>
      <c r="X954">
        <v>0</v>
      </c>
      <c r="Y954">
        <v>0</v>
      </c>
      <c r="Z954">
        <v>0</v>
      </c>
      <c r="AA954">
        <v>0</v>
      </c>
      <c r="AB954">
        <v>0</v>
      </c>
      <c r="AC954">
        <v>0</v>
      </c>
      <c r="AD954">
        <v>0</v>
      </c>
      <c r="AE954">
        <v>0</v>
      </c>
      <c r="AF954">
        <v>0</v>
      </c>
      <c r="AG954">
        <v>0</v>
      </c>
      <c r="AH954">
        <v>0</v>
      </c>
      <c r="AI954">
        <v>0</v>
      </c>
      <c r="AJ954">
        <v>0</v>
      </c>
      <c r="AK954">
        <v>0</v>
      </c>
      <c r="AL954">
        <v>0</v>
      </c>
      <c r="AM954">
        <v>0</v>
      </c>
    </row>
    <row r="955" spans="1:39" x14ac:dyDescent="0.35">
      <c r="A955" t="s">
        <v>174</v>
      </c>
      <c r="B955" t="s">
        <v>482</v>
      </c>
      <c r="C955" t="s">
        <v>176</v>
      </c>
      <c r="D955" t="s">
        <v>315</v>
      </c>
      <c r="E955" t="s">
        <v>2</v>
      </c>
      <c r="F955" t="s">
        <v>180</v>
      </c>
      <c r="G955" t="s">
        <v>185</v>
      </c>
      <c r="H955" t="s">
        <v>35</v>
      </c>
      <c r="I955">
        <v>0</v>
      </c>
      <c r="J955">
        <v>0</v>
      </c>
      <c r="K955">
        <v>0</v>
      </c>
      <c r="L955">
        <v>0</v>
      </c>
      <c r="M955">
        <v>0</v>
      </c>
      <c r="N955">
        <v>0</v>
      </c>
      <c r="O955">
        <v>0</v>
      </c>
      <c r="P955">
        <v>0</v>
      </c>
      <c r="Q955">
        <v>0</v>
      </c>
      <c r="R955">
        <v>0</v>
      </c>
      <c r="S955">
        <v>0</v>
      </c>
      <c r="T955">
        <v>0</v>
      </c>
      <c r="U955">
        <v>0</v>
      </c>
      <c r="V955">
        <v>0</v>
      </c>
      <c r="W955">
        <v>0</v>
      </c>
      <c r="X955">
        <v>0</v>
      </c>
      <c r="Y955">
        <v>0</v>
      </c>
      <c r="Z955">
        <v>0</v>
      </c>
      <c r="AA955">
        <v>0</v>
      </c>
      <c r="AB955">
        <v>0</v>
      </c>
      <c r="AC955">
        <v>0</v>
      </c>
      <c r="AD955">
        <v>0</v>
      </c>
      <c r="AE955">
        <v>0</v>
      </c>
      <c r="AF955">
        <v>0</v>
      </c>
      <c r="AG955">
        <v>0</v>
      </c>
      <c r="AH955">
        <v>0</v>
      </c>
      <c r="AI955">
        <v>0</v>
      </c>
      <c r="AJ955">
        <v>0</v>
      </c>
      <c r="AK955">
        <v>0</v>
      </c>
      <c r="AL955">
        <v>0</v>
      </c>
      <c r="AM955">
        <v>0</v>
      </c>
    </row>
    <row r="956" spans="1:39" x14ac:dyDescent="0.35">
      <c r="A956" t="s">
        <v>174</v>
      </c>
      <c r="B956" t="s">
        <v>482</v>
      </c>
      <c r="C956" t="s">
        <v>176</v>
      </c>
      <c r="D956" t="s">
        <v>315</v>
      </c>
      <c r="E956" t="s">
        <v>2</v>
      </c>
      <c r="F956" t="s">
        <v>180</v>
      </c>
      <c r="G956" t="s">
        <v>902</v>
      </c>
      <c r="H956" t="s">
        <v>35</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c r="AD956">
        <v>0</v>
      </c>
      <c r="AE956">
        <v>0</v>
      </c>
      <c r="AF956">
        <v>0</v>
      </c>
      <c r="AG956">
        <v>0</v>
      </c>
      <c r="AH956">
        <v>0</v>
      </c>
      <c r="AI956">
        <v>0</v>
      </c>
      <c r="AJ956">
        <v>0</v>
      </c>
      <c r="AK956">
        <v>0</v>
      </c>
      <c r="AL956">
        <v>0</v>
      </c>
      <c r="AM956">
        <v>0</v>
      </c>
    </row>
    <row r="957" spans="1:39" x14ac:dyDescent="0.35">
      <c r="A957" t="s">
        <v>174</v>
      </c>
      <c r="B957" t="s">
        <v>482</v>
      </c>
      <c r="C957" t="s">
        <v>176</v>
      </c>
      <c r="D957" t="s">
        <v>315</v>
      </c>
      <c r="E957" t="s">
        <v>2</v>
      </c>
      <c r="F957" t="s">
        <v>180</v>
      </c>
      <c r="G957" t="s">
        <v>906</v>
      </c>
      <c r="H957" t="s">
        <v>35</v>
      </c>
      <c r="I957">
        <v>0</v>
      </c>
      <c r="J957">
        <v>0</v>
      </c>
      <c r="K957">
        <v>0</v>
      </c>
      <c r="L957">
        <v>0</v>
      </c>
      <c r="M957">
        <v>44.08</v>
      </c>
      <c r="N957">
        <v>0</v>
      </c>
      <c r="O957">
        <v>0</v>
      </c>
      <c r="P957">
        <v>0</v>
      </c>
      <c r="Q957">
        <v>0</v>
      </c>
      <c r="R957">
        <v>0</v>
      </c>
      <c r="S957">
        <v>0</v>
      </c>
      <c r="T957">
        <v>49.76</v>
      </c>
      <c r="U957">
        <v>25.28</v>
      </c>
      <c r="V957">
        <v>16.080000000000002</v>
      </c>
      <c r="W957">
        <v>0</v>
      </c>
      <c r="X957">
        <v>0</v>
      </c>
      <c r="Y957">
        <v>0</v>
      </c>
      <c r="Z957">
        <v>0</v>
      </c>
      <c r="AA957">
        <v>0</v>
      </c>
      <c r="AB957">
        <v>0</v>
      </c>
      <c r="AC957">
        <v>0</v>
      </c>
      <c r="AD957">
        <v>0</v>
      </c>
      <c r="AE957">
        <v>0</v>
      </c>
      <c r="AF957">
        <v>0</v>
      </c>
      <c r="AG957">
        <v>0</v>
      </c>
      <c r="AH957">
        <v>0</v>
      </c>
      <c r="AI957">
        <v>0</v>
      </c>
      <c r="AJ957">
        <v>0</v>
      </c>
      <c r="AK957">
        <v>0</v>
      </c>
      <c r="AL957">
        <v>0</v>
      </c>
      <c r="AM957">
        <v>0</v>
      </c>
    </row>
    <row r="958" spans="1:39" x14ac:dyDescent="0.35">
      <c r="A958" t="s">
        <v>174</v>
      </c>
      <c r="B958" t="s">
        <v>482</v>
      </c>
      <c r="C958" t="s">
        <v>176</v>
      </c>
      <c r="D958" t="s">
        <v>315</v>
      </c>
      <c r="E958" t="s">
        <v>2</v>
      </c>
      <c r="F958" t="s">
        <v>180</v>
      </c>
      <c r="G958" t="s">
        <v>910</v>
      </c>
      <c r="H958" t="s">
        <v>35</v>
      </c>
      <c r="I958">
        <v>0</v>
      </c>
      <c r="J958">
        <v>0</v>
      </c>
      <c r="K958">
        <v>0</v>
      </c>
      <c r="L958">
        <v>0</v>
      </c>
      <c r="M958">
        <v>0</v>
      </c>
      <c r="N958">
        <v>0</v>
      </c>
      <c r="O958">
        <v>0</v>
      </c>
      <c r="P958">
        <v>0</v>
      </c>
      <c r="Q958">
        <v>0</v>
      </c>
      <c r="R958">
        <v>148.20000000000002</v>
      </c>
      <c r="S958">
        <v>0</v>
      </c>
      <c r="T958">
        <v>0</v>
      </c>
      <c r="U958">
        <v>0</v>
      </c>
      <c r="V958">
        <v>0</v>
      </c>
      <c r="W958">
        <v>0</v>
      </c>
      <c r="X958">
        <v>0</v>
      </c>
      <c r="Y958">
        <v>0</v>
      </c>
      <c r="Z958">
        <v>0</v>
      </c>
      <c r="AA958">
        <v>0</v>
      </c>
      <c r="AB958">
        <v>0</v>
      </c>
      <c r="AC958">
        <v>0</v>
      </c>
      <c r="AD958">
        <v>0</v>
      </c>
      <c r="AE958">
        <v>0</v>
      </c>
      <c r="AF958">
        <v>0</v>
      </c>
      <c r="AG958">
        <v>0</v>
      </c>
      <c r="AH958">
        <v>0</v>
      </c>
      <c r="AI958">
        <v>0</v>
      </c>
      <c r="AJ958">
        <v>0</v>
      </c>
      <c r="AK958">
        <v>0</v>
      </c>
      <c r="AL958">
        <v>0</v>
      </c>
      <c r="AM958">
        <v>0</v>
      </c>
    </row>
    <row r="959" spans="1:39" x14ac:dyDescent="0.35">
      <c r="A959" t="s">
        <v>174</v>
      </c>
      <c r="B959" t="s">
        <v>482</v>
      </c>
      <c r="C959" t="s">
        <v>176</v>
      </c>
      <c r="D959" t="s">
        <v>315</v>
      </c>
      <c r="E959" t="s">
        <v>2</v>
      </c>
      <c r="F959" t="s">
        <v>180</v>
      </c>
      <c r="G959" t="s">
        <v>863</v>
      </c>
      <c r="H959" t="s">
        <v>35</v>
      </c>
      <c r="I959">
        <v>0</v>
      </c>
      <c r="J959">
        <v>0</v>
      </c>
      <c r="K959">
        <v>0</v>
      </c>
      <c r="L959">
        <v>0</v>
      </c>
      <c r="M959">
        <v>0</v>
      </c>
      <c r="N959">
        <v>0</v>
      </c>
      <c r="O959">
        <v>0</v>
      </c>
      <c r="P959">
        <v>0</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row>
    <row r="960" spans="1:39" x14ac:dyDescent="0.35">
      <c r="A960" t="s">
        <v>174</v>
      </c>
      <c r="B960" t="s">
        <v>482</v>
      </c>
      <c r="C960" t="s">
        <v>176</v>
      </c>
      <c r="D960" t="s">
        <v>315</v>
      </c>
      <c r="E960" t="s">
        <v>2</v>
      </c>
      <c r="F960" t="s">
        <v>183</v>
      </c>
      <c r="G960" t="s">
        <v>1270</v>
      </c>
      <c r="H960" t="s">
        <v>35</v>
      </c>
      <c r="I960">
        <v>13.440000000000001</v>
      </c>
      <c r="J960">
        <v>0</v>
      </c>
      <c r="K960">
        <v>0</v>
      </c>
      <c r="L960">
        <v>0</v>
      </c>
      <c r="M960">
        <v>0</v>
      </c>
      <c r="N960">
        <v>0</v>
      </c>
      <c r="O960">
        <v>0</v>
      </c>
      <c r="P960">
        <v>0</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row>
    <row r="961" spans="1:39" x14ac:dyDescent="0.35">
      <c r="A961" t="s">
        <v>174</v>
      </c>
      <c r="B961" t="s">
        <v>482</v>
      </c>
      <c r="C961" t="s">
        <v>176</v>
      </c>
      <c r="D961" t="s">
        <v>315</v>
      </c>
      <c r="E961" t="s">
        <v>2</v>
      </c>
      <c r="F961" t="s">
        <v>183</v>
      </c>
      <c r="G961" t="s">
        <v>1282</v>
      </c>
      <c r="H961" t="s">
        <v>35</v>
      </c>
      <c r="I961">
        <v>26.880000000000003</v>
      </c>
      <c r="J961">
        <v>0</v>
      </c>
      <c r="K961">
        <v>0</v>
      </c>
      <c r="L961">
        <v>0</v>
      </c>
      <c r="M961">
        <v>0</v>
      </c>
      <c r="N961">
        <v>0</v>
      </c>
      <c r="O961">
        <v>0</v>
      </c>
      <c r="P961">
        <v>0</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row>
    <row r="962" spans="1:39" x14ac:dyDescent="0.35">
      <c r="A962" t="s">
        <v>174</v>
      </c>
      <c r="B962" t="s">
        <v>482</v>
      </c>
      <c r="C962" t="s">
        <v>176</v>
      </c>
      <c r="D962" t="s">
        <v>315</v>
      </c>
      <c r="E962" t="s">
        <v>2</v>
      </c>
      <c r="F962" t="s">
        <v>183</v>
      </c>
      <c r="G962" t="s">
        <v>1294</v>
      </c>
      <c r="H962" t="s">
        <v>35</v>
      </c>
      <c r="I962">
        <v>75.52000000000001</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row>
    <row r="963" spans="1:39" x14ac:dyDescent="0.35">
      <c r="A963" t="s">
        <v>174</v>
      </c>
      <c r="B963" t="s">
        <v>482</v>
      </c>
      <c r="C963" t="s">
        <v>176</v>
      </c>
      <c r="D963" t="s">
        <v>315</v>
      </c>
      <c r="E963" t="s">
        <v>2</v>
      </c>
      <c r="F963" t="s">
        <v>183</v>
      </c>
      <c r="G963" t="s">
        <v>186</v>
      </c>
      <c r="H963" t="s">
        <v>35</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row>
    <row r="964" spans="1:39" x14ac:dyDescent="0.35">
      <c r="A964" t="s">
        <v>174</v>
      </c>
      <c r="B964" t="s">
        <v>482</v>
      </c>
      <c r="C964" t="s">
        <v>176</v>
      </c>
      <c r="D964" t="s">
        <v>315</v>
      </c>
      <c r="E964" t="s">
        <v>2</v>
      </c>
      <c r="F964" t="s">
        <v>183</v>
      </c>
      <c r="G964" t="s">
        <v>903</v>
      </c>
      <c r="H964" t="s">
        <v>35</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row>
    <row r="965" spans="1:39" x14ac:dyDescent="0.35">
      <c r="A965" t="s">
        <v>174</v>
      </c>
      <c r="B965" t="s">
        <v>482</v>
      </c>
      <c r="C965" t="s">
        <v>176</v>
      </c>
      <c r="D965" t="s">
        <v>315</v>
      </c>
      <c r="E965" t="s">
        <v>2</v>
      </c>
      <c r="F965" t="s">
        <v>183</v>
      </c>
      <c r="G965" t="s">
        <v>907</v>
      </c>
      <c r="H965" t="s">
        <v>35</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c r="AD965">
        <v>0</v>
      </c>
      <c r="AE965">
        <v>0</v>
      </c>
      <c r="AF965">
        <v>0</v>
      </c>
      <c r="AG965">
        <v>0</v>
      </c>
      <c r="AH965">
        <v>0</v>
      </c>
      <c r="AI965">
        <v>0</v>
      </c>
      <c r="AJ965">
        <v>0</v>
      </c>
      <c r="AK965">
        <v>0</v>
      </c>
      <c r="AL965">
        <v>0</v>
      </c>
      <c r="AM965">
        <v>0</v>
      </c>
    </row>
    <row r="966" spans="1:39" x14ac:dyDescent="0.35">
      <c r="A966" t="s">
        <v>174</v>
      </c>
      <c r="B966" t="s">
        <v>482</v>
      </c>
      <c r="C966" t="s">
        <v>176</v>
      </c>
      <c r="D966" t="s">
        <v>315</v>
      </c>
      <c r="E966" t="s">
        <v>2</v>
      </c>
      <c r="F966" t="s">
        <v>183</v>
      </c>
      <c r="G966" t="s">
        <v>911</v>
      </c>
      <c r="H966" t="s">
        <v>35</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0</v>
      </c>
      <c r="AC966">
        <v>0</v>
      </c>
      <c r="AD966">
        <v>0</v>
      </c>
      <c r="AE966">
        <v>0</v>
      </c>
      <c r="AF966">
        <v>0</v>
      </c>
      <c r="AG966">
        <v>0</v>
      </c>
      <c r="AH966">
        <v>0</v>
      </c>
      <c r="AI966">
        <v>0</v>
      </c>
      <c r="AJ966">
        <v>0</v>
      </c>
      <c r="AK966">
        <v>0</v>
      </c>
      <c r="AL966">
        <v>0</v>
      </c>
      <c r="AM966">
        <v>0</v>
      </c>
    </row>
    <row r="967" spans="1:39" x14ac:dyDescent="0.35">
      <c r="A967" t="s">
        <v>174</v>
      </c>
      <c r="B967" t="s">
        <v>482</v>
      </c>
      <c r="C967" t="s">
        <v>176</v>
      </c>
      <c r="D967" t="s">
        <v>315</v>
      </c>
      <c r="E967" t="s">
        <v>2</v>
      </c>
      <c r="F967" t="s">
        <v>183</v>
      </c>
      <c r="G967" t="s">
        <v>864</v>
      </c>
      <c r="H967" t="s">
        <v>35</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row>
    <row r="968" spans="1:39" x14ac:dyDescent="0.35">
      <c r="A968" t="s">
        <v>174</v>
      </c>
      <c r="B968" t="s">
        <v>482</v>
      </c>
      <c r="C968" t="s">
        <v>176</v>
      </c>
      <c r="D968" t="s">
        <v>315</v>
      </c>
      <c r="E968" t="s">
        <v>2</v>
      </c>
      <c r="F968" t="s">
        <v>179</v>
      </c>
      <c r="G968" t="s">
        <v>1268</v>
      </c>
      <c r="H968" t="s">
        <v>35</v>
      </c>
      <c r="I968">
        <v>0</v>
      </c>
      <c r="J968">
        <v>0</v>
      </c>
      <c r="K968">
        <v>0</v>
      </c>
      <c r="L968">
        <v>0</v>
      </c>
      <c r="M968">
        <v>0</v>
      </c>
      <c r="N968">
        <v>0</v>
      </c>
      <c r="O968">
        <v>0</v>
      </c>
      <c r="P968">
        <v>0</v>
      </c>
      <c r="Q968">
        <v>0</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row>
    <row r="969" spans="1:39" x14ac:dyDescent="0.35">
      <c r="A969" t="s">
        <v>174</v>
      </c>
      <c r="B969" t="s">
        <v>482</v>
      </c>
      <c r="C969" t="s">
        <v>176</v>
      </c>
      <c r="D969" t="s">
        <v>315</v>
      </c>
      <c r="E969" t="s">
        <v>2</v>
      </c>
      <c r="F969" t="s">
        <v>179</v>
      </c>
      <c r="G969" t="s">
        <v>1280</v>
      </c>
      <c r="H969" t="s">
        <v>35</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row>
    <row r="970" spans="1:39" x14ac:dyDescent="0.35">
      <c r="A970" t="s">
        <v>174</v>
      </c>
      <c r="B970" t="s">
        <v>482</v>
      </c>
      <c r="C970" t="s">
        <v>176</v>
      </c>
      <c r="D970" t="s">
        <v>315</v>
      </c>
      <c r="E970" t="s">
        <v>2</v>
      </c>
      <c r="F970" t="s">
        <v>179</v>
      </c>
      <c r="G970" t="s">
        <v>1292</v>
      </c>
      <c r="H970" t="s">
        <v>35</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row>
    <row r="971" spans="1:39" x14ac:dyDescent="0.35">
      <c r="A971" t="s">
        <v>174</v>
      </c>
      <c r="B971" t="s">
        <v>482</v>
      </c>
      <c r="C971" t="s">
        <v>176</v>
      </c>
      <c r="D971" t="s">
        <v>315</v>
      </c>
      <c r="E971" t="s">
        <v>2</v>
      </c>
      <c r="F971" t="s">
        <v>179</v>
      </c>
      <c r="G971" t="s">
        <v>184</v>
      </c>
      <c r="H971" t="s">
        <v>35</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row>
    <row r="972" spans="1:39" x14ac:dyDescent="0.35">
      <c r="A972" t="s">
        <v>174</v>
      </c>
      <c r="B972" t="s">
        <v>482</v>
      </c>
      <c r="C972" t="s">
        <v>176</v>
      </c>
      <c r="D972" t="s">
        <v>315</v>
      </c>
      <c r="E972" t="s">
        <v>2</v>
      </c>
      <c r="F972" t="s">
        <v>179</v>
      </c>
      <c r="G972" t="s">
        <v>901</v>
      </c>
      <c r="H972" t="s">
        <v>35</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row>
    <row r="973" spans="1:39" x14ac:dyDescent="0.35">
      <c r="A973" t="s">
        <v>174</v>
      </c>
      <c r="B973" t="s">
        <v>482</v>
      </c>
      <c r="C973" t="s">
        <v>176</v>
      </c>
      <c r="D973" t="s">
        <v>315</v>
      </c>
      <c r="E973" t="s">
        <v>2</v>
      </c>
      <c r="F973" t="s">
        <v>179</v>
      </c>
      <c r="G973" t="s">
        <v>905</v>
      </c>
      <c r="H973" t="s">
        <v>35</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row>
    <row r="974" spans="1:39" x14ac:dyDescent="0.35">
      <c r="A974" t="s">
        <v>174</v>
      </c>
      <c r="B974" t="s">
        <v>482</v>
      </c>
      <c r="C974" t="s">
        <v>176</v>
      </c>
      <c r="D974" t="s">
        <v>315</v>
      </c>
      <c r="E974" t="s">
        <v>2</v>
      </c>
      <c r="F974" t="s">
        <v>179</v>
      </c>
      <c r="G974" t="s">
        <v>909</v>
      </c>
      <c r="H974" t="s">
        <v>35</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row>
    <row r="975" spans="1:39" x14ac:dyDescent="0.35">
      <c r="A975" t="s">
        <v>174</v>
      </c>
      <c r="B975" t="s">
        <v>482</v>
      </c>
      <c r="C975" t="s">
        <v>176</v>
      </c>
      <c r="D975" t="s">
        <v>315</v>
      </c>
      <c r="E975" t="s">
        <v>2</v>
      </c>
      <c r="F975" t="s">
        <v>179</v>
      </c>
      <c r="G975" t="s">
        <v>862</v>
      </c>
      <c r="H975" t="s">
        <v>35</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row>
    <row r="976" spans="1:39" x14ac:dyDescent="0.35">
      <c r="A976" t="s">
        <v>174</v>
      </c>
      <c r="B976" t="s">
        <v>482</v>
      </c>
      <c r="C976" t="s">
        <v>176</v>
      </c>
      <c r="D976" t="s">
        <v>315</v>
      </c>
      <c r="E976" t="s">
        <v>353</v>
      </c>
      <c r="F976" t="s">
        <v>182</v>
      </c>
      <c r="G976" t="s">
        <v>432</v>
      </c>
      <c r="H976" t="s">
        <v>35</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row>
    <row r="977" spans="1:39" x14ac:dyDescent="0.35">
      <c r="A977" t="s">
        <v>174</v>
      </c>
      <c r="B977" t="s">
        <v>482</v>
      </c>
      <c r="C977" t="s">
        <v>176</v>
      </c>
      <c r="D977" t="s">
        <v>315</v>
      </c>
      <c r="E977" t="s">
        <v>353</v>
      </c>
      <c r="F977" t="s">
        <v>180</v>
      </c>
      <c r="G977" t="s">
        <v>430</v>
      </c>
      <c r="H977" t="s">
        <v>35</v>
      </c>
      <c r="I977">
        <v>0</v>
      </c>
      <c r="J977">
        <v>0</v>
      </c>
      <c r="K977">
        <v>0</v>
      </c>
      <c r="L977">
        <v>0</v>
      </c>
      <c r="M977">
        <v>0</v>
      </c>
      <c r="N977">
        <v>0</v>
      </c>
      <c r="O977">
        <v>0</v>
      </c>
      <c r="P977">
        <v>0</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row>
    <row r="978" spans="1:39" x14ac:dyDescent="0.35">
      <c r="A978" t="s">
        <v>174</v>
      </c>
      <c r="B978" t="s">
        <v>482</v>
      </c>
      <c r="C978" t="s">
        <v>176</v>
      </c>
      <c r="D978" t="s">
        <v>315</v>
      </c>
      <c r="E978" t="s">
        <v>353</v>
      </c>
      <c r="F978" t="s">
        <v>181</v>
      </c>
      <c r="G978" t="s">
        <v>431</v>
      </c>
      <c r="H978" t="s">
        <v>35</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c r="AE978">
        <v>0</v>
      </c>
      <c r="AF978">
        <v>0</v>
      </c>
      <c r="AG978">
        <v>0</v>
      </c>
      <c r="AH978">
        <v>0</v>
      </c>
      <c r="AI978">
        <v>0</v>
      </c>
      <c r="AJ978">
        <v>0</v>
      </c>
      <c r="AK978">
        <v>0</v>
      </c>
      <c r="AL978">
        <v>0</v>
      </c>
      <c r="AM978">
        <v>0</v>
      </c>
    </row>
    <row r="979" spans="1:39" x14ac:dyDescent="0.35">
      <c r="A979" t="s">
        <v>174</v>
      </c>
      <c r="B979" t="s">
        <v>482</v>
      </c>
      <c r="C979" t="s">
        <v>176</v>
      </c>
      <c r="D979" t="s">
        <v>315</v>
      </c>
      <c r="E979" t="s">
        <v>353</v>
      </c>
      <c r="F979" t="s">
        <v>179</v>
      </c>
      <c r="G979" t="s">
        <v>429</v>
      </c>
      <c r="H979" t="s">
        <v>35</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c r="AE979">
        <v>0</v>
      </c>
      <c r="AF979">
        <v>0</v>
      </c>
      <c r="AG979">
        <v>0</v>
      </c>
      <c r="AH979">
        <v>0</v>
      </c>
      <c r="AI979">
        <v>0</v>
      </c>
      <c r="AJ979">
        <v>0</v>
      </c>
      <c r="AK979">
        <v>0</v>
      </c>
      <c r="AL979">
        <v>0</v>
      </c>
      <c r="AM979">
        <v>0</v>
      </c>
    </row>
    <row r="980" spans="1:39" x14ac:dyDescent="0.35">
      <c r="A980" t="s">
        <v>174</v>
      </c>
      <c r="B980" t="s">
        <v>482</v>
      </c>
      <c r="C980" t="s">
        <v>176</v>
      </c>
      <c r="D980" t="s">
        <v>315</v>
      </c>
      <c r="E980" t="s">
        <v>352</v>
      </c>
      <c r="F980" t="s">
        <v>182</v>
      </c>
      <c r="G980" t="s">
        <v>436</v>
      </c>
      <c r="H980" t="s">
        <v>68</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c r="AE980">
        <v>0</v>
      </c>
      <c r="AF980">
        <v>0</v>
      </c>
      <c r="AG980">
        <v>0</v>
      </c>
      <c r="AH980">
        <v>0</v>
      </c>
      <c r="AI980">
        <v>0</v>
      </c>
      <c r="AJ980">
        <v>0</v>
      </c>
      <c r="AK980">
        <v>0</v>
      </c>
      <c r="AL980">
        <v>0</v>
      </c>
      <c r="AM980">
        <v>0</v>
      </c>
    </row>
    <row r="981" spans="1:39" x14ac:dyDescent="0.35">
      <c r="A981" t="s">
        <v>174</v>
      </c>
      <c r="B981" t="s">
        <v>482</v>
      </c>
      <c r="C981" t="s">
        <v>176</v>
      </c>
      <c r="D981" t="s">
        <v>315</v>
      </c>
      <c r="E981" t="s">
        <v>352</v>
      </c>
      <c r="F981" t="s">
        <v>180</v>
      </c>
      <c r="G981" t="s">
        <v>434</v>
      </c>
      <c r="H981" t="s">
        <v>68</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row>
    <row r="982" spans="1:39" x14ac:dyDescent="0.35">
      <c r="A982" t="s">
        <v>174</v>
      </c>
      <c r="B982" t="s">
        <v>482</v>
      </c>
      <c r="C982" t="s">
        <v>176</v>
      </c>
      <c r="D982" t="s">
        <v>315</v>
      </c>
      <c r="E982" t="s">
        <v>352</v>
      </c>
      <c r="F982" t="s">
        <v>181</v>
      </c>
      <c r="G982" t="s">
        <v>435</v>
      </c>
      <c r="H982" t="s">
        <v>68</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row>
    <row r="983" spans="1:39" x14ac:dyDescent="0.35">
      <c r="A983" t="s">
        <v>174</v>
      </c>
      <c r="B983" t="s">
        <v>482</v>
      </c>
      <c r="C983" t="s">
        <v>176</v>
      </c>
      <c r="D983" t="s">
        <v>315</v>
      </c>
      <c r="E983" t="s">
        <v>352</v>
      </c>
      <c r="F983" t="s">
        <v>179</v>
      </c>
      <c r="G983" t="s">
        <v>433</v>
      </c>
      <c r="H983" t="s">
        <v>68</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row>
    <row r="984" spans="1:39" x14ac:dyDescent="0.35">
      <c r="A984" t="s">
        <v>174</v>
      </c>
      <c r="B984" t="s">
        <v>482</v>
      </c>
      <c r="C984" t="s">
        <v>176</v>
      </c>
      <c r="D984" t="s">
        <v>315</v>
      </c>
      <c r="E984" t="s">
        <v>1346</v>
      </c>
      <c r="F984" t="s">
        <v>182</v>
      </c>
      <c r="G984" t="s">
        <v>1367</v>
      </c>
      <c r="H984" t="s">
        <v>35</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row>
    <row r="985" spans="1:39" x14ac:dyDescent="0.35">
      <c r="A985" t="s">
        <v>174</v>
      </c>
      <c r="B985" t="s">
        <v>482</v>
      </c>
      <c r="C985" t="s">
        <v>176</v>
      </c>
      <c r="D985" t="s">
        <v>315</v>
      </c>
      <c r="E985" t="s">
        <v>1346</v>
      </c>
      <c r="F985" t="s">
        <v>180</v>
      </c>
      <c r="G985" t="s">
        <v>1365</v>
      </c>
      <c r="H985" t="s">
        <v>35</v>
      </c>
      <c r="I985">
        <v>0</v>
      </c>
      <c r="J985">
        <v>0</v>
      </c>
      <c r="K985">
        <v>0</v>
      </c>
      <c r="L985">
        <v>19</v>
      </c>
      <c r="M985">
        <v>0</v>
      </c>
      <c r="N985">
        <v>0</v>
      </c>
      <c r="O985">
        <v>0</v>
      </c>
      <c r="P985">
        <v>0</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row>
    <row r="986" spans="1:39" x14ac:dyDescent="0.35">
      <c r="A986" t="s">
        <v>174</v>
      </c>
      <c r="B986" t="s">
        <v>482</v>
      </c>
      <c r="C986" t="s">
        <v>176</v>
      </c>
      <c r="D986" t="s">
        <v>315</v>
      </c>
      <c r="E986" t="s">
        <v>1346</v>
      </c>
      <c r="F986" t="s">
        <v>181</v>
      </c>
      <c r="G986" t="s">
        <v>1366</v>
      </c>
      <c r="H986" t="s">
        <v>35</v>
      </c>
      <c r="I986">
        <v>0</v>
      </c>
      <c r="J986">
        <v>0</v>
      </c>
      <c r="K986">
        <v>0</v>
      </c>
      <c r="L986">
        <v>0</v>
      </c>
      <c r="M986">
        <v>0</v>
      </c>
      <c r="N986">
        <v>0</v>
      </c>
      <c r="O986">
        <v>0</v>
      </c>
      <c r="P986">
        <v>0</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row>
    <row r="987" spans="1:39" x14ac:dyDescent="0.35">
      <c r="A987" t="s">
        <v>174</v>
      </c>
      <c r="B987" t="s">
        <v>482</v>
      </c>
      <c r="C987" t="s">
        <v>176</v>
      </c>
      <c r="D987" t="s">
        <v>315</v>
      </c>
      <c r="E987" t="s">
        <v>1346</v>
      </c>
      <c r="F987" t="s">
        <v>179</v>
      </c>
      <c r="G987" t="s">
        <v>1364</v>
      </c>
      <c r="H987" t="s">
        <v>35</v>
      </c>
      <c r="I987">
        <v>0</v>
      </c>
      <c r="J987">
        <v>0</v>
      </c>
      <c r="K987">
        <v>0</v>
      </c>
      <c r="L987">
        <v>0</v>
      </c>
      <c r="M987">
        <v>0</v>
      </c>
      <c r="N987">
        <v>0</v>
      </c>
      <c r="O987">
        <v>0</v>
      </c>
      <c r="P987">
        <v>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row>
    <row r="988" spans="1:39" x14ac:dyDescent="0.35">
      <c r="A988" t="s">
        <v>174</v>
      </c>
      <c r="B988" t="s">
        <v>482</v>
      </c>
      <c r="C988" t="s">
        <v>176</v>
      </c>
      <c r="D988" t="s">
        <v>315</v>
      </c>
      <c r="E988" t="s">
        <v>497</v>
      </c>
      <c r="F988" t="s">
        <v>182</v>
      </c>
      <c r="G988" t="s">
        <v>660</v>
      </c>
      <c r="H988" t="s">
        <v>35</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c r="AD988">
        <v>0</v>
      </c>
      <c r="AE988">
        <v>0</v>
      </c>
      <c r="AF988">
        <v>0</v>
      </c>
      <c r="AG988">
        <v>0</v>
      </c>
      <c r="AH988">
        <v>0</v>
      </c>
      <c r="AI988">
        <v>0</v>
      </c>
      <c r="AJ988">
        <v>0</v>
      </c>
      <c r="AK988">
        <v>0</v>
      </c>
      <c r="AL988">
        <v>0</v>
      </c>
      <c r="AM988">
        <v>0</v>
      </c>
    </row>
    <row r="989" spans="1:39" x14ac:dyDescent="0.35">
      <c r="A989" t="s">
        <v>174</v>
      </c>
      <c r="B989" t="s">
        <v>482</v>
      </c>
      <c r="C989" t="s">
        <v>176</v>
      </c>
      <c r="D989" t="s">
        <v>315</v>
      </c>
      <c r="E989" t="s">
        <v>497</v>
      </c>
      <c r="F989" t="s">
        <v>180</v>
      </c>
      <c r="G989" t="s">
        <v>658</v>
      </c>
      <c r="H989" t="s">
        <v>35</v>
      </c>
      <c r="I989">
        <v>13</v>
      </c>
      <c r="J989">
        <v>17</v>
      </c>
      <c r="K989">
        <v>0</v>
      </c>
      <c r="L989">
        <v>345</v>
      </c>
      <c r="M989">
        <v>0</v>
      </c>
      <c r="N989">
        <v>114</v>
      </c>
      <c r="O989">
        <v>129</v>
      </c>
      <c r="P989">
        <v>0</v>
      </c>
      <c r="Q989">
        <v>0</v>
      </c>
      <c r="R989">
        <v>0</v>
      </c>
      <c r="S989">
        <v>239</v>
      </c>
      <c r="T989">
        <v>0</v>
      </c>
      <c r="U989">
        <v>75</v>
      </c>
      <c r="V989">
        <v>0</v>
      </c>
      <c r="W989">
        <v>0</v>
      </c>
      <c r="X989">
        <v>0</v>
      </c>
      <c r="Y989">
        <v>0</v>
      </c>
      <c r="Z989">
        <v>0</v>
      </c>
      <c r="AA989">
        <v>0</v>
      </c>
      <c r="AB989">
        <v>0</v>
      </c>
      <c r="AC989">
        <v>0</v>
      </c>
      <c r="AD989">
        <v>0</v>
      </c>
      <c r="AE989">
        <v>0</v>
      </c>
      <c r="AF989">
        <v>0</v>
      </c>
      <c r="AG989">
        <v>0</v>
      </c>
      <c r="AH989">
        <v>0</v>
      </c>
      <c r="AI989">
        <v>0</v>
      </c>
      <c r="AJ989">
        <v>0</v>
      </c>
      <c r="AK989">
        <v>0</v>
      </c>
      <c r="AL989">
        <v>0</v>
      </c>
      <c r="AM989">
        <v>0</v>
      </c>
    </row>
    <row r="990" spans="1:39" x14ac:dyDescent="0.35">
      <c r="A990" t="s">
        <v>174</v>
      </c>
      <c r="B990" t="s">
        <v>482</v>
      </c>
      <c r="C990" t="s">
        <v>176</v>
      </c>
      <c r="D990" t="s">
        <v>315</v>
      </c>
      <c r="E990" t="s">
        <v>497</v>
      </c>
      <c r="F990" t="s">
        <v>181</v>
      </c>
      <c r="G990" t="s">
        <v>659</v>
      </c>
      <c r="H990" t="s">
        <v>35</v>
      </c>
      <c r="I990">
        <v>0</v>
      </c>
      <c r="J990">
        <v>0</v>
      </c>
      <c r="K990">
        <v>0</v>
      </c>
      <c r="L990">
        <v>0</v>
      </c>
      <c r="M990">
        <v>0</v>
      </c>
      <c r="N990">
        <v>0</v>
      </c>
      <c r="O990">
        <v>82</v>
      </c>
      <c r="P990">
        <v>0</v>
      </c>
      <c r="Q990">
        <v>0</v>
      </c>
      <c r="R990">
        <v>0</v>
      </c>
      <c r="S990">
        <v>0</v>
      </c>
      <c r="T990">
        <v>64</v>
      </c>
      <c r="U990">
        <v>0</v>
      </c>
      <c r="V990">
        <v>0</v>
      </c>
      <c r="W990">
        <v>0</v>
      </c>
      <c r="X990">
        <v>0</v>
      </c>
      <c r="Y990">
        <v>0</v>
      </c>
      <c r="Z990">
        <v>0</v>
      </c>
      <c r="AA990">
        <v>0</v>
      </c>
      <c r="AB990">
        <v>0</v>
      </c>
      <c r="AC990">
        <v>0</v>
      </c>
      <c r="AD990">
        <v>0</v>
      </c>
      <c r="AE990">
        <v>0</v>
      </c>
      <c r="AF990">
        <v>0</v>
      </c>
      <c r="AG990">
        <v>0</v>
      </c>
      <c r="AH990">
        <v>0</v>
      </c>
      <c r="AI990">
        <v>0</v>
      </c>
      <c r="AJ990">
        <v>0</v>
      </c>
      <c r="AK990">
        <v>0</v>
      </c>
      <c r="AL990">
        <v>0</v>
      </c>
      <c r="AM990">
        <v>0</v>
      </c>
    </row>
    <row r="991" spans="1:39" x14ac:dyDescent="0.35">
      <c r="A991" t="s">
        <v>174</v>
      </c>
      <c r="B991" t="s">
        <v>482</v>
      </c>
      <c r="C991" t="s">
        <v>176</v>
      </c>
      <c r="D991" t="s">
        <v>315</v>
      </c>
      <c r="E991" t="s">
        <v>497</v>
      </c>
      <c r="F991" t="s">
        <v>179</v>
      </c>
      <c r="G991" t="s">
        <v>657</v>
      </c>
      <c r="H991" t="s">
        <v>35</v>
      </c>
      <c r="I991">
        <v>0</v>
      </c>
      <c r="J991">
        <v>0</v>
      </c>
      <c r="K991">
        <v>0</v>
      </c>
      <c r="L991">
        <v>0</v>
      </c>
      <c r="M991">
        <v>0</v>
      </c>
      <c r="N991">
        <v>0</v>
      </c>
      <c r="O991">
        <v>0</v>
      </c>
      <c r="P991">
        <v>0</v>
      </c>
      <c r="Q991">
        <v>0</v>
      </c>
      <c r="R991">
        <v>0</v>
      </c>
      <c r="S991">
        <v>0</v>
      </c>
      <c r="T991">
        <v>0</v>
      </c>
      <c r="U991">
        <v>0</v>
      </c>
      <c r="V991">
        <v>0</v>
      </c>
      <c r="W991">
        <v>0</v>
      </c>
      <c r="X991">
        <v>0</v>
      </c>
      <c r="Y991">
        <v>0</v>
      </c>
      <c r="Z991">
        <v>0</v>
      </c>
      <c r="AA991">
        <v>0</v>
      </c>
      <c r="AB991">
        <v>0</v>
      </c>
      <c r="AC991">
        <v>0</v>
      </c>
      <c r="AD991">
        <v>0</v>
      </c>
      <c r="AE991">
        <v>0</v>
      </c>
      <c r="AF991">
        <v>0</v>
      </c>
      <c r="AG991">
        <v>0</v>
      </c>
      <c r="AH991">
        <v>0</v>
      </c>
      <c r="AI991">
        <v>0</v>
      </c>
      <c r="AJ991">
        <v>0</v>
      </c>
      <c r="AK991">
        <v>0</v>
      </c>
      <c r="AL991">
        <v>0</v>
      </c>
      <c r="AM991">
        <v>0</v>
      </c>
    </row>
    <row r="992" spans="1:39" x14ac:dyDescent="0.35">
      <c r="A992" t="s">
        <v>174</v>
      </c>
      <c r="B992" t="s">
        <v>482</v>
      </c>
      <c r="C992" t="s">
        <v>176</v>
      </c>
      <c r="D992" t="s">
        <v>315</v>
      </c>
      <c r="E992" t="s">
        <v>1306</v>
      </c>
      <c r="F992" t="s">
        <v>182</v>
      </c>
      <c r="G992" t="s">
        <v>1162</v>
      </c>
      <c r="H992" t="s">
        <v>35</v>
      </c>
      <c r="I992">
        <v>0</v>
      </c>
      <c r="J992">
        <v>0</v>
      </c>
      <c r="K992">
        <v>0</v>
      </c>
      <c r="L992">
        <v>0</v>
      </c>
      <c r="M992">
        <v>0</v>
      </c>
      <c r="N992">
        <v>0</v>
      </c>
      <c r="O992">
        <v>0</v>
      </c>
      <c r="P992">
        <v>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row>
    <row r="993" spans="1:39" x14ac:dyDescent="0.35">
      <c r="A993" t="s">
        <v>174</v>
      </c>
      <c r="B993" t="s">
        <v>482</v>
      </c>
      <c r="C993" t="s">
        <v>176</v>
      </c>
      <c r="D993" t="s">
        <v>315</v>
      </c>
      <c r="E993" t="s">
        <v>1306</v>
      </c>
      <c r="F993" t="s">
        <v>182</v>
      </c>
      <c r="G993" t="s">
        <v>1157</v>
      </c>
      <c r="H993" t="s">
        <v>35</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row>
    <row r="994" spans="1:39" x14ac:dyDescent="0.35">
      <c r="A994" t="s">
        <v>174</v>
      </c>
      <c r="B994" t="s">
        <v>482</v>
      </c>
      <c r="C994" t="s">
        <v>176</v>
      </c>
      <c r="D994" t="s">
        <v>315</v>
      </c>
      <c r="E994" t="s">
        <v>1306</v>
      </c>
      <c r="F994" t="s">
        <v>182</v>
      </c>
      <c r="G994" t="s">
        <v>947</v>
      </c>
      <c r="H994" t="s">
        <v>35</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row>
    <row r="995" spans="1:39" x14ac:dyDescent="0.35">
      <c r="A995" t="s">
        <v>174</v>
      </c>
      <c r="B995" t="s">
        <v>482</v>
      </c>
      <c r="C995" t="s">
        <v>176</v>
      </c>
      <c r="D995" t="s">
        <v>315</v>
      </c>
      <c r="E995" t="s">
        <v>1306</v>
      </c>
      <c r="F995" t="s">
        <v>180</v>
      </c>
      <c r="G995" t="s">
        <v>1160</v>
      </c>
      <c r="H995" t="s">
        <v>35</v>
      </c>
      <c r="I995">
        <v>0</v>
      </c>
      <c r="J995">
        <v>0</v>
      </c>
      <c r="K995">
        <v>0</v>
      </c>
      <c r="L995">
        <v>0</v>
      </c>
      <c r="M995">
        <v>0</v>
      </c>
      <c r="N995">
        <v>0</v>
      </c>
      <c r="O995">
        <v>0</v>
      </c>
      <c r="P995">
        <v>0</v>
      </c>
      <c r="Q995">
        <v>0</v>
      </c>
      <c r="R995">
        <v>2.5</v>
      </c>
      <c r="S995">
        <v>0</v>
      </c>
      <c r="T995">
        <v>0</v>
      </c>
      <c r="U995">
        <v>0</v>
      </c>
      <c r="V995">
        <v>0</v>
      </c>
      <c r="W995">
        <v>0</v>
      </c>
      <c r="X995">
        <v>0</v>
      </c>
      <c r="Y995">
        <v>0</v>
      </c>
      <c r="Z995">
        <v>0</v>
      </c>
      <c r="AA995">
        <v>0</v>
      </c>
      <c r="AB995">
        <v>0</v>
      </c>
      <c r="AC995">
        <v>0</v>
      </c>
      <c r="AD995">
        <v>0</v>
      </c>
      <c r="AE995">
        <v>0</v>
      </c>
      <c r="AF995">
        <v>0</v>
      </c>
      <c r="AG995">
        <v>0</v>
      </c>
      <c r="AH995">
        <v>0</v>
      </c>
      <c r="AI995">
        <v>0</v>
      </c>
      <c r="AJ995">
        <v>0</v>
      </c>
      <c r="AK995">
        <v>0</v>
      </c>
      <c r="AL995">
        <v>0</v>
      </c>
      <c r="AM995">
        <v>0</v>
      </c>
    </row>
    <row r="996" spans="1:39" x14ac:dyDescent="0.35">
      <c r="A996" t="s">
        <v>174</v>
      </c>
      <c r="B996" t="s">
        <v>482</v>
      </c>
      <c r="C996" t="s">
        <v>176</v>
      </c>
      <c r="D996" t="s">
        <v>315</v>
      </c>
      <c r="E996" t="s">
        <v>1306</v>
      </c>
      <c r="F996" t="s">
        <v>180</v>
      </c>
      <c r="G996" t="s">
        <v>1155</v>
      </c>
      <c r="H996" t="s">
        <v>35</v>
      </c>
      <c r="I996">
        <v>0</v>
      </c>
      <c r="J996">
        <v>0</v>
      </c>
      <c r="K996">
        <v>0</v>
      </c>
      <c r="L996">
        <v>0</v>
      </c>
      <c r="M996">
        <v>0</v>
      </c>
      <c r="N996">
        <v>0</v>
      </c>
      <c r="O996">
        <v>0</v>
      </c>
      <c r="P996">
        <v>0</v>
      </c>
      <c r="Q996">
        <v>0</v>
      </c>
      <c r="R996">
        <v>56.847999999999999</v>
      </c>
      <c r="S996">
        <v>0</v>
      </c>
      <c r="T996">
        <v>0</v>
      </c>
      <c r="U996">
        <v>66.423999999999992</v>
      </c>
      <c r="V996">
        <v>0</v>
      </c>
      <c r="W996">
        <v>0</v>
      </c>
      <c r="X996">
        <v>0</v>
      </c>
      <c r="Y996">
        <v>0</v>
      </c>
      <c r="Z996">
        <v>0</v>
      </c>
      <c r="AA996">
        <v>0</v>
      </c>
      <c r="AB996">
        <v>0</v>
      </c>
      <c r="AC996">
        <v>0</v>
      </c>
      <c r="AD996">
        <v>0</v>
      </c>
      <c r="AE996">
        <v>0</v>
      </c>
      <c r="AF996">
        <v>0</v>
      </c>
      <c r="AG996">
        <v>0</v>
      </c>
      <c r="AH996">
        <v>0</v>
      </c>
      <c r="AI996">
        <v>0</v>
      </c>
      <c r="AJ996">
        <v>0</v>
      </c>
      <c r="AK996">
        <v>0</v>
      </c>
      <c r="AL996">
        <v>0</v>
      </c>
      <c r="AM996">
        <v>0</v>
      </c>
    </row>
    <row r="997" spans="1:39" x14ac:dyDescent="0.35">
      <c r="A997" t="s">
        <v>174</v>
      </c>
      <c r="B997" t="s">
        <v>482</v>
      </c>
      <c r="C997" t="s">
        <v>176</v>
      </c>
      <c r="D997" t="s">
        <v>315</v>
      </c>
      <c r="E997" t="s">
        <v>1306</v>
      </c>
      <c r="F997" t="s">
        <v>180</v>
      </c>
      <c r="G997" t="s">
        <v>946</v>
      </c>
      <c r="H997" t="s">
        <v>35</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row>
    <row r="998" spans="1:39" x14ac:dyDescent="0.35">
      <c r="A998" t="s">
        <v>174</v>
      </c>
      <c r="B998" t="s">
        <v>482</v>
      </c>
      <c r="C998" t="s">
        <v>176</v>
      </c>
      <c r="D998" t="s">
        <v>315</v>
      </c>
      <c r="E998" t="s">
        <v>1306</v>
      </c>
      <c r="F998" t="s">
        <v>183</v>
      </c>
      <c r="G998" t="s">
        <v>1163</v>
      </c>
      <c r="H998" t="s">
        <v>35</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row>
    <row r="999" spans="1:39" x14ac:dyDescent="0.35">
      <c r="A999" t="s">
        <v>174</v>
      </c>
      <c r="B999" t="s">
        <v>482</v>
      </c>
      <c r="C999" t="s">
        <v>176</v>
      </c>
      <c r="D999" t="s">
        <v>315</v>
      </c>
      <c r="E999" t="s">
        <v>1306</v>
      </c>
      <c r="F999" t="s">
        <v>181</v>
      </c>
      <c r="G999" t="s">
        <v>1161</v>
      </c>
      <c r="H999" t="s">
        <v>35</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c r="AD999">
        <v>0</v>
      </c>
      <c r="AE999">
        <v>0</v>
      </c>
      <c r="AF999">
        <v>0</v>
      </c>
      <c r="AG999">
        <v>0</v>
      </c>
      <c r="AH999">
        <v>0</v>
      </c>
      <c r="AI999">
        <v>0</v>
      </c>
      <c r="AJ999">
        <v>0</v>
      </c>
      <c r="AK999">
        <v>0</v>
      </c>
      <c r="AL999">
        <v>0</v>
      </c>
      <c r="AM999">
        <v>0</v>
      </c>
    </row>
    <row r="1000" spans="1:39" x14ac:dyDescent="0.35">
      <c r="A1000" t="s">
        <v>174</v>
      </c>
      <c r="B1000" t="s">
        <v>482</v>
      </c>
      <c r="C1000" t="s">
        <v>176</v>
      </c>
      <c r="D1000" t="s">
        <v>315</v>
      </c>
      <c r="E1000" t="s">
        <v>1306</v>
      </c>
      <c r="F1000" t="s">
        <v>181</v>
      </c>
      <c r="G1000" t="s">
        <v>1156</v>
      </c>
      <c r="H1000" t="s">
        <v>35</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c r="AE1000">
        <v>0</v>
      </c>
      <c r="AF1000">
        <v>0</v>
      </c>
      <c r="AG1000">
        <v>0</v>
      </c>
      <c r="AH1000">
        <v>0</v>
      </c>
      <c r="AI1000">
        <v>0</v>
      </c>
      <c r="AJ1000">
        <v>0</v>
      </c>
      <c r="AK1000">
        <v>0</v>
      </c>
      <c r="AL1000">
        <v>0</v>
      </c>
      <c r="AM1000">
        <v>0</v>
      </c>
    </row>
    <row r="1001" spans="1:39" x14ac:dyDescent="0.35">
      <c r="A1001" t="s">
        <v>174</v>
      </c>
      <c r="B1001" t="s">
        <v>482</v>
      </c>
      <c r="C1001" t="s">
        <v>176</v>
      </c>
      <c r="D1001" t="s">
        <v>315</v>
      </c>
      <c r="E1001" t="s">
        <v>1306</v>
      </c>
      <c r="F1001" t="s">
        <v>179</v>
      </c>
      <c r="G1001" t="s">
        <v>1159</v>
      </c>
      <c r="H1001" t="s">
        <v>35</v>
      </c>
      <c r="I1001">
        <v>0</v>
      </c>
      <c r="J1001">
        <v>0</v>
      </c>
      <c r="K1001">
        <v>0</v>
      </c>
      <c r="L1001">
        <v>0</v>
      </c>
      <c r="M1001">
        <v>0</v>
      </c>
      <c r="N1001">
        <v>0</v>
      </c>
      <c r="O1001">
        <v>0</v>
      </c>
      <c r="P1001">
        <v>0</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row>
    <row r="1002" spans="1:39" x14ac:dyDescent="0.35">
      <c r="A1002" t="s">
        <v>174</v>
      </c>
      <c r="B1002" t="s">
        <v>482</v>
      </c>
      <c r="C1002" t="s">
        <v>176</v>
      </c>
      <c r="D1002" t="s">
        <v>315</v>
      </c>
      <c r="E1002" t="s">
        <v>1306</v>
      </c>
      <c r="F1002" t="s">
        <v>179</v>
      </c>
      <c r="G1002" t="s">
        <v>1158</v>
      </c>
      <c r="H1002" t="s">
        <v>35</v>
      </c>
      <c r="I1002">
        <v>0</v>
      </c>
      <c r="J1002">
        <v>0</v>
      </c>
      <c r="K1002">
        <v>0</v>
      </c>
      <c r="L1002">
        <v>0</v>
      </c>
      <c r="M1002">
        <v>0</v>
      </c>
      <c r="N1002">
        <v>0</v>
      </c>
      <c r="O1002">
        <v>0</v>
      </c>
      <c r="P1002">
        <v>0</v>
      </c>
      <c r="Q1002">
        <v>0</v>
      </c>
      <c r="R1002">
        <v>0</v>
      </c>
      <c r="S1002">
        <v>0</v>
      </c>
      <c r="T1002">
        <v>0</v>
      </c>
      <c r="U1002">
        <v>0</v>
      </c>
      <c r="V1002">
        <v>372.24799999999999</v>
      </c>
      <c r="W1002">
        <v>0</v>
      </c>
      <c r="X1002">
        <v>0</v>
      </c>
      <c r="Y1002">
        <v>0</v>
      </c>
      <c r="Z1002">
        <v>0</v>
      </c>
      <c r="AA1002">
        <v>0</v>
      </c>
      <c r="AB1002">
        <v>0</v>
      </c>
      <c r="AC1002">
        <v>0</v>
      </c>
      <c r="AD1002">
        <v>0</v>
      </c>
      <c r="AE1002">
        <v>0</v>
      </c>
      <c r="AF1002">
        <v>0</v>
      </c>
      <c r="AG1002">
        <v>0</v>
      </c>
      <c r="AH1002">
        <v>0</v>
      </c>
      <c r="AI1002">
        <v>0</v>
      </c>
      <c r="AJ1002">
        <v>0</v>
      </c>
      <c r="AK1002">
        <v>0</v>
      </c>
      <c r="AL1002">
        <v>0</v>
      </c>
      <c r="AM1002">
        <v>0</v>
      </c>
    </row>
    <row r="1003" spans="1:39" x14ac:dyDescent="0.35">
      <c r="A1003" t="s">
        <v>174</v>
      </c>
      <c r="B1003" t="s">
        <v>482</v>
      </c>
      <c r="C1003" t="s">
        <v>176</v>
      </c>
      <c r="D1003" t="s">
        <v>315</v>
      </c>
      <c r="E1003" t="s">
        <v>1306</v>
      </c>
      <c r="F1003" t="s">
        <v>179</v>
      </c>
      <c r="G1003" t="s">
        <v>945</v>
      </c>
      <c r="H1003" t="s">
        <v>35</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row>
    <row r="1004" spans="1:39" x14ac:dyDescent="0.35">
      <c r="A1004" t="s">
        <v>174</v>
      </c>
      <c r="B1004" t="s">
        <v>482</v>
      </c>
      <c r="C1004" t="s">
        <v>176</v>
      </c>
      <c r="D1004" t="s">
        <v>315</v>
      </c>
      <c r="E1004" t="s">
        <v>349</v>
      </c>
      <c r="F1004" t="s">
        <v>182</v>
      </c>
      <c r="G1004" t="s">
        <v>440</v>
      </c>
      <c r="H1004" t="s">
        <v>35</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row>
    <row r="1005" spans="1:39" x14ac:dyDescent="0.35">
      <c r="A1005" t="s">
        <v>174</v>
      </c>
      <c r="B1005" t="s">
        <v>482</v>
      </c>
      <c r="C1005" t="s">
        <v>176</v>
      </c>
      <c r="D1005" t="s">
        <v>315</v>
      </c>
      <c r="E1005" t="s">
        <v>349</v>
      </c>
      <c r="F1005" t="s">
        <v>180</v>
      </c>
      <c r="G1005" t="s">
        <v>438</v>
      </c>
      <c r="H1005" t="s">
        <v>35</v>
      </c>
      <c r="I1005">
        <v>0</v>
      </c>
      <c r="J1005">
        <v>0</v>
      </c>
      <c r="K1005">
        <v>0</v>
      </c>
      <c r="L1005">
        <v>0</v>
      </c>
      <c r="M1005">
        <v>0</v>
      </c>
      <c r="N1005">
        <v>0</v>
      </c>
      <c r="O1005">
        <v>0</v>
      </c>
      <c r="P1005">
        <v>0</v>
      </c>
      <c r="Q1005">
        <v>14</v>
      </c>
      <c r="R1005">
        <v>115</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row>
    <row r="1006" spans="1:39" x14ac:dyDescent="0.35">
      <c r="A1006" t="s">
        <v>174</v>
      </c>
      <c r="B1006" t="s">
        <v>482</v>
      </c>
      <c r="C1006" t="s">
        <v>176</v>
      </c>
      <c r="D1006" t="s">
        <v>315</v>
      </c>
      <c r="E1006" t="s">
        <v>349</v>
      </c>
      <c r="F1006" t="s">
        <v>181</v>
      </c>
      <c r="G1006" t="s">
        <v>439</v>
      </c>
      <c r="H1006" t="s">
        <v>35</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row>
    <row r="1007" spans="1:39" x14ac:dyDescent="0.35">
      <c r="A1007" t="s">
        <v>174</v>
      </c>
      <c r="B1007" t="s">
        <v>482</v>
      </c>
      <c r="C1007" t="s">
        <v>176</v>
      </c>
      <c r="D1007" t="s">
        <v>315</v>
      </c>
      <c r="E1007" t="s">
        <v>349</v>
      </c>
      <c r="F1007" t="s">
        <v>179</v>
      </c>
      <c r="G1007" t="s">
        <v>437</v>
      </c>
      <c r="H1007" t="s">
        <v>35</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row>
    <row r="1008" spans="1:39" x14ac:dyDescent="0.35">
      <c r="A1008" t="s">
        <v>174</v>
      </c>
      <c r="B1008" t="s">
        <v>482</v>
      </c>
      <c r="C1008" t="s">
        <v>176</v>
      </c>
      <c r="D1008" t="s">
        <v>315</v>
      </c>
      <c r="E1008" t="s">
        <v>985</v>
      </c>
      <c r="F1008" t="s">
        <v>182</v>
      </c>
      <c r="G1008" t="s">
        <v>1143</v>
      </c>
      <c r="H1008" t="s">
        <v>35</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row>
    <row r="1009" spans="1:39" x14ac:dyDescent="0.35">
      <c r="A1009" t="s">
        <v>174</v>
      </c>
      <c r="B1009" t="s">
        <v>482</v>
      </c>
      <c r="C1009" t="s">
        <v>176</v>
      </c>
      <c r="D1009" t="s">
        <v>315</v>
      </c>
      <c r="E1009" t="s">
        <v>985</v>
      </c>
      <c r="F1009" t="s">
        <v>180</v>
      </c>
      <c r="G1009" t="s">
        <v>1141</v>
      </c>
      <c r="H1009" t="s">
        <v>35</v>
      </c>
      <c r="I1009">
        <v>0</v>
      </c>
      <c r="J1009">
        <v>0</v>
      </c>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row>
    <row r="1010" spans="1:39" x14ac:dyDescent="0.35">
      <c r="A1010" t="s">
        <v>174</v>
      </c>
      <c r="B1010" t="s">
        <v>482</v>
      </c>
      <c r="C1010" t="s">
        <v>176</v>
      </c>
      <c r="D1010" t="s">
        <v>315</v>
      </c>
      <c r="E1010" t="s">
        <v>985</v>
      </c>
      <c r="F1010" t="s">
        <v>181</v>
      </c>
      <c r="G1010" t="s">
        <v>1142</v>
      </c>
      <c r="H1010" t="s">
        <v>35</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row>
    <row r="1011" spans="1:39" x14ac:dyDescent="0.35">
      <c r="A1011" t="s">
        <v>174</v>
      </c>
      <c r="B1011" t="s">
        <v>482</v>
      </c>
      <c r="C1011" t="s">
        <v>176</v>
      </c>
      <c r="D1011" t="s">
        <v>315</v>
      </c>
      <c r="E1011" t="s">
        <v>985</v>
      </c>
      <c r="F1011" t="s">
        <v>179</v>
      </c>
      <c r="G1011" t="s">
        <v>1140</v>
      </c>
      <c r="H1011" t="s">
        <v>35</v>
      </c>
      <c r="I1011">
        <v>0</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c r="AI1011">
        <v>0</v>
      </c>
      <c r="AJ1011">
        <v>0</v>
      </c>
      <c r="AK1011">
        <v>0</v>
      </c>
      <c r="AL1011">
        <v>0</v>
      </c>
      <c r="AM1011">
        <v>0</v>
      </c>
    </row>
    <row r="1012" spans="1:39" x14ac:dyDescent="0.35">
      <c r="A1012" t="s">
        <v>174</v>
      </c>
      <c r="B1012" t="s">
        <v>482</v>
      </c>
      <c r="C1012" t="s">
        <v>176</v>
      </c>
      <c r="D1012" t="s">
        <v>315</v>
      </c>
      <c r="E1012" t="s">
        <v>355</v>
      </c>
      <c r="F1012" t="s">
        <v>182</v>
      </c>
      <c r="G1012" t="s">
        <v>444</v>
      </c>
      <c r="H1012" t="s">
        <v>35</v>
      </c>
      <c r="I1012">
        <v>0</v>
      </c>
      <c r="J1012">
        <v>0</v>
      </c>
      <c r="K1012">
        <v>0</v>
      </c>
      <c r="L1012">
        <v>0</v>
      </c>
      <c r="M1012">
        <v>0</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c r="AG1012">
        <v>0</v>
      </c>
      <c r="AH1012">
        <v>0</v>
      </c>
      <c r="AI1012">
        <v>0</v>
      </c>
      <c r="AJ1012">
        <v>0</v>
      </c>
      <c r="AK1012">
        <v>0</v>
      </c>
      <c r="AL1012">
        <v>0</v>
      </c>
      <c r="AM1012">
        <v>0</v>
      </c>
    </row>
    <row r="1013" spans="1:39" x14ac:dyDescent="0.35">
      <c r="A1013" t="s">
        <v>174</v>
      </c>
      <c r="B1013" t="s">
        <v>482</v>
      </c>
      <c r="C1013" t="s">
        <v>176</v>
      </c>
      <c r="D1013" t="s">
        <v>315</v>
      </c>
      <c r="E1013" t="s">
        <v>355</v>
      </c>
      <c r="F1013" t="s">
        <v>180</v>
      </c>
      <c r="G1013" t="s">
        <v>442</v>
      </c>
      <c r="H1013" t="s">
        <v>35</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0</v>
      </c>
    </row>
    <row r="1014" spans="1:39" x14ac:dyDescent="0.35">
      <c r="A1014" t="s">
        <v>174</v>
      </c>
      <c r="B1014" t="s">
        <v>482</v>
      </c>
      <c r="C1014" t="s">
        <v>176</v>
      </c>
      <c r="D1014" t="s">
        <v>315</v>
      </c>
      <c r="E1014" t="s">
        <v>355</v>
      </c>
      <c r="F1014" t="s">
        <v>181</v>
      </c>
      <c r="G1014" t="s">
        <v>443</v>
      </c>
      <c r="H1014" t="s">
        <v>35</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c r="AI1014">
        <v>0</v>
      </c>
      <c r="AJ1014">
        <v>0</v>
      </c>
      <c r="AK1014">
        <v>0</v>
      </c>
      <c r="AL1014">
        <v>0</v>
      </c>
      <c r="AM1014">
        <v>0</v>
      </c>
    </row>
    <row r="1015" spans="1:39" x14ac:dyDescent="0.35">
      <c r="A1015" t="s">
        <v>174</v>
      </c>
      <c r="B1015" t="s">
        <v>482</v>
      </c>
      <c r="C1015" t="s">
        <v>176</v>
      </c>
      <c r="D1015" t="s">
        <v>315</v>
      </c>
      <c r="E1015" t="s">
        <v>355</v>
      </c>
      <c r="F1015" t="s">
        <v>179</v>
      </c>
      <c r="G1015" t="s">
        <v>441</v>
      </c>
      <c r="H1015" t="s">
        <v>35</v>
      </c>
      <c r="I1015">
        <v>0</v>
      </c>
      <c r="J1015">
        <v>0</v>
      </c>
      <c r="K1015">
        <v>0</v>
      </c>
      <c r="L1015">
        <v>0</v>
      </c>
      <c r="M1015">
        <v>0</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c r="AK1015">
        <v>0</v>
      </c>
      <c r="AL1015">
        <v>0</v>
      </c>
      <c r="AM1015">
        <v>0</v>
      </c>
    </row>
    <row r="1016" spans="1:39" x14ac:dyDescent="0.35">
      <c r="A1016" t="s">
        <v>174</v>
      </c>
      <c r="B1016" t="s">
        <v>482</v>
      </c>
      <c r="C1016" t="s">
        <v>176</v>
      </c>
      <c r="D1016" t="s">
        <v>315</v>
      </c>
      <c r="E1016" t="s">
        <v>1339</v>
      </c>
      <c r="F1016" t="s">
        <v>182</v>
      </c>
      <c r="G1016" t="s">
        <v>1403</v>
      </c>
      <c r="H1016" t="s">
        <v>35</v>
      </c>
      <c r="I1016">
        <v>0</v>
      </c>
      <c r="J1016">
        <v>0</v>
      </c>
      <c r="K1016">
        <v>0</v>
      </c>
      <c r="L1016">
        <v>0</v>
      </c>
      <c r="M1016">
        <v>0</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c r="AG1016">
        <v>0</v>
      </c>
      <c r="AH1016">
        <v>0</v>
      </c>
      <c r="AI1016">
        <v>0</v>
      </c>
      <c r="AJ1016">
        <v>0</v>
      </c>
      <c r="AK1016">
        <v>0</v>
      </c>
      <c r="AL1016">
        <v>0</v>
      </c>
      <c r="AM1016">
        <v>0</v>
      </c>
    </row>
    <row r="1017" spans="1:39" x14ac:dyDescent="0.35">
      <c r="A1017" t="s">
        <v>174</v>
      </c>
      <c r="B1017" t="s">
        <v>482</v>
      </c>
      <c r="C1017" t="s">
        <v>176</v>
      </c>
      <c r="D1017" t="s">
        <v>315</v>
      </c>
      <c r="E1017" t="s">
        <v>1339</v>
      </c>
      <c r="F1017" t="s">
        <v>182</v>
      </c>
      <c r="G1017" t="s">
        <v>1451</v>
      </c>
      <c r="H1017" t="s">
        <v>35</v>
      </c>
      <c r="I1017">
        <v>0</v>
      </c>
      <c r="J1017">
        <v>0</v>
      </c>
      <c r="K1017">
        <v>0</v>
      </c>
      <c r="L1017">
        <v>0</v>
      </c>
      <c r="M1017">
        <v>0</v>
      </c>
      <c r="N1017">
        <v>0</v>
      </c>
      <c r="O1017">
        <v>0</v>
      </c>
      <c r="P1017">
        <v>0</v>
      </c>
      <c r="Q1017">
        <v>0</v>
      </c>
      <c r="R1017">
        <v>0</v>
      </c>
      <c r="S1017">
        <v>0</v>
      </c>
      <c r="T1017">
        <v>450</v>
      </c>
      <c r="U1017">
        <v>0</v>
      </c>
      <c r="V1017">
        <v>0</v>
      </c>
      <c r="W1017">
        <v>0</v>
      </c>
      <c r="X1017">
        <v>0</v>
      </c>
      <c r="Y1017">
        <v>0</v>
      </c>
      <c r="Z1017">
        <v>0</v>
      </c>
      <c r="AA1017">
        <v>0</v>
      </c>
      <c r="AB1017">
        <v>0</v>
      </c>
      <c r="AC1017">
        <v>0</v>
      </c>
      <c r="AD1017">
        <v>0</v>
      </c>
      <c r="AE1017">
        <v>0</v>
      </c>
      <c r="AF1017">
        <v>0</v>
      </c>
      <c r="AG1017">
        <v>0</v>
      </c>
      <c r="AH1017">
        <v>0</v>
      </c>
      <c r="AI1017">
        <v>0</v>
      </c>
      <c r="AJ1017">
        <v>0</v>
      </c>
      <c r="AK1017">
        <v>0</v>
      </c>
      <c r="AL1017">
        <v>0</v>
      </c>
      <c r="AM1017">
        <v>0</v>
      </c>
    </row>
    <row r="1018" spans="1:39" x14ac:dyDescent="0.35">
      <c r="A1018" t="s">
        <v>174</v>
      </c>
      <c r="B1018" t="s">
        <v>482</v>
      </c>
      <c r="C1018" t="s">
        <v>176</v>
      </c>
      <c r="D1018" t="s">
        <v>315</v>
      </c>
      <c r="E1018" t="s">
        <v>1339</v>
      </c>
      <c r="F1018" t="s">
        <v>180</v>
      </c>
      <c r="G1018" t="s">
        <v>1401</v>
      </c>
      <c r="H1018" t="s">
        <v>35</v>
      </c>
      <c r="I1018">
        <v>0</v>
      </c>
      <c r="J1018">
        <v>1885</v>
      </c>
      <c r="K1018">
        <v>0</v>
      </c>
      <c r="L1018">
        <v>0</v>
      </c>
      <c r="M1018">
        <v>0</v>
      </c>
      <c r="N1018">
        <v>0</v>
      </c>
      <c r="O1018">
        <v>0</v>
      </c>
      <c r="P1018">
        <v>0</v>
      </c>
      <c r="Q1018">
        <v>0</v>
      </c>
      <c r="R1018">
        <v>5</v>
      </c>
      <c r="S1018">
        <v>0</v>
      </c>
      <c r="T1018">
        <v>0</v>
      </c>
      <c r="U1018">
        <v>0</v>
      </c>
      <c r="V1018">
        <v>0</v>
      </c>
      <c r="W1018">
        <v>0</v>
      </c>
      <c r="X1018">
        <v>0</v>
      </c>
      <c r="Y1018">
        <v>0</v>
      </c>
      <c r="Z1018">
        <v>0</v>
      </c>
      <c r="AA1018">
        <v>0</v>
      </c>
      <c r="AB1018">
        <v>0</v>
      </c>
      <c r="AC1018">
        <v>0</v>
      </c>
      <c r="AD1018">
        <v>0</v>
      </c>
      <c r="AE1018">
        <v>0</v>
      </c>
      <c r="AF1018">
        <v>0</v>
      </c>
      <c r="AG1018">
        <v>0</v>
      </c>
      <c r="AH1018">
        <v>0</v>
      </c>
      <c r="AI1018">
        <v>0</v>
      </c>
      <c r="AJ1018">
        <v>0</v>
      </c>
      <c r="AK1018">
        <v>0</v>
      </c>
      <c r="AL1018">
        <v>0</v>
      </c>
      <c r="AM1018">
        <v>0</v>
      </c>
    </row>
    <row r="1019" spans="1:39" x14ac:dyDescent="0.35">
      <c r="A1019" t="s">
        <v>174</v>
      </c>
      <c r="B1019" t="s">
        <v>482</v>
      </c>
      <c r="C1019" t="s">
        <v>176</v>
      </c>
      <c r="D1019" t="s">
        <v>315</v>
      </c>
      <c r="E1019" t="s">
        <v>1339</v>
      </c>
      <c r="F1019" t="s">
        <v>180</v>
      </c>
      <c r="G1019" t="s">
        <v>1452</v>
      </c>
      <c r="H1019" t="s">
        <v>35</v>
      </c>
      <c r="I1019">
        <v>2800</v>
      </c>
      <c r="J1019">
        <v>2675</v>
      </c>
      <c r="K1019">
        <v>3025</v>
      </c>
      <c r="L1019">
        <v>2600</v>
      </c>
      <c r="M1019">
        <v>3050</v>
      </c>
      <c r="N1019">
        <v>1600</v>
      </c>
      <c r="O1019">
        <v>4225</v>
      </c>
      <c r="P1019">
        <v>2650</v>
      </c>
      <c r="Q1019">
        <v>2825</v>
      </c>
      <c r="R1019">
        <v>0</v>
      </c>
      <c r="S1019">
        <v>3000</v>
      </c>
      <c r="T1019">
        <v>3550</v>
      </c>
      <c r="U1019">
        <v>3425</v>
      </c>
      <c r="V1019">
        <v>1550</v>
      </c>
      <c r="W1019">
        <v>0</v>
      </c>
      <c r="X1019">
        <v>0</v>
      </c>
      <c r="Y1019">
        <v>0</v>
      </c>
      <c r="Z1019">
        <v>0</v>
      </c>
      <c r="AA1019">
        <v>0</v>
      </c>
      <c r="AB1019">
        <v>0</v>
      </c>
      <c r="AC1019">
        <v>0</v>
      </c>
      <c r="AD1019">
        <v>0</v>
      </c>
      <c r="AE1019">
        <v>0</v>
      </c>
      <c r="AF1019">
        <v>0</v>
      </c>
      <c r="AG1019">
        <v>0</v>
      </c>
      <c r="AH1019">
        <v>0</v>
      </c>
      <c r="AI1019">
        <v>0</v>
      </c>
      <c r="AJ1019">
        <v>0</v>
      </c>
      <c r="AK1019">
        <v>0</v>
      </c>
      <c r="AL1019">
        <v>0</v>
      </c>
      <c r="AM1019">
        <v>0</v>
      </c>
    </row>
    <row r="1020" spans="1:39" x14ac:dyDescent="0.35">
      <c r="A1020" t="s">
        <v>174</v>
      </c>
      <c r="B1020" t="s">
        <v>482</v>
      </c>
      <c r="C1020" t="s">
        <v>176</v>
      </c>
      <c r="D1020" t="s">
        <v>315</v>
      </c>
      <c r="E1020" t="s">
        <v>1339</v>
      </c>
      <c r="F1020" t="s">
        <v>181</v>
      </c>
      <c r="G1020" t="s">
        <v>1402</v>
      </c>
      <c r="H1020" t="s">
        <v>35</v>
      </c>
      <c r="I1020">
        <v>9958</v>
      </c>
      <c r="J1020">
        <v>6712</v>
      </c>
      <c r="K1020">
        <v>9450</v>
      </c>
      <c r="L1020">
        <v>4306</v>
      </c>
      <c r="M1020">
        <v>7744</v>
      </c>
      <c r="N1020">
        <v>6097</v>
      </c>
      <c r="O1020">
        <v>7313</v>
      </c>
      <c r="P1020">
        <v>5706</v>
      </c>
      <c r="Q1020">
        <v>6471</v>
      </c>
      <c r="R1020">
        <v>8842</v>
      </c>
      <c r="S1020">
        <v>7235</v>
      </c>
      <c r="T1020">
        <v>9455</v>
      </c>
      <c r="U1020">
        <v>9419</v>
      </c>
      <c r="V1020">
        <v>12235</v>
      </c>
      <c r="W1020">
        <v>0</v>
      </c>
      <c r="X1020">
        <v>0</v>
      </c>
      <c r="Y1020">
        <v>0</v>
      </c>
      <c r="Z1020">
        <v>0</v>
      </c>
      <c r="AA1020">
        <v>0</v>
      </c>
      <c r="AB1020">
        <v>0</v>
      </c>
      <c r="AC1020">
        <v>0</v>
      </c>
      <c r="AD1020">
        <v>0</v>
      </c>
      <c r="AE1020">
        <v>0</v>
      </c>
      <c r="AF1020">
        <v>0</v>
      </c>
      <c r="AG1020">
        <v>0</v>
      </c>
      <c r="AH1020">
        <v>0</v>
      </c>
      <c r="AI1020">
        <v>0</v>
      </c>
      <c r="AJ1020">
        <v>0</v>
      </c>
      <c r="AK1020">
        <v>0</v>
      </c>
      <c r="AL1020">
        <v>0</v>
      </c>
      <c r="AM1020">
        <v>0</v>
      </c>
    </row>
    <row r="1021" spans="1:39" x14ac:dyDescent="0.35">
      <c r="A1021" t="s">
        <v>174</v>
      </c>
      <c r="B1021" t="s">
        <v>482</v>
      </c>
      <c r="C1021" t="s">
        <v>176</v>
      </c>
      <c r="D1021" t="s">
        <v>315</v>
      </c>
      <c r="E1021" t="s">
        <v>1339</v>
      </c>
      <c r="F1021" t="s">
        <v>181</v>
      </c>
      <c r="G1021" t="s">
        <v>1453</v>
      </c>
      <c r="H1021" t="s">
        <v>35</v>
      </c>
      <c r="I1021">
        <v>0</v>
      </c>
      <c r="J1021">
        <v>0</v>
      </c>
      <c r="K1021">
        <v>0</v>
      </c>
      <c r="L1021">
        <v>0</v>
      </c>
      <c r="M1021">
        <v>0</v>
      </c>
      <c r="N1021">
        <v>300</v>
      </c>
      <c r="O1021">
        <v>0</v>
      </c>
      <c r="P1021">
        <v>0</v>
      </c>
      <c r="Q1021">
        <v>0</v>
      </c>
      <c r="R1021">
        <v>0</v>
      </c>
      <c r="S1021">
        <v>0</v>
      </c>
      <c r="T1021">
        <v>0</v>
      </c>
      <c r="U1021">
        <v>0</v>
      </c>
      <c r="V1021">
        <v>300</v>
      </c>
      <c r="W1021">
        <v>0</v>
      </c>
      <c r="X1021">
        <v>0</v>
      </c>
      <c r="Y1021">
        <v>0</v>
      </c>
      <c r="Z1021">
        <v>0</v>
      </c>
      <c r="AA1021">
        <v>0</v>
      </c>
      <c r="AB1021">
        <v>0</v>
      </c>
      <c r="AC1021">
        <v>0</v>
      </c>
      <c r="AD1021">
        <v>0</v>
      </c>
      <c r="AE1021">
        <v>0</v>
      </c>
      <c r="AF1021">
        <v>0</v>
      </c>
      <c r="AG1021">
        <v>0</v>
      </c>
      <c r="AH1021">
        <v>0</v>
      </c>
      <c r="AI1021">
        <v>0</v>
      </c>
      <c r="AJ1021">
        <v>0</v>
      </c>
      <c r="AK1021">
        <v>0</v>
      </c>
      <c r="AL1021">
        <v>0</v>
      </c>
      <c r="AM1021">
        <v>0</v>
      </c>
    </row>
    <row r="1022" spans="1:39" x14ac:dyDescent="0.35">
      <c r="A1022" t="s">
        <v>174</v>
      </c>
      <c r="B1022" t="s">
        <v>482</v>
      </c>
      <c r="C1022" t="s">
        <v>176</v>
      </c>
      <c r="D1022" t="s">
        <v>315</v>
      </c>
      <c r="E1022" t="s">
        <v>1339</v>
      </c>
      <c r="F1022" t="s">
        <v>179</v>
      </c>
      <c r="G1022" t="s">
        <v>1400</v>
      </c>
      <c r="H1022" t="s">
        <v>35</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c r="AG1022">
        <v>0</v>
      </c>
      <c r="AH1022">
        <v>0</v>
      </c>
      <c r="AI1022">
        <v>0</v>
      </c>
      <c r="AJ1022">
        <v>0</v>
      </c>
      <c r="AK1022">
        <v>0</v>
      </c>
      <c r="AL1022">
        <v>0</v>
      </c>
      <c r="AM1022">
        <v>0</v>
      </c>
    </row>
    <row r="1023" spans="1:39" x14ac:dyDescent="0.35">
      <c r="A1023" t="s">
        <v>174</v>
      </c>
      <c r="B1023" t="s">
        <v>482</v>
      </c>
      <c r="C1023" t="s">
        <v>176</v>
      </c>
      <c r="D1023" t="s">
        <v>315</v>
      </c>
      <c r="E1023" t="s">
        <v>1339</v>
      </c>
      <c r="F1023" t="s">
        <v>179</v>
      </c>
      <c r="G1023" t="s">
        <v>1454</v>
      </c>
      <c r="H1023" t="s">
        <v>35</v>
      </c>
      <c r="I1023">
        <v>0</v>
      </c>
      <c r="J1023">
        <v>0</v>
      </c>
      <c r="K1023">
        <v>0</v>
      </c>
      <c r="L1023">
        <v>0</v>
      </c>
      <c r="M1023">
        <v>0</v>
      </c>
      <c r="N1023">
        <v>0</v>
      </c>
      <c r="O1023">
        <v>0</v>
      </c>
      <c r="P1023">
        <v>0</v>
      </c>
      <c r="Q1023">
        <v>0</v>
      </c>
      <c r="R1023">
        <v>0</v>
      </c>
      <c r="S1023">
        <v>0</v>
      </c>
      <c r="T1023">
        <v>0</v>
      </c>
      <c r="U1023">
        <v>0</v>
      </c>
      <c r="V1023">
        <v>0</v>
      </c>
      <c r="W1023">
        <v>0</v>
      </c>
      <c r="X1023">
        <v>0</v>
      </c>
      <c r="Y1023">
        <v>0</v>
      </c>
      <c r="Z1023">
        <v>0</v>
      </c>
      <c r="AA1023">
        <v>0</v>
      </c>
      <c r="AB1023">
        <v>0</v>
      </c>
      <c r="AC1023">
        <v>0</v>
      </c>
      <c r="AD1023">
        <v>0</v>
      </c>
      <c r="AE1023">
        <v>0</v>
      </c>
      <c r="AF1023">
        <v>0</v>
      </c>
      <c r="AG1023">
        <v>0</v>
      </c>
      <c r="AH1023">
        <v>0</v>
      </c>
      <c r="AI1023">
        <v>0</v>
      </c>
      <c r="AJ1023">
        <v>0</v>
      </c>
      <c r="AK1023">
        <v>0</v>
      </c>
      <c r="AL1023">
        <v>0</v>
      </c>
      <c r="AM1023">
        <v>0</v>
      </c>
    </row>
    <row r="1024" spans="1:39" x14ac:dyDescent="0.35">
      <c r="A1024" t="s">
        <v>174</v>
      </c>
      <c r="B1024" t="s">
        <v>482</v>
      </c>
      <c r="C1024" t="s">
        <v>176</v>
      </c>
      <c r="D1024" t="s">
        <v>315</v>
      </c>
      <c r="E1024" t="s">
        <v>1348</v>
      </c>
      <c r="F1024" t="s">
        <v>182</v>
      </c>
      <c r="G1024" t="s">
        <v>1375</v>
      </c>
      <c r="H1024" t="s">
        <v>35</v>
      </c>
      <c r="I1024">
        <v>0</v>
      </c>
      <c r="J1024">
        <v>0</v>
      </c>
      <c r="K1024">
        <v>0</v>
      </c>
      <c r="L1024">
        <v>0</v>
      </c>
      <c r="M1024">
        <v>0</v>
      </c>
      <c r="N1024">
        <v>0</v>
      </c>
      <c r="O1024">
        <v>0</v>
      </c>
      <c r="P1024">
        <v>0</v>
      </c>
      <c r="Q1024">
        <v>0</v>
      </c>
      <c r="R1024">
        <v>0</v>
      </c>
      <c r="S1024">
        <v>0</v>
      </c>
      <c r="T1024">
        <v>0</v>
      </c>
      <c r="U1024">
        <v>0</v>
      </c>
      <c r="V1024">
        <v>0</v>
      </c>
      <c r="W1024">
        <v>0</v>
      </c>
      <c r="X1024">
        <v>0</v>
      </c>
      <c r="Y1024">
        <v>0</v>
      </c>
      <c r="Z1024">
        <v>0</v>
      </c>
      <c r="AA1024">
        <v>0</v>
      </c>
      <c r="AB1024">
        <v>0</v>
      </c>
      <c r="AC1024">
        <v>0</v>
      </c>
      <c r="AD1024">
        <v>0</v>
      </c>
      <c r="AE1024">
        <v>0</v>
      </c>
      <c r="AF1024">
        <v>0</v>
      </c>
      <c r="AG1024">
        <v>0</v>
      </c>
      <c r="AH1024">
        <v>0</v>
      </c>
      <c r="AI1024">
        <v>0</v>
      </c>
      <c r="AJ1024">
        <v>0</v>
      </c>
      <c r="AK1024">
        <v>0</v>
      </c>
      <c r="AL1024">
        <v>0</v>
      </c>
      <c r="AM1024">
        <v>0</v>
      </c>
    </row>
    <row r="1025" spans="1:39" x14ac:dyDescent="0.35">
      <c r="A1025" t="s">
        <v>174</v>
      </c>
      <c r="B1025" t="s">
        <v>482</v>
      </c>
      <c r="C1025" t="s">
        <v>176</v>
      </c>
      <c r="D1025" t="s">
        <v>315</v>
      </c>
      <c r="E1025" t="s">
        <v>1348</v>
      </c>
      <c r="F1025" t="s">
        <v>180</v>
      </c>
      <c r="G1025" t="s">
        <v>1373</v>
      </c>
      <c r="H1025" t="s">
        <v>35</v>
      </c>
      <c r="I1025">
        <v>0</v>
      </c>
      <c r="J1025">
        <v>0</v>
      </c>
      <c r="K1025">
        <v>0</v>
      </c>
      <c r="L1025">
        <v>0</v>
      </c>
      <c r="M1025">
        <v>0</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0</v>
      </c>
    </row>
    <row r="1026" spans="1:39" x14ac:dyDescent="0.35">
      <c r="A1026" t="s">
        <v>174</v>
      </c>
      <c r="B1026" t="s">
        <v>482</v>
      </c>
      <c r="C1026" t="s">
        <v>176</v>
      </c>
      <c r="D1026" t="s">
        <v>315</v>
      </c>
      <c r="E1026" t="s">
        <v>1348</v>
      </c>
      <c r="F1026" t="s">
        <v>181</v>
      </c>
      <c r="G1026" t="s">
        <v>1374</v>
      </c>
      <c r="H1026" t="s">
        <v>35</v>
      </c>
      <c r="I1026">
        <v>0</v>
      </c>
      <c r="J1026">
        <v>0</v>
      </c>
      <c r="K1026">
        <v>0</v>
      </c>
      <c r="L1026">
        <v>0</v>
      </c>
      <c r="M1026">
        <v>0</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c r="AI1026">
        <v>0</v>
      </c>
      <c r="AJ1026">
        <v>0</v>
      </c>
      <c r="AK1026">
        <v>0</v>
      </c>
      <c r="AL1026">
        <v>0</v>
      </c>
      <c r="AM1026">
        <v>0</v>
      </c>
    </row>
    <row r="1027" spans="1:39" x14ac:dyDescent="0.35">
      <c r="A1027" t="s">
        <v>174</v>
      </c>
      <c r="B1027" t="s">
        <v>482</v>
      </c>
      <c r="C1027" t="s">
        <v>176</v>
      </c>
      <c r="D1027" t="s">
        <v>315</v>
      </c>
      <c r="E1027" t="s">
        <v>1348</v>
      </c>
      <c r="F1027" t="s">
        <v>179</v>
      </c>
      <c r="G1027" t="s">
        <v>1372</v>
      </c>
      <c r="H1027" t="s">
        <v>35</v>
      </c>
      <c r="I1027">
        <v>0</v>
      </c>
      <c r="J1027">
        <v>0</v>
      </c>
      <c r="K1027">
        <v>0</v>
      </c>
      <c r="L1027">
        <v>0</v>
      </c>
      <c r="M1027">
        <v>0</v>
      </c>
      <c r="N1027">
        <v>0</v>
      </c>
      <c r="O1027">
        <v>0</v>
      </c>
      <c r="P1027">
        <v>0</v>
      </c>
      <c r="Q1027">
        <v>0</v>
      </c>
      <c r="R1027">
        <v>0</v>
      </c>
      <c r="S1027">
        <v>0</v>
      </c>
      <c r="T1027">
        <v>0</v>
      </c>
      <c r="U1027">
        <v>0</v>
      </c>
      <c r="V1027">
        <v>0</v>
      </c>
      <c r="W1027">
        <v>0</v>
      </c>
      <c r="X1027">
        <v>0</v>
      </c>
      <c r="Y1027">
        <v>0</v>
      </c>
      <c r="Z1027">
        <v>0</v>
      </c>
      <c r="AA1027">
        <v>0</v>
      </c>
      <c r="AB1027">
        <v>0</v>
      </c>
      <c r="AC1027">
        <v>0</v>
      </c>
      <c r="AD1027">
        <v>0</v>
      </c>
      <c r="AE1027">
        <v>0</v>
      </c>
      <c r="AF1027">
        <v>0</v>
      </c>
      <c r="AG1027">
        <v>0</v>
      </c>
      <c r="AH1027">
        <v>0</v>
      </c>
      <c r="AI1027">
        <v>0</v>
      </c>
      <c r="AJ1027">
        <v>0</v>
      </c>
      <c r="AK1027">
        <v>0</v>
      </c>
      <c r="AL1027">
        <v>0</v>
      </c>
      <c r="AM1027">
        <v>0</v>
      </c>
    </row>
    <row r="1028" spans="1:39" x14ac:dyDescent="0.35">
      <c r="A1028" t="s">
        <v>174</v>
      </c>
      <c r="B1028" t="s">
        <v>482</v>
      </c>
      <c r="C1028" t="s">
        <v>176</v>
      </c>
      <c r="D1028" t="s">
        <v>315</v>
      </c>
      <c r="E1028" t="s">
        <v>354</v>
      </c>
      <c r="F1028" t="s">
        <v>182</v>
      </c>
      <c r="G1028" t="s">
        <v>448</v>
      </c>
      <c r="H1028" t="s">
        <v>35</v>
      </c>
      <c r="I1028">
        <v>0</v>
      </c>
      <c r="J1028">
        <v>0</v>
      </c>
      <c r="K1028">
        <v>0</v>
      </c>
      <c r="L1028">
        <v>0</v>
      </c>
      <c r="M1028">
        <v>0</v>
      </c>
      <c r="N1028">
        <v>0</v>
      </c>
      <c r="O1028">
        <v>0</v>
      </c>
      <c r="P1028">
        <v>0</v>
      </c>
      <c r="Q1028">
        <v>0</v>
      </c>
      <c r="R1028">
        <v>0</v>
      </c>
      <c r="S1028">
        <v>0</v>
      </c>
      <c r="T1028">
        <v>0</v>
      </c>
      <c r="U1028">
        <v>0</v>
      </c>
      <c r="V1028">
        <v>0</v>
      </c>
      <c r="W1028">
        <v>0</v>
      </c>
      <c r="X1028">
        <v>0</v>
      </c>
      <c r="Y1028">
        <v>0</v>
      </c>
      <c r="Z1028">
        <v>0</v>
      </c>
      <c r="AA1028">
        <v>0</v>
      </c>
      <c r="AB1028">
        <v>0</v>
      </c>
      <c r="AC1028">
        <v>0</v>
      </c>
      <c r="AD1028">
        <v>0</v>
      </c>
      <c r="AE1028">
        <v>0</v>
      </c>
      <c r="AF1028">
        <v>0</v>
      </c>
      <c r="AG1028">
        <v>0</v>
      </c>
      <c r="AH1028">
        <v>0</v>
      </c>
      <c r="AI1028">
        <v>0</v>
      </c>
      <c r="AJ1028">
        <v>0</v>
      </c>
      <c r="AK1028">
        <v>0</v>
      </c>
      <c r="AL1028">
        <v>0</v>
      </c>
      <c r="AM1028">
        <v>0</v>
      </c>
    </row>
    <row r="1029" spans="1:39" x14ac:dyDescent="0.35">
      <c r="A1029" t="s">
        <v>174</v>
      </c>
      <c r="B1029" t="s">
        <v>482</v>
      </c>
      <c r="C1029" t="s">
        <v>176</v>
      </c>
      <c r="D1029" t="s">
        <v>315</v>
      </c>
      <c r="E1029" t="s">
        <v>354</v>
      </c>
      <c r="F1029" t="s">
        <v>180</v>
      </c>
      <c r="G1029" t="s">
        <v>446</v>
      </c>
      <c r="H1029" t="s">
        <v>35</v>
      </c>
      <c r="I1029">
        <v>0</v>
      </c>
      <c r="J1029">
        <v>0</v>
      </c>
      <c r="K1029">
        <v>0</v>
      </c>
      <c r="L1029">
        <v>0</v>
      </c>
      <c r="M1029">
        <v>0</v>
      </c>
      <c r="N1029">
        <v>0</v>
      </c>
      <c r="O1029">
        <v>0</v>
      </c>
      <c r="P1029">
        <v>0</v>
      </c>
      <c r="Q1029">
        <v>40</v>
      </c>
      <c r="R1029">
        <v>151</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0</v>
      </c>
    </row>
    <row r="1030" spans="1:39" x14ac:dyDescent="0.35">
      <c r="A1030" t="s">
        <v>174</v>
      </c>
      <c r="B1030" t="s">
        <v>482</v>
      </c>
      <c r="C1030" t="s">
        <v>176</v>
      </c>
      <c r="D1030" t="s">
        <v>315</v>
      </c>
      <c r="E1030" t="s">
        <v>354</v>
      </c>
      <c r="F1030" t="s">
        <v>181</v>
      </c>
      <c r="G1030" t="s">
        <v>447</v>
      </c>
      <c r="H1030" t="s">
        <v>35</v>
      </c>
      <c r="I1030">
        <v>0</v>
      </c>
      <c r="J1030">
        <v>0</v>
      </c>
      <c r="K1030">
        <v>0</v>
      </c>
      <c r="L1030">
        <v>0</v>
      </c>
      <c r="M1030">
        <v>0</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c r="AI1030">
        <v>0</v>
      </c>
      <c r="AJ1030">
        <v>0</v>
      </c>
      <c r="AK1030">
        <v>0</v>
      </c>
      <c r="AL1030">
        <v>0</v>
      </c>
      <c r="AM1030">
        <v>0</v>
      </c>
    </row>
    <row r="1031" spans="1:39" x14ac:dyDescent="0.35">
      <c r="A1031" t="s">
        <v>174</v>
      </c>
      <c r="B1031" t="s">
        <v>482</v>
      </c>
      <c r="C1031" t="s">
        <v>176</v>
      </c>
      <c r="D1031" t="s">
        <v>315</v>
      </c>
      <c r="E1031" t="s">
        <v>354</v>
      </c>
      <c r="F1031" t="s">
        <v>179</v>
      </c>
      <c r="G1031" t="s">
        <v>445</v>
      </c>
      <c r="H1031" t="s">
        <v>35</v>
      </c>
      <c r="I1031">
        <v>0</v>
      </c>
      <c r="J1031">
        <v>0</v>
      </c>
      <c r="K1031">
        <v>0</v>
      </c>
      <c r="L1031">
        <v>0</v>
      </c>
      <c r="M1031">
        <v>0</v>
      </c>
      <c r="N1031">
        <v>0</v>
      </c>
      <c r="O1031">
        <v>0</v>
      </c>
      <c r="P1031">
        <v>0</v>
      </c>
      <c r="Q1031">
        <v>0</v>
      </c>
      <c r="R1031">
        <v>0</v>
      </c>
      <c r="S1031">
        <v>0</v>
      </c>
      <c r="T1031">
        <v>0</v>
      </c>
      <c r="U1031">
        <v>0</v>
      </c>
      <c r="V1031">
        <v>0</v>
      </c>
      <c r="W1031">
        <v>0</v>
      </c>
      <c r="X1031">
        <v>0</v>
      </c>
      <c r="Y1031">
        <v>0</v>
      </c>
      <c r="Z1031">
        <v>0</v>
      </c>
      <c r="AA1031">
        <v>0</v>
      </c>
      <c r="AB1031">
        <v>0</v>
      </c>
      <c r="AC1031">
        <v>0</v>
      </c>
      <c r="AD1031">
        <v>0</v>
      </c>
      <c r="AE1031">
        <v>0</v>
      </c>
      <c r="AF1031">
        <v>0</v>
      </c>
      <c r="AG1031">
        <v>0</v>
      </c>
      <c r="AH1031">
        <v>0</v>
      </c>
      <c r="AI1031">
        <v>0</v>
      </c>
      <c r="AJ1031">
        <v>0</v>
      </c>
      <c r="AK1031">
        <v>0</v>
      </c>
      <c r="AL1031">
        <v>0</v>
      </c>
      <c r="AM1031">
        <v>0</v>
      </c>
    </row>
    <row r="1032" spans="1:39" x14ac:dyDescent="0.35">
      <c r="A1032" t="s">
        <v>174</v>
      </c>
      <c r="B1032" t="s">
        <v>482</v>
      </c>
      <c r="C1032" t="s">
        <v>176</v>
      </c>
      <c r="D1032" t="s">
        <v>315</v>
      </c>
      <c r="E1032" t="s">
        <v>918</v>
      </c>
      <c r="F1032" t="s">
        <v>182</v>
      </c>
      <c r="G1032" t="s">
        <v>966</v>
      </c>
      <c r="H1032" t="s">
        <v>67</v>
      </c>
      <c r="I1032">
        <v>0</v>
      </c>
      <c r="J1032">
        <v>0</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c r="AK1032">
        <v>0</v>
      </c>
      <c r="AL1032">
        <v>0</v>
      </c>
      <c r="AM1032">
        <v>0</v>
      </c>
    </row>
    <row r="1033" spans="1:39" x14ac:dyDescent="0.35">
      <c r="A1033" t="s">
        <v>174</v>
      </c>
      <c r="B1033" t="s">
        <v>482</v>
      </c>
      <c r="C1033" t="s">
        <v>176</v>
      </c>
      <c r="D1033" t="s">
        <v>315</v>
      </c>
      <c r="E1033" t="s">
        <v>918</v>
      </c>
      <c r="F1033" t="s">
        <v>180</v>
      </c>
      <c r="G1033" t="s">
        <v>965</v>
      </c>
      <c r="H1033" t="s">
        <v>67</v>
      </c>
      <c r="I1033">
        <v>0</v>
      </c>
      <c r="J1033">
        <v>0</v>
      </c>
      <c r="K1033">
        <v>0</v>
      </c>
      <c r="L1033">
        <v>0</v>
      </c>
      <c r="M1033">
        <v>0</v>
      </c>
      <c r="N1033">
        <v>0</v>
      </c>
      <c r="O1033">
        <v>0</v>
      </c>
      <c r="P1033">
        <v>0</v>
      </c>
      <c r="Q1033">
        <v>0</v>
      </c>
      <c r="R1033">
        <v>0</v>
      </c>
      <c r="S1033">
        <v>0</v>
      </c>
      <c r="T1033">
        <v>0</v>
      </c>
      <c r="U1033">
        <v>0</v>
      </c>
      <c r="V1033">
        <v>0</v>
      </c>
      <c r="W1033">
        <v>0</v>
      </c>
      <c r="X1033">
        <v>0</v>
      </c>
      <c r="Y1033">
        <v>0</v>
      </c>
      <c r="Z1033">
        <v>0</v>
      </c>
      <c r="AA1033">
        <v>0</v>
      </c>
      <c r="AB1033">
        <v>0</v>
      </c>
      <c r="AC1033">
        <v>0</v>
      </c>
      <c r="AD1033">
        <v>0</v>
      </c>
      <c r="AE1033">
        <v>0</v>
      </c>
      <c r="AF1033">
        <v>0</v>
      </c>
      <c r="AG1033">
        <v>0</v>
      </c>
      <c r="AH1033">
        <v>0</v>
      </c>
      <c r="AI1033">
        <v>0</v>
      </c>
      <c r="AJ1033">
        <v>0</v>
      </c>
      <c r="AK1033">
        <v>0</v>
      </c>
      <c r="AL1033">
        <v>0</v>
      </c>
      <c r="AM1033">
        <v>0</v>
      </c>
    </row>
    <row r="1034" spans="1:39" x14ac:dyDescent="0.35">
      <c r="A1034" t="s">
        <v>174</v>
      </c>
      <c r="B1034" t="s">
        <v>482</v>
      </c>
      <c r="C1034" t="s">
        <v>176</v>
      </c>
      <c r="D1034" t="s">
        <v>315</v>
      </c>
      <c r="E1034" t="s">
        <v>918</v>
      </c>
      <c r="F1034" t="s">
        <v>183</v>
      </c>
      <c r="G1034" t="s">
        <v>1111</v>
      </c>
      <c r="H1034" t="s">
        <v>67</v>
      </c>
      <c r="I1034">
        <v>0</v>
      </c>
      <c r="J1034">
        <v>0</v>
      </c>
      <c r="K1034">
        <v>0</v>
      </c>
      <c r="L1034">
        <v>0</v>
      </c>
      <c r="M1034">
        <v>0</v>
      </c>
      <c r="N1034">
        <v>0</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0</v>
      </c>
      <c r="AK1034">
        <v>0</v>
      </c>
      <c r="AL1034">
        <v>0</v>
      </c>
      <c r="AM1034">
        <v>0</v>
      </c>
    </row>
    <row r="1035" spans="1:39" x14ac:dyDescent="0.35">
      <c r="A1035" t="s">
        <v>174</v>
      </c>
      <c r="B1035" t="s">
        <v>482</v>
      </c>
      <c r="C1035" t="s">
        <v>176</v>
      </c>
      <c r="D1035" t="s">
        <v>315</v>
      </c>
      <c r="E1035" t="s">
        <v>918</v>
      </c>
      <c r="F1035" t="s">
        <v>179</v>
      </c>
      <c r="G1035" t="s">
        <v>964</v>
      </c>
      <c r="H1035" t="s">
        <v>67</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c r="AI1035">
        <v>0</v>
      </c>
      <c r="AJ1035">
        <v>0</v>
      </c>
      <c r="AK1035">
        <v>0</v>
      </c>
      <c r="AL1035">
        <v>0</v>
      </c>
      <c r="AM1035">
        <v>0</v>
      </c>
    </row>
    <row r="1036" spans="1:39" x14ac:dyDescent="0.35">
      <c r="A1036" t="s">
        <v>174</v>
      </c>
      <c r="B1036" t="s">
        <v>482</v>
      </c>
      <c r="C1036" t="s">
        <v>176</v>
      </c>
      <c r="D1036" t="s">
        <v>315</v>
      </c>
      <c r="E1036" t="s">
        <v>917</v>
      </c>
      <c r="F1036" t="s">
        <v>182</v>
      </c>
      <c r="G1036" t="s">
        <v>944</v>
      </c>
      <c r="H1036" t="s">
        <v>35</v>
      </c>
      <c r="I1036">
        <v>0</v>
      </c>
      <c r="J1036">
        <v>0</v>
      </c>
      <c r="K1036">
        <v>0</v>
      </c>
      <c r="L1036">
        <v>0</v>
      </c>
      <c r="M1036">
        <v>0</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v>0</v>
      </c>
      <c r="AG1036">
        <v>0</v>
      </c>
      <c r="AH1036">
        <v>0</v>
      </c>
      <c r="AI1036">
        <v>0</v>
      </c>
      <c r="AJ1036">
        <v>0</v>
      </c>
      <c r="AK1036">
        <v>0</v>
      </c>
      <c r="AL1036">
        <v>0</v>
      </c>
      <c r="AM1036">
        <v>0</v>
      </c>
    </row>
    <row r="1037" spans="1:39" x14ac:dyDescent="0.35">
      <c r="A1037" t="s">
        <v>174</v>
      </c>
      <c r="B1037" t="s">
        <v>482</v>
      </c>
      <c r="C1037" t="s">
        <v>176</v>
      </c>
      <c r="D1037" t="s">
        <v>315</v>
      </c>
      <c r="E1037" t="s">
        <v>917</v>
      </c>
      <c r="F1037" t="s">
        <v>180</v>
      </c>
      <c r="G1037" t="s">
        <v>942</v>
      </c>
      <c r="H1037" t="s">
        <v>35</v>
      </c>
      <c r="I1037">
        <v>0</v>
      </c>
      <c r="J1037">
        <v>0</v>
      </c>
      <c r="K1037">
        <v>0</v>
      </c>
      <c r="L1037">
        <v>0</v>
      </c>
      <c r="M1037">
        <v>0</v>
      </c>
      <c r="N1037">
        <v>0</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c r="AG1037">
        <v>0</v>
      </c>
      <c r="AH1037">
        <v>0</v>
      </c>
      <c r="AI1037">
        <v>0</v>
      </c>
      <c r="AJ1037">
        <v>0</v>
      </c>
      <c r="AK1037">
        <v>0</v>
      </c>
      <c r="AL1037">
        <v>0</v>
      </c>
      <c r="AM1037">
        <v>0</v>
      </c>
    </row>
    <row r="1038" spans="1:39" x14ac:dyDescent="0.35">
      <c r="A1038" t="s">
        <v>174</v>
      </c>
      <c r="B1038" t="s">
        <v>482</v>
      </c>
      <c r="C1038" t="s">
        <v>176</v>
      </c>
      <c r="D1038" t="s">
        <v>315</v>
      </c>
      <c r="E1038" t="s">
        <v>917</v>
      </c>
      <c r="F1038" t="s">
        <v>181</v>
      </c>
      <c r="G1038" t="s">
        <v>943</v>
      </c>
      <c r="H1038" t="s">
        <v>35</v>
      </c>
      <c r="I1038">
        <v>0</v>
      </c>
      <c r="J1038">
        <v>0</v>
      </c>
      <c r="K1038">
        <v>0</v>
      </c>
      <c r="L1038">
        <v>0</v>
      </c>
      <c r="M1038">
        <v>0</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c r="AI1038">
        <v>0</v>
      </c>
      <c r="AJ1038">
        <v>0</v>
      </c>
      <c r="AK1038">
        <v>0</v>
      </c>
      <c r="AL1038">
        <v>0</v>
      </c>
      <c r="AM1038">
        <v>0</v>
      </c>
    </row>
    <row r="1039" spans="1:39" x14ac:dyDescent="0.35">
      <c r="A1039" t="s">
        <v>174</v>
      </c>
      <c r="B1039" t="s">
        <v>482</v>
      </c>
      <c r="C1039" t="s">
        <v>176</v>
      </c>
      <c r="D1039" t="s">
        <v>315</v>
      </c>
      <c r="E1039" t="s">
        <v>917</v>
      </c>
      <c r="F1039" t="s">
        <v>179</v>
      </c>
      <c r="G1039" t="s">
        <v>941</v>
      </c>
      <c r="H1039" t="s">
        <v>35</v>
      </c>
      <c r="I1039">
        <v>0</v>
      </c>
      <c r="J1039">
        <v>0</v>
      </c>
      <c r="K1039">
        <v>0</v>
      </c>
      <c r="L1039">
        <v>0</v>
      </c>
      <c r="M1039">
        <v>0</v>
      </c>
      <c r="N1039">
        <v>0</v>
      </c>
      <c r="O1039">
        <v>0</v>
      </c>
      <c r="P1039">
        <v>0</v>
      </c>
      <c r="Q1039">
        <v>0</v>
      </c>
      <c r="R1039">
        <v>0</v>
      </c>
      <c r="S1039">
        <v>0</v>
      </c>
      <c r="T1039">
        <v>0</v>
      </c>
      <c r="U1039">
        <v>0</v>
      </c>
      <c r="V1039">
        <v>0</v>
      </c>
      <c r="W1039">
        <v>0</v>
      </c>
      <c r="X1039">
        <v>0</v>
      </c>
      <c r="Y1039">
        <v>0</v>
      </c>
      <c r="Z1039">
        <v>0</v>
      </c>
      <c r="AA1039">
        <v>0</v>
      </c>
      <c r="AB1039">
        <v>0</v>
      </c>
      <c r="AC1039">
        <v>0</v>
      </c>
      <c r="AD1039">
        <v>0</v>
      </c>
      <c r="AE1039">
        <v>0</v>
      </c>
      <c r="AF1039">
        <v>0</v>
      </c>
      <c r="AG1039">
        <v>0</v>
      </c>
      <c r="AH1039">
        <v>0</v>
      </c>
      <c r="AI1039">
        <v>0</v>
      </c>
      <c r="AJ1039">
        <v>0</v>
      </c>
      <c r="AK1039">
        <v>0</v>
      </c>
      <c r="AL1039">
        <v>0</v>
      </c>
      <c r="AM1039">
        <v>0</v>
      </c>
    </row>
    <row r="1040" spans="1:39" x14ac:dyDescent="0.35">
      <c r="A1040" t="s">
        <v>174</v>
      </c>
      <c r="B1040" t="s">
        <v>482</v>
      </c>
      <c r="C1040" t="s">
        <v>176</v>
      </c>
      <c r="D1040" t="s">
        <v>315</v>
      </c>
      <c r="E1040" t="s">
        <v>19</v>
      </c>
      <c r="F1040" t="s">
        <v>182</v>
      </c>
      <c r="G1040" t="s">
        <v>198</v>
      </c>
      <c r="H1040" t="s">
        <v>35</v>
      </c>
      <c r="I1040">
        <v>0</v>
      </c>
      <c r="J1040">
        <v>0</v>
      </c>
      <c r="K1040">
        <v>0</v>
      </c>
      <c r="L1040">
        <v>0</v>
      </c>
      <c r="M1040">
        <v>0</v>
      </c>
      <c r="N1040">
        <v>0</v>
      </c>
      <c r="O1040">
        <v>0</v>
      </c>
      <c r="P1040">
        <v>0</v>
      </c>
      <c r="Q1040">
        <v>0</v>
      </c>
      <c r="R1040">
        <v>0</v>
      </c>
      <c r="S1040">
        <v>0</v>
      </c>
      <c r="T1040">
        <v>0</v>
      </c>
      <c r="U1040">
        <v>0</v>
      </c>
      <c r="V1040">
        <v>0</v>
      </c>
      <c r="W1040">
        <v>0</v>
      </c>
      <c r="X1040">
        <v>0</v>
      </c>
      <c r="Y1040">
        <v>0</v>
      </c>
      <c r="Z1040">
        <v>0</v>
      </c>
      <c r="AA1040">
        <v>0</v>
      </c>
      <c r="AB1040">
        <v>0</v>
      </c>
      <c r="AC1040">
        <v>0</v>
      </c>
      <c r="AD1040">
        <v>0</v>
      </c>
      <c r="AE1040">
        <v>0</v>
      </c>
      <c r="AF1040">
        <v>0</v>
      </c>
      <c r="AG1040">
        <v>0</v>
      </c>
      <c r="AH1040">
        <v>0</v>
      </c>
      <c r="AI1040">
        <v>0</v>
      </c>
      <c r="AJ1040">
        <v>0</v>
      </c>
      <c r="AK1040">
        <v>0</v>
      </c>
      <c r="AL1040">
        <v>0</v>
      </c>
      <c r="AM1040">
        <v>0</v>
      </c>
    </row>
    <row r="1041" spans="1:39" x14ac:dyDescent="0.35">
      <c r="A1041" t="s">
        <v>174</v>
      </c>
      <c r="B1041" t="s">
        <v>482</v>
      </c>
      <c r="C1041" t="s">
        <v>176</v>
      </c>
      <c r="D1041" t="s">
        <v>315</v>
      </c>
      <c r="E1041" t="s">
        <v>19</v>
      </c>
      <c r="F1041" t="s">
        <v>180</v>
      </c>
      <c r="G1041" t="s">
        <v>196</v>
      </c>
      <c r="H1041" t="s">
        <v>35</v>
      </c>
      <c r="I1041">
        <v>0</v>
      </c>
      <c r="J1041">
        <v>0</v>
      </c>
      <c r="K1041">
        <v>0</v>
      </c>
      <c r="L1041">
        <v>0</v>
      </c>
      <c r="M1041">
        <v>0</v>
      </c>
      <c r="N1041">
        <v>0</v>
      </c>
      <c r="O1041">
        <v>0</v>
      </c>
      <c r="P1041">
        <v>0</v>
      </c>
      <c r="Q1041">
        <v>0</v>
      </c>
      <c r="R1041">
        <v>0</v>
      </c>
      <c r="S1041">
        <v>0</v>
      </c>
      <c r="T1041">
        <v>128.44</v>
      </c>
      <c r="U1041">
        <v>19.094999999999999</v>
      </c>
      <c r="V1041">
        <v>0</v>
      </c>
      <c r="W1041">
        <v>0</v>
      </c>
      <c r="X1041">
        <v>0</v>
      </c>
      <c r="Y1041">
        <v>0</v>
      </c>
      <c r="Z1041">
        <v>0</v>
      </c>
      <c r="AA1041">
        <v>0</v>
      </c>
      <c r="AB1041">
        <v>0</v>
      </c>
      <c r="AC1041">
        <v>0</v>
      </c>
      <c r="AD1041">
        <v>0</v>
      </c>
      <c r="AE1041">
        <v>0</v>
      </c>
      <c r="AF1041">
        <v>0</v>
      </c>
      <c r="AG1041">
        <v>0</v>
      </c>
      <c r="AH1041">
        <v>0</v>
      </c>
      <c r="AI1041">
        <v>0</v>
      </c>
      <c r="AJ1041">
        <v>0</v>
      </c>
      <c r="AK1041">
        <v>0</v>
      </c>
      <c r="AL1041">
        <v>0</v>
      </c>
      <c r="AM1041">
        <v>0</v>
      </c>
    </row>
    <row r="1042" spans="1:39" x14ac:dyDescent="0.35">
      <c r="A1042" t="s">
        <v>174</v>
      </c>
      <c r="B1042" t="s">
        <v>482</v>
      </c>
      <c r="C1042" t="s">
        <v>176</v>
      </c>
      <c r="D1042" t="s">
        <v>315</v>
      </c>
      <c r="E1042" t="s">
        <v>19</v>
      </c>
      <c r="F1042" t="s">
        <v>180</v>
      </c>
      <c r="G1042" t="s">
        <v>200</v>
      </c>
      <c r="H1042" t="s">
        <v>35</v>
      </c>
      <c r="I1042">
        <v>0</v>
      </c>
      <c r="J1042">
        <v>0</v>
      </c>
      <c r="K1042">
        <v>0</v>
      </c>
      <c r="L1042">
        <v>0</v>
      </c>
      <c r="M1042">
        <v>0</v>
      </c>
      <c r="N1042">
        <v>0</v>
      </c>
      <c r="O1042">
        <v>0</v>
      </c>
      <c r="P1042">
        <v>0</v>
      </c>
      <c r="Q1042">
        <v>0</v>
      </c>
      <c r="R1042">
        <v>0</v>
      </c>
      <c r="S1042">
        <v>0</v>
      </c>
      <c r="T1042">
        <v>0</v>
      </c>
      <c r="U1042">
        <v>0</v>
      </c>
      <c r="V1042">
        <v>0</v>
      </c>
      <c r="W1042">
        <v>0</v>
      </c>
      <c r="X1042">
        <v>0</v>
      </c>
      <c r="Y1042">
        <v>0</v>
      </c>
      <c r="Z1042">
        <v>0</v>
      </c>
      <c r="AA1042">
        <v>0</v>
      </c>
      <c r="AB1042">
        <v>0</v>
      </c>
      <c r="AC1042">
        <v>0</v>
      </c>
      <c r="AD1042">
        <v>0</v>
      </c>
      <c r="AE1042">
        <v>0</v>
      </c>
      <c r="AF1042">
        <v>0</v>
      </c>
      <c r="AG1042">
        <v>0</v>
      </c>
      <c r="AH1042">
        <v>0</v>
      </c>
      <c r="AI1042">
        <v>0</v>
      </c>
      <c r="AJ1042">
        <v>0</v>
      </c>
      <c r="AK1042">
        <v>0</v>
      </c>
      <c r="AL1042">
        <v>0</v>
      </c>
      <c r="AM1042">
        <v>0</v>
      </c>
    </row>
    <row r="1043" spans="1:39" x14ac:dyDescent="0.35">
      <c r="A1043" t="s">
        <v>174</v>
      </c>
      <c r="B1043" t="s">
        <v>482</v>
      </c>
      <c r="C1043" t="s">
        <v>176</v>
      </c>
      <c r="D1043" t="s">
        <v>315</v>
      </c>
      <c r="E1043" t="s">
        <v>19</v>
      </c>
      <c r="F1043" t="s">
        <v>181</v>
      </c>
      <c r="G1043" t="s">
        <v>197</v>
      </c>
      <c r="H1043" t="s">
        <v>35</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c r="AK1043">
        <v>0</v>
      </c>
      <c r="AL1043">
        <v>0</v>
      </c>
      <c r="AM1043">
        <v>0</v>
      </c>
    </row>
    <row r="1044" spans="1:39" x14ac:dyDescent="0.35">
      <c r="A1044" t="s">
        <v>174</v>
      </c>
      <c r="B1044" t="s">
        <v>482</v>
      </c>
      <c r="C1044" t="s">
        <v>176</v>
      </c>
      <c r="D1044" t="s">
        <v>315</v>
      </c>
      <c r="E1044" t="s">
        <v>19</v>
      </c>
      <c r="F1044" t="s">
        <v>181</v>
      </c>
      <c r="G1044" t="s">
        <v>201</v>
      </c>
      <c r="H1044" t="s">
        <v>35</v>
      </c>
      <c r="I1044">
        <v>0</v>
      </c>
      <c r="J1044">
        <v>0</v>
      </c>
      <c r="K1044">
        <v>0</v>
      </c>
      <c r="L1044">
        <v>0</v>
      </c>
      <c r="M1044">
        <v>0</v>
      </c>
      <c r="N1044">
        <v>0</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0</v>
      </c>
      <c r="AI1044">
        <v>0</v>
      </c>
      <c r="AJ1044">
        <v>0</v>
      </c>
      <c r="AK1044">
        <v>0</v>
      </c>
      <c r="AL1044">
        <v>0</v>
      </c>
      <c r="AM1044">
        <v>0</v>
      </c>
    </row>
    <row r="1045" spans="1:39" x14ac:dyDescent="0.35">
      <c r="A1045" t="s">
        <v>174</v>
      </c>
      <c r="B1045" t="s">
        <v>482</v>
      </c>
      <c r="C1045" t="s">
        <v>176</v>
      </c>
      <c r="D1045" t="s">
        <v>315</v>
      </c>
      <c r="E1045" t="s">
        <v>19</v>
      </c>
      <c r="F1045" t="s">
        <v>179</v>
      </c>
      <c r="G1045" t="s">
        <v>195</v>
      </c>
      <c r="H1045" t="s">
        <v>35</v>
      </c>
      <c r="I1045">
        <v>0</v>
      </c>
      <c r="J1045">
        <v>0</v>
      </c>
      <c r="K1045">
        <v>0</v>
      </c>
      <c r="L1045">
        <v>0</v>
      </c>
      <c r="M1045">
        <v>0</v>
      </c>
      <c r="N1045">
        <v>0</v>
      </c>
      <c r="O1045">
        <v>0</v>
      </c>
      <c r="P1045">
        <v>0</v>
      </c>
      <c r="Q1045">
        <v>0</v>
      </c>
      <c r="R1045">
        <v>0</v>
      </c>
      <c r="S1045">
        <v>0</v>
      </c>
      <c r="T1045">
        <v>0</v>
      </c>
      <c r="U1045">
        <v>0</v>
      </c>
      <c r="V1045">
        <v>418.57</v>
      </c>
      <c r="W1045">
        <v>0</v>
      </c>
      <c r="X1045">
        <v>0</v>
      </c>
      <c r="Y1045">
        <v>0</v>
      </c>
      <c r="Z1045">
        <v>0</v>
      </c>
      <c r="AA1045">
        <v>0</v>
      </c>
      <c r="AB1045">
        <v>0</v>
      </c>
      <c r="AC1045">
        <v>0</v>
      </c>
      <c r="AD1045">
        <v>0</v>
      </c>
      <c r="AE1045">
        <v>0</v>
      </c>
      <c r="AF1045">
        <v>0</v>
      </c>
      <c r="AG1045">
        <v>0</v>
      </c>
      <c r="AH1045">
        <v>0</v>
      </c>
      <c r="AI1045">
        <v>0</v>
      </c>
      <c r="AJ1045">
        <v>0</v>
      </c>
      <c r="AK1045">
        <v>0</v>
      </c>
      <c r="AL1045">
        <v>0</v>
      </c>
      <c r="AM1045">
        <v>0</v>
      </c>
    </row>
    <row r="1046" spans="1:39" x14ac:dyDescent="0.35">
      <c r="A1046" t="s">
        <v>174</v>
      </c>
      <c r="B1046" t="s">
        <v>482</v>
      </c>
      <c r="C1046" t="s">
        <v>176</v>
      </c>
      <c r="D1046" t="s">
        <v>315</v>
      </c>
      <c r="E1046" t="s">
        <v>19</v>
      </c>
      <c r="F1046" t="s">
        <v>179</v>
      </c>
      <c r="G1046" t="s">
        <v>199</v>
      </c>
      <c r="H1046" t="s">
        <v>35</v>
      </c>
      <c r="I1046">
        <v>0</v>
      </c>
      <c r="J1046">
        <v>0</v>
      </c>
      <c r="K1046">
        <v>0</v>
      </c>
      <c r="L1046">
        <v>0</v>
      </c>
      <c r="M1046">
        <v>0</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v>0</v>
      </c>
      <c r="AH1046">
        <v>0</v>
      </c>
      <c r="AI1046">
        <v>0</v>
      </c>
      <c r="AJ1046">
        <v>0</v>
      </c>
      <c r="AK1046">
        <v>0</v>
      </c>
      <c r="AL1046">
        <v>0</v>
      </c>
      <c r="AM1046">
        <v>0</v>
      </c>
    </row>
    <row r="1047" spans="1:39" x14ac:dyDescent="0.35">
      <c r="A1047" t="s">
        <v>174</v>
      </c>
      <c r="B1047" t="s">
        <v>482</v>
      </c>
      <c r="C1047" t="s">
        <v>176</v>
      </c>
      <c r="D1047" t="s">
        <v>315</v>
      </c>
      <c r="E1047" t="s">
        <v>20</v>
      </c>
      <c r="F1047" t="s">
        <v>182</v>
      </c>
      <c r="G1047" t="s">
        <v>223</v>
      </c>
      <c r="H1047" t="s">
        <v>35</v>
      </c>
      <c r="I1047">
        <v>0</v>
      </c>
      <c r="J1047">
        <v>0</v>
      </c>
      <c r="K1047">
        <v>0</v>
      </c>
      <c r="L1047">
        <v>0</v>
      </c>
      <c r="M1047">
        <v>0</v>
      </c>
      <c r="N1047">
        <v>0</v>
      </c>
      <c r="O1047">
        <v>0</v>
      </c>
      <c r="P1047">
        <v>0</v>
      </c>
      <c r="Q1047">
        <v>0</v>
      </c>
      <c r="R1047">
        <v>0</v>
      </c>
      <c r="S1047">
        <v>0</v>
      </c>
      <c r="T1047">
        <v>0</v>
      </c>
      <c r="U1047">
        <v>0</v>
      </c>
      <c r="V1047">
        <v>0</v>
      </c>
      <c r="W1047">
        <v>0</v>
      </c>
      <c r="X1047">
        <v>0</v>
      </c>
      <c r="Y1047">
        <v>0</v>
      </c>
      <c r="Z1047">
        <v>0</v>
      </c>
      <c r="AA1047">
        <v>0</v>
      </c>
      <c r="AB1047">
        <v>0</v>
      </c>
      <c r="AC1047">
        <v>0</v>
      </c>
      <c r="AD1047">
        <v>0</v>
      </c>
      <c r="AE1047">
        <v>0</v>
      </c>
      <c r="AF1047">
        <v>0</v>
      </c>
      <c r="AG1047">
        <v>0</v>
      </c>
      <c r="AH1047">
        <v>0</v>
      </c>
      <c r="AI1047">
        <v>0</v>
      </c>
      <c r="AJ1047">
        <v>0</v>
      </c>
      <c r="AK1047">
        <v>0</v>
      </c>
      <c r="AL1047">
        <v>0</v>
      </c>
      <c r="AM1047">
        <v>0</v>
      </c>
    </row>
    <row r="1048" spans="1:39" x14ac:dyDescent="0.35">
      <c r="A1048" t="s">
        <v>174</v>
      </c>
      <c r="B1048" t="s">
        <v>482</v>
      </c>
      <c r="C1048" t="s">
        <v>176</v>
      </c>
      <c r="D1048" t="s">
        <v>315</v>
      </c>
      <c r="E1048" t="s">
        <v>20</v>
      </c>
      <c r="F1048" t="s">
        <v>180</v>
      </c>
      <c r="G1048" t="s">
        <v>221</v>
      </c>
      <c r="H1048" t="s">
        <v>35</v>
      </c>
      <c r="I1048">
        <v>0</v>
      </c>
      <c r="J1048">
        <v>0</v>
      </c>
      <c r="K1048">
        <v>0</v>
      </c>
      <c r="L1048">
        <v>31</v>
      </c>
      <c r="M1048">
        <v>0</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c r="AG1048">
        <v>0</v>
      </c>
      <c r="AH1048">
        <v>0</v>
      </c>
      <c r="AI1048">
        <v>0</v>
      </c>
      <c r="AJ1048">
        <v>0</v>
      </c>
      <c r="AK1048">
        <v>0</v>
      </c>
      <c r="AL1048">
        <v>0</v>
      </c>
      <c r="AM1048">
        <v>0</v>
      </c>
    </row>
    <row r="1049" spans="1:39" x14ac:dyDescent="0.35">
      <c r="A1049" t="s">
        <v>174</v>
      </c>
      <c r="B1049" t="s">
        <v>482</v>
      </c>
      <c r="C1049" t="s">
        <v>176</v>
      </c>
      <c r="D1049" t="s">
        <v>315</v>
      </c>
      <c r="E1049" t="s">
        <v>20</v>
      </c>
      <c r="F1049" t="s">
        <v>181</v>
      </c>
      <c r="G1049" t="s">
        <v>222</v>
      </c>
      <c r="H1049" t="s">
        <v>35</v>
      </c>
      <c r="I1049">
        <v>0</v>
      </c>
      <c r="J1049">
        <v>0</v>
      </c>
      <c r="K1049">
        <v>0</v>
      </c>
      <c r="L1049">
        <v>0</v>
      </c>
      <c r="M1049">
        <v>0</v>
      </c>
      <c r="N1049">
        <v>0</v>
      </c>
      <c r="O1049">
        <v>0</v>
      </c>
      <c r="P1049">
        <v>0</v>
      </c>
      <c r="Q1049">
        <v>0</v>
      </c>
      <c r="R1049">
        <v>0</v>
      </c>
      <c r="S1049">
        <v>0</v>
      </c>
      <c r="T1049">
        <v>0</v>
      </c>
      <c r="U1049">
        <v>0</v>
      </c>
      <c r="V1049">
        <v>0</v>
      </c>
      <c r="W1049">
        <v>0</v>
      </c>
      <c r="X1049">
        <v>0</v>
      </c>
      <c r="Y1049">
        <v>0</v>
      </c>
      <c r="Z1049">
        <v>0</v>
      </c>
      <c r="AA1049">
        <v>0</v>
      </c>
      <c r="AB1049">
        <v>0</v>
      </c>
      <c r="AC1049">
        <v>0</v>
      </c>
      <c r="AD1049">
        <v>0</v>
      </c>
      <c r="AE1049">
        <v>0</v>
      </c>
      <c r="AF1049">
        <v>0</v>
      </c>
      <c r="AG1049">
        <v>0</v>
      </c>
      <c r="AH1049">
        <v>0</v>
      </c>
      <c r="AI1049">
        <v>0</v>
      </c>
      <c r="AJ1049">
        <v>0</v>
      </c>
      <c r="AK1049">
        <v>0</v>
      </c>
      <c r="AL1049">
        <v>0</v>
      </c>
      <c r="AM1049">
        <v>0</v>
      </c>
    </row>
    <row r="1050" spans="1:39" x14ac:dyDescent="0.35">
      <c r="A1050" t="s">
        <v>174</v>
      </c>
      <c r="B1050" t="s">
        <v>482</v>
      </c>
      <c r="C1050" t="s">
        <v>176</v>
      </c>
      <c r="D1050" t="s">
        <v>315</v>
      </c>
      <c r="E1050" t="s">
        <v>20</v>
      </c>
      <c r="F1050" t="s">
        <v>179</v>
      </c>
      <c r="G1050" t="s">
        <v>220</v>
      </c>
      <c r="H1050" t="s">
        <v>35</v>
      </c>
      <c r="I1050">
        <v>0</v>
      </c>
      <c r="J1050">
        <v>0</v>
      </c>
      <c r="K1050">
        <v>0</v>
      </c>
      <c r="L1050">
        <v>0</v>
      </c>
      <c r="M1050">
        <v>0</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v>0</v>
      </c>
      <c r="AG1050">
        <v>0</v>
      </c>
      <c r="AH1050">
        <v>0</v>
      </c>
      <c r="AI1050">
        <v>0</v>
      </c>
      <c r="AJ1050">
        <v>0</v>
      </c>
      <c r="AK1050">
        <v>0</v>
      </c>
      <c r="AL1050">
        <v>0</v>
      </c>
      <c r="AM1050">
        <v>0</v>
      </c>
    </row>
    <row r="1051" spans="1:39" x14ac:dyDescent="0.35">
      <c r="A1051" t="s">
        <v>174</v>
      </c>
      <c r="B1051" t="s">
        <v>482</v>
      </c>
      <c r="C1051" t="s">
        <v>176</v>
      </c>
      <c r="D1051" t="s">
        <v>315</v>
      </c>
      <c r="E1051" t="s">
        <v>350</v>
      </c>
      <c r="F1051" t="s">
        <v>182</v>
      </c>
      <c r="G1051" t="s">
        <v>452</v>
      </c>
      <c r="H1051" t="s">
        <v>35</v>
      </c>
      <c r="I1051">
        <v>0</v>
      </c>
      <c r="J1051">
        <v>0</v>
      </c>
      <c r="K1051">
        <v>0</v>
      </c>
      <c r="L1051">
        <v>0</v>
      </c>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L1051">
        <v>0</v>
      </c>
      <c r="AM1051">
        <v>0</v>
      </c>
    </row>
    <row r="1052" spans="1:39" x14ac:dyDescent="0.35">
      <c r="A1052" t="s">
        <v>174</v>
      </c>
      <c r="B1052" t="s">
        <v>482</v>
      </c>
      <c r="C1052" t="s">
        <v>176</v>
      </c>
      <c r="D1052" t="s">
        <v>315</v>
      </c>
      <c r="E1052" t="s">
        <v>350</v>
      </c>
      <c r="F1052" t="s">
        <v>180</v>
      </c>
      <c r="G1052" t="s">
        <v>450</v>
      </c>
      <c r="H1052" t="s">
        <v>35</v>
      </c>
      <c r="I1052">
        <v>0</v>
      </c>
      <c r="J1052">
        <v>0</v>
      </c>
      <c r="K1052">
        <v>0</v>
      </c>
      <c r="L1052">
        <v>0</v>
      </c>
      <c r="M1052">
        <v>0</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v>0</v>
      </c>
      <c r="AG1052">
        <v>0</v>
      </c>
      <c r="AH1052">
        <v>0</v>
      </c>
      <c r="AI1052">
        <v>0</v>
      </c>
      <c r="AJ1052">
        <v>0</v>
      </c>
      <c r="AK1052">
        <v>0</v>
      </c>
      <c r="AL1052">
        <v>0</v>
      </c>
      <c r="AM1052">
        <v>0</v>
      </c>
    </row>
    <row r="1053" spans="1:39" x14ac:dyDescent="0.35">
      <c r="A1053" t="s">
        <v>174</v>
      </c>
      <c r="B1053" t="s">
        <v>482</v>
      </c>
      <c r="C1053" t="s">
        <v>176</v>
      </c>
      <c r="D1053" t="s">
        <v>315</v>
      </c>
      <c r="E1053" t="s">
        <v>350</v>
      </c>
      <c r="F1053" t="s">
        <v>181</v>
      </c>
      <c r="G1053" t="s">
        <v>451</v>
      </c>
      <c r="H1053" t="s">
        <v>35</v>
      </c>
      <c r="I1053">
        <v>0</v>
      </c>
      <c r="J1053">
        <v>0</v>
      </c>
      <c r="K1053">
        <v>0</v>
      </c>
      <c r="L1053">
        <v>0</v>
      </c>
      <c r="M1053">
        <v>0</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0</v>
      </c>
      <c r="AM1053">
        <v>0</v>
      </c>
    </row>
    <row r="1054" spans="1:39" x14ac:dyDescent="0.35">
      <c r="A1054" t="s">
        <v>174</v>
      </c>
      <c r="B1054" t="s">
        <v>482</v>
      </c>
      <c r="C1054" t="s">
        <v>176</v>
      </c>
      <c r="D1054" t="s">
        <v>315</v>
      </c>
      <c r="E1054" t="s">
        <v>350</v>
      </c>
      <c r="F1054" t="s">
        <v>179</v>
      </c>
      <c r="G1054" t="s">
        <v>449</v>
      </c>
      <c r="H1054" t="s">
        <v>35</v>
      </c>
      <c r="I1054">
        <v>0</v>
      </c>
      <c r="J1054">
        <v>0</v>
      </c>
      <c r="K1054">
        <v>0</v>
      </c>
      <c r="L1054">
        <v>0</v>
      </c>
      <c r="M1054">
        <v>0</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c r="AI1054">
        <v>0</v>
      </c>
      <c r="AJ1054">
        <v>0</v>
      </c>
      <c r="AK1054">
        <v>0</v>
      </c>
      <c r="AL1054">
        <v>0</v>
      </c>
      <c r="AM1054">
        <v>0</v>
      </c>
    </row>
    <row r="1055" spans="1:39" x14ac:dyDescent="0.35">
      <c r="A1055" t="s">
        <v>174</v>
      </c>
      <c r="B1055" t="s">
        <v>482</v>
      </c>
      <c r="C1055" t="s">
        <v>176</v>
      </c>
      <c r="D1055" t="s">
        <v>315</v>
      </c>
      <c r="E1055" t="s">
        <v>1347</v>
      </c>
      <c r="F1055" t="s">
        <v>182</v>
      </c>
      <c r="G1055" t="s">
        <v>1371</v>
      </c>
      <c r="H1055" t="s">
        <v>35</v>
      </c>
      <c r="I1055">
        <v>0</v>
      </c>
      <c r="J1055">
        <v>0</v>
      </c>
      <c r="K1055">
        <v>0</v>
      </c>
      <c r="L1055">
        <v>0</v>
      </c>
      <c r="M1055">
        <v>0</v>
      </c>
      <c r="N1055">
        <v>0</v>
      </c>
      <c r="O1055">
        <v>0</v>
      </c>
      <c r="P1055">
        <v>0</v>
      </c>
      <c r="Q1055">
        <v>0</v>
      </c>
      <c r="R1055">
        <v>0</v>
      </c>
      <c r="S1055">
        <v>0</v>
      </c>
      <c r="T1055">
        <v>0</v>
      </c>
      <c r="U1055">
        <v>0</v>
      </c>
      <c r="V1055">
        <v>0</v>
      </c>
      <c r="W1055">
        <v>0</v>
      </c>
      <c r="X1055">
        <v>0</v>
      </c>
      <c r="Y1055">
        <v>0</v>
      </c>
      <c r="Z1055">
        <v>0</v>
      </c>
      <c r="AA1055">
        <v>0</v>
      </c>
      <c r="AB1055">
        <v>0</v>
      </c>
      <c r="AC1055">
        <v>0</v>
      </c>
      <c r="AD1055">
        <v>0</v>
      </c>
      <c r="AE1055">
        <v>0</v>
      </c>
      <c r="AF1055">
        <v>0</v>
      </c>
      <c r="AG1055">
        <v>0</v>
      </c>
      <c r="AH1055">
        <v>0</v>
      </c>
      <c r="AI1055">
        <v>0</v>
      </c>
      <c r="AJ1055">
        <v>0</v>
      </c>
      <c r="AK1055">
        <v>0</v>
      </c>
      <c r="AL1055">
        <v>0</v>
      </c>
      <c r="AM1055">
        <v>0</v>
      </c>
    </row>
    <row r="1056" spans="1:39" x14ac:dyDescent="0.35">
      <c r="A1056" t="s">
        <v>174</v>
      </c>
      <c r="B1056" t="s">
        <v>482</v>
      </c>
      <c r="C1056" t="s">
        <v>176</v>
      </c>
      <c r="D1056" t="s">
        <v>315</v>
      </c>
      <c r="E1056" t="s">
        <v>1347</v>
      </c>
      <c r="F1056" t="s">
        <v>180</v>
      </c>
      <c r="G1056" t="s">
        <v>1369</v>
      </c>
      <c r="H1056" t="s">
        <v>35</v>
      </c>
      <c r="I1056">
        <v>0</v>
      </c>
      <c r="J1056">
        <v>0</v>
      </c>
      <c r="K1056">
        <v>0</v>
      </c>
      <c r="L1056">
        <v>0</v>
      </c>
      <c r="M1056">
        <v>0</v>
      </c>
      <c r="N1056">
        <v>13</v>
      </c>
      <c r="O1056">
        <v>0</v>
      </c>
      <c r="P1056">
        <v>0</v>
      </c>
      <c r="Q1056">
        <v>0</v>
      </c>
      <c r="R1056">
        <v>0</v>
      </c>
      <c r="S1056">
        <v>0</v>
      </c>
      <c r="T1056">
        <v>0</v>
      </c>
      <c r="U1056">
        <v>0</v>
      </c>
      <c r="V1056">
        <v>0</v>
      </c>
      <c r="W1056">
        <v>0</v>
      </c>
      <c r="X1056">
        <v>0</v>
      </c>
      <c r="Y1056">
        <v>0</v>
      </c>
      <c r="Z1056">
        <v>0</v>
      </c>
      <c r="AA1056">
        <v>0</v>
      </c>
      <c r="AB1056">
        <v>0</v>
      </c>
      <c r="AC1056">
        <v>0</v>
      </c>
      <c r="AD1056">
        <v>0</v>
      </c>
      <c r="AE1056">
        <v>0</v>
      </c>
      <c r="AF1056">
        <v>0</v>
      </c>
      <c r="AG1056">
        <v>0</v>
      </c>
      <c r="AH1056">
        <v>0</v>
      </c>
      <c r="AI1056">
        <v>0</v>
      </c>
      <c r="AJ1056">
        <v>0</v>
      </c>
      <c r="AK1056">
        <v>0</v>
      </c>
      <c r="AL1056">
        <v>0</v>
      </c>
      <c r="AM1056">
        <v>0</v>
      </c>
    </row>
    <row r="1057" spans="1:39" x14ac:dyDescent="0.35">
      <c r="A1057" t="s">
        <v>174</v>
      </c>
      <c r="B1057" t="s">
        <v>482</v>
      </c>
      <c r="C1057" t="s">
        <v>176</v>
      </c>
      <c r="D1057" t="s">
        <v>315</v>
      </c>
      <c r="E1057" t="s">
        <v>1347</v>
      </c>
      <c r="F1057" t="s">
        <v>181</v>
      </c>
      <c r="G1057" t="s">
        <v>1370</v>
      </c>
      <c r="H1057" t="s">
        <v>35</v>
      </c>
      <c r="I1057">
        <v>0</v>
      </c>
      <c r="J1057">
        <v>0</v>
      </c>
      <c r="K1057">
        <v>0</v>
      </c>
      <c r="L1057">
        <v>0</v>
      </c>
      <c r="M1057">
        <v>0</v>
      </c>
      <c r="N1057">
        <v>0</v>
      </c>
      <c r="O1057">
        <v>0</v>
      </c>
      <c r="P1057">
        <v>0</v>
      </c>
      <c r="Q1057">
        <v>0</v>
      </c>
      <c r="R1057">
        <v>0</v>
      </c>
      <c r="S1057">
        <v>0</v>
      </c>
      <c r="T1057">
        <v>0</v>
      </c>
      <c r="U1057">
        <v>0</v>
      </c>
      <c r="V1057">
        <v>0</v>
      </c>
      <c r="W1057">
        <v>0</v>
      </c>
      <c r="X1057">
        <v>0</v>
      </c>
      <c r="Y1057">
        <v>0</v>
      </c>
      <c r="Z1057">
        <v>0</v>
      </c>
      <c r="AA1057">
        <v>0</v>
      </c>
      <c r="AB1057">
        <v>0</v>
      </c>
      <c r="AC1057">
        <v>0</v>
      </c>
      <c r="AD1057">
        <v>0</v>
      </c>
      <c r="AE1057">
        <v>0</v>
      </c>
      <c r="AF1057">
        <v>0</v>
      </c>
      <c r="AG1057">
        <v>0</v>
      </c>
      <c r="AH1057">
        <v>0</v>
      </c>
      <c r="AI1057">
        <v>0</v>
      </c>
      <c r="AJ1057">
        <v>0</v>
      </c>
      <c r="AK1057">
        <v>0</v>
      </c>
      <c r="AL1057">
        <v>0</v>
      </c>
      <c r="AM1057">
        <v>0</v>
      </c>
    </row>
    <row r="1058" spans="1:39" x14ac:dyDescent="0.35">
      <c r="A1058" t="s">
        <v>174</v>
      </c>
      <c r="B1058" t="s">
        <v>482</v>
      </c>
      <c r="C1058" t="s">
        <v>176</v>
      </c>
      <c r="D1058" t="s">
        <v>315</v>
      </c>
      <c r="E1058" t="s">
        <v>1347</v>
      </c>
      <c r="F1058" t="s">
        <v>179</v>
      </c>
      <c r="G1058" t="s">
        <v>1368</v>
      </c>
      <c r="H1058" t="s">
        <v>35</v>
      </c>
      <c r="I1058">
        <v>0</v>
      </c>
      <c r="J1058">
        <v>0</v>
      </c>
      <c r="K1058">
        <v>0</v>
      </c>
      <c r="L1058">
        <v>0</v>
      </c>
      <c r="M1058">
        <v>0</v>
      </c>
      <c r="N1058">
        <v>0</v>
      </c>
      <c r="O1058">
        <v>0</v>
      </c>
      <c r="P1058">
        <v>0</v>
      </c>
      <c r="Q1058">
        <v>0</v>
      </c>
      <c r="R1058">
        <v>0</v>
      </c>
      <c r="S1058">
        <v>0</v>
      </c>
      <c r="T1058">
        <v>0</v>
      </c>
      <c r="U1058">
        <v>0</v>
      </c>
      <c r="V1058">
        <v>0</v>
      </c>
      <c r="W1058">
        <v>0</v>
      </c>
      <c r="X1058">
        <v>0</v>
      </c>
      <c r="Y1058">
        <v>0</v>
      </c>
      <c r="Z1058">
        <v>0</v>
      </c>
      <c r="AA1058">
        <v>0</v>
      </c>
      <c r="AB1058">
        <v>0</v>
      </c>
      <c r="AC1058">
        <v>0</v>
      </c>
      <c r="AD1058">
        <v>0</v>
      </c>
      <c r="AE1058">
        <v>0</v>
      </c>
      <c r="AF1058">
        <v>0</v>
      </c>
      <c r="AG1058">
        <v>0</v>
      </c>
      <c r="AH1058">
        <v>0</v>
      </c>
      <c r="AI1058">
        <v>0</v>
      </c>
      <c r="AJ1058">
        <v>0</v>
      </c>
      <c r="AK1058">
        <v>0</v>
      </c>
      <c r="AL1058">
        <v>0</v>
      </c>
      <c r="AM1058">
        <v>0</v>
      </c>
    </row>
    <row r="1059" spans="1:39" x14ac:dyDescent="0.35">
      <c r="A1059" t="s">
        <v>174</v>
      </c>
      <c r="B1059" t="s">
        <v>482</v>
      </c>
      <c r="C1059" t="s">
        <v>176</v>
      </c>
      <c r="D1059" t="s">
        <v>315</v>
      </c>
      <c r="E1059" t="s">
        <v>351</v>
      </c>
      <c r="F1059" t="s">
        <v>182</v>
      </c>
      <c r="G1059" t="s">
        <v>456</v>
      </c>
      <c r="H1059" t="s">
        <v>35</v>
      </c>
      <c r="I1059">
        <v>0</v>
      </c>
      <c r="J1059">
        <v>0</v>
      </c>
      <c r="K1059">
        <v>0</v>
      </c>
      <c r="L1059">
        <v>0</v>
      </c>
      <c r="M1059">
        <v>0</v>
      </c>
      <c r="N1059">
        <v>0</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c r="AG1059">
        <v>0</v>
      </c>
      <c r="AH1059">
        <v>0</v>
      </c>
      <c r="AI1059">
        <v>0</v>
      </c>
      <c r="AJ1059">
        <v>0</v>
      </c>
      <c r="AK1059">
        <v>0</v>
      </c>
      <c r="AL1059">
        <v>0</v>
      </c>
      <c r="AM1059">
        <v>0</v>
      </c>
    </row>
    <row r="1060" spans="1:39" x14ac:dyDescent="0.35">
      <c r="A1060" t="s">
        <v>174</v>
      </c>
      <c r="B1060" t="s">
        <v>482</v>
      </c>
      <c r="C1060" t="s">
        <v>176</v>
      </c>
      <c r="D1060" t="s">
        <v>315</v>
      </c>
      <c r="E1060" t="s">
        <v>351</v>
      </c>
      <c r="F1060" t="s">
        <v>180</v>
      </c>
      <c r="G1060" t="s">
        <v>454</v>
      </c>
      <c r="H1060" t="s">
        <v>35</v>
      </c>
      <c r="I1060">
        <v>0</v>
      </c>
      <c r="J1060">
        <v>0</v>
      </c>
      <c r="K1060">
        <v>0</v>
      </c>
      <c r="L1060">
        <v>0</v>
      </c>
      <c r="M1060">
        <v>0</v>
      </c>
      <c r="N1060">
        <v>0</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c r="AG1060">
        <v>0</v>
      </c>
      <c r="AH1060">
        <v>0</v>
      </c>
      <c r="AI1060">
        <v>0</v>
      </c>
      <c r="AJ1060">
        <v>0</v>
      </c>
      <c r="AK1060">
        <v>0</v>
      </c>
      <c r="AL1060">
        <v>0</v>
      </c>
      <c r="AM1060">
        <v>0</v>
      </c>
    </row>
    <row r="1061" spans="1:39" x14ac:dyDescent="0.35">
      <c r="A1061" t="s">
        <v>174</v>
      </c>
      <c r="B1061" t="s">
        <v>482</v>
      </c>
      <c r="C1061" t="s">
        <v>176</v>
      </c>
      <c r="D1061" t="s">
        <v>315</v>
      </c>
      <c r="E1061" t="s">
        <v>351</v>
      </c>
      <c r="F1061" t="s">
        <v>181</v>
      </c>
      <c r="G1061" t="s">
        <v>455</v>
      </c>
      <c r="H1061" t="s">
        <v>35</v>
      </c>
      <c r="I1061">
        <v>0</v>
      </c>
      <c r="J1061">
        <v>0</v>
      </c>
      <c r="K1061">
        <v>0</v>
      </c>
      <c r="L1061">
        <v>0</v>
      </c>
      <c r="M1061">
        <v>0</v>
      </c>
      <c r="N1061">
        <v>0</v>
      </c>
      <c r="O1061">
        <v>0</v>
      </c>
      <c r="P1061">
        <v>0</v>
      </c>
      <c r="Q1061">
        <v>0</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row>
    <row r="1062" spans="1:39" x14ac:dyDescent="0.35">
      <c r="A1062" t="s">
        <v>174</v>
      </c>
      <c r="B1062" t="s">
        <v>482</v>
      </c>
      <c r="C1062" t="s">
        <v>176</v>
      </c>
      <c r="D1062" t="s">
        <v>315</v>
      </c>
      <c r="E1062" t="s">
        <v>351</v>
      </c>
      <c r="F1062" t="s">
        <v>179</v>
      </c>
      <c r="G1062" t="s">
        <v>453</v>
      </c>
      <c r="H1062" t="s">
        <v>35</v>
      </c>
      <c r="I1062">
        <v>0</v>
      </c>
      <c r="J1062">
        <v>0</v>
      </c>
      <c r="K1062">
        <v>0</v>
      </c>
      <c r="L1062">
        <v>0</v>
      </c>
      <c r="M1062">
        <v>0</v>
      </c>
      <c r="N1062">
        <v>0</v>
      </c>
      <c r="O1062">
        <v>0</v>
      </c>
      <c r="P1062">
        <v>0</v>
      </c>
      <c r="Q1062">
        <v>0</v>
      </c>
      <c r="R1062">
        <v>0</v>
      </c>
      <c r="S1062">
        <v>0</v>
      </c>
      <c r="T1062">
        <v>0</v>
      </c>
      <c r="U1062">
        <v>0</v>
      </c>
      <c r="V1062">
        <v>0</v>
      </c>
      <c r="W1062">
        <v>0</v>
      </c>
      <c r="X1062">
        <v>0</v>
      </c>
      <c r="Y1062">
        <v>0</v>
      </c>
      <c r="Z1062">
        <v>0</v>
      </c>
      <c r="AA1062">
        <v>0</v>
      </c>
      <c r="AB1062">
        <v>0</v>
      </c>
      <c r="AC1062">
        <v>0</v>
      </c>
      <c r="AD1062">
        <v>0</v>
      </c>
      <c r="AE1062">
        <v>0</v>
      </c>
      <c r="AF1062">
        <v>0</v>
      </c>
      <c r="AG1062">
        <v>0</v>
      </c>
      <c r="AH1062">
        <v>0</v>
      </c>
      <c r="AI1062">
        <v>0</v>
      </c>
      <c r="AJ1062">
        <v>0</v>
      </c>
      <c r="AK1062">
        <v>0</v>
      </c>
      <c r="AL1062">
        <v>0</v>
      </c>
      <c r="AM1062">
        <v>0</v>
      </c>
    </row>
    <row r="1063" spans="1:39" x14ac:dyDescent="0.35">
      <c r="A1063" t="s">
        <v>174</v>
      </c>
      <c r="B1063" t="s">
        <v>482</v>
      </c>
      <c r="C1063" t="s">
        <v>176</v>
      </c>
      <c r="D1063" t="s">
        <v>315</v>
      </c>
      <c r="E1063" t="s">
        <v>500</v>
      </c>
      <c r="F1063" t="s">
        <v>182</v>
      </c>
      <c r="G1063" t="s">
        <v>714</v>
      </c>
      <c r="H1063" t="s">
        <v>35</v>
      </c>
      <c r="I1063">
        <v>0</v>
      </c>
      <c r="J1063">
        <v>0</v>
      </c>
      <c r="K1063">
        <v>0</v>
      </c>
      <c r="L1063">
        <v>0</v>
      </c>
      <c r="M1063">
        <v>0</v>
      </c>
      <c r="N1063">
        <v>0</v>
      </c>
      <c r="O1063">
        <v>0</v>
      </c>
      <c r="P1063">
        <v>0</v>
      </c>
      <c r="Q1063">
        <v>0</v>
      </c>
      <c r="R1063">
        <v>0</v>
      </c>
      <c r="S1063">
        <v>0</v>
      </c>
      <c r="T1063">
        <v>0</v>
      </c>
      <c r="U1063">
        <v>0</v>
      </c>
      <c r="V1063">
        <v>0</v>
      </c>
      <c r="W1063">
        <v>0</v>
      </c>
      <c r="X1063">
        <v>0</v>
      </c>
      <c r="Y1063">
        <v>0</v>
      </c>
      <c r="Z1063">
        <v>0</v>
      </c>
      <c r="AA1063">
        <v>0</v>
      </c>
      <c r="AB1063">
        <v>0</v>
      </c>
      <c r="AC1063">
        <v>0</v>
      </c>
      <c r="AD1063">
        <v>0</v>
      </c>
      <c r="AE1063">
        <v>0</v>
      </c>
      <c r="AF1063">
        <v>0</v>
      </c>
      <c r="AG1063">
        <v>0</v>
      </c>
      <c r="AH1063">
        <v>0</v>
      </c>
      <c r="AI1063">
        <v>0</v>
      </c>
      <c r="AJ1063">
        <v>0</v>
      </c>
      <c r="AK1063">
        <v>0</v>
      </c>
      <c r="AL1063">
        <v>0</v>
      </c>
      <c r="AM1063">
        <v>0</v>
      </c>
    </row>
    <row r="1064" spans="1:39" x14ac:dyDescent="0.35">
      <c r="A1064" t="s">
        <v>174</v>
      </c>
      <c r="B1064" t="s">
        <v>482</v>
      </c>
      <c r="C1064" t="s">
        <v>176</v>
      </c>
      <c r="D1064" t="s">
        <v>315</v>
      </c>
      <c r="E1064" t="s">
        <v>500</v>
      </c>
      <c r="F1064" t="s">
        <v>180</v>
      </c>
      <c r="G1064" t="s">
        <v>712</v>
      </c>
      <c r="H1064" t="s">
        <v>35</v>
      </c>
      <c r="I1064">
        <v>0</v>
      </c>
      <c r="J1064">
        <v>0</v>
      </c>
      <c r="K1064">
        <v>0</v>
      </c>
      <c r="L1064">
        <v>14</v>
      </c>
      <c r="M1064">
        <v>0</v>
      </c>
      <c r="N1064">
        <v>0</v>
      </c>
      <c r="O1064">
        <v>0</v>
      </c>
      <c r="P1064">
        <v>0</v>
      </c>
      <c r="Q1064">
        <v>0</v>
      </c>
      <c r="R1064">
        <v>0</v>
      </c>
      <c r="S1064">
        <v>0</v>
      </c>
      <c r="T1064">
        <v>0</v>
      </c>
      <c r="U1064">
        <v>0</v>
      </c>
      <c r="V1064">
        <v>0</v>
      </c>
      <c r="W1064">
        <v>0</v>
      </c>
      <c r="X1064">
        <v>0</v>
      </c>
      <c r="Y1064">
        <v>0</v>
      </c>
      <c r="Z1064">
        <v>0</v>
      </c>
      <c r="AA1064">
        <v>0</v>
      </c>
      <c r="AB1064">
        <v>0</v>
      </c>
      <c r="AC1064">
        <v>0</v>
      </c>
      <c r="AD1064">
        <v>0</v>
      </c>
      <c r="AE1064">
        <v>0</v>
      </c>
      <c r="AF1064">
        <v>0</v>
      </c>
      <c r="AG1064">
        <v>0</v>
      </c>
      <c r="AH1064">
        <v>0</v>
      </c>
      <c r="AI1064">
        <v>0</v>
      </c>
      <c r="AJ1064">
        <v>0</v>
      </c>
      <c r="AK1064">
        <v>0</v>
      </c>
      <c r="AL1064">
        <v>0</v>
      </c>
      <c r="AM1064">
        <v>0</v>
      </c>
    </row>
    <row r="1065" spans="1:39" x14ac:dyDescent="0.35">
      <c r="A1065" t="s">
        <v>174</v>
      </c>
      <c r="B1065" t="s">
        <v>482</v>
      </c>
      <c r="C1065" t="s">
        <v>176</v>
      </c>
      <c r="D1065" t="s">
        <v>315</v>
      </c>
      <c r="E1065" t="s">
        <v>500</v>
      </c>
      <c r="F1065" t="s">
        <v>181</v>
      </c>
      <c r="G1065" t="s">
        <v>713</v>
      </c>
      <c r="H1065" t="s">
        <v>35</v>
      </c>
      <c r="I1065">
        <v>0</v>
      </c>
      <c r="J1065">
        <v>0</v>
      </c>
      <c r="K1065">
        <v>0</v>
      </c>
      <c r="L1065">
        <v>0</v>
      </c>
      <c r="M1065">
        <v>0</v>
      </c>
      <c r="N1065">
        <v>0</v>
      </c>
      <c r="O1065">
        <v>0</v>
      </c>
      <c r="P1065">
        <v>0</v>
      </c>
      <c r="Q1065">
        <v>0</v>
      </c>
      <c r="R1065">
        <v>0</v>
      </c>
      <c r="S1065">
        <v>0</v>
      </c>
      <c r="T1065">
        <v>0</v>
      </c>
      <c r="U1065">
        <v>0</v>
      </c>
      <c r="V1065">
        <v>0</v>
      </c>
      <c r="W1065">
        <v>0</v>
      </c>
      <c r="X1065">
        <v>0</v>
      </c>
      <c r="Y1065">
        <v>0</v>
      </c>
      <c r="Z1065">
        <v>0</v>
      </c>
      <c r="AA1065">
        <v>0</v>
      </c>
      <c r="AB1065">
        <v>0</v>
      </c>
      <c r="AC1065">
        <v>0</v>
      </c>
      <c r="AD1065">
        <v>0</v>
      </c>
      <c r="AE1065">
        <v>0</v>
      </c>
      <c r="AF1065">
        <v>0</v>
      </c>
      <c r="AG1065">
        <v>0</v>
      </c>
      <c r="AH1065">
        <v>0</v>
      </c>
      <c r="AI1065">
        <v>0</v>
      </c>
      <c r="AJ1065">
        <v>0</v>
      </c>
      <c r="AK1065">
        <v>0</v>
      </c>
      <c r="AL1065">
        <v>0</v>
      </c>
      <c r="AM1065">
        <v>0</v>
      </c>
    </row>
    <row r="1066" spans="1:39" x14ac:dyDescent="0.35">
      <c r="A1066" t="s">
        <v>174</v>
      </c>
      <c r="B1066" t="s">
        <v>482</v>
      </c>
      <c r="C1066" t="s">
        <v>176</v>
      </c>
      <c r="D1066" t="s">
        <v>315</v>
      </c>
      <c r="E1066" t="s">
        <v>500</v>
      </c>
      <c r="F1066" t="s">
        <v>179</v>
      </c>
      <c r="G1066" t="s">
        <v>711</v>
      </c>
      <c r="H1066" t="s">
        <v>35</v>
      </c>
      <c r="I1066">
        <v>0</v>
      </c>
      <c r="J1066">
        <v>0</v>
      </c>
      <c r="K1066">
        <v>0</v>
      </c>
      <c r="L1066">
        <v>0</v>
      </c>
      <c r="M1066">
        <v>0</v>
      </c>
      <c r="N1066">
        <v>0</v>
      </c>
      <c r="O1066">
        <v>0</v>
      </c>
      <c r="P1066">
        <v>0</v>
      </c>
      <c r="Q1066">
        <v>0</v>
      </c>
      <c r="R1066">
        <v>0</v>
      </c>
      <c r="S1066">
        <v>0</v>
      </c>
      <c r="T1066">
        <v>0</v>
      </c>
      <c r="U1066">
        <v>0</v>
      </c>
      <c r="V1066">
        <v>0</v>
      </c>
      <c r="W1066">
        <v>0</v>
      </c>
      <c r="X1066">
        <v>0</v>
      </c>
      <c r="Y1066">
        <v>0</v>
      </c>
      <c r="Z1066">
        <v>0</v>
      </c>
      <c r="AA1066">
        <v>0</v>
      </c>
      <c r="AB1066">
        <v>0</v>
      </c>
      <c r="AC1066">
        <v>0</v>
      </c>
      <c r="AD1066">
        <v>0</v>
      </c>
      <c r="AE1066">
        <v>0</v>
      </c>
      <c r="AF1066">
        <v>0</v>
      </c>
      <c r="AG1066">
        <v>0</v>
      </c>
      <c r="AH1066">
        <v>0</v>
      </c>
      <c r="AI1066">
        <v>0</v>
      </c>
      <c r="AJ1066">
        <v>0</v>
      </c>
      <c r="AK1066">
        <v>0</v>
      </c>
      <c r="AL1066">
        <v>0</v>
      </c>
      <c r="AM1066">
        <v>0</v>
      </c>
    </row>
    <row r="1067" spans="1:39" x14ac:dyDescent="0.35">
      <c r="A1067" t="s">
        <v>174</v>
      </c>
      <c r="B1067" t="s">
        <v>482</v>
      </c>
      <c r="C1067" t="s">
        <v>176</v>
      </c>
      <c r="D1067" t="s">
        <v>315</v>
      </c>
      <c r="E1067" t="s">
        <v>501</v>
      </c>
      <c r="F1067" t="s">
        <v>182</v>
      </c>
      <c r="G1067" t="s">
        <v>667</v>
      </c>
      <c r="H1067" t="s">
        <v>35</v>
      </c>
      <c r="I1067">
        <v>0</v>
      </c>
      <c r="J1067">
        <v>0</v>
      </c>
      <c r="K1067">
        <v>0</v>
      </c>
      <c r="L1067">
        <v>0</v>
      </c>
      <c r="M1067">
        <v>0</v>
      </c>
      <c r="N1067">
        <v>0</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c r="AG1067">
        <v>0</v>
      </c>
      <c r="AH1067">
        <v>0</v>
      </c>
      <c r="AI1067">
        <v>0</v>
      </c>
      <c r="AJ1067">
        <v>0</v>
      </c>
      <c r="AK1067">
        <v>0</v>
      </c>
      <c r="AL1067">
        <v>0</v>
      </c>
      <c r="AM1067">
        <v>0</v>
      </c>
    </row>
    <row r="1068" spans="1:39" x14ac:dyDescent="0.35">
      <c r="A1068" t="s">
        <v>174</v>
      </c>
      <c r="B1068" t="s">
        <v>482</v>
      </c>
      <c r="C1068" t="s">
        <v>176</v>
      </c>
      <c r="D1068" t="s">
        <v>315</v>
      </c>
      <c r="E1068" t="s">
        <v>501</v>
      </c>
      <c r="F1068" t="s">
        <v>180</v>
      </c>
      <c r="G1068" t="s">
        <v>666</v>
      </c>
      <c r="H1068" t="s">
        <v>35</v>
      </c>
      <c r="I1068">
        <v>1267</v>
      </c>
      <c r="J1068">
        <v>2052</v>
      </c>
      <c r="K1068">
        <v>1061</v>
      </c>
      <c r="L1068">
        <v>319</v>
      </c>
      <c r="M1068">
        <v>2337</v>
      </c>
      <c r="N1068">
        <v>1036</v>
      </c>
      <c r="O1068">
        <v>2286</v>
      </c>
      <c r="P1068">
        <v>0</v>
      </c>
      <c r="Q1068">
        <v>0</v>
      </c>
      <c r="R1068">
        <v>0</v>
      </c>
      <c r="S1068">
        <v>344</v>
      </c>
      <c r="T1068">
        <v>576</v>
      </c>
      <c r="U1068">
        <v>1515</v>
      </c>
      <c r="V1068">
        <v>249</v>
      </c>
      <c r="W1068">
        <v>0</v>
      </c>
      <c r="X1068">
        <v>0</v>
      </c>
      <c r="Y1068">
        <v>0</v>
      </c>
      <c r="Z1068">
        <v>0</v>
      </c>
      <c r="AA1068">
        <v>0</v>
      </c>
      <c r="AB1068">
        <v>0</v>
      </c>
      <c r="AC1068">
        <v>0</v>
      </c>
      <c r="AD1068">
        <v>0</v>
      </c>
      <c r="AE1068">
        <v>0</v>
      </c>
      <c r="AF1068">
        <v>0</v>
      </c>
      <c r="AG1068">
        <v>0</v>
      </c>
      <c r="AH1068">
        <v>0</v>
      </c>
      <c r="AI1068">
        <v>0</v>
      </c>
      <c r="AJ1068">
        <v>0</v>
      </c>
      <c r="AK1068">
        <v>0</v>
      </c>
      <c r="AL1068">
        <v>0</v>
      </c>
      <c r="AM1068">
        <v>0</v>
      </c>
    </row>
    <row r="1069" spans="1:39" x14ac:dyDescent="0.35">
      <c r="A1069" t="s">
        <v>174</v>
      </c>
      <c r="B1069" t="s">
        <v>482</v>
      </c>
      <c r="C1069" t="s">
        <v>176</v>
      </c>
      <c r="D1069" t="s">
        <v>315</v>
      </c>
      <c r="E1069" t="s">
        <v>501</v>
      </c>
      <c r="F1069" t="s">
        <v>183</v>
      </c>
      <c r="G1069" t="s">
        <v>1112</v>
      </c>
      <c r="H1069" t="s">
        <v>35</v>
      </c>
      <c r="I1069">
        <v>0</v>
      </c>
      <c r="J1069">
        <v>0</v>
      </c>
      <c r="K1069">
        <v>206</v>
      </c>
      <c r="L1069">
        <v>0</v>
      </c>
      <c r="M1069">
        <v>0</v>
      </c>
      <c r="N1069">
        <v>119</v>
      </c>
      <c r="O1069">
        <v>107</v>
      </c>
      <c r="P1069">
        <v>0</v>
      </c>
      <c r="Q1069">
        <v>0</v>
      </c>
      <c r="R1069">
        <v>0</v>
      </c>
      <c r="S1069">
        <v>174</v>
      </c>
      <c r="T1069">
        <v>1184</v>
      </c>
      <c r="U1069">
        <v>0</v>
      </c>
      <c r="V1069">
        <v>0</v>
      </c>
      <c r="W1069">
        <v>0</v>
      </c>
      <c r="X1069">
        <v>0</v>
      </c>
      <c r="Y1069">
        <v>0</v>
      </c>
      <c r="Z1069">
        <v>0</v>
      </c>
      <c r="AA1069">
        <v>0</v>
      </c>
      <c r="AB1069">
        <v>0</v>
      </c>
      <c r="AC1069">
        <v>0</v>
      </c>
      <c r="AD1069">
        <v>0</v>
      </c>
      <c r="AE1069">
        <v>0</v>
      </c>
      <c r="AF1069">
        <v>0</v>
      </c>
      <c r="AG1069">
        <v>0</v>
      </c>
      <c r="AH1069">
        <v>0</v>
      </c>
      <c r="AI1069">
        <v>0</v>
      </c>
      <c r="AJ1069">
        <v>0</v>
      </c>
      <c r="AK1069">
        <v>0</v>
      </c>
      <c r="AL1069">
        <v>0</v>
      </c>
      <c r="AM1069">
        <v>0</v>
      </c>
    </row>
    <row r="1070" spans="1:39" x14ac:dyDescent="0.35">
      <c r="A1070" t="s">
        <v>174</v>
      </c>
      <c r="B1070" t="s">
        <v>482</v>
      </c>
      <c r="C1070" t="s">
        <v>176</v>
      </c>
      <c r="D1070" t="s">
        <v>315</v>
      </c>
      <c r="E1070" t="s">
        <v>501</v>
      </c>
      <c r="F1070" t="s">
        <v>179</v>
      </c>
      <c r="G1070" t="s">
        <v>665</v>
      </c>
      <c r="H1070" t="s">
        <v>35</v>
      </c>
      <c r="I1070">
        <v>0</v>
      </c>
      <c r="J1070">
        <v>0</v>
      </c>
      <c r="K1070">
        <v>0</v>
      </c>
      <c r="L1070">
        <v>0</v>
      </c>
      <c r="M1070">
        <v>0</v>
      </c>
      <c r="N1070">
        <v>0</v>
      </c>
      <c r="O1070">
        <v>0</v>
      </c>
      <c r="P1070">
        <v>451</v>
      </c>
      <c r="Q1070">
        <v>0</v>
      </c>
      <c r="R1070">
        <v>0</v>
      </c>
      <c r="S1070">
        <v>0</v>
      </c>
      <c r="T1070">
        <v>0</v>
      </c>
      <c r="U1070">
        <v>0</v>
      </c>
      <c r="V1070">
        <v>2872</v>
      </c>
      <c r="W1070">
        <v>0</v>
      </c>
      <c r="X1070">
        <v>0</v>
      </c>
      <c r="Y1070">
        <v>0</v>
      </c>
      <c r="Z1070">
        <v>0</v>
      </c>
      <c r="AA1070">
        <v>0</v>
      </c>
      <c r="AB1070">
        <v>0</v>
      </c>
      <c r="AC1070">
        <v>0</v>
      </c>
      <c r="AD1070">
        <v>0</v>
      </c>
      <c r="AE1070">
        <v>0</v>
      </c>
      <c r="AF1070">
        <v>0</v>
      </c>
      <c r="AG1070">
        <v>0</v>
      </c>
      <c r="AH1070">
        <v>0</v>
      </c>
      <c r="AI1070">
        <v>0</v>
      </c>
      <c r="AJ1070">
        <v>0</v>
      </c>
      <c r="AK1070">
        <v>0</v>
      </c>
      <c r="AL1070">
        <v>0</v>
      </c>
      <c r="AM1070">
        <v>0</v>
      </c>
    </row>
    <row r="1071" spans="1:39" x14ac:dyDescent="0.35">
      <c r="A1071" t="s">
        <v>174</v>
      </c>
      <c r="B1071" t="s">
        <v>482</v>
      </c>
      <c r="C1071" t="s">
        <v>176</v>
      </c>
      <c r="D1071" t="s">
        <v>315</v>
      </c>
      <c r="E1071" t="s">
        <v>916</v>
      </c>
      <c r="F1071" t="s">
        <v>182</v>
      </c>
      <c r="G1071" t="s">
        <v>940</v>
      </c>
      <c r="H1071" t="s">
        <v>35</v>
      </c>
      <c r="I1071">
        <v>0</v>
      </c>
      <c r="J1071">
        <v>0</v>
      </c>
      <c r="K1071">
        <v>0</v>
      </c>
      <c r="L1071">
        <v>0</v>
      </c>
      <c r="M1071">
        <v>0</v>
      </c>
      <c r="N1071">
        <v>0</v>
      </c>
      <c r="O1071">
        <v>0</v>
      </c>
      <c r="P1071">
        <v>0</v>
      </c>
      <c r="Q1071">
        <v>0</v>
      </c>
      <c r="R1071">
        <v>0</v>
      </c>
      <c r="S1071">
        <v>0</v>
      </c>
      <c r="T1071">
        <v>0</v>
      </c>
      <c r="U1071">
        <v>0</v>
      </c>
      <c r="V1071">
        <v>0</v>
      </c>
      <c r="W1071">
        <v>0</v>
      </c>
      <c r="X1071">
        <v>0</v>
      </c>
      <c r="Y1071">
        <v>0</v>
      </c>
      <c r="Z1071">
        <v>0</v>
      </c>
      <c r="AA1071">
        <v>0</v>
      </c>
      <c r="AB1071">
        <v>0</v>
      </c>
      <c r="AC1071">
        <v>0</v>
      </c>
      <c r="AD1071">
        <v>0</v>
      </c>
      <c r="AE1071">
        <v>0</v>
      </c>
      <c r="AF1071">
        <v>0</v>
      </c>
      <c r="AG1071">
        <v>0</v>
      </c>
      <c r="AH1071">
        <v>0</v>
      </c>
      <c r="AI1071">
        <v>0</v>
      </c>
      <c r="AJ1071">
        <v>0</v>
      </c>
      <c r="AK1071">
        <v>0</v>
      </c>
      <c r="AL1071">
        <v>0</v>
      </c>
      <c r="AM1071">
        <v>0</v>
      </c>
    </row>
    <row r="1072" spans="1:39" x14ac:dyDescent="0.35">
      <c r="A1072" t="s">
        <v>174</v>
      </c>
      <c r="B1072" t="s">
        <v>482</v>
      </c>
      <c r="C1072" t="s">
        <v>176</v>
      </c>
      <c r="D1072" t="s">
        <v>315</v>
      </c>
      <c r="E1072" t="s">
        <v>916</v>
      </c>
      <c r="F1072" t="s">
        <v>180</v>
      </c>
      <c r="G1072" t="s">
        <v>938</v>
      </c>
      <c r="H1072" t="s">
        <v>35</v>
      </c>
      <c r="I1072">
        <v>0</v>
      </c>
      <c r="J1072">
        <v>0</v>
      </c>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c r="AE1072">
        <v>0</v>
      </c>
      <c r="AF1072">
        <v>0</v>
      </c>
      <c r="AG1072">
        <v>0</v>
      </c>
      <c r="AH1072">
        <v>0</v>
      </c>
      <c r="AI1072">
        <v>0</v>
      </c>
      <c r="AJ1072">
        <v>0</v>
      </c>
      <c r="AK1072">
        <v>0</v>
      </c>
      <c r="AL1072">
        <v>0</v>
      </c>
      <c r="AM1072">
        <v>0</v>
      </c>
    </row>
    <row r="1073" spans="1:39" x14ac:dyDescent="0.35">
      <c r="A1073" t="s">
        <v>174</v>
      </c>
      <c r="B1073" t="s">
        <v>482</v>
      </c>
      <c r="C1073" t="s">
        <v>176</v>
      </c>
      <c r="D1073" t="s">
        <v>315</v>
      </c>
      <c r="E1073" t="s">
        <v>916</v>
      </c>
      <c r="F1073" t="s">
        <v>181</v>
      </c>
      <c r="G1073" t="s">
        <v>939</v>
      </c>
      <c r="H1073" t="s">
        <v>35</v>
      </c>
      <c r="I1073">
        <v>0</v>
      </c>
      <c r="J1073">
        <v>0</v>
      </c>
      <c r="K1073">
        <v>0</v>
      </c>
      <c r="L1073">
        <v>0</v>
      </c>
      <c r="M1073">
        <v>0</v>
      </c>
      <c r="N1073">
        <v>0</v>
      </c>
      <c r="O1073">
        <v>0</v>
      </c>
      <c r="P1073">
        <v>0</v>
      </c>
      <c r="Q1073">
        <v>0</v>
      </c>
      <c r="R1073">
        <v>0</v>
      </c>
      <c r="S1073">
        <v>0</v>
      </c>
      <c r="T1073">
        <v>0</v>
      </c>
      <c r="U1073">
        <v>0</v>
      </c>
      <c r="V1073">
        <v>0</v>
      </c>
      <c r="W1073">
        <v>0</v>
      </c>
      <c r="X1073">
        <v>0</v>
      </c>
      <c r="Y1073">
        <v>0</v>
      </c>
      <c r="Z1073">
        <v>0</v>
      </c>
      <c r="AA1073">
        <v>0</v>
      </c>
      <c r="AB1073">
        <v>0</v>
      </c>
      <c r="AC1073">
        <v>0</v>
      </c>
      <c r="AD1073">
        <v>0</v>
      </c>
      <c r="AE1073">
        <v>0</v>
      </c>
      <c r="AF1073">
        <v>0</v>
      </c>
      <c r="AG1073">
        <v>0</v>
      </c>
      <c r="AH1073">
        <v>0</v>
      </c>
      <c r="AI1073">
        <v>0</v>
      </c>
      <c r="AJ1073">
        <v>0</v>
      </c>
      <c r="AK1073">
        <v>0</v>
      </c>
      <c r="AL1073">
        <v>0</v>
      </c>
      <c r="AM1073">
        <v>0</v>
      </c>
    </row>
    <row r="1074" spans="1:39" x14ac:dyDescent="0.35">
      <c r="A1074" t="s">
        <v>174</v>
      </c>
      <c r="B1074" t="s">
        <v>482</v>
      </c>
      <c r="C1074" t="s">
        <v>176</v>
      </c>
      <c r="D1074" t="s">
        <v>315</v>
      </c>
      <c r="E1074" t="s">
        <v>916</v>
      </c>
      <c r="F1074" t="s">
        <v>179</v>
      </c>
      <c r="G1074" t="s">
        <v>937</v>
      </c>
      <c r="H1074" t="s">
        <v>35</v>
      </c>
      <c r="I1074">
        <v>0</v>
      </c>
      <c r="J1074">
        <v>0</v>
      </c>
      <c r="K1074">
        <v>0</v>
      </c>
      <c r="L1074">
        <v>0</v>
      </c>
      <c r="M1074">
        <v>0</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c r="AI1074">
        <v>0</v>
      </c>
      <c r="AJ1074">
        <v>0</v>
      </c>
      <c r="AK1074">
        <v>0</v>
      </c>
      <c r="AL1074">
        <v>0</v>
      </c>
      <c r="AM1074">
        <v>0</v>
      </c>
    </row>
    <row r="1075" spans="1:39" x14ac:dyDescent="0.35">
      <c r="A1075" t="s">
        <v>174</v>
      </c>
      <c r="B1075" t="s">
        <v>482</v>
      </c>
      <c r="C1075" t="s">
        <v>176</v>
      </c>
      <c r="D1075" t="s">
        <v>315</v>
      </c>
      <c r="E1075" t="s">
        <v>28</v>
      </c>
      <c r="F1075" t="s">
        <v>182</v>
      </c>
      <c r="G1075" t="s">
        <v>227</v>
      </c>
      <c r="H1075" t="s">
        <v>35</v>
      </c>
      <c r="I1075">
        <v>0</v>
      </c>
      <c r="J1075">
        <v>0</v>
      </c>
      <c r="K1075">
        <v>0</v>
      </c>
      <c r="L1075">
        <v>0</v>
      </c>
      <c r="M1075">
        <v>0</v>
      </c>
      <c r="N1075">
        <v>0</v>
      </c>
      <c r="O1075">
        <v>0</v>
      </c>
      <c r="P1075">
        <v>0</v>
      </c>
      <c r="Q1075">
        <v>0</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row>
    <row r="1076" spans="1:39" x14ac:dyDescent="0.35">
      <c r="A1076" t="s">
        <v>174</v>
      </c>
      <c r="B1076" t="s">
        <v>482</v>
      </c>
      <c r="C1076" t="s">
        <v>176</v>
      </c>
      <c r="D1076" t="s">
        <v>315</v>
      </c>
      <c r="E1076" t="s">
        <v>28</v>
      </c>
      <c r="F1076" t="s">
        <v>180</v>
      </c>
      <c r="G1076" t="s">
        <v>225</v>
      </c>
      <c r="H1076" t="s">
        <v>35</v>
      </c>
      <c r="I1076">
        <v>0</v>
      </c>
      <c r="J1076">
        <v>0</v>
      </c>
      <c r="K1076">
        <v>0</v>
      </c>
      <c r="L1076">
        <v>0</v>
      </c>
      <c r="M1076">
        <v>0</v>
      </c>
      <c r="N1076">
        <v>0</v>
      </c>
      <c r="O1076">
        <v>0</v>
      </c>
      <c r="P1076">
        <v>0</v>
      </c>
      <c r="Q1076">
        <v>0</v>
      </c>
      <c r="R1076">
        <v>0</v>
      </c>
      <c r="S1076">
        <v>0</v>
      </c>
      <c r="T1076">
        <v>0</v>
      </c>
      <c r="U1076">
        <v>0</v>
      </c>
      <c r="V1076">
        <v>0</v>
      </c>
      <c r="W1076">
        <v>0</v>
      </c>
      <c r="X1076">
        <v>0</v>
      </c>
      <c r="Y1076">
        <v>0</v>
      </c>
      <c r="Z1076">
        <v>0</v>
      </c>
      <c r="AA1076">
        <v>0</v>
      </c>
      <c r="AB1076">
        <v>0</v>
      </c>
      <c r="AC1076">
        <v>0</v>
      </c>
      <c r="AD1076">
        <v>0</v>
      </c>
      <c r="AE1076">
        <v>0</v>
      </c>
      <c r="AF1076">
        <v>0</v>
      </c>
      <c r="AG1076">
        <v>0</v>
      </c>
      <c r="AH1076">
        <v>0</v>
      </c>
      <c r="AI1076">
        <v>0</v>
      </c>
      <c r="AJ1076">
        <v>0</v>
      </c>
      <c r="AK1076">
        <v>0</v>
      </c>
      <c r="AL1076">
        <v>0</v>
      </c>
      <c r="AM1076">
        <v>0</v>
      </c>
    </row>
    <row r="1077" spans="1:39" x14ac:dyDescent="0.35">
      <c r="A1077" t="s">
        <v>174</v>
      </c>
      <c r="B1077" t="s">
        <v>482</v>
      </c>
      <c r="C1077" t="s">
        <v>176</v>
      </c>
      <c r="D1077" t="s">
        <v>315</v>
      </c>
      <c r="E1077" t="s">
        <v>28</v>
      </c>
      <c r="F1077" t="s">
        <v>181</v>
      </c>
      <c r="G1077" t="s">
        <v>226</v>
      </c>
      <c r="H1077" t="s">
        <v>35</v>
      </c>
      <c r="I1077">
        <v>0</v>
      </c>
      <c r="J1077">
        <v>0</v>
      </c>
      <c r="K1077">
        <v>0</v>
      </c>
      <c r="L1077">
        <v>0</v>
      </c>
      <c r="M1077">
        <v>0</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0</v>
      </c>
      <c r="AH1077">
        <v>0</v>
      </c>
      <c r="AI1077">
        <v>0</v>
      </c>
      <c r="AJ1077">
        <v>0</v>
      </c>
      <c r="AK1077">
        <v>0</v>
      </c>
      <c r="AL1077">
        <v>0</v>
      </c>
      <c r="AM1077">
        <v>0</v>
      </c>
    </row>
    <row r="1078" spans="1:39" x14ac:dyDescent="0.35">
      <c r="A1078" t="s">
        <v>174</v>
      </c>
      <c r="B1078" t="s">
        <v>482</v>
      </c>
      <c r="C1078" t="s">
        <v>176</v>
      </c>
      <c r="D1078" t="s">
        <v>315</v>
      </c>
      <c r="E1078" t="s">
        <v>28</v>
      </c>
      <c r="F1078" t="s">
        <v>179</v>
      </c>
      <c r="G1078" t="s">
        <v>224</v>
      </c>
      <c r="H1078" t="s">
        <v>35</v>
      </c>
      <c r="I1078">
        <v>0</v>
      </c>
      <c r="J1078">
        <v>0</v>
      </c>
      <c r="K1078">
        <v>0</v>
      </c>
      <c r="L1078">
        <v>0</v>
      </c>
      <c r="M1078">
        <v>0</v>
      </c>
      <c r="N1078">
        <v>0</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c r="AI1078">
        <v>0</v>
      </c>
      <c r="AJ1078">
        <v>0</v>
      </c>
      <c r="AK1078">
        <v>0</v>
      </c>
      <c r="AL1078">
        <v>0</v>
      </c>
      <c r="AM1078">
        <v>0</v>
      </c>
    </row>
    <row r="1079" spans="1:39" x14ac:dyDescent="0.35">
      <c r="A1079" t="s">
        <v>174</v>
      </c>
      <c r="B1079" t="s">
        <v>482</v>
      </c>
      <c r="C1079" t="s">
        <v>176</v>
      </c>
      <c r="D1079" t="s">
        <v>315</v>
      </c>
      <c r="E1079" t="s">
        <v>1318</v>
      </c>
      <c r="F1079" t="s">
        <v>182</v>
      </c>
      <c r="G1079" t="s">
        <v>1330</v>
      </c>
      <c r="H1079" t="s">
        <v>67</v>
      </c>
      <c r="I1079">
        <v>0</v>
      </c>
      <c r="J1079">
        <v>0</v>
      </c>
      <c r="K1079">
        <v>0</v>
      </c>
      <c r="L1079">
        <v>0</v>
      </c>
      <c r="M1079">
        <v>0</v>
      </c>
      <c r="N1079">
        <v>0</v>
      </c>
      <c r="O1079">
        <v>0</v>
      </c>
      <c r="P1079">
        <v>0</v>
      </c>
      <c r="Q1079">
        <v>0</v>
      </c>
      <c r="R1079">
        <v>0</v>
      </c>
      <c r="S1079">
        <v>0</v>
      </c>
      <c r="T1079">
        <v>0</v>
      </c>
      <c r="U1079">
        <v>0</v>
      </c>
      <c r="V1079">
        <v>0</v>
      </c>
      <c r="W1079">
        <v>0</v>
      </c>
      <c r="X1079">
        <v>0</v>
      </c>
      <c r="Y1079">
        <v>0</v>
      </c>
      <c r="Z1079">
        <v>0</v>
      </c>
      <c r="AA1079">
        <v>0</v>
      </c>
      <c r="AB1079">
        <v>0</v>
      </c>
      <c r="AC1079">
        <v>0</v>
      </c>
      <c r="AD1079">
        <v>0</v>
      </c>
      <c r="AE1079">
        <v>0</v>
      </c>
      <c r="AF1079">
        <v>0</v>
      </c>
      <c r="AG1079">
        <v>0</v>
      </c>
      <c r="AH1079">
        <v>0</v>
      </c>
      <c r="AI1079">
        <v>0</v>
      </c>
      <c r="AJ1079">
        <v>0</v>
      </c>
      <c r="AK1079">
        <v>0</v>
      </c>
      <c r="AL1079">
        <v>0</v>
      </c>
      <c r="AM1079">
        <v>0</v>
      </c>
    </row>
    <row r="1080" spans="1:39" x14ac:dyDescent="0.35">
      <c r="A1080" t="s">
        <v>174</v>
      </c>
      <c r="B1080" t="s">
        <v>482</v>
      </c>
      <c r="C1080" t="s">
        <v>176</v>
      </c>
      <c r="D1080" t="s">
        <v>315</v>
      </c>
      <c r="E1080" t="s">
        <v>1318</v>
      </c>
      <c r="F1080" t="s">
        <v>180</v>
      </c>
      <c r="G1080" t="s">
        <v>1328</v>
      </c>
      <c r="H1080" t="s">
        <v>67</v>
      </c>
      <c r="I1080">
        <v>5</v>
      </c>
      <c r="J1080">
        <v>14</v>
      </c>
      <c r="K1080">
        <v>11</v>
      </c>
      <c r="L1080">
        <v>16</v>
      </c>
      <c r="M1080">
        <v>3</v>
      </c>
      <c r="N1080">
        <v>1</v>
      </c>
      <c r="O1080">
        <v>27</v>
      </c>
      <c r="P1080">
        <v>5</v>
      </c>
      <c r="Q1080">
        <v>8</v>
      </c>
      <c r="R1080">
        <v>0</v>
      </c>
      <c r="S1080">
        <v>15</v>
      </c>
      <c r="T1080">
        <v>7</v>
      </c>
      <c r="U1080">
        <v>11</v>
      </c>
      <c r="V1080">
        <v>6</v>
      </c>
      <c r="W1080">
        <v>0</v>
      </c>
      <c r="X1080">
        <v>0</v>
      </c>
      <c r="Y1080">
        <v>0</v>
      </c>
      <c r="Z1080">
        <v>0</v>
      </c>
      <c r="AA1080">
        <v>0</v>
      </c>
      <c r="AB1080">
        <v>0</v>
      </c>
      <c r="AC1080">
        <v>0</v>
      </c>
      <c r="AD1080">
        <v>0</v>
      </c>
      <c r="AE1080">
        <v>0</v>
      </c>
      <c r="AF1080">
        <v>0</v>
      </c>
      <c r="AG1080">
        <v>0</v>
      </c>
      <c r="AH1080">
        <v>0</v>
      </c>
      <c r="AI1080">
        <v>0</v>
      </c>
      <c r="AJ1080">
        <v>0</v>
      </c>
      <c r="AK1080">
        <v>0</v>
      </c>
      <c r="AL1080">
        <v>0</v>
      </c>
      <c r="AM1080">
        <v>0</v>
      </c>
    </row>
    <row r="1081" spans="1:39" x14ac:dyDescent="0.35">
      <c r="A1081" t="s">
        <v>174</v>
      </c>
      <c r="B1081" t="s">
        <v>482</v>
      </c>
      <c r="C1081" t="s">
        <v>176</v>
      </c>
      <c r="D1081" t="s">
        <v>315</v>
      </c>
      <c r="E1081" t="s">
        <v>1318</v>
      </c>
      <c r="F1081" t="s">
        <v>183</v>
      </c>
      <c r="G1081" t="s">
        <v>1329</v>
      </c>
      <c r="H1081" t="s">
        <v>67</v>
      </c>
      <c r="I1081">
        <v>0</v>
      </c>
      <c r="J1081">
        <v>0</v>
      </c>
      <c r="K1081">
        <v>0</v>
      </c>
      <c r="L1081">
        <v>12</v>
      </c>
      <c r="M1081">
        <v>6</v>
      </c>
      <c r="N1081">
        <v>0</v>
      </c>
      <c r="O1081">
        <v>0</v>
      </c>
      <c r="P1081">
        <v>0</v>
      </c>
      <c r="Q1081">
        <v>0</v>
      </c>
      <c r="R1081">
        <v>0</v>
      </c>
      <c r="S1081">
        <v>0</v>
      </c>
      <c r="T1081">
        <v>2</v>
      </c>
      <c r="U1081">
        <v>0</v>
      </c>
      <c r="V1081">
        <v>7</v>
      </c>
      <c r="W1081">
        <v>0</v>
      </c>
      <c r="X1081">
        <v>0</v>
      </c>
      <c r="Y1081">
        <v>0</v>
      </c>
      <c r="Z1081">
        <v>0</v>
      </c>
      <c r="AA1081">
        <v>0</v>
      </c>
      <c r="AB1081">
        <v>0</v>
      </c>
      <c r="AC1081">
        <v>0</v>
      </c>
      <c r="AD1081">
        <v>0</v>
      </c>
      <c r="AE1081">
        <v>0</v>
      </c>
      <c r="AF1081">
        <v>0</v>
      </c>
      <c r="AG1081">
        <v>0</v>
      </c>
      <c r="AH1081">
        <v>0</v>
      </c>
      <c r="AI1081">
        <v>0</v>
      </c>
      <c r="AJ1081">
        <v>0</v>
      </c>
      <c r="AK1081">
        <v>0</v>
      </c>
      <c r="AL1081">
        <v>0</v>
      </c>
      <c r="AM1081">
        <v>0</v>
      </c>
    </row>
    <row r="1082" spans="1:39" x14ac:dyDescent="0.35">
      <c r="A1082" t="s">
        <v>174</v>
      </c>
      <c r="B1082" t="s">
        <v>482</v>
      </c>
      <c r="C1082" t="s">
        <v>176</v>
      </c>
      <c r="D1082" t="s">
        <v>315</v>
      </c>
      <c r="E1082" t="s">
        <v>1318</v>
      </c>
      <c r="F1082" t="s">
        <v>179</v>
      </c>
      <c r="G1082" t="s">
        <v>1327</v>
      </c>
      <c r="H1082" t="s">
        <v>67</v>
      </c>
      <c r="I1082">
        <v>0</v>
      </c>
      <c r="J1082">
        <v>0</v>
      </c>
      <c r="K1082">
        <v>0</v>
      </c>
      <c r="L1082">
        <v>0</v>
      </c>
      <c r="M1082">
        <v>0</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c r="AI1082">
        <v>0</v>
      </c>
      <c r="AJ1082">
        <v>0</v>
      </c>
      <c r="AK1082">
        <v>0</v>
      </c>
      <c r="AL1082">
        <v>0</v>
      </c>
      <c r="AM1082">
        <v>0</v>
      </c>
    </row>
    <row r="1083" spans="1:39" x14ac:dyDescent="0.35">
      <c r="A1083" t="s">
        <v>174</v>
      </c>
      <c r="B1083" t="s">
        <v>482</v>
      </c>
      <c r="C1083" t="s">
        <v>176</v>
      </c>
      <c r="D1083" t="s">
        <v>315</v>
      </c>
      <c r="E1083" t="s">
        <v>30</v>
      </c>
      <c r="F1083" t="s">
        <v>182</v>
      </c>
      <c r="G1083" t="s">
        <v>205</v>
      </c>
      <c r="H1083" t="s">
        <v>67</v>
      </c>
      <c r="I1083">
        <v>0</v>
      </c>
      <c r="J1083">
        <v>0</v>
      </c>
      <c r="K1083">
        <v>0</v>
      </c>
      <c r="L1083">
        <v>0</v>
      </c>
      <c r="M1083">
        <v>0</v>
      </c>
      <c r="N1083">
        <v>0</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c r="AI1083">
        <v>0</v>
      </c>
      <c r="AJ1083">
        <v>0</v>
      </c>
      <c r="AK1083">
        <v>0</v>
      </c>
      <c r="AL1083">
        <v>0</v>
      </c>
      <c r="AM1083">
        <v>0</v>
      </c>
    </row>
    <row r="1084" spans="1:39" x14ac:dyDescent="0.35">
      <c r="A1084" t="s">
        <v>174</v>
      </c>
      <c r="B1084" t="s">
        <v>482</v>
      </c>
      <c r="C1084" t="s">
        <v>176</v>
      </c>
      <c r="D1084" t="s">
        <v>315</v>
      </c>
      <c r="E1084" t="s">
        <v>30</v>
      </c>
      <c r="F1084" t="s">
        <v>182</v>
      </c>
      <c r="G1084" t="s">
        <v>329</v>
      </c>
      <c r="H1084" t="s">
        <v>67</v>
      </c>
      <c r="I1084">
        <v>0</v>
      </c>
      <c r="J1084">
        <v>0</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c r="AG1084">
        <v>0</v>
      </c>
      <c r="AH1084">
        <v>0</v>
      </c>
      <c r="AI1084">
        <v>0</v>
      </c>
      <c r="AJ1084">
        <v>0</v>
      </c>
      <c r="AK1084">
        <v>0</v>
      </c>
      <c r="AL1084">
        <v>0</v>
      </c>
      <c r="AM1084">
        <v>0</v>
      </c>
    </row>
    <row r="1085" spans="1:39" x14ac:dyDescent="0.35">
      <c r="A1085" t="s">
        <v>174</v>
      </c>
      <c r="B1085" t="s">
        <v>482</v>
      </c>
      <c r="C1085" t="s">
        <v>176</v>
      </c>
      <c r="D1085" t="s">
        <v>315</v>
      </c>
      <c r="E1085" t="s">
        <v>30</v>
      </c>
      <c r="F1085" t="s">
        <v>180</v>
      </c>
      <c r="G1085" t="s">
        <v>203</v>
      </c>
      <c r="H1085" t="s">
        <v>67</v>
      </c>
      <c r="I1085">
        <v>0</v>
      </c>
      <c r="J1085">
        <v>0</v>
      </c>
      <c r="K1085">
        <v>0</v>
      </c>
      <c r="L1085">
        <v>0</v>
      </c>
      <c r="M1085">
        <v>0</v>
      </c>
      <c r="N1085">
        <v>0</v>
      </c>
      <c r="O1085">
        <v>0</v>
      </c>
      <c r="P1085">
        <v>0</v>
      </c>
      <c r="Q1085">
        <v>0</v>
      </c>
      <c r="R1085">
        <v>6.2333333333333345E-2</v>
      </c>
      <c r="S1085">
        <v>0</v>
      </c>
      <c r="T1085">
        <v>0</v>
      </c>
      <c r="U1085">
        <v>7.2833333333333347E-2</v>
      </c>
      <c r="V1085">
        <v>0</v>
      </c>
      <c r="W1085">
        <v>0</v>
      </c>
      <c r="X1085">
        <v>0</v>
      </c>
      <c r="Y1085">
        <v>0</v>
      </c>
      <c r="Z1085">
        <v>0</v>
      </c>
      <c r="AA1085">
        <v>0</v>
      </c>
      <c r="AB1085">
        <v>0</v>
      </c>
      <c r="AC1085">
        <v>0</v>
      </c>
      <c r="AD1085">
        <v>0</v>
      </c>
      <c r="AE1085">
        <v>0</v>
      </c>
      <c r="AF1085">
        <v>0</v>
      </c>
      <c r="AG1085">
        <v>0</v>
      </c>
      <c r="AH1085">
        <v>0</v>
      </c>
      <c r="AI1085">
        <v>0</v>
      </c>
      <c r="AJ1085">
        <v>0</v>
      </c>
      <c r="AK1085">
        <v>0</v>
      </c>
      <c r="AL1085">
        <v>0</v>
      </c>
      <c r="AM1085">
        <v>0</v>
      </c>
    </row>
    <row r="1086" spans="1:39" x14ac:dyDescent="0.35">
      <c r="A1086" t="s">
        <v>174</v>
      </c>
      <c r="B1086" t="s">
        <v>482</v>
      </c>
      <c r="C1086" t="s">
        <v>176</v>
      </c>
      <c r="D1086" t="s">
        <v>315</v>
      </c>
      <c r="E1086" t="s">
        <v>30</v>
      </c>
      <c r="F1086" t="s">
        <v>180</v>
      </c>
      <c r="G1086" t="s">
        <v>327</v>
      </c>
      <c r="H1086" t="s">
        <v>67</v>
      </c>
      <c r="I1086">
        <v>0</v>
      </c>
      <c r="J1086">
        <v>0</v>
      </c>
      <c r="K1086">
        <v>0</v>
      </c>
      <c r="L1086">
        <v>0</v>
      </c>
      <c r="M1086">
        <v>0</v>
      </c>
      <c r="N1086">
        <v>0</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c r="AG1086">
        <v>0</v>
      </c>
      <c r="AH1086">
        <v>0</v>
      </c>
      <c r="AI1086">
        <v>0</v>
      </c>
      <c r="AJ1086">
        <v>0</v>
      </c>
      <c r="AK1086">
        <v>0</v>
      </c>
      <c r="AL1086">
        <v>0</v>
      </c>
      <c r="AM1086">
        <v>0</v>
      </c>
    </row>
    <row r="1087" spans="1:39" x14ac:dyDescent="0.35">
      <c r="A1087" t="s">
        <v>174</v>
      </c>
      <c r="B1087" t="s">
        <v>482</v>
      </c>
      <c r="C1087" t="s">
        <v>176</v>
      </c>
      <c r="D1087" t="s">
        <v>315</v>
      </c>
      <c r="E1087" t="s">
        <v>30</v>
      </c>
      <c r="F1087" t="s">
        <v>180</v>
      </c>
      <c r="G1087" t="s">
        <v>207</v>
      </c>
      <c r="H1087" t="s">
        <v>67</v>
      </c>
      <c r="I1087">
        <v>0</v>
      </c>
      <c r="J1087">
        <v>0</v>
      </c>
      <c r="K1087">
        <v>0</v>
      </c>
      <c r="L1087">
        <v>0</v>
      </c>
      <c r="M1087">
        <v>0</v>
      </c>
      <c r="N1087">
        <v>0</v>
      </c>
      <c r="O1087">
        <v>0</v>
      </c>
      <c r="P1087">
        <v>0</v>
      </c>
      <c r="Q1087">
        <v>0</v>
      </c>
      <c r="R1087">
        <v>4</v>
      </c>
      <c r="S1087">
        <v>0</v>
      </c>
      <c r="T1087">
        <v>0</v>
      </c>
      <c r="U1087">
        <v>0</v>
      </c>
      <c r="V1087">
        <v>0</v>
      </c>
      <c r="W1087">
        <v>0</v>
      </c>
      <c r="X1087">
        <v>0</v>
      </c>
      <c r="Y1087">
        <v>0</v>
      </c>
      <c r="Z1087">
        <v>0</v>
      </c>
      <c r="AA1087">
        <v>0</v>
      </c>
      <c r="AB1087">
        <v>0</v>
      </c>
      <c r="AC1087">
        <v>0</v>
      </c>
      <c r="AD1087">
        <v>0</v>
      </c>
      <c r="AE1087">
        <v>0</v>
      </c>
      <c r="AF1087">
        <v>0</v>
      </c>
      <c r="AG1087">
        <v>0</v>
      </c>
      <c r="AH1087">
        <v>0</v>
      </c>
      <c r="AI1087">
        <v>0</v>
      </c>
      <c r="AJ1087">
        <v>0</v>
      </c>
      <c r="AK1087">
        <v>0</v>
      </c>
      <c r="AL1087">
        <v>0</v>
      </c>
      <c r="AM1087">
        <v>0</v>
      </c>
    </row>
    <row r="1088" spans="1:39" x14ac:dyDescent="0.35">
      <c r="A1088" t="s">
        <v>174</v>
      </c>
      <c r="B1088" t="s">
        <v>482</v>
      </c>
      <c r="C1088" t="s">
        <v>176</v>
      </c>
      <c r="D1088" t="s">
        <v>315</v>
      </c>
      <c r="E1088" t="s">
        <v>30</v>
      </c>
      <c r="F1088" t="s">
        <v>181</v>
      </c>
      <c r="G1088" t="s">
        <v>204</v>
      </c>
      <c r="H1088" t="s">
        <v>67</v>
      </c>
      <c r="I1088">
        <v>0</v>
      </c>
      <c r="J1088">
        <v>0</v>
      </c>
      <c r="K1088">
        <v>0</v>
      </c>
      <c r="L1088">
        <v>0</v>
      </c>
      <c r="M1088">
        <v>0</v>
      </c>
      <c r="N1088">
        <v>0</v>
      </c>
      <c r="O1088">
        <v>0</v>
      </c>
      <c r="P1088">
        <v>0</v>
      </c>
      <c r="Q1088">
        <v>0</v>
      </c>
      <c r="R1088">
        <v>0</v>
      </c>
      <c r="S1088">
        <v>0</v>
      </c>
      <c r="T1088">
        <v>0</v>
      </c>
      <c r="U1088">
        <v>0</v>
      </c>
      <c r="V1088">
        <v>0</v>
      </c>
      <c r="W1088">
        <v>0</v>
      </c>
      <c r="X1088">
        <v>0</v>
      </c>
      <c r="Y1088">
        <v>0</v>
      </c>
      <c r="Z1088">
        <v>0</v>
      </c>
      <c r="AA1088">
        <v>0</v>
      </c>
      <c r="AB1088">
        <v>0</v>
      </c>
      <c r="AC1088">
        <v>0</v>
      </c>
      <c r="AD1088">
        <v>0</v>
      </c>
      <c r="AE1088">
        <v>0</v>
      </c>
      <c r="AF1088">
        <v>0</v>
      </c>
      <c r="AG1088">
        <v>0</v>
      </c>
      <c r="AH1088">
        <v>0</v>
      </c>
      <c r="AI1088">
        <v>0</v>
      </c>
      <c r="AJ1088">
        <v>0</v>
      </c>
      <c r="AK1088">
        <v>0</v>
      </c>
      <c r="AL1088">
        <v>0</v>
      </c>
      <c r="AM1088">
        <v>0</v>
      </c>
    </row>
    <row r="1089" spans="1:39" x14ac:dyDescent="0.35">
      <c r="A1089" t="s">
        <v>174</v>
      </c>
      <c r="B1089" t="s">
        <v>482</v>
      </c>
      <c r="C1089" t="s">
        <v>176</v>
      </c>
      <c r="D1089" t="s">
        <v>315</v>
      </c>
      <c r="E1089" t="s">
        <v>30</v>
      </c>
      <c r="F1089" t="s">
        <v>181</v>
      </c>
      <c r="G1089" t="s">
        <v>328</v>
      </c>
      <c r="H1089" t="s">
        <v>67</v>
      </c>
      <c r="I1089">
        <v>0</v>
      </c>
      <c r="J1089">
        <v>0</v>
      </c>
      <c r="K1089">
        <v>0</v>
      </c>
      <c r="L1089">
        <v>0</v>
      </c>
      <c r="M1089">
        <v>0</v>
      </c>
      <c r="N1089">
        <v>0</v>
      </c>
      <c r="O1089">
        <v>0</v>
      </c>
      <c r="P1089">
        <v>0</v>
      </c>
      <c r="Q1089">
        <v>0</v>
      </c>
      <c r="R1089">
        <v>0</v>
      </c>
      <c r="S1089">
        <v>0</v>
      </c>
      <c r="T1089">
        <v>0</v>
      </c>
      <c r="U1089">
        <v>0</v>
      </c>
      <c r="V1089">
        <v>0</v>
      </c>
      <c r="W1089">
        <v>0</v>
      </c>
      <c r="X1089">
        <v>0</v>
      </c>
      <c r="Y1089">
        <v>0</v>
      </c>
      <c r="Z1089">
        <v>0</v>
      </c>
      <c r="AA1089">
        <v>0</v>
      </c>
      <c r="AB1089">
        <v>0</v>
      </c>
      <c r="AC1089">
        <v>0</v>
      </c>
      <c r="AD1089">
        <v>0</v>
      </c>
      <c r="AE1089">
        <v>0</v>
      </c>
      <c r="AF1089">
        <v>0</v>
      </c>
      <c r="AG1089">
        <v>0</v>
      </c>
      <c r="AH1089">
        <v>0</v>
      </c>
      <c r="AI1089">
        <v>0</v>
      </c>
      <c r="AJ1089">
        <v>0</v>
      </c>
      <c r="AK1089">
        <v>0</v>
      </c>
      <c r="AL1089">
        <v>0</v>
      </c>
      <c r="AM1089">
        <v>0</v>
      </c>
    </row>
    <row r="1090" spans="1:39" x14ac:dyDescent="0.35">
      <c r="A1090" t="s">
        <v>174</v>
      </c>
      <c r="B1090" t="s">
        <v>482</v>
      </c>
      <c r="C1090" t="s">
        <v>176</v>
      </c>
      <c r="D1090" t="s">
        <v>315</v>
      </c>
      <c r="E1090" t="s">
        <v>30</v>
      </c>
      <c r="F1090" t="s">
        <v>181</v>
      </c>
      <c r="G1090" t="s">
        <v>208</v>
      </c>
      <c r="H1090" t="s">
        <v>67</v>
      </c>
      <c r="I1090">
        <v>0</v>
      </c>
      <c r="J1090">
        <v>0</v>
      </c>
      <c r="K1090">
        <v>0</v>
      </c>
      <c r="L1090">
        <v>0</v>
      </c>
      <c r="M1090">
        <v>0</v>
      </c>
      <c r="N1090">
        <v>0</v>
      </c>
      <c r="O1090">
        <v>0</v>
      </c>
      <c r="P1090">
        <v>0</v>
      </c>
      <c r="Q1090">
        <v>0</v>
      </c>
      <c r="R1090">
        <v>14</v>
      </c>
      <c r="S1090">
        <v>0</v>
      </c>
      <c r="T1090">
        <v>0</v>
      </c>
      <c r="U1090">
        <v>0</v>
      </c>
      <c r="V1090">
        <v>0</v>
      </c>
      <c r="W1090">
        <v>0</v>
      </c>
      <c r="X1090">
        <v>0</v>
      </c>
      <c r="Y1090">
        <v>0</v>
      </c>
      <c r="Z1090">
        <v>0</v>
      </c>
      <c r="AA1090">
        <v>0</v>
      </c>
      <c r="AB1090">
        <v>0</v>
      </c>
      <c r="AC1090">
        <v>0</v>
      </c>
      <c r="AD1090">
        <v>0</v>
      </c>
      <c r="AE1090">
        <v>0</v>
      </c>
      <c r="AF1090">
        <v>0</v>
      </c>
      <c r="AG1090">
        <v>0</v>
      </c>
      <c r="AH1090">
        <v>0</v>
      </c>
      <c r="AI1090">
        <v>0</v>
      </c>
      <c r="AJ1090">
        <v>0</v>
      </c>
      <c r="AK1090">
        <v>0</v>
      </c>
      <c r="AL1090">
        <v>0</v>
      </c>
      <c r="AM1090">
        <v>0</v>
      </c>
    </row>
    <row r="1091" spans="1:39" x14ac:dyDescent="0.35">
      <c r="A1091" t="s">
        <v>174</v>
      </c>
      <c r="B1091" t="s">
        <v>482</v>
      </c>
      <c r="C1091" t="s">
        <v>176</v>
      </c>
      <c r="D1091" t="s">
        <v>315</v>
      </c>
      <c r="E1091" t="s">
        <v>30</v>
      </c>
      <c r="F1091" t="s">
        <v>179</v>
      </c>
      <c r="G1091" t="s">
        <v>202</v>
      </c>
      <c r="H1091" t="s">
        <v>67</v>
      </c>
      <c r="I1091">
        <v>0</v>
      </c>
      <c r="J1091">
        <v>0</v>
      </c>
      <c r="K1091">
        <v>0</v>
      </c>
      <c r="L1091">
        <v>0</v>
      </c>
      <c r="M1091">
        <v>0</v>
      </c>
      <c r="N1091">
        <v>0</v>
      </c>
      <c r="O1091">
        <v>0</v>
      </c>
      <c r="P1091">
        <v>0</v>
      </c>
      <c r="Q1091">
        <v>0</v>
      </c>
      <c r="R1091">
        <v>0</v>
      </c>
      <c r="S1091">
        <v>0</v>
      </c>
      <c r="T1091">
        <v>0</v>
      </c>
      <c r="U1091">
        <v>0</v>
      </c>
      <c r="V1091">
        <v>0.40816666666666673</v>
      </c>
      <c r="W1091">
        <v>0</v>
      </c>
      <c r="X1091">
        <v>0</v>
      </c>
      <c r="Y1091">
        <v>0</v>
      </c>
      <c r="Z1091">
        <v>0</v>
      </c>
      <c r="AA1091">
        <v>0</v>
      </c>
      <c r="AB1091">
        <v>0</v>
      </c>
      <c r="AC1091">
        <v>0</v>
      </c>
      <c r="AD1091">
        <v>0</v>
      </c>
      <c r="AE1091">
        <v>0</v>
      </c>
      <c r="AF1091">
        <v>0</v>
      </c>
      <c r="AG1091">
        <v>0</v>
      </c>
      <c r="AH1091">
        <v>0</v>
      </c>
      <c r="AI1091">
        <v>0</v>
      </c>
      <c r="AJ1091">
        <v>0</v>
      </c>
      <c r="AK1091">
        <v>0</v>
      </c>
      <c r="AL1091">
        <v>0</v>
      </c>
      <c r="AM1091">
        <v>0</v>
      </c>
    </row>
    <row r="1092" spans="1:39" x14ac:dyDescent="0.35">
      <c r="A1092" t="s">
        <v>174</v>
      </c>
      <c r="B1092" t="s">
        <v>482</v>
      </c>
      <c r="C1092" t="s">
        <v>176</v>
      </c>
      <c r="D1092" t="s">
        <v>315</v>
      </c>
      <c r="E1092" t="s">
        <v>30</v>
      </c>
      <c r="F1092" t="s">
        <v>179</v>
      </c>
      <c r="G1092" t="s">
        <v>326</v>
      </c>
      <c r="H1092" t="s">
        <v>67</v>
      </c>
      <c r="I1092">
        <v>0</v>
      </c>
      <c r="J1092">
        <v>0</v>
      </c>
      <c r="K1092">
        <v>0</v>
      </c>
      <c r="L1092">
        <v>0</v>
      </c>
      <c r="M1092">
        <v>0</v>
      </c>
      <c r="N1092">
        <v>0</v>
      </c>
      <c r="O1092">
        <v>0</v>
      </c>
      <c r="P1092">
        <v>0</v>
      </c>
      <c r="Q1092">
        <v>0</v>
      </c>
      <c r="R1092">
        <v>0</v>
      </c>
      <c r="S1092">
        <v>0</v>
      </c>
      <c r="T1092">
        <v>0</v>
      </c>
      <c r="U1092">
        <v>0</v>
      </c>
      <c r="V1092">
        <v>0</v>
      </c>
      <c r="W1092">
        <v>0</v>
      </c>
      <c r="X1092">
        <v>0</v>
      </c>
      <c r="Y1092">
        <v>0</v>
      </c>
      <c r="Z1092">
        <v>0</v>
      </c>
      <c r="AA1092">
        <v>0</v>
      </c>
      <c r="AB1092">
        <v>0</v>
      </c>
      <c r="AC1092">
        <v>0</v>
      </c>
      <c r="AD1092">
        <v>0</v>
      </c>
      <c r="AE1092">
        <v>0</v>
      </c>
      <c r="AF1092">
        <v>0</v>
      </c>
      <c r="AG1092">
        <v>0</v>
      </c>
      <c r="AH1092">
        <v>0</v>
      </c>
      <c r="AI1092">
        <v>0</v>
      </c>
      <c r="AJ1092">
        <v>0</v>
      </c>
      <c r="AK1092">
        <v>0</v>
      </c>
      <c r="AL1092">
        <v>0</v>
      </c>
      <c r="AM1092">
        <v>0</v>
      </c>
    </row>
    <row r="1093" spans="1:39" x14ac:dyDescent="0.35">
      <c r="A1093" t="s">
        <v>174</v>
      </c>
      <c r="B1093" t="s">
        <v>482</v>
      </c>
      <c r="C1093" t="s">
        <v>176</v>
      </c>
      <c r="D1093" t="s">
        <v>315</v>
      </c>
      <c r="E1093" t="s">
        <v>30</v>
      </c>
      <c r="F1093" t="s">
        <v>179</v>
      </c>
      <c r="G1093" t="s">
        <v>206</v>
      </c>
      <c r="H1093" t="s">
        <v>67</v>
      </c>
      <c r="I1093">
        <v>0</v>
      </c>
      <c r="J1093">
        <v>0</v>
      </c>
      <c r="K1093">
        <v>0</v>
      </c>
      <c r="L1093">
        <v>0</v>
      </c>
      <c r="M1093">
        <v>0</v>
      </c>
      <c r="N1093">
        <v>0</v>
      </c>
      <c r="O1093">
        <v>0</v>
      </c>
      <c r="P1093">
        <v>0</v>
      </c>
      <c r="Q1093">
        <v>0</v>
      </c>
      <c r="R1093">
        <v>0</v>
      </c>
      <c r="S1093">
        <v>0</v>
      </c>
      <c r="T1093">
        <v>0</v>
      </c>
      <c r="U1093">
        <v>0</v>
      </c>
      <c r="V1093">
        <v>0</v>
      </c>
      <c r="W1093">
        <v>0</v>
      </c>
      <c r="X1093">
        <v>0</v>
      </c>
      <c r="Y1093">
        <v>0</v>
      </c>
      <c r="Z1093">
        <v>0</v>
      </c>
      <c r="AA1093">
        <v>0</v>
      </c>
      <c r="AB1093">
        <v>0</v>
      </c>
      <c r="AC1093">
        <v>0</v>
      </c>
      <c r="AD1093">
        <v>0</v>
      </c>
      <c r="AE1093">
        <v>0</v>
      </c>
      <c r="AF1093">
        <v>0</v>
      </c>
      <c r="AG1093">
        <v>0</v>
      </c>
      <c r="AH1093">
        <v>0</v>
      </c>
      <c r="AI1093">
        <v>0</v>
      </c>
      <c r="AJ1093">
        <v>0</v>
      </c>
      <c r="AK1093">
        <v>0</v>
      </c>
      <c r="AL1093">
        <v>0</v>
      </c>
      <c r="AM1093">
        <v>0</v>
      </c>
    </row>
    <row r="1094" spans="1:39" x14ac:dyDescent="0.35">
      <c r="A1094" t="s">
        <v>174</v>
      </c>
      <c r="B1094" t="s">
        <v>482</v>
      </c>
      <c r="C1094" t="s">
        <v>176</v>
      </c>
      <c r="D1094" t="s">
        <v>315</v>
      </c>
      <c r="E1094" t="s">
        <v>31</v>
      </c>
      <c r="F1094" t="s">
        <v>182</v>
      </c>
      <c r="G1094" t="s">
        <v>212</v>
      </c>
      <c r="H1094" t="s">
        <v>35</v>
      </c>
      <c r="I1094">
        <v>0</v>
      </c>
      <c r="J1094">
        <v>0</v>
      </c>
      <c r="K1094">
        <v>0</v>
      </c>
      <c r="L1094">
        <v>0</v>
      </c>
      <c r="M1094">
        <v>0</v>
      </c>
      <c r="N1094">
        <v>0</v>
      </c>
      <c r="O1094">
        <v>0</v>
      </c>
      <c r="P1094">
        <v>0</v>
      </c>
      <c r="Q1094">
        <v>0</v>
      </c>
      <c r="R1094">
        <v>0</v>
      </c>
      <c r="S1094">
        <v>0</v>
      </c>
      <c r="T1094">
        <v>0</v>
      </c>
      <c r="U1094">
        <v>0</v>
      </c>
      <c r="V1094">
        <v>0</v>
      </c>
      <c r="W1094">
        <v>0</v>
      </c>
      <c r="X1094">
        <v>0</v>
      </c>
      <c r="Y1094">
        <v>0</v>
      </c>
      <c r="Z1094">
        <v>0</v>
      </c>
      <c r="AA1094">
        <v>0</v>
      </c>
      <c r="AB1094">
        <v>0</v>
      </c>
      <c r="AC1094">
        <v>0</v>
      </c>
      <c r="AD1094">
        <v>0</v>
      </c>
      <c r="AE1094">
        <v>0</v>
      </c>
      <c r="AF1094">
        <v>0</v>
      </c>
      <c r="AG1094">
        <v>0</v>
      </c>
      <c r="AH1094">
        <v>0</v>
      </c>
      <c r="AI1094">
        <v>0</v>
      </c>
      <c r="AJ1094">
        <v>0</v>
      </c>
      <c r="AK1094">
        <v>0</v>
      </c>
      <c r="AL1094">
        <v>0</v>
      </c>
      <c r="AM1094">
        <v>0</v>
      </c>
    </row>
    <row r="1095" spans="1:39" x14ac:dyDescent="0.35">
      <c r="A1095" t="s">
        <v>174</v>
      </c>
      <c r="B1095" t="s">
        <v>482</v>
      </c>
      <c r="C1095" t="s">
        <v>176</v>
      </c>
      <c r="D1095" t="s">
        <v>315</v>
      </c>
      <c r="E1095" t="s">
        <v>31</v>
      </c>
      <c r="F1095" t="s">
        <v>182</v>
      </c>
      <c r="G1095" t="s">
        <v>333</v>
      </c>
      <c r="H1095" t="s">
        <v>35</v>
      </c>
      <c r="I1095">
        <v>0</v>
      </c>
      <c r="J1095">
        <v>0</v>
      </c>
      <c r="K1095">
        <v>0</v>
      </c>
      <c r="L1095">
        <v>0</v>
      </c>
      <c r="M1095">
        <v>0</v>
      </c>
      <c r="N1095">
        <v>0</v>
      </c>
      <c r="O1095">
        <v>0</v>
      </c>
      <c r="P1095">
        <v>0</v>
      </c>
      <c r="Q1095">
        <v>0</v>
      </c>
      <c r="R1095">
        <v>0</v>
      </c>
      <c r="S1095">
        <v>0</v>
      </c>
      <c r="T1095">
        <v>0</v>
      </c>
      <c r="U1095">
        <v>0</v>
      </c>
      <c r="V1095">
        <v>0</v>
      </c>
      <c r="W1095">
        <v>0</v>
      </c>
      <c r="X1095">
        <v>0</v>
      </c>
      <c r="Y1095">
        <v>0</v>
      </c>
      <c r="Z1095">
        <v>0</v>
      </c>
      <c r="AA1095">
        <v>0</v>
      </c>
      <c r="AB1095">
        <v>0</v>
      </c>
      <c r="AC1095">
        <v>0</v>
      </c>
      <c r="AD1095">
        <v>0</v>
      </c>
      <c r="AE1095">
        <v>0</v>
      </c>
      <c r="AF1095">
        <v>0</v>
      </c>
      <c r="AG1095">
        <v>0</v>
      </c>
      <c r="AH1095">
        <v>0</v>
      </c>
      <c r="AI1095">
        <v>0</v>
      </c>
      <c r="AJ1095">
        <v>0</v>
      </c>
      <c r="AK1095">
        <v>0</v>
      </c>
      <c r="AL1095">
        <v>0</v>
      </c>
      <c r="AM1095">
        <v>0</v>
      </c>
    </row>
    <row r="1096" spans="1:39" x14ac:dyDescent="0.35">
      <c r="A1096" t="s">
        <v>174</v>
      </c>
      <c r="B1096" t="s">
        <v>482</v>
      </c>
      <c r="C1096" t="s">
        <v>176</v>
      </c>
      <c r="D1096" t="s">
        <v>315</v>
      </c>
      <c r="E1096" t="s">
        <v>31</v>
      </c>
      <c r="F1096" t="s">
        <v>180</v>
      </c>
      <c r="G1096" t="s">
        <v>210</v>
      </c>
      <c r="H1096" t="s">
        <v>35</v>
      </c>
      <c r="I1096">
        <v>0</v>
      </c>
      <c r="J1096">
        <v>0</v>
      </c>
      <c r="K1096">
        <v>0</v>
      </c>
      <c r="L1096">
        <v>0</v>
      </c>
      <c r="M1096">
        <v>0</v>
      </c>
      <c r="N1096">
        <v>0</v>
      </c>
      <c r="O1096">
        <v>0</v>
      </c>
      <c r="P1096">
        <v>0</v>
      </c>
      <c r="Q1096">
        <v>0</v>
      </c>
      <c r="R1096">
        <v>1.87</v>
      </c>
      <c r="S1096">
        <v>0</v>
      </c>
      <c r="T1096">
        <v>0</v>
      </c>
      <c r="U1096">
        <v>2.1850000000000001</v>
      </c>
      <c r="V1096">
        <v>0</v>
      </c>
      <c r="W1096">
        <v>0</v>
      </c>
      <c r="X1096">
        <v>0</v>
      </c>
      <c r="Y1096">
        <v>0</v>
      </c>
      <c r="Z1096">
        <v>0</v>
      </c>
      <c r="AA1096">
        <v>0</v>
      </c>
      <c r="AB1096">
        <v>0</v>
      </c>
      <c r="AC1096">
        <v>0</v>
      </c>
      <c r="AD1096">
        <v>0</v>
      </c>
      <c r="AE1096">
        <v>0</v>
      </c>
      <c r="AF1096">
        <v>0</v>
      </c>
      <c r="AG1096">
        <v>0</v>
      </c>
      <c r="AH1096">
        <v>0</v>
      </c>
      <c r="AI1096">
        <v>0</v>
      </c>
      <c r="AJ1096">
        <v>0</v>
      </c>
      <c r="AK1096">
        <v>0</v>
      </c>
      <c r="AL1096">
        <v>0</v>
      </c>
      <c r="AM1096">
        <v>0</v>
      </c>
    </row>
    <row r="1097" spans="1:39" x14ac:dyDescent="0.35">
      <c r="A1097" t="s">
        <v>174</v>
      </c>
      <c r="B1097" t="s">
        <v>482</v>
      </c>
      <c r="C1097" t="s">
        <v>176</v>
      </c>
      <c r="D1097" t="s">
        <v>315</v>
      </c>
      <c r="E1097" t="s">
        <v>31</v>
      </c>
      <c r="F1097" t="s">
        <v>180</v>
      </c>
      <c r="G1097" t="s">
        <v>331</v>
      </c>
      <c r="H1097" t="s">
        <v>35</v>
      </c>
      <c r="I1097">
        <v>0</v>
      </c>
      <c r="J1097">
        <v>0</v>
      </c>
      <c r="K1097">
        <v>0</v>
      </c>
      <c r="L1097">
        <v>0</v>
      </c>
      <c r="M1097">
        <v>0</v>
      </c>
      <c r="N1097">
        <v>0</v>
      </c>
      <c r="O1097">
        <v>0</v>
      </c>
      <c r="P1097">
        <v>0</v>
      </c>
      <c r="Q1097">
        <v>0</v>
      </c>
      <c r="R1097">
        <v>0</v>
      </c>
      <c r="S1097">
        <v>0</v>
      </c>
      <c r="T1097">
        <v>0</v>
      </c>
      <c r="U1097">
        <v>0</v>
      </c>
      <c r="V1097">
        <v>0</v>
      </c>
      <c r="W1097">
        <v>0</v>
      </c>
      <c r="X1097">
        <v>0</v>
      </c>
      <c r="Y1097">
        <v>0</v>
      </c>
      <c r="Z1097">
        <v>0</v>
      </c>
      <c r="AA1097">
        <v>0</v>
      </c>
      <c r="AB1097">
        <v>0</v>
      </c>
      <c r="AC1097">
        <v>0</v>
      </c>
      <c r="AD1097">
        <v>0</v>
      </c>
      <c r="AE1097">
        <v>0</v>
      </c>
      <c r="AF1097">
        <v>0</v>
      </c>
      <c r="AG1097">
        <v>0</v>
      </c>
      <c r="AH1097">
        <v>0</v>
      </c>
      <c r="AI1097">
        <v>0</v>
      </c>
      <c r="AJ1097">
        <v>0</v>
      </c>
      <c r="AK1097">
        <v>0</v>
      </c>
      <c r="AL1097">
        <v>0</v>
      </c>
      <c r="AM1097">
        <v>0</v>
      </c>
    </row>
    <row r="1098" spans="1:39" x14ac:dyDescent="0.35">
      <c r="A1098" t="s">
        <v>174</v>
      </c>
      <c r="B1098" t="s">
        <v>482</v>
      </c>
      <c r="C1098" t="s">
        <v>176</v>
      </c>
      <c r="D1098" t="s">
        <v>315</v>
      </c>
      <c r="E1098" t="s">
        <v>31</v>
      </c>
      <c r="F1098" t="s">
        <v>180</v>
      </c>
      <c r="G1098" t="s">
        <v>214</v>
      </c>
      <c r="H1098" t="s">
        <v>35</v>
      </c>
      <c r="I1098">
        <v>0</v>
      </c>
      <c r="J1098">
        <v>0</v>
      </c>
      <c r="K1098">
        <v>0</v>
      </c>
      <c r="L1098">
        <v>0</v>
      </c>
      <c r="M1098">
        <v>0</v>
      </c>
      <c r="N1098">
        <v>0</v>
      </c>
      <c r="O1098">
        <v>0</v>
      </c>
      <c r="P1098">
        <v>0</v>
      </c>
      <c r="Q1098">
        <v>0</v>
      </c>
      <c r="R1098">
        <v>0</v>
      </c>
      <c r="S1098">
        <v>0</v>
      </c>
      <c r="T1098">
        <v>0</v>
      </c>
      <c r="U1098">
        <v>0</v>
      </c>
      <c r="V1098">
        <v>0</v>
      </c>
      <c r="W1098">
        <v>0</v>
      </c>
      <c r="X1098">
        <v>0</v>
      </c>
      <c r="Y1098">
        <v>0</v>
      </c>
      <c r="Z1098">
        <v>0</v>
      </c>
      <c r="AA1098">
        <v>0</v>
      </c>
      <c r="AB1098">
        <v>0</v>
      </c>
      <c r="AC1098">
        <v>0</v>
      </c>
      <c r="AD1098">
        <v>0</v>
      </c>
      <c r="AE1098">
        <v>0</v>
      </c>
      <c r="AF1098">
        <v>0</v>
      </c>
      <c r="AG1098">
        <v>0</v>
      </c>
      <c r="AH1098">
        <v>0</v>
      </c>
      <c r="AI1098">
        <v>0</v>
      </c>
      <c r="AJ1098">
        <v>0</v>
      </c>
      <c r="AK1098">
        <v>0</v>
      </c>
      <c r="AL1098">
        <v>0</v>
      </c>
      <c r="AM1098">
        <v>0</v>
      </c>
    </row>
    <row r="1099" spans="1:39" x14ac:dyDescent="0.35">
      <c r="A1099" t="s">
        <v>174</v>
      </c>
      <c r="B1099" t="s">
        <v>482</v>
      </c>
      <c r="C1099" t="s">
        <v>176</v>
      </c>
      <c r="D1099" t="s">
        <v>315</v>
      </c>
      <c r="E1099" t="s">
        <v>31</v>
      </c>
      <c r="F1099" t="s">
        <v>181</v>
      </c>
      <c r="G1099" t="s">
        <v>211</v>
      </c>
      <c r="H1099" t="s">
        <v>35</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c r="AK1099">
        <v>0</v>
      </c>
      <c r="AL1099">
        <v>0</v>
      </c>
      <c r="AM1099">
        <v>0</v>
      </c>
    </row>
    <row r="1100" spans="1:39" x14ac:dyDescent="0.35">
      <c r="A1100" t="s">
        <v>174</v>
      </c>
      <c r="B1100" t="s">
        <v>482</v>
      </c>
      <c r="C1100" t="s">
        <v>176</v>
      </c>
      <c r="D1100" t="s">
        <v>315</v>
      </c>
      <c r="E1100" t="s">
        <v>31</v>
      </c>
      <c r="F1100" t="s">
        <v>181</v>
      </c>
      <c r="G1100" t="s">
        <v>332</v>
      </c>
      <c r="H1100" t="s">
        <v>35</v>
      </c>
      <c r="I1100">
        <v>0</v>
      </c>
      <c r="J1100">
        <v>0</v>
      </c>
      <c r="K1100">
        <v>0</v>
      </c>
      <c r="L1100">
        <v>0</v>
      </c>
      <c r="M1100">
        <v>0</v>
      </c>
      <c r="N1100">
        <v>0</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0</v>
      </c>
      <c r="AI1100">
        <v>0</v>
      </c>
      <c r="AJ1100">
        <v>0</v>
      </c>
      <c r="AK1100">
        <v>0</v>
      </c>
      <c r="AL1100">
        <v>0</v>
      </c>
      <c r="AM1100">
        <v>0</v>
      </c>
    </row>
    <row r="1101" spans="1:39" x14ac:dyDescent="0.35">
      <c r="A1101" t="s">
        <v>174</v>
      </c>
      <c r="B1101" t="s">
        <v>482</v>
      </c>
      <c r="C1101" t="s">
        <v>176</v>
      </c>
      <c r="D1101" t="s">
        <v>315</v>
      </c>
      <c r="E1101" t="s">
        <v>31</v>
      </c>
      <c r="F1101" t="s">
        <v>181</v>
      </c>
      <c r="G1101" t="s">
        <v>215</v>
      </c>
      <c r="H1101" t="s">
        <v>35</v>
      </c>
      <c r="I1101">
        <v>0</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c r="AI1101">
        <v>0</v>
      </c>
      <c r="AJ1101">
        <v>0</v>
      </c>
      <c r="AK1101">
        <v>0</v>
      </c>
      <c r="AL1101">
        <v>0</v>
      </c>
      <c r="AM1101">
        <v>0</v>
      </c>
    </row>
    <row r="1102" spans="1:39" x14ac:dyDescent="0.35">
      <c r="A1102" t="s">
        <v>174</v>
      </c>
      <c r="B1102" t="s">
        <v>482</v>
      </c>
      <c r="C1102" t="s">
        <v>176</v>
      </c>
      <c r="D1102" t="s">
        <v>315</v>
      </c>
      <c r="E1102" t="s">
        <v>31</v>
      </c>
      <c r="F1102" t="s">
        <v>179</v>
      </c>
      <c r="G1102" t="s">
        <v>209</v>
      </c>
      <c r="H1102" t="s">
        <v>35</v>
      </c>
      <c r="I1102">
        <v>0</v>
      </c>
      <c r="J1102">
        <v>0</v>
      </c>
      <c r="K1102">
        <v>0</v>
      </c>
      <c r="L1102">
        <v>0</v>
      </c>
      <c r="M1102">
        <v>0</v>
      </c>
      <c r="N1102">
        <v>0</v>
      </c>
      <c r="O1102">
        <v>0</v>
      </c>
      <c r="P1102">
        <v>0</v>
      </c>
      <c r="Q1102">
        <v>0</v>
      </c>
      <c r="R1102">
        <v>0</v>
      </c>
      <c r="S1102">
        <v>0</v>
      </c>
      <c r="T1102">
        <v>0</v>
      </c>
      <c r="U1102">
        <v>0</v>
      </c>
      <c r="V1102">
        <v>12.245000000000001</v>
      </c>
      <c r="W1102">
        <v>0</v>
      </c>
      <c r="X1102">
        <v>0</v>
      </c>
      <c r="Y1102">
        <v>0</v>
      </c>
      <c r="Z1102">
        <v>0</v>
      </c>
      <c r="AA1102">
        <v>0</v>
      </c>
      <c r="AB1102">
        <v>0</v>
      </c>
      <c r="AC1102">
        <v>0</v>
      </c>
      <c r="AD1102">
        <v>0</v>
      </c>
      <c r="AE1102">
        <v>0</v>
      </c>
      <c r="AF1102">
        <v>0</v>
      </c>
      <c r="AG1102">
        <v>0</v>
      </c>
      <c r="AH1102">
        <v>0</v>
      </c>
      <c r="AI1102">
        <v>0</v>
      </c>
      <c r="AJ1102">
        <v>0</v>
      </c>
      <c r="AK1102">
        <v>0</v>
      </c>
      <c r="AL1102">
        <v>0</v>
      </c>
      <c r="AM1102">
        <v>0</v>
      </c>
    </row>
    <row r="1103" spans="1:39" x14ac:dyDescent="0.35">
      <c r="A1103" t="s">
        <v>174</v>
      </c>
      <c r="B1103" t="s">
        <v>482</v>
      </c>
      <c r="C1103" t="s">
        <v>176</v>
      </c>
      <c r="D1103" t="s">
        <v>315</v>
      </c>
      <c r="E1103" t="s">
        <v>31</v>
      </c>
      <c r="F1103" t="s">
        <v>179</v>
      </c>
      <c r="G1103" t="s">
        <v>330</v>
      </c>
      <c r="H1103" t="s">
        <v>35</v>
      </c>
      <c r="I1103">
        <v>0</v>
      </c>
      <c r="J1103">
        <v>0</v>
      </c>
      <c r="K1103">
        <v>0</v>
      </c>
      <c r="L1103">
        <v>0</v>
      </c>
      <c r="M1103">
        <v>0</v>
      </c>
      <c r="N1103">
        <v>0</v>
      </c>
      <c r="O1103">
        <v>0</v>
      </c>
      <c r="P1103">
        <v>0</v>
      </c>
      <c r="Q1103">
        <v>0</v>
      </c>
      <c r="R1103">
        <v>0</v>
      </c>
      <c r="S1103">
        <v>0</v>
      </c>
      <c r="T1103">
        <v>0</v>
      </c>
      <c r="U1103">
        <v>0</v>
      </c>
      <c r="V1103">
        <v>0</v>
      </c>
      <c r="W1103">
        <v>0</v>
      </c>
      <c r="X1103">
        <v>0</v>
      </c>
      <c r="Y1103">
        <v>0</v>
      </c>
      <c r="Z1103">
        <v>0</v>
      </c>
      <c r="AA1103">
        <v>0</v>
      </c>
      <c r="AB1103">
        <v>0</v>
      </c>
      <c r="AC1103">
        <v>0</v>
      </c>
      <c r="AD1103">
        <v>0</v>
      </c>
      <c r="AE1103">
        <v>0</v>
      </c>
      <c r="AF1103">
        <v>0</v>
      </c>
      <c r="AG1103">
        <v>0</v>
      </c>
      <c r="AH1103">
        <v>0</v>
      </c>
      <c r="AI1103">
        <v>0</v>
      </c>
      <c r="AJ1103">
        <v>0</v>
      </c>
      <c r="AK1103">
        <v>0</v>
      </c>
      <c r="AL1103">
        <v>0</v>
      </c>
      <c r="AM1103">
        <v>0</v>
      </c>
    </row>
    <row r="1104" spans="1:39" x14ac:dyDescent="0.35">
      <c r="A1104" t="s">
        <v>174</v>
      </c>
      <c r="B1104" t="s">
        <v>482</v>
      </c>
      <c r="C1104" t="s">
        <v>176</v>
      </c>
      <c r="D1104" t="s">
        <v>315</v>
      </c>
      <c r="E1104" t="s">
        <v>31</v>
      </c>
      <c r="F1104" t="s">
        <v>179</v>
      </c>
      <c r="G1104" t="s">
        <v>213</v>
      </c>
      <c r="H1104" t="s">
        <v>35</v>
      </c>
      <c r="I1104">
        <v>0</v>
      </c>
      <c r="J1104">
        <v>0</v>
      </c>
      <c r="K1104">
        <v>0</v>
      </c>
      <c r="L1104">
        <v>0</v>
      </c>
      <c r="M1104">
        <v>0</v>
      </c>
      <c r="N1104">
        <v>0</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c r="AG1104">
        <v>0</v>
      </c>
      <c r="AH1104">
        <v>0</v>
      </c>
      <c r="AI1104">
        <v>0</v>
      </c>
      <c r="AJ1104">
        <v>0</v>
      </c>
      <c r="AK1104">
        <v>0</v>
      </c>
      <c r="AL1104">
        <v>0</v>
      </c>
      <c r="AM1104">
        <v>0</v>
      </c>
    </row>
    <row r="1105" spans="1:39" x14ac:dyDescent="0.35">
      <c r="A1105" t="s">
        <v>174</v>
      </c>
      <c r="B1105" t="s">
        <v>482</v>
      </c>
      <c r="C1105" t="s">
        <v>176</v>
      </c>
      <c r="D1105" t="s">
        <v>315</v>
      </c>
      <c r="E1105" t="s">
        <v>72</v>
      </c>
      <c r="F1105" t="s">
        <v>182</v>
      </c>
      <c r="G1105" t="s">
        <v>191</v>
      </c>
      <c r="H1105" t="s">
        <v>35</v>
      </c>
      <c r="I1105">
        <v>0</v>
      </c>
      <c r="J1105">
        <v>0</v>
      </c>
      <c r="K1105">
        <v>0</v>
      </c>
      <c r="L1105">
        <v>0</v>
      </c>
      <c r="M1105">
        <v>0</v>
      </c>
      <c r="N1105">
        <v>0</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v>0</v>
      </c>
      <c r="AK1105">
        <v>0</v>
      </c>
      <c r="AL1105">
        <v>0</v>
      </c>
      <c r="AM1105">
        <v>0</v>
      </c>
    </row>
    <row r="1106" spans="1:39" x14ac:dyDescent="0.35">
      <c r="A1106" t="s">
        <v>174</v>
      </c>
      <c r="B1106" t="s">
        <v>482</v>
      </c>
      <c r="C1106" t="s">
        <v>176</v>
      </c>
      <c r="D1106" t="s">
        <v>315</v>
      </c>
      <c r="E1106" t="s">
        <v>72</v>
      </c>
      <c r="F1106" t="s">
        <v>180</v>
      </c>
      <c r="G1106" t="s">
        <v>189</v>
      </c>
      <c r="H1106" t="s">
        <v>35</v>
      </c>
      <c r="I1106">
        <v>0</v>
      </c>
      <c r="J1106">
        <v>0</v>
      </c>
      <c r="K1106">
        <v>0</v>
      </c>
      <c r="L1106">
        <v>0</v>
      </c>
      <c r="M1106">
        <v>0</v>
      </c>
      <c r="N1106">
        <v>0</v>
      </c>
      <c r="O1106">
        <v>0</v>
      </c>
      <c r="P1106">
        <v>0</v>
      </c>
      <c r="Q1106">
        <v>0</v>
      </c>
      <c r="R1106">
        <v>302.39999999999998</v>
      </c>
      <c r="S1106">
        <v>152.54999999999998</v>
      </c>
      <c r="T1106">
        <v>222.6</v>
      </c>
      <c r="U1106">
        <v>0</v>
      </c>
      <c r="V1106">
        <v>0</v>
      </c>
      <c r="W1106">
        <v>0</v>
      </c>
      <c r="X1106">
        <v>0</v>
      </c>
      <c r="Y1106">
        <v>0</v>
      </c>
      <c r="Z1106">
        <v>0</v>
      </c>
      <c r="AA1106">
        <v>0</v>
      </c>
      <c r="AB1106">
        <v>0</v>
      </c>
      <c r="AC1106">
        <v>0</v>
      </c>
      <c r="AD1106">
        <v>0</v>
      </c>
      <c r="AE1106">
        <v>0</v>
      </c>
      <c r="AF1106">
        <v>0</v>
      </c>
      <c r="AG1106">
        <v>0</v>
      </c>
      <c r="AH1106">
        <v>0</v>
      </c>
      <c r="AI1106">
        <v>0</v>
      </c>
      <c r="AJ1106">
        <v>0</v>
      </c>
      <c r="AK1106">
        <v>0</v>
      </c>
      <c r="AL1106">
        <v>0</v>
      </c>
      <c r="AM1106">
        <v>0</v>
      </c>
    </row>
    <row r="1107" spans="1:39" x14ac:dyDescent="0.35">
      <c r="A1107" t="s">
        <v>174</v>
      </c>
      <c r="B1107" t="s">
        <v>482</v>
      </c>
      <c r="C1107" t="s">
        <v>176</v>
      </c>
      <c r="D1107" t="s">
        <v>315</v>
      </c>
      <c r="E1107" t="s">
        <v>72</v>
      </c>
      <c r="F1107" t="s">
        <v>180</v>
      </c>
      <c r="G1107" t="s">
        <v>193</v>
      </c>
      <c r="H1107" t="s">
        <v>35</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c r="AK1107">
        <v>0</v>
      </c>
      <c r="AL1107">
        <v>0</v>
      </c>
      <c r="AM1107">
        <v>0</v>
      </c>
    </row>
    <row r="1108" spans="1:39" x14ac:dyDescent="0.35">
      <c r="A1108" t="s">
        <v>174</v>
      </c>
      <c r="B1108" t="s">
        <v>482</v>
      </c>
      <c r="C1108" t="s">
        <v>176</v>
      </c>
      <c r="D1108" t="s">
        <v>315</v>
      </c>
      <c r="E1108" t="s">
        <v>72</v>
      </c>
      <c r="F1108" t="s">
        <v>181</v>
      </c>
      <c r="G1108" t="s">
        <v>190</v>
      </c>
      <c r="H1108" t="s">
        <v>35</v>
      </c>
      <c r="I1108">
        <v>0</v>
      </c>
      <c r="J1108">
        <v>0</v>
      </c>
      <c r="K1108">
        <v>0</v>
      </c>
      <c r="L1108">
        <v>0</v>
      </c>
      <c r="M1108">
        <v>0</v>
      </c>
      <c r="N1108">
        <v>0</v>
      </c>
      <c r="O1108">
        <v>0</v>
      </c>
      <c r="P1108">
        <v>0</v>
      </c>
      <c r="Q1108">
        <v>0</v>
      </c>
      <c r="R1108">
        <v>10.35</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c r="AK1108">
        <v>0</v>
      </c>
      <c r="AL1108">
        <v>0</v>
      </c>
      <c r="AM1108">
        <v>0</v>
      </c>
    </row>
    <row r="1109" spans="1:39" x14ac:dyDescent="0.35">
      <c r="A1109" t="s">
        <v>174</v>
      </c>
      <c r="B1109" t="s">
        <v>482</v>
      </c>
      <c r="C1109" t="s">
        <v>176</v>
      </c>
      <c r="D1109" t="s">
        <v>315</v>
      </c>
      <c r="E1109" t="s">
        <v>72</v>
      </c>
      <c r="F1109" t="s">
        <v>181</v>
      </c>
      <c r="G1109" t="s">
        <v>194</v>
      </c>
      <c r="H1109" t="s">
        <v>35</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c r="AK1109">
        <v>0</v>
      </c>
      <c r="AL1109">
        <v>0</v>
      </c>
      <c r="AM1109">
        <v>0</v>
      </c>
    </row>
    <row r="1110" spans="1:39" x14ac:dyDescent="0.35">
      <c r="A1110" t="s">
        <v>174</v>
      </c>
      <c r="B1110" t="s">
        <v>482</v>
      </c>
      <c r="C1110" t="s">
        <v>176</v>
      </c>
      <c r="D1110" t="s">
        <v>315</v>
      </c>
      <c r="E1110" t="s">
        <v>72</v>
      </c>
      <c r="F1110" t="s">
        <v>179</v>
      </c>
      <c r="G1110" t="s">
        <v>188</v>
      </c>
      <c r="H1110" t="s">
        <v>35</v>
      </c>
      <c r="I1110">
        <v>0</v>
      </c>
      <c r="J1110">
        <v>0</v>
      </c>
      <c r="K1110">
        <v>0</v>
      </c>
      <c r="L1110">
        <v>0</v>
      </c>
      <c r="M1110">
        <v>0</v>
      </c>
      <c r="N1110">
        <v>0</v>
      </c>
      <c r="O1110">
        <v>0</v>
      </c>
      <c r="P1110">
        <v>0</v>
      </c>
      <c r="Q1110">
        <v>0</v>
      </c>
      <c r="R1110">
        <v>0</v>
      </c>
      <c r="S1110">
        <v>0</v>
      </c>
      <c r="T1110">
        <v>0</v>
      </c>
      <c r="U1110">
        <v>0</v>
      </c>
      <c r="V1110">
        <v>116.55</v>
      </c>
      <c r="W1110">
        <v>0</v>
      </c>
      <c r="X1110">
        <v>0</v>
      </c>
      <c r="Y1110">
        <v>0</v>
      </c>
      <c r="Z1110">
        <v>0</v>
      </c>
      <c r="AA1110">
        <v>0</v>
      </c>
      <c r="AB1110">
        <v>0</v>
      </c>
      <c r="AC1110">
        <v>0</v>
      </c>
      <c r="AD1110">
        <v>0</v>
      </c>
      <c r="AE1110">
        <v>0</v>
      </c>
      <c r="AF1110">
        <v>0</v>
      </c>
      <c r="AG1110">
        <v>0</v>
      </c>
      <c r="AH1110">
        <v>0</v>
      </c>
      <c r="AI1110">
        <v>0</v>
      </c>
      <c r="AJ1110">
        <v>0</v>
      </c>
      <c r="AK1110">
        <v>0</v>
      </c>
      <c r="AL1110">
        <v>0</v>
      </c>
      <c r="AM1110">
        <v>0</v>
      </c>
    </row>
    <row r="1111" spans="1:39" x14ac:dyDescent="0.35">
      <c r="A1111" t="s">
        <v>174</v>
      </c>
      <c r="B1111" t="s">
        <v>482</v>
      </c>
      <c r="C1111" t="s">
        <v>176</v>
      </c>
      <c r="D1111" t="s">
        <v>315</v>
      </c>
      <c r="E1111" t="s">
        <v>72</v>
      </c>
      <c r="F1111" t="s">
        <v>179</v>
      </c>
      <c r="G1111" t="s">
        <v>192</v>
      </c>
      <c r="H1111" t="s">
        <v>35</v>
      </c>
      <c r="I1111">
        <v>0</v>
      </c>
      <c r="J1111">
        <v>0</v>
      </c>
      <c r="K1111">
        <v>0</v>
      </c>
      <c r="L1111">
        <v>0</v>
      </c>
      <c r="M1111">
        <v>0</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v>0</v>
      </c>
      <c r="AG1111">
        <v>0</v>
      </c>
      <c r="AH1111">
        <v>0</v>
      </c>
      <c r="AI1111">
        <v>0</v>
      </c>
      <c r="AJ1111">
        <v>0</v>
      </c>
      <c r="AK1111">
        <v>0</v>
      </c>
      <c r="AL1111">
        <v>0</v>
      </c>
      <c r="AM1111">
        <v>0</v>
      </c>
    </row>
    <row r="1112" spans="1:39" x14ac:dyDescent="0.35">
      <c r="A1112" t="s">
        <v>174</v>
      </c>
      <c r="B1112" t="s">
        <v>482</v>
      </c>
      <c r="C1112" t="s">
        <v>176</v>
      </c>
      <c r="D1112" t="s">
        <v>315</v>
      </c>
      <c r="E1112" t="s">
        <v>542</v>
      </c>
      <c r="F1112" t="s">
        <v>182</v>
      </c>
      <c r="G1112" t="s">
        <v>686</v>
      </c>
      <c r="H1112" t="s">
        <v>35</v>
      </c>
      <c r="I1112">
        <v>0</v>
      </c>
      <c r="J1112">
        <v>0</v>
      </c>
      <c r="K1112">
        <v>0</v>
      </c>
      <c r="L1112">
        <v>0</v>
      </c>
      <c r="M1112">
        <v>0</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v>0</v>
      </c>
      <c r="AK1112">
        <v>0</v>
      </c>
      <c r="AL1112">
        <v>0</v>
      </c>
      <c r="AM1112">
        <v>0</v>
      </c>
    </row>
    <row r="1113" spans="1:39" x14ac:dyDescent="0.35">
      <c r="A1113" t="s">
        <v>174</v>
      </c>
      <c r="B1113" t="s">
        <v>482</v>
      </c>
      <c r="C1113" t="s">
        <v>176</v>
      </c>
      <c r="D1113" t="s">
        <v>315</v>
      </c>
      <c r="E1113" t="s">
        <v>542</v>
      </c>
      <c r="F1113" t="s">
        <v>180</v>
      </c>
      <c r="G1113" t="s">
        <v>684</v>
      </c>
      <c r="H1113" t="s">
        <v>35</v>
      </c>
      <c r="I1113">
        <v>0</v>
      </c>
      <c r="J1113">
        <v>0</v>
      </c>
      <c r="K1113">
        <v>0</v>
      </c>
      <c r="L1113">
        <v>0</v>
      </c>
      <c r="M1113">
        <v>0</v>
      </c>
      <c r="N1113">
        <v>2</v>
      </c>
      <c r="O1113">
        <v>0</v>
      </c>
      <c r="P1113">
        <v>0</v>
      </c>
      <c r="Q1113">
        <v>0</v>
      </c>
      <c r="R1113">
        <v>0</v>
      </c>
      <c r="S1113">
        <v>2</v>
      </c>
      <c r="T1113">
        <v>0</v>
      </c>
      <c r="U1113">
        <v>0</v>
      </c>
      <c r="V1113">
        <v>0</v>
      </c>
      <c r="W1113">
        <v>0</v>
      </c>
      <c r="X1113">
        <v>0</v>
      </c>
      <c r="Y1113">
        <v>0</v>
      </c>
      <c r="Z1113">
        <v>0</v>
      </c>
      <c r="AA1113">
        <v>0</v>
      </c>
      <c r="AB1113">
        <v>0</v>
      </c>
      <c r="AC1113">
        <v>0</v>
      </c>
      <c r="AD1113">
        <v>0</v>
      </c>
      <c r="AE1113">
        <v>0</v>
      </c>
      <c r="AF1113">
        <v>0</v>
      </c>
      <c r="AG1113">
        <v>0</v>
      </c>
      <c r="AH1113">
        <v>0</v>
      </c>
      <c r="AI1113">
        <v>0</v>
      </c>
      <c r="AJ1113">
        <v>0</v>
      </c>
      <c r="AK1113">
        <v>0</v>
      </c>
      <c r="AL1113">
        <v>0</v>
      </c>
      <c r="AM1113">
        <v>0</v>
      </c>
    </row>
    <row r="1114" spans="1:39" x14ac:dyDescent="0.35">
      <c r="A1114" t="s">
        <v>174</v>
      </c>
      <c r="B1114" t="s">
        <v>482</v>
      </c>
      <c r="C1114" t="s">
        <v>176</v>
      </c>
      <c r="D1114" t="s">
        <v>315</v>
      </c>
      <c r="E1114" t="s">
        <v>542</v>
      </c>
      <c r="F1114" t="s">
        <v>181</v>
      </c>
      <c r="G1114" t="s">
        <v>685</v>
      </c>
      <c r="H1114" t="s">
        <v>35</v>
      </c>
      <c r="I1114">
        <v>0</v>
      </c>
      <c r="J1114">
        <v>0</v>
      </c>
      <c r="K1114">
        <v>0</v>
      </c>
      <c r="L1114">
        <v>0</v>
      </c>
      <c r="M1114">
        <v>0</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v>0</v>
      </c>
      <c r="AG1114">
        <v>0</v>
      </c>
      <c r="AH1114">
        <v>0</v>
      </c>
      <c r="AI1114">
        <v>0</v>
      </c>
      <c r="AJ1114">
        <v>0</v>
      </c>
      <c r="AK1114">
        <v>0</v>
      </c>
      <c r="AL1114">
        <v>0</v>
      </c>
      <c r="AM1114">
        <v>0</v>
      </c>
    </row>
    <row r="1115" spans="1:39" x14ac:dyDescent="0.35">
      <c r="A1115" t="s">
        <v>174</v>
      </c>
      <c r="B1115" t="s">
        <v>482</v>
      </c>
      <c r="C1115" t="s">
        <v>176</v>
      </c>
      <c r="D1115" t="s">
        <v>315</v>
      </c>
      <c r="E1115" t="s">
        <v>542</v>
      </c>
      <c r="F1115" t="s">
        <v>179</v>
      </c>
      <c r="G1115" t="s">
        <v>683</v>
      </c>
      <c r="H1115" t="s">
        <v>35</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c r="AK1115">
        <v>0</v>
      </c>
      <c r="AL1115">
        <v>0</v>
      </c>
      <c r="AM1115">
        <v>0</v>
      </c>
    </row>
    <row r="1116" spans="1:39" x14ac:dyDescent="0.35">
      <c r="A1116" t="s">
        <v>174</v>
      </c>
      <c r="B1116" t="s">
        <v>482</v>
      </c>
      <c r="C1116" t="s">
        <v>176</v>
      </c>
      <c r="D1116" t="s">
        <v>315</v>
      </c>
      <c r="E1116" t="s">
        <v>555</v>
      </c>
      <c r="F1116" t="s">
        <v>182</v>
      </c>
      <c r="G1116" t="s">
        <v>694</v>
      </c>
      <c r="H1116" t="s">
        <v>67</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row>
    <row r="1117" spans="1:39" x14ac:dyDescent="0.35">
      <c r="A1117" t="s">
        <v>174</v>
      </c>
      <c r="B1117" t="s">
        <v>482</v>
      </c>
      <c r="C1117" t="s">
        <v>176</v>
      </c>
      <c r="D1117" t="s">
        <v>315</v>
      </c>
      <c r="E1117" t="s">
        <v>555</v>
      </c>
      <c r="F1117" t="s">
        <v>180</v>
      </c>
      <c r="G1117" t="s">
        <v>692</v>
      </c>
      <c r="H1117" t="s">
        <v>67</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c r="AI1117">
        <v>0</v>
      </c>
      <c r="AJ1117">
        <v>0</v>
      </c>
      <c r="AK1117">
        <v>0</v>
      </c>
      <c r="AL1117">
        <v>0</v>
      </c>
      <c r="AM1117">
        <v>0</v>
      </c>
    </row>
    <row r="1118" spans="1:39" x14ac:dyDescent="0.35">
      <c r="A1118" t="s">
        <v>174</v>
      </c>
      <c r="B1118" t="s">
        <v>482</v>
      </c>
      <c r="C1118" t="s">
        <v>176</v>
      </c>
      <c r="D1118" t="s">
        <v>315</v>
      </c>
      <c r="E1118" t="s">
        <v>555</v>
      </c>
      <c r="F1118" t="s">
        <v>181</v>
      </c>
      <c r="G1118" t="s">
        <v>693</v>
      </c>
      <c r="H1118" t="s">
        <v>67</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c r="AG1118">
        <v>0</v>
      </c>
      <c r="AH1118">
        <v>0</v>
      </c>
      <c r="AI1118">
        <v>0</v>
      </c>
      <c r="AJ1118">
        <v>0</v>
      </c>
      <c r="AK1118">
        <v>0</v>
      </c>
      <c r="AL1118">
        <v>0</v>
      </c>
      <c r="AM1118">
        <v>0</v>
      </c>
    </row>
    <row r="1119" spans="1:39" x14ac:dyDescent="0.35">
      <c r="A1119" t="s">
        <v>174</v>
      </c>
      <c r="B1119" t="s">
        <v>482</v>
      </c>
      <c r="C1119" t="s">
        <v>176</v>
      </c>
      <c r="D1119" t="s">
        <v>315</v>
      </c>
      <c r="E1119" t="s">
        <v>555</v>
      </c>
      <c r="F1119" t="s">
        <v>179</v>
      </c>
      <c r="G1119" t="s">
        <v>691</v>
      </c>
      <c r="H1119" t="s">
        <v>67</v>
      </c>
      <c r="I1119">
        <v>0</v>
      </c>
      <c r="J1119">
        <v>0</v>
      </c>
      <c r="K1119">
        <v>0</v>
      </c>
      <c r="L1119">
        <v>0</v>
      </c>
      <c r="M1119">
        <v>0</v>
      </c>
      <c r="N1119">
        <v>0</v>
      </c>
      <c r="O1119">
        <v>0</v>
      </c>
      <c r="P1119">
        <v>0</v>
      </c>
      <c r="Q1119">
        <v>0</v>
      </c>
      <c r="R1119">
        <v>0</v>
      </c>
      <c r="S1119">
        <v>0</v>
      </c>
      <c r="T1119">
        <v>0</v>
      </c>
      <c r="U1119">
        <v>0</v>
      </c>
      <c r="V1119">
        <v>0</v>
      </c>
      <c r="W1119">
        <v>0</v>
      </c>
      <c r="X1119">
        <v>0</v>
      </c>
      <c r="Y1119">
        <v>0</v>
      </c>
      <c r="Z1119">
        <v>0</v>
      </c>
      <c r="AA1119">
        <v>0</v>
      </c>
      <c r="AB1119">
        <v>0</v>
      </c>
      <c r="AC1119">
        <v>0</v>
      </c>
      <c r="AD1119">
        <v>0</v>
      </c>
      <c r="AE1119">
        <v>0</v>
      </c>
      <c r="AF1119">
        <v>0</v>
      </c>
      <c r="AG1119">
        <v>0</v>
      </c>
      <c r="AH1119">
        <v>0</v>
      </c>
      <c r="AI1119">
        <v>0</v>
      </c>
      <c r="AJ1119">
        <v>0</v>
      </c>
      <c r="AK1119">
        <v>0</v>
      </c>
      <c r="AL1119">
        <v>0</v>
      </c>
      <c r="AM1119">
        <v>0</v>
      </c>
    </row>
    <row r="1120" spans="1:39" x14ac:dyDescent="0.35">
      <c r="A1120" t="s">
        <v>174</v>
      </c>
      <c r="B1120" t="s">
        <v>482</v>
      </c>
      <c r="C1120" t="s">
        <v>176</v>
      </c>
      <c r="D1120" t="s">
        <v>315</v>
      </c>
      <c r="E1120" t="s">
        <v>34</v>
      </c>
      <c r="F1120" t="s">
        <v>182</v>
      </c>
      <c r="G1120" t="s">
        <v>219</v>
      </c>
      <c r="H1120" t="s">
        <v>68</v>
      </c>
      <c r="I1120">
        <v>0</v>
      </c>
      <c r="J1120">
        <v>453.02325581395348</v>
      </c>
      <c r="K1120">
        <v>0</v>
      </c>
      <c r="L1120">
        <v>0</v>
      </c>
      <c r="M1120">
        <v>0</v>
      </c>
      <c r="N1120">
        <v>0</v>
      </c>
      <c r="O1120">
        <v>743.25581395348831</v>
      </c>
      <c r="P1120">
        <v>1751.6279069767443</v>
      </c>
      <c r="Q1120">
        <v>809.30232558139539</v>
      </c>
      <c r="R1120">
        <v>0</v>
      </c>
      <c r="S1120">
        <v>2224.1860465116279</v>
      </c>
      <c r="T1120">
        <v>236.27906976744185</v>
      </c>
      <c r="U1120">
        <v>48.372093023255815</v>
      </c>
      <c r="V1120">
        <v>4275.3488372093025</v>
      </c>
      <c r="W1120">
        <v>0</v>
      </c>
      <c r="X1120">
        <v>0</v>
      </c>
      <c r="Y1120">
        <v>0</v>
      </c>
      <c r="Z1120">
        <v>0</v>
      </c>
      <c r="AA1120">
        <v>0</v>
      </c>
      <c r="AB1120">
        <v>0</v>
      </c>
      <c r="AC1120">
        <v>0</v>
      </c>
      <c r="AD1120">
        <v>0</v>
      </c>
      <c r="AE1120">
        <v>0</v>
      </c>
      <c r="AF1120">
        <v>0</v>
      </c>
      <c r="AG1120">
        <v>0</v>
      </c>
      <c r="AH1120">
        <v>0</v>
      </c>
      <c r="AI1120">
        <v>0</v>
      </c>
      <c r="AJ1120">
        <v>0</v>
      </c>
      <c r="AK1120">
        <v>0</v>
      </c>
      <c r="AL1120">
        <v>0</v>
      </c>
      <c r="AM1120">
        <v>0</v>
      </c>
    </row>
    <row r="1121" spans="1:39" x14ac:dyDescent="0.35">
      <c r="A1121" t="s">
        <v>174</v>
      </c>
      <c r="B1121" t="s">
        <v>482</v>
      </c>
      <c r="C1121" t="s">
        <v>176</v>
      </c>
      <c r="D1121" t="s">
        <v>315</v>
      </c>
      <c r="E1121" t="s">
        <v>34</v>
      </c>
      <c r="F1121" t="s">
        <v>180</v>
      </c>
      <c r="G1121" t="s">
        <v>217</v>
      </c>
      <c r="H1121" t="s">
        <v>68</v>
      </c>
      <c r="I1121">
        <v>3816.7441860465115</v>
      </c>
      <c r="J1121">
        <v>46.511627906976742</v>
      </c>
      <c r="K1121">
        <v>46.511627906976742</v>
      </c>
      <c r="L1121">
        <v>0</v>
      </c>
      <c r="M1121">
        <v>104.18604651162791</v>
      </c>
      <c r="N1121">
        <v>43.720930232558139</v>
      </c>
      <c r="O1121">
        <v>46.511627906976742</v>
      </c>
      <c r="P1121">
        <v>91.162790697674424</v>
      </c>
      <c r="Q1121">
        <v>217.67441860465115</v>
      </c>
      <c r="R1121">
        <v>9431.6279069767443</v>
      </c>
      <c r="S1121">
        <v>0</v>
      </c>
      <c r="T1121">
        <v>0</v>
      </c>
      <c r="U1121">
        <v>235.34883720930233</v>
      </c>
      <c r="V1121">
        <v>0</v>
      </c>
      <c r="W1121">
        <v>0</v>
      </c>
      <c r="X1121">
        <v>0</v>
      </c>
      <c r="Y1121">
        <v>0</v>
      </c>
      <c r="Z1121">
        <v>0</v>
      </c>
      <c r="AA1121">
        <v>0</v>
      </c>
      <c r="AB1121">
        <v>0</v>
      </c>
      <c r="AC1121">
        <v>0</v>
      </c>
      <c r="AD1121">
        <v>0</v>
      </c>
      <c r="AE1121">
        <v>0</v>
      </c>
      <c r="AF1121">
        <v>0</v>
      </c>
      <c r="AG1121">
        <v>0</v>
      </c>
      <c r="AH1121">
        <v>0</v>
      </c>
      <c r="AI1121">
        <v>0</v>
      </c>
      <c r="AJ1121">
        <v>0</v>
      </c>
      <c r="AK1121">
        <v>0</v>
      </c>
      <c r="AL1121">
        <v>0</v>
      </c>
      <c r="AM1121">
        <v>0</v>
      </c>
    </row>
    <row r="1122" spans="1:39" x14ac:dyDescent="0.35">
      <c r="A1122" t="s">
        <v>174</v>
      </c>
      <c r="B1122" t="s">
        <v>482</v>
      </c>
      <c r="C1122" t="s">
        <v>176</v>
      </c>
      <c r="D1122" t="s">
        <v>315</v>
      </c>
      <c r="E1122" t="s">
        <v>34</v>
      </c>
      <c r="F1122" t="s">
        <v>181</v>
      </c>
      <c r="G1122" t="s">
        <v>218</v>
      </c>
      <c r="H1122" t="s">
        <v>68</v>
      </c>
      <c r="I1122">
        <v>0</v>
      </c>
      <c r="J1122">
        <v>0</v>
      </c>
      <c r="K1122">
        <v>46.511627906976742</v>
      </c>
      <c r="L1122">
        <v>0</v>
      </c>
      <c r="M1122">
        <v>0</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c r="AI1122">
        <v>0</v>
      </c>
      <c r="AJ1122">
        <v>0</v>
      </c>
      <c r="AK1122">
        <v>0</v>
      </c>
      <c r="AL1122">
        <v>0</v>
      </c>
      <c r="AM1122">
        <v>0</v>
      </c>
    </row>
    <row r="1123" spans="1:39" x14ac:dyDescent="0.35">
      <c r="A1123" t="s">
        <v>174</v>
      </c>
      <c r="B1123" t="s">
        <v>482</v>
      </c>
      <c r="C1123" t="s">
        <v>176</v>
      </c>
      <c r="D1123" t="s">
        <v>315</v>
      </c>
      <c r="E1123" t="s">
        <v>34</v>
      </c>
      <c r="F1123" t="s">
        <v>179</v>
      </c>
      <c r="G1123" t="s">
        <v>216</v>
      </c>
      <c r="H1123" t="s">
        <v>68</v>
      </c>
      <c r="I1123">
        <v>0</v>
      </c>
      <c r="J1123">
        <v>0</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v>0</v>
      </c>
      <c r="AK1123">
        <v>0</v>
      </c>
      <c r="AL1123">
        <v>0</v>
      </c>
      <c r="AM1123">
        <v>0</v>
      </c>
    </row>
    <row r="1124" spans="1:39" x14ac:dyDescent="0.35">
      <c r="A1124" t="s">
        <v>174</v>
      </c>
      <c r="B1124" t="s">
        <v>310</v>
      </c>
      <c r="C1124" t="s">
        <v>176</v>
      </c>
      <c r="D1124" t="s">
        <v>315</v>
      </c>
      <c r="E1124" t="s">
        <v>1316</v>
      </c>
      <c r="F1124" t="s">
        <v>1202</v>
      </c>
      <c r="G1124" t="s">
        <v>1349</v>
      </c>
      <c r="H1124" t="s">
        <v>35</v>
      </c>
      <c r="I1124">
        <v>0</v>
      </c>
      <c r="J1124">
        <v>0</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c r="AI1124">
        <v>0</v>
      </c>
      <c r="AJ1124">
        <v>0</v>
      </c>
      <c r="AK1124">
        <v>0</v>
      </c>
      <c r="AL1124">
        <v>0</v>
      </c>
      <c r="AM1124">
        <v>0</v>
      </c>
    </row>
    <row r="1125" spans="1:39" x14ac:dyDescent="0.35">
      <c r="A1125" t="s">
        <v>174</v>
      </c>
      <c r="B1125" t="s">
        <v>310</v>
      </c>
      <c r="C1125" t="s">
        <v>176</v>
      </c>
      <c r="D1125" t="s">
        <v>315</v>
      </c>
      <c r="E1125" t="s">
        <v>837</v>
      </c>
      <c r="F1125" t="s">
        <v>1202</v>
      </c>
      <c r="G1125" t="s">
        <v>1459</v>
      </c>
      <c r="H1125" t="s">
        <v>69</v>
      </c>
      <c r="I1125">
        <v>0</v>
      </c>
      <c r="J1125">
        <v>0</v>
      </c>
      <c r="K1125">
        <v>0</v>
      </c>
      <c r="L1125">
        <v>0</v>
      </c>
      <c r="M1125">
        <v>0</v>
      </c>
      <c r="N1125">
        <v>0</v>
      </c>
      <c r="O1125">
        <v>0</v>
      </c>
      <c r="P1125">
        <v>0</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c r="AI1125">
        <v>0</v>
      </c>
      <c r="AJ1125">
        <v>0</v>
      </c>
      <c r="AK1125">
        <v>0</v>
      </c>
      <c r="AL1125">
        <v>0</v>
      </c>
      <c r="AM1125">
        <v>0</v>
      </c>
    </row>
    <row r="1126" spans="1:39" x14ac:dyDescent="0.35">
      <c r="A1126" t="s">
        <v>174</v>
      </c>
      <c r="B1126" t="s">
        <v>310</v>
      </c>
      <c r="C1126" t="s">
        <v>176</v>
      </c>
      <c r="D1126" t="s">
        <v>315</v>
      </c>
      <c r="E1126" t="s">
        <v>484</v>
      </c>
      <c r="F1126" t="s">
        <v>1202</v>
      </c>
      <c r="G1126" t="s">
        <v>1213</v>
      </c>
      <c r="H1126" t="s">
        <v>67</v>
      </c>
      <c r="I1126">
        <v>0</v>
      </c>
      <c r="J1126">
        <v>0</v>
      </c>
      <c r="K1126">
        <v>0</v>
      </c>
      <c r="L1126">
        <v>0</v>
      </c>
      <c r="M1126">
        <v>0</v>
      </c>
      <c r="N1126">
        <v>0</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c r="AI1126">
        <v>0</v>
      </c>
      <c r="AJ1126">
        <v>0</v>
      </c>
      <c r="AK1126">
        <v>0</v>
      </c>
      <c r="AL1126">
        <v>0</v>
      </c>
      <c r="AM1126">
        <v>0</v>
      </c>
    </row>
    <row r="1127" spans="1:39" x14ac:dyDescent="0.35">
      <c r="A1127" t="s">
        <v>174</v>
      </c>
      <c r="B1127" t="s">
        <v>310</v>
      </c>
      <c r="C1127" t="s">
        <v>176</v>
      </c>
      <c r="D1127" t="s">
        <v>315</v>
      </c>
      <c r="E1127" t="s">
        <v>507</v>
      </c>
      <c r="F1127" t="s">
        <v>1202</v>
      </c>
      <c r="G1127" t="s">
        <v>1214</v>
      </c>
      <c r="H1127" t="s">
        <v>67</v>
      </c>
      <c r="I1127">
        <v>0</v>
      </c>
      <c r="J1127">
        <v>0</v>
      </c>
      <c r="K1127">
        <v>0</v>
      </c>
      <c r="L1127">
        <v>0</v>
      </c>
      <c r="M1127">
        <v>0</v>
      </c>
      <c r="N1127">
        <v>0</v>
      </c>
      <c r="O1127">
        <v>0</v>
      </c>
      <c r="P1127">
        <v>0</v>
      </c>
      <c r="Q1127">
        <v>0</v>
      </c>
      <c r="R1127">
        <v>0</v>
      </c>
      <c r="S1127">
        <v>0</v>
      </c>
      <c r="T1127">
        <v>0</v>
      </c>
      <c r="U1127">
        <v>0</v>
      </c>
      <c r="V1127">
        <v>0</v>
      </c>
      <c r="W1127">
        <v>0</v>
      </c>
      <c r="X1127">
        <v>0</v>
      </c>
      <c r="Y1127">
        <v>0</v>
      </c>
      <c r="Z1127">
        <v>0</v>
      </c>
      <c r="AA1127">
        <v>0</v>
      </c>
      <c r="AB1127">
        <v>0</v>
      </c>
      <c r="AC1127">
        <v>0</v>
      </c>
      <c r="AD1127">
        <v>0</v>
      </c>
      <c r="AE1127">
        <v>0</v>
      </c>
      <c r="AF1127">
        <v>0</v>
      </c>
      <c r="AG1127">
        <v>0</v>
      </c>
      <c r="AH1127">
        <v>0</v>
      </c>
      <c r="AI1127">
        <v>0</v>
      </c>
      <c r="AJ1127">
        <v>0</v>
      </c>
      <c r="AK1127">
        <v>0</v>
      </c>
      <c r="AL1127">
        <v>0</v>
      </c>
      <c r="AM1127">
        <v>0</v>
      </c>
    </row>
    <row r="1128" spans="1:39" x14ac:dyDescent="0.35">
      <c r="A1128" t="s">
        <v>174</v>
      </c>
      <c r="B1128" t="s">
        <v>310</v>
      </c>
      <c r="C1128" t="s">
        <v>176</v>
      </c>
      <c r="D1128" t="s">
        <v>315</v>
      </c>
      <c r="E1128" t="s">
        <v>540</v>
      </c>
      <c r="F1128" t="s">
        <v>1202</v>
      </c>
      <c r="G1128" t="s">
        <v>1460</v>
      </c>
      <c r="H1128" t="s">
        <v>67</v>
      </c>
      <c r="I1128">
        <v>0</v>
      </c>
      <c r="J1128">
        <v>0</v>
      </c>
      <c r="K1128">
        <v>0</v>
      </c>
      <c r="L1128">
        <v>0</v>
      </c>
      <c r="M1128">
        <v>0</v>
      </c>
      <c r="N1128">
        <v>0</v>
      </c>
      <c r="O1128">
        <v>0</v>
      </c>
      <c r="P1128">
        <v>0</v>
      </c>
      <c r="Q1128">
        <v>0</v>
      </c>
      <c r="R1128">
        <v>0</v>
      </c>
      <c r="S1128">
        <v>0</v>
      </c>
      <c r="T1128">
        <v>0</v>
      </c>
      <c r="U1128">
        <v>0</v>
      </c>
      <c r="V1128">
        <v>0</v>
      </c>
      <c r="W1128">
        <v>0</v>
      </c>
      <c r="X1128">
        <v>0</v>
      </c>
      <c r="Y1128">
        <v>0</v>
      </c>
      <c r="Z1128">
        <v>0</v>
      </c>
      <c r="AA1128">
        <v>0</v>
      </c>
      <c r="AB1128">
        <v>0</v>
      </c>
      <c r="AC1128">
        <v>0</v>
      </c>
      <c r="AD1128">
        <v>0</v>
      </c>
      <c r="AE1128">
        <v>0</v>
      </c>
      <c r="AF1128">
        <v>0</v>
      </c>
      <c r="AG1128">
        <v>0</v>
      </c>
      <c r="AH1128">
        <v>0</v>
      </c>
      <c r="AI1128">
        <v>0</v>
      </c>
      <c r="AJ1128">
        <v>0</v>
      </c>
      <c r="AK1128">
        <v>0</v>
      </c>
      <c r="AL1128">
        <v>0</v>
      </c>
      <c r="AM1128">
        <v>0</v>
      </c>
    </row>
    <row r="1129" spans="1:39" x14ac:dyDescent="0.35">
      <c r="A1129" t="s">
        <v>174</v>
      </c>
      <c r="B1129" t="s">
        <v>310</v>
      </c>
      <c r="C1129" t="s">
        <v>176</v>
      </c>
      <c r="D1129" t="s">
        <v>315</v>
      </c>
      <c r="E1129" t="s">
        <v>496</v>
      </c>
      <c r="F1129" t="s">
        <v>1202</v>
      </c>
      <c r="G1129" t="s">
        <v>1215</v>
      </c>
      <c r="H1129" t="s">
        <v>35</v>
      </c>
      <c r="I1129">
        <v>0</v>
      </c>
      <c r="J1129">
        <v>0</v>
      </c>
      <c r="K1129">
        <v>0</v>
      </c>
      <c r="L1129">
        <v>0</v>
      </c>
      <c r="M1129">
        <v>0</v>
      </c>
      <c r="N1129">
        <v>0</v>
      </c>
      <c r="O1129">
        <v>0</v>
      </c>
      <c r="P1129">
        <v>0</v>
      </c>
      <c r="Q1129">
        <v>0</v>
      </c>
      <c r="R1129">
        <v>0</v>
      </c>
      <c r="S1129">
        <v>0</v>
      </c>
      <c r="T1129">
        <v>0</v>
      </c>
      <c r="U1129">
        <v>0</v>
      </c>
      <c r="V1129">
        <v>0</v>
      </c>
      <c r="W1129">
        <v>0</v>
      </c>
      <c r="X1129">
        <v>0</v>
      </c>
      <c r="Y1129">
        <v>0</v>
      </c>
      <c r="Z1129">
        <v>0</v>
      </c>
      <c r="AA1129">
        <v>0</v>
      </c>
      <c r="AB1129">
        <v>0</v>
      </c>
      <c r="AC1129">
        <v>0</v>
      </c>
      <c r="AD1129">
        <v>0</v>
      </c>
      <c r="AE1129">
        <v>0</v>
      </c>
      <c r="AF1129">
        <v>0</v>
      </c>
      <c r="AG1129">
        <v>0</v>
      </c>
      <c r="AH1129">
        <v>0</v>
      </c>
      <c r="AI1129">
        <v>0</v>
      </c>
      <c r="AJ1129">
        <v>0</v>
      </c>
      <c r="AK1129">
        <v>0</v>
      </c>
      <c r="AL1129">
        <v>0</v>
      </c>
      <c r="AM1129">
        <v>0</v>
      </c>
    </row>
    <row r="1130" spans="1:39" x14ac:dyDescent="0.35">
      <c r="A1130" t="s">
        <v>174</v>
      </c>
      <c r="B1130" t="s">
        <v>310</v>
      </c>
      <c r="C1130" t="s">
        <v>176</v>
      </c>
      <c r="D1130" t="s">
        <v>315</v>
      </c>
      <c r="E1130" t="s">
        <v>1195</v>
      </c>
      <c r="F1130" t="s">
        <v>1202</v>
      </c>
      <c r="G1130" t="s">
        <v>1216</v>
      </c>
      <c r="H1130" t="s">
        <v>35</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c r="AI1130">
        <v>0</v>
      </c>
      <c r="AJ1130">
        <v>0</v>
      </c>
      <c r="AK1130">
        <v>0</v>
      </c>
      <c r="AL1130">
        <v>0</v>
      </c>
      <c r="AM1130">
        <v>0</v>
      </c>
    </row>
    <row r="1131" spans="1:39" x14ac:dyDescent="0.35">
      <c r="A1131" t="s">
        <v>174</v>
      </c>
      <c r="B1131" t="s">
        <v>310</v>
      </c>
      <c r="C1131" t="s">
        <v>176</v>
      </c>
      <c r="D1131" t="s">
        <v>315</v>
      </c>
      <c r="E1131" t="s">
        <v>511</v>
      </c>
      <c r="F1131" t="s">
        <v>1202</v>
      </c>
      <c r="G1131" t="s">
        <v>1461</v>
      </c>
      <c r="H1131" t="s">
        <v>35</v>
      </c>
      <c r="I1131">
        <v>0</v>
      </c>
      <c r="J1131">
        <v>0</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c r="AI1131">
        <v>0</v>
      </c>
      <c r="AJ1131">
        <v>0</v>
      </c>
      <c r="AK1131">
        <v>0</v>
      </c>
      <c r="AL1131">
        <v>0</v>
      </c>
      <c r="AM1131">
        <v>0</v>
      </c>
    </row>
    <row r="1132" spans="1:39" x14ac:dyDescent="0.35">
      <c r="A1132" t="s">
        <v>174</v>
      </c>
      <c r="B1132" t="s">
        <v>310</v>
      </c>
      <c r="C1132" t="s">
        <v>176</v>
      </c>
      <c r="D1132" t="s">
        <v>315</v>
      </c>
      <c r="E1132" t="s">
        <v>509</v>
      </c>
      <c r="F1132" t="s">
        <v>1202</v>
      </c>
      <c r="G1132" t="s">
        <v>1217</v>
      </c>
      <c r="H1132" t="s">
        <v>35</v>
      </c>
      <c r="I1132">
        <v>0</v>
      </c>
      <c r="J1132">
        <v>0</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c r="AI1132">
        <v>0</v>
      </c>
      <c r="AJ1132">
        <v>0</v>
      </c>
      <c r="AK1132">
        <v>0</v>
      </c>
      <c r="AL1132">
        <v>0</v>
      </c>
      <c r="AM1132">
        <v>0</v>
      </c>
    </row>
    <row r="1133" spans="1:39" x14ac:dyDescent="0.35">
      <c r="A1133" t="s">
        <v>174</v>
      </c>
      <c r="B1133" t="s">
        <v>310</v>
      </c>
      <c r="C1133" t="s">
        <v>176</v>
      </c>
      <c r="D1133" t="s">
        <v>315</v>
      </c>
      <c r="E1133" t="s">
        <v>1345</v>
      </c>
      <c r="F1133" t="s">
        <v>1202</v>
      </c>
      <c r="G1133" t="s">
        <v>1404</v>
      </c>
      <c r="H1133" t="s">
        <v>35</v>
      </c>
      <c r="I1133">
        <v>0</v>
      </c>
      <c r="J1133">
        <v>0</v>
      </c>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c r="AI1133">
        <v>0</v>
      </c>
      <c r="AJ1133">
        <v>0</v>
      </c>
      <c r="AK1133">
        <v>0</v>
      </c>
      <c r="AL1133">
        <v>0</v>
      </c>
      <c r="AM1133">
        <v>0</v>
      </c>
    </row>
    <row r="1134" spans="1:39" x14ac:dyDescent="0.35">
      <c r="A1134" t="s">
        <v>174</v>
      </c>
      <c r="B1134" t="s">
        <v>310</v>
      </c>
      <c r="C1134" t="s">
        <v>176</v>
      </c>
      <c r="D1134" t="s">
        <v>315</v>
      </c>
      <c r="E1134" t="s">
        <v>1344</v>
      </c>
      <c r="F1134" t="s">
        <v>1202</v>
      </c>
      <c r="G1134" t="s">
        <v>1405</v>
      </c>
      <c r="H1134" t="s">
        <v>35</v>
      </c>
      <c r="I1134">
        <v>0</v>
      </c>
      <c r="J1134">
        <v>0</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c r="AI1134">
        <v>0</v>
      </c>
      <c r="AJ1134">
        <v>0</v>
      </c>
      <c r="AK1134">
        <v>0</v>
      </c>
      <c r="AL1134">
        <v>0</v>
      </c>
      <c r="AM1134">
        <v>0</v>
      </c>
    </row>
    <row r="1135" spans="1:39" x14ac:dyDescent="0.35">
      <c r="A1135" t="s">
        <v>174</v>
      </c>
      <c r="B1135" t="s">
        <v>310</v>
      </c>
      <c r="C1135" t="s">
        <v>176</v>
      </c>
      <c r="D1135" t="s">
        <v>315</v>
      </c>
      <c r="E1135" t="s">
        <v>1343</v>
      </c>
      <c r="F1135" t="s">
        <v>1202</v>
      </c>
      <c r="G1135" t="s">
        <v>1406</v>
      </c>
      <c r="H1135" t="s">
        <v>35</v>
      </c>
      <c r="I1135">
        <v>0</v>
      </c>
      <c r="J1135">
        <v>0</v>
      </c>
      <c r="K1135">
        <v>0</v>
      </c>
      <c r="L1135">
        <v>0</v>
      </c>
      <c r="M1135">
        <v>0</v>
      </c>
      <c r="N1135">
        <v>0</v>
      </c>
      <c r="O1135">
        <v>0</v>
      </c>
      <c r="P1135">
        <v>0</v>
      </c>
      <c r="Q1135">
        <v>0</v>
      </c>
      <c r="R1135">
        <v>0</v>
      </c>
      <c r="S1135">
        <v>0</v>
      </c>
      <c r="T1135">
        <v>0</v>
      </c>
      <c r="U1135">
        <v>0</v>
      </c>
      <c r="V1135">
        <v>0</v>
      </c>
      <c r="W1135">
        <v>0</v>
      </c>
      <c r="X1135">
        <v>0</v>
      </c>
      <c r="Y1135">
        <v>0</v>
      </c>
      <c r="Z1135">
        <v>0</v>
      </c>
      <c r="AA1135">
        <v>0</v>
      </c>
      <c r="AB1135">
        <v>0</v>
      </c>
      <c r="AC1135">
        <v>0</v>
      </c>
      <c r="AD1135">
        <v>0</v>
      </c>
      <c r="AE1135">
        <v>0</v>
      </c>
      <c r="AF1135">
        <v>0</v>
      </c>
      <c r="AG1135">
        <v>0</v>
      </c>
      <c r="AH1135">
        <v>0</v>
      </c>
      <c r="AI1135">
        <v>0</v>
      </c>
      <c r="AJ1135">
        <v>0</v>
      </c>
      <c r="AK1135">
        <v>0</v>
      </c>
      <c r="AL1135">
        <v>0</v>
      </c>
      <c r="AM1135">
        <v>0</v>
      </c>
    </row>
    <row r="1136" spans="1:39" x14ac:dyDescent="0.35">
      <c r="A1136" t="s">
        <v>174</v>
      </c>
      <c r="B1136" t="s">
        <v>310</v>
      </c>
      <c r="C1136" t="s">
        <v>176</v>
      </c>
      <c r="D1136" t="s">
        <v>315</v>
      </c>
      <c r="E1136" t="s">
        <v>1196</v>
      </c>
      <c r="F1136" t="s">
        <v>1202</v>
      </c>
      <c r="G1136" t="s">
        <v>1218</v>
      </c>
      <c r="H1136" t="s">
        <v>35</v>
      </c>
      <c r="I1136">
        <v>0</v>
      </c>
      <c r="J1136">
        <v>0</v>
      </c>
      <c r="K1136">
        <v>0</v>
      </c>
      <c r="L1136">
        <v>0</v>
      </c>
      <c r="M1136">
        <v>0</v>
      </c>
      <c r="N1136">
        <v>0</v>
      </c>
      <c r="O1136">
        <v>0</v>
      </c>
      <c r="P1136">
        <v>0</v>
      </c>
      <c r="Q1136">
        <v>0</v>
      </c>
      <c r="R1136">
        <v>0</v>
      </c>
      <c r="S1136">
        <v>0</v>
      </c>
      <c r="T1136">
        <v>0</v>
      </c>
      <c r="U1136">
        <v>0</v>
      </c>
      <c r="V1136">
        <v>0</v>
      </c>
      <c r="W1136">
        <v>0</v>
      </c>
      <c r="X1136">
        <v>0</v>
      </c>
      <c r="Y1136">
        <v>0</v>
      </c>
      <c r="Z1136">
        <v>0</v>
      </c>
      <c r="AA1136">
        <v>0</v>
      </c>
      <c r="AB1136">
        <v>0</v>
      </c>
      <c r="AC1136">
        <v>0</v>
      </c>
      <c r="AD1136">
        <v>0</v>
      </c>
      <c r="AE1136">
        <v>0</v>
      </c>
      <c r="AF1136">
        <v>0</v>
      </c>
      <c r="AG1136">
        <v>0</v>
      </c>
      <c r="AH1136">
        <v>0</v>
      </c>
      <c r="AI1136">
        <v>0</v>
      </c>
      <c r="AJ1136">
        <v>0</v>
      </c>
      <c r="AK1136">
        <v>0</v>
      </c>
      <c r="AL1136">
        <v>0</v>
      </c>
      <c r="AM1136">
        <v>0</v>
      </c>
    </row>
    <row r="1137" spans="1:39" x14ac:dyDescent="0.35">
      <c r="A1137" t="s">
        <v>174</v>
      </c>
      <c r="B1137" t="s">
        <v>310</v>
      </c>
      <c r="C1137" t="s">
        <v>176</v>
      </c>
      <c r="D1137" t="s">
        <v>315</v>
      </c>
      <c r="E1137" t="s">
        <v>1194</v>
      </c>
      <c r="F1137" t="s">
        <v>1202</v>
      </c>
      <c r="G1137" t="s">
        <v>1219</v>
      </c>
      <c r="H1137" t="s">
        <v>35</v>
      </c>
      <c r="I1137">
        <v>0</v>
      </c>
      <c r="J1137">
        <v>0</v>
      </c>
      <c r="K1137">
        <v>0</v>
      </c>
      <c r="L1137">
        <v>0</v>
      </c>
      <c r="M1137">
        <v>0</v>
      </c>
      <c r="N1137">
        <v>0</v>
      </c>
      <c r="O1137">
        <v>0</v>
      </c>
      <c r="P1137">
        <v>0</v>
      </c>
      <c r="Q1137">
        <v>0</v>
      </c>
      <c r="R1137">
        <v>0</v>
      </c>
      <c r="S1137">
        <v>0</v>
      </c>
      <c r="T1137">
        <v>0</v>
      </c>
      <c r="U1137">
        <v>0</v>
      </c>
      <c r="V1137">
        <v>0</v>
      </c>
      <c r="W1137">
        <v>0</v>
      </c>
      <c r="X1137">
        <v>0</v>
      </c>
      <c r="Y1137">
        <v>0</v>
      </c>
      <c r="Z1137">
        <v>0</v>
      </c>
      <c r="AA1137">
        <v>0</v>
      </c>
      <c r="AB1137">
        <v>0</v>
      </c>
      <c r="AC1137">
        <v>0</v>
      </c>
      <c r="AD1137">
        <v>0</v>
      </c>
      <c r="AE1137">
        <v>0</v>
      </c>
      <c r="AF1137">
        <v>0</v>
      </c>
      <c r="AG1137">
        <v>0</v>
      </c>
      <c r="AH1137">
        <v>0</v>
      </c>
      <c r="AI1137">
        <v>0</v>
      </c>
      <c r="AJ1137">
        <v>0</v>
      </c>
      <c r="AK1137">
        <v>0</v>
      </c>
      <c r="AL1137">
        <v>0</v>
      </c>
      <c r="AM1137">
        <v>0</v>
      </c>
    </row>
    <row r="1138" spans="1:39" x14ac:dyDescent="0.35">
      <c r="A1138" t="s">
        <v>174</v>
      </c>
      <c r="B1138" t="s">
        <v>310</v>
      </c>
      <c r="C1138" t="s">
        <v>176</v>
      </c>
      <c r="D1138" t="s">
        <v>315</v>
      </c>
      <c r="E1138" t="s">
        <v>2</v>
      </c>
      <c r="F1138" t="s">
        <v>1202</v>
      </c>
      <c r="G1138" t="s">
        <v>1220</v>
      </c>
      <c r="H1138" t="s">
        <v>35</v>
      </c>
      <c r="I1138">
        <v>0</v>
      </c>
      <c r="J1138">
        <v>0</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c r="AI1138">
        <v>0</v>
      </c>
      <c r="AJ1138">
        <v>0</v>
      </c>
      <c r="AK1138">
        <v>0</v>
      </c>
      <c r="AL1138">
        <v>0</v>
      </c>
      <c r="AM1138">
        <v>0</v>
      </c>
    </row>
    <row r="1139" spans="1:39" x14ac:dyDescent="0.35">
      <c r="A1139" t="s">
        <v>174</v>
      </c>
      <c r="B1139" t="s">
        <v>310</v>
      </c>
      <c r="C1139" t="s">
        <v>176</v>
      </c>
      <c r="D1139" t="s">
        <v>315</v>
      </c>
      <c r="E1139" t="s">
        <v>353</v>
      </c>
      <c r="F1139" t="s">
        <v>1202</v>
      </c>
      <c r="G1139" t="s">
        <v>1221</v>
      </c>
      <c r="H1139" t="s">
        <v>35</v>
      </c>
      <c r="I1139">
        <v>0</v>
      </c>
      <c r="J1139">
        <v>0</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c r="AG1139">
        <v>0</v>
      </c>
      <c r="AH1139">
        <v>0</v>
      </c>
      <c r="AI1139">
        <v>0</v>
      </c>
      <c r="AJ1139">
        <v>0</v>
      </c>
      <c r="AK1139">
        <v>0</v>
      </c>
      <c r="AL1139">
        <v>0</v>
      </c>
      <c r="AM1139">
        <v>0</v>
      </c>
    </row>
    <row r="1140" spans="1:39" x14ac:dyDescent="0.35">
      <c r="A1140" t="s">
        <v>174</v>
      </c>
      <c r="B1140" t="s">
        <v>310</v>
      </c>
      <c r="C1140" t="s">
        <v>176</v>
      </c>
      <c r="D1140" t="s">
        <v>315</v>
      </c>
      <c r="E1140" t="s">
        <v>352</v>
      </c>
      <c r="F1140" t="s">
        <v>1202</v>
      </c>
      <c r="G1140" t="s">
        <v>1222</v>
      </c>
      <c r="H1140" t="s">
        <v>68</v>
      </c>
      <c r="I1140">
        <v>0</v>
      </c>
      <c r="J1140">
        <v>0</v>
      </c>
      <c r="K1140">
        <v>0</v>
      </c>
      <c r="L1140">
        <v>0</v>
      </c>
      <c r="M1140">
        <v>0</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v>0</v>
      </c>
      <c r="AG1140">
        <v>0</v>
      </c>
      <c r="AH1140">
        <v>0</v>
      </c>
      <c r="AI1140">
        <v>0</v>
      </c>
      <c r="AJ1140">
        <v>0</v>
      </c>
      <c r="AK1140">
        <v>0</v>
      </c>
      <c r="AL1140">
        <v>0</v>
      </c>
      <c r="AM1140">
        <v>0</v>
      </c>
    </row>
    <row r="1141" spans="1:39" x14ac:dyDescent="0.35">
      <c r="A1141" t="s">
        <v>174</v>
      </c>
      <c r="B1141" t="s">
        <v>310</v>
      </c>
      <c r="C1141" t="s">
        <v>176</v>
      </c>
      <c r="D1141" t="s">
        <v>315</v>
      </c>
      <c r="E1141" t="s">
        <v>1346</v>
      </c>
      <c r="F1141" t="s">
        <v>1202</v>
      </c>
      <c r="G1141" t="s">
        <v>1407</v>
      </c>
      <c r="H1141" t="s">
        <v>35</v>
      </c>
      <c r="I1141">
        <v>0</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c r="AI1141">
        <v>0</v>
      </c>
      <c r="AJ1141">
        <v>0</v>
      </c>
      <c r="AK1141">
        <v>0</v>
      </c>
      <c r="AL1141">
        <v>0</v>
      </c>
      <c r="AM1141">
        <v>0</v>
      </c>
    </row>
    <row r="1142" spans="1:39" x14ac:dyDescent="0.35">
      <c r="A1142" t="s">
        <v>174</v>
      </c>
      <c r="B1142" t="s">
        <v>310</v>
      </c>
      <c r="C1142" t="s">
        <v>176</v>
      </c>
      <c r="D1142" t="s">
        <v>315</v>
      </c>
      <c r="E1142" t="s">
        <v>497</v>
      </c>
      <c r="F1142" t="s">
        <v>1202</v>
      </c>
      <c r="G1142" t="s">
        <v>1223</v>
      </c>
      <c r="H1142" t="s">
        <v>35</v>
      </c>
      <c r="I1142">
        <v>0</v>
      </c>
      <c r="J1142">
        <v>0</v>
      </c>
      <c r="K1142">
        <v>0</v>
      </c>
      <c r="L1142">
        <v>0</v>
      </c>
      <c r="M1142">
        <v>0</v>
      </c>
      <c r="N1142">
        <v>0</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c r="AI1142">
        <v>0</v>
      </c>
      <c r="AJ1142">
        <v>0</v>
      </c>
      <c r="AK1142">
        <v>0</v>
      </c>
      <c r="AL1142">
        <v>0</v>
      </c>
      <c r="AM1142">
        <v>0</v>
      </c>
    </row>
    <row r="1143" spans="1:39" x14ac:dyDescent="0.35">
      <c r="A1143" t="s">
        <v>174</v>
      </c>
      <c r="B1143" t="s">
        <v>310</v>
      </c>
      <c r="C1143" t="s">
        <v>176</v>
      </c>
      <c r="D1143" t="s">
        <v>315</v>
      </c>
      <c r="E1143" t="s">
        <v>1306</v>
      </c>
      <c r="F1143" t="s">
        <v>1202</v>
      </c>
      <c r="G1143" t="s">
        <v>1308</v>
      </c>
      <c r="H1143" t="s">
        <v>35</v>
      </c>
      <c r="I1143">
        <v>0</v>
      </c>
      <c r="J1143">
        <v>0</v>
      </c>
      <c r="K1143">
        <v>0</v>
      </c>
      <c r="L1143">
        <v>0</v>
      </c>
      <c r="M1143">
        <v>0</v>
      </c>
      <c r="N1143">
        <v>0</v>
      </c>
      <c r="O1143">
        <v>0</v>
      </c>
      <c r="P1143">
        <v>0</v>
      </c>
      <c r="Q1143">
        <v>0</v>
      </c>
      <c r="R1143">
        <v>0</v>
      </c>
      <c r="S1143">
        <v>0</v>
      </c>
      <c r="T1143">
        <v>0</v>
      </c>
      <c r="U1143">
        <v>0</v>
      </c>
      <c r="V1143">
        <v>0</v>
      </c>
      <c r="W1143">
        <v>0</v>
      </c>
      <c r="X1143">
        <v>0</v>
      </c>
      <c r="Y1143">
        <v>0</v>
      </c>
      <c r="Z1143">
        <v>0</v>
      </c>
      <c r="AA1143">
        <v>0</v>
      </c>
      <c r="AB1143">
        <v>0</v>
      </c>
      <c r="AC1143">
        <v>0</v>
      </c>
      <c r="AD1143">
        <v>0</v>
      </c>
      <c r="AE1143">
        <v>0</v>
      </c>
      <c r="AF1143">
        <v>0</v>
      </c>
      <c r="AG1143">
        <v>0</v>
      </c>
      <c r="AH1143">
        <v>0</v>
      </c>
      <c r="AI1143">
        <v>0</v>
      </c>
      <c r="AJ1143">
        <v>0</v>
      </c>
      <c r="AK1143">
        <v>0</v>
      </c>
      <c r="AL1143">
        <v>0</v>
      </c>
      <c r="AM1143">
        <v>0</v>
      </c>
    </row>
    <row r="1144" spans="1:39" x14ac:dyDescent="0.35">
      <c r="A1144" t="s">
        <v>174</v>
      </c>
      <c r="B1144" t="s">
        <v>310</v>
      </c>
      <c r="C1144" t="s">
        <v>176</v>
      </c>
      <c r="D1144" t="s">
        <v>315</v>
      </c>
      <c r="E1144" t="s">
        <v>349</v>
      </c>
      <c r="F1144" t="s">
        <v>1202</v>
      </c>
      <c r="G1144" t="s">
        <v>1224</v>
      </c>
      <c r="H1144" t="s">
        <v>35</v>
      </c>
      <c r="I1144">
        <v>0</v>
      </c>
      <c r="J1144">
        <v>0</v>
      </c>
      <c r="K1144">
        <v>0</v>
      </c>
      <c r="L1144">
        <v>0</v>
      </c>
      <c r="M1144">
        <v>0</v>
      </c>
      <c r="N1144">
        <v>0</v>
      </c>
      <c r="O1144">
        <v>0</v>
      </c>
      <c r="P1144">
        <v>0</v>
      </c>
      <c r="Q1144">
        <v>0</v>
      </c>
      <c r="R1144">
        <v>0</v>
      </c>
      <c r="S1144">
        <v>0</v>
      </c>
      <c r="T1144">
        <v>0</v>
      </c>
      <c r="U1144">
        <v>0</v>
      </c>
      <c r="V1144">
        <v>0</v>
      </c>
      <c r="W1144">
        <v>0</v>
      </c>
      <c r="X1144">
        <v>0</v>
      </c>
      <c r="Y1144">
        <v>0</v>
      </c>
      <c r="Z1144">
        <v>0</v>
      </c>
      <c r="AA1144">
        <v>0</v>
      </c>
      <c r="AB1144">
        <v>0</v>
      </c>
      <c r="AC1144">
        <v>0</v>
      </c>
      <c r="AD1144">
        <v>0</v>
      </c>
      <c r="AE1144">
        <v>0</v>
      </c>
      <c r="AF1144">
        <v>0</v>
      </c>
      <c r="AG1144">
        <v>0</v>
      </c>
      <c r="AH1144">
        <v>0</v>
      </c>
      <c r="AI1144">
        <v>0</v>
      </c>
      <c r="AJ1144">
        <v>0</v>
      </c>
      <c r="AK1144">
        <v>0</v>
      </c>
      <c r="AL1144">
        <v>0</v>
      </c>
      <c r="AM1144">
        <v>0</v>
      </c>
    </row>
    <row r="1145" spans="1:39" x14ac:dyDescent="0.35">
      <c r="A1145" t="s">
        <v>174</v>
      </c>
      <c r="B1145" t="s">
        <v>310</v>
      </c>
      <c r="C1145" t="s">
        <v>176</v>
      </c>
      <c r="D1145" t="s">
        <v>315</v>
      </c>
      <c r="E1145" t="s">
        <v>985</v>
      </c>
      <c r="F1145" t="s">
        <v>1202</v>
      </c>
      <c r="G1145" t="s">
        <v>1225</v>
      </c>
      <c r="H1145" t="s">
        <v>35</v>
      </c>
      <c r="I1145">
        <v>0</v>
      </c>
      <c r="J1145">
        <v>0</v>
      </c>
      <c r="K1145">
        <v>0</v>
      </c>
      <c r="L1145">
        <v>0</v>
      </c>
      <c r="M1145">
        <v>0</v>
      </c>
      <c r="N1145">
        <v>0</v>
      </c>
      <c r="O1145">
        <v>0</v>
      </c>
      <c r="P1145">
        <v>0</v>
      </c>
      <c r="Q1145">
        <v>0</v>
      </c>
      <c r="R1145">
        <v>0</v>
      </c>
      <c r="S1145">
        <v>0</v>
      </c>
      <c r="T1145">
        <v>0</v>
      </c>
      <c r="U1145">
        <v>0</v>
      </c>
      <c r="V1145">
        <v>0</v>
      </c>
      <c r="W1145">
        <v>0</v>
      </c>
      <c r="X1145">
        <v>0</v>
      </c>
      <c r="Y1145">
        <v>0</v>
      </c>
      <c r="Z1145">
        <v>0</v>
      </c>
      <c r="AA1145">
        <v>0</v>
      </c>
      <c r="AB1145">
        <v>0</v>
      </c>
      <c r="AC1145">
        <v>0</v>
      </c>
      <c r="AD1145">
        <v>0</v>
      </c>
      <c r="AE1145">
        <v>0</v>
      </c>
      <c r="AF1145">
        <v>0</v>
      </c>
      <c r="AG1145">
        <v>0</v>
      </c>
      <c r="AH1145">
        <v>0</v>
      </c>
      <c r="AI1145">
        <v>0</v>
      </c>
      <c r="AJ1145">
        <v>0</v>
      </c>
      <c r="AK1145">
        <v>0</v>
      </c>
      <c r="AL1145">
        <v>0</v>
      </c>
      <c r="AM1145">
        <v>0</v>
      </c>
    </row>
    <row r="1146" spans="1:39" x14ac:dyDescent="0.35">
      <c r="A1146" t="s">
        <v>174</v>
      </c>
      <c r="B1146" t="s">
        <v>310</v>
      </c>
      <c r="C1146" t="s">
        <v>176</v>
      </c>
      <c r="D1146" t="s">
        <v>315</v>
      </c>
      <c r="E1146" t="s">
        <v>355</v>
      </c>
      <c r="F1146" t="s">
        <v>1202</v>
      </c>
      <c r="G1146" t="s">
        <v>1226</v>
      </c>
      <c r="H1146" t="s">
        <v>35</v>
      </c>
      <c r="I1146">
        <v>0</v>
      </c>
      <c r="J1146">
        <v>0</v>
      </c>
      <c r="K1146">
        <v>0</v>
      </c>
      <c r="L1146">
        <v>0</v>
      </c>
      <c r="M1146">
        <v>0</v>
      </c>
      <c r="N1146">
        <v>0</v>
      </c>
      <c r="O1146">
        <v>0</v>
      </c>
      <c r="P1146">
        <v>0</v>
      </c>
      <c r="Q1146">
        <v>0</v>
      </c>
      <c r="R1146">
        <v>0</v>
      </c>
      <c r="S1146">
        <v>0</v>
      </c>
      <c r="T1146">
        <v>0</v>
      </c>
      <c r="U1146">
        <v>0</v>
      </c>
      <c r="V1146">
        <v>0</v>
      </c>
      <c r="W1146">
        <v>0</v>
      </c>
      <c r="X1146">
        <v>0</v>
      </c>
      <c r="Y1146">
        <v>0</v>
      </c>
      <c r="Z1146">
        <v>0</v>
      </c>
      <c r="AA1146">
        <v>0</v>
      </c>
      <c r="AB1146">
        <v>0</v>
      </c>
      <c r="AC1146">
        <v>0</v>
      </c>
      <c r="AD1146">
        <v>0</v>
      </c>
      <c r="AE1146">
        <v>0</v>
      </c>
      <c r="AF1146">
        <v>0</v>
      </c>
      <c r="AG1146">
        <v>0</v>
      </c>
      <c r="AH1146">
        <v>0</v>
      </c>
      <c r="AI1146">
        <v>0</v>
      </c>
      <c r="AJ1146">
        <v>0</v>
      </c>
      <c r="AK1146">
        <v>0</v>
      </c>
      <c r="AL1146">
        <v>0</v>
      </c>
      <c r="AM1146">
        <v>0</v>
      </c>
    </row>
    <row r="1147" spans="1:39" x14ac:dyDescent="0.35">
      <c r="A1147" t="s">
        <v>174</v>
      </c>
      <c r="B1147" t="s">
        <v>310</v>
      </c>
      <c r="C1147" t="s">
        <v>176</v>
      </c>
      <c r="D1147" t="s">
        <v>315</v>
      </c>
      <c r="E1147" t="s">
        <v>1339</v>
      </c>
      <c r="F1147" t="s">
        <v>1202</v>
      </c>
      <c r="G1147" t="s">
        <v>1408</v>
      </c>
      <c r="H1147" t="s">
        <v>35</v>
      </c>
      <c r="I1147">
        <v>0</v>
      </c>
      <c r="J1147">
        <v>0</v>
      </c>
      <c r="K1147">
        <v>0</v>
      </c>
      <c r="L1147">
        <v>0</v>
      </c>
      <c r="M1147">
        <v>0</v>
      </c>
      <c r="N1147">
        <v>0</v>
      </c>
      <c r="O1147">
        <v>0</v>
      </c>
      <c r="P1147">
        <v>0</v>
      </c>
      <c r="Q1147">
        <v>0</v>
      </c>
      <c r="R1147">
        <v>0</v>
      </c>
      <c r="S1147">
        <v>0</v>
      </c>
      <c r="T1147">
        <v>0</v>
      </c>
      <c r="U1147">
        <v>0</v>
      </c>
      <c r="V1147">
        <v>0</v>
      </c>
      <c r="W1147">
        <v>0</v>
      </c>
      <c r="X1147">
        <v>0</v>
      </c>
      <c r="Y1147">
        <v>0</v>
      </c>
      <c r="Z1147">
        <v>0</v>
      </c>
      <c r="AA1147">
        <v>0</v>
      </c>
      <c r="AB1147">
        <v>0</v>
      </c>
      <c r="AC1147">
        <v>0</v>
      </c>
      <c r="AD1147">
        <v>0</v>
      </c>
      <c r="AE1147">
        <v>0</v>
      </c>
      <c r="AF1147">
        <v>0</v>
      </c>
      <c r="AG1147">
        <v>0</v>
      </c>
      <c r="AH1147">
        <v>0</v>
      </c>
      <c r="AI1147">
        <v>0</v>
      </c>
      <c r="AJ1147">
        <v>0</v>
      </c>
      <c r="AK1147">
        <v>0</v>
      </c>
      <c r="AL1147">
        <v>0</v>
      </c>
      <c r="AM1147">
        <v>0</v>
      </c>
    </row>
    <row r="1148" spans="1:39" x14ac:dyDescent="0.35">
      <c r="A1148" t="s">
        <v>174</v>
      </c>
      <c r="B1148" t="s">
        <v>310</v>
      </c>
      <c r="C1148" t="s">
        <v>176</v>
      </c>
      <c r="D1148" t="s">
        <v>315</v>
      </c>
      <c r="E1148" t="s">
        <v>1348</v>
      </c>
      <c r="F1148" t="s">
        <v>1202</v>
      </c>
      <c r="G1148" t="s">
        <v>1409</v>
      </c>
      <c r="H1148" t="s">
        <v>35</v>
      </c>
      <c r="I1148">
        <v>0</v>
      </c>
      <c r="J1148">
        <v>0</v>
      </c>
      <c r="K1148">
        <v>0</v>
      </c>
      <c r="L1148">
        <v>0</v>
      </c>
      <c r="M1148">
        <v>0</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c r="AI1148">
        <v>0</v>
      </c>
      <c r="AJ1148">
        <v>0</v>
      </c>
      <c r="AK1148">
        <v>0</v>
      </c>
      <c r="AL1148">
        <v>0</v>
      </c>
      <c r="AM1148">
        <v>0</v>
      </c>
    </row>
    <row r="1149" spans="1:39" x14ac:dyDescent="0.35">
      <c r="A1149" t="s">
        <v>174</v>
      </c>
      <c r="B1149" t="s">
        <v>310</v>
      </c>
      <c r="C1149" t="s">
        <v>176</v>
      </c>
      <c r="D1149" t="s">
        <v>315</v>
      </c>
      <c r="E1149" t="s">
        <v>354</v>
      </c>
      <c r="F1149" t="s">
        <v>1202</v>
      </c>
      <c r="G1149" t="s">
        <v>1227</v>
      </c>
      <c r="H1149" t="s">
        <v>35</v>
      </c>
      <c r="I1149">
        <v>0</v>
      </c>
      <c r="J1149">
        <v>0</v>
      </c>
      <c r="K1149">
        <v>0</v>
      </c>
      <c r="L1149">
        <v>0</v>
      </c>
      <c r="M1149">
        <v>0</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0</v>
      </c>
      <c r="AI1149">
        <v>0</v>
      </c>
      <c r="AJ1149">
        <v>0</v>
      </c>
      <c r="AK1149">
        <v>0</v>
      </c>
      <c r="AL1149">
        <v>0</v>
      </c>
      <c r="AM1149">
        <v>0</v>
      </c>
    </row>
    <row r="1150" spans="1:39" x14ac:dyDescent="0.35">
      <c r="A1150" t="s">
        <v>174</v>
      </c>
      <c r="B1150" t="s">
        <v>310</v>
      </c>
      <c r="C1150" t="s">
        <v>176</v>
      </c>
      <c r="D1150" t="s">
        <v>315</v>
      </c>
      <c r="E1150" t="s">
        <v>19</v>
      </c>
      <c r="F1150" t="s">
        <v>1202</v>
      </c>
      <c r="G1150" t="s">
        <v>1228</v>
      </c>
      <c r="H1150" t="s">
        <v>35</v>
      </c>
      <c r="I1150">
        <v>0</v>
      </c>
      <c r="J1150">
        <v>0</v>
      </c>
      <c r="K1150">
        <v>0</v>
      </c>
      <c r="L1150">
        <v>0</v>
      </c>
      <c r="M1150">
        <v>0</v>
      </c>
      <c r="N1150">
        <v>0</v>
      </c>
      <c r="O1150">
        <v>0</v>
      </c>
      <c r="P1150">
        <v>0</v>
      </c>
      <c r="Q1150">
        <v>0</v>
      </c>
      <c r="R1150">
        <v>0</v>
      </c>
      <c r="S1150">
        <v>0</v>
      </c>
      <c r="T1150">
        <v>0</v>
      </c>
      <c r="U1150">
        <v>0</v>
      </c>
      <c r="V1150">
        <v>0</v>
      </c>
      <c r="W1150">
        <v>0</v>
      </c>
      <c r="X1150">
        <v>0</v>
      </c>
      <c r="Y1150">
        <v>0</v>
      </c>
      <c r="Z1150">
        <v>0</v>
      </c>
      <c r="AA1150">
        <v>0</v>
      </c>
      <c r="AB1150">
        <v>0</v>
      </c>
      <c r="AC1150">
        <v>0</v>
      </c>
      <c r="AD1150">
        <v>0</v>
      </c>
      <c r="AE1150">
        <v>0</v>
      </c>
      <c r="AF1150">
        <v>0</v>
      </c>
      <c r="AG1150">
        <v>0</v>
      </c>
      <c r="AH1150">
        <v>0</v>
      </c>
      <c r="AI1150">
        <v>0</v>
      </c>
      <c r="AJ1150">
        <v>0</v>
      </c>
      <c r="AK1150">
        <v>0</v>
      </c>
      <c r="AL1150">
        <v>0</v>
      </c>
      <c r="AM1150">
        <v>0</v>
      </c>
    </row>
    <row r="1151" spans="1:39" x14ac:dyDescent="0.35">
      <c r="A1151" t="s">
        <v>174</v>
      </c>
      <c r="B1151" t="s">
        <v>310</v>
      </c>
      <c r="C1151" t="s">
        <v>176</v>
      </c>
      <c r="D1151" t="s">
        <v>315</v>
      </c>
      <c r="E1151" t="s">
        <v>20</v>
      </c>
      <c r="F1151" t="s">
        <v>1202</v>
      </c>
      <c r="G1151" t="s">
        <v>1229</v>
      </c>
      <c r="H1151" t="s">
        <v>35</v>
      </c>
      <c r="I1151">
        <v>0</v>
      </c>
      <c r="J1151">
        <v>0</v>
      </c>
      <c r="K1151">
        <v>0</v>
      </c>
      <c r="L1151">
        <v>0</v>
      </c>
      <c r="M1151">
        <v>0</v>
      </c>
      <c r="N1151">
        <v>0</v>
      </c>
      <c r="O1151">
        <v>0</v>
      </c>
      <c r="P1151">
        <v>0</v>
      </c>
      <c r="Q1151">
        <v>0</v>
      </c>
      <c r="R1151">
        <v>0</v>
      </c>
      <c r="S1151">
        <v>0</v>
      </c>
      <c r="T1151">
        <v>0</v>
      </c>
      <c r="U1151">
        <v>0</v>
      </c>
      <c r="V1151">
        <v>0</v>
      </c>
      <c r="W1151">
        <v>0</v>
      </c>
      <c r="X1151">
        <v>0</v>
      </c>
      <c r="Y1151">
        <v>0</v>
      </c>
      <c r="Z1151">
        <v>0</v>
      </c>
      <c r="AA1151">
        <v>0</v>
      </c>
      <c r="AB1151">
        <v>0</v>
      </c>
      <c r="AC1151">
        <v>0</v>
      </c>
      <c r="AD1151">
        <v>0</v>
      </c>
      <c r="AE1151">
        <v>0</v>
      </c>
      <c r="AF1151">
        <v>0</v>
      </c>
      <c r="AG1151">
        <v>0</v>
      </c>
      <c r="AH1151">
        <v>0</v>
      </c>
      <c r="AI1151">
        <v>0</v>
      </c>
      <c r="AJ1151">
        <v>0</v>
      </c>
      <c r="AK1151">
        <v>0</v>
      </c>
      <c r="AL1151">
        <v>0</v>
      </c>
      <c r="AM1151">
        <v>0</v>
      </c>
    </row>
    <row r="1152" spans="1:39" x14ac:dyDescent="0.35">
      <c r="A1152" t="s">
        <v>174</v>
      </c>
      <c r="B1152" t="s">
        <v>310</v>
      </c>
      <c r="C1152" t="s">
        <v>176</v>
      </c>
      <c r="D1152" t="s">
        <v>315</v>
      </c>
      <c r="E1152" t="s">
        <v>350</v>
      </c>
      <c r="F1152" t="s">
        <v>1202</v>
      </c>
      <c r="G1152" t="s">
        <v>1230</v>
      </c>
      <c r="H1152" t="s">
        <v>35</v>
      </c>
      <c r="I1152">
        <v>0</v>
      </c>
      <c r="J1152">
        <v>0</v>
      </c>
      <c r="K1152">
        <v>0</v>
      </c>
      <c r="L1152">
        <v>0</v>
      </c>
      <c r="M1152">
        <v>0</v>
      </c>
      <c r="N1152">
        <v>0</v>
      </c>
      <c r="O1152">
        <v>0</v>
      </c>
      <c r="P1152">
        <v>0</v>
      </c>
      <c r="Q1152">
        <v>0</v>
      </c>
      <c r="R1152">
        <v>0</v>
      </c>
      <c r="S1152">
        <v>0</v>
      </c>
      <c r="T1152">
        <v>0</v>
      </c>
      <c r="U1152">
        <v>0</v>
      </c>
      <c r="V1152">
        <v>0</v>
      </c>
      <c r="W1152">
        <v>0</v>
      </c>
      <c r="X1152">
        <v>0</v>
      </c>
      <c r="Y1152">
        <v>0</v>
      </c>
      <c r="Z1152">
        <v>0</v>
      </c>
      <c r="AA1152">
        <v>0</v>
      </c>
      <c r="AB1152">
        <v>0</v>
      </c>
      <c r="AC1152">
        <v>0</v>
      </c>
      <c r="AD1152">
        <v>0</v>
      </c>
      <c r="AE1152">
        <v>0</v>
      </c>
      <c r="AF1152">
        <v>0</v>
      </c>
      <c r="AG1152">
        <v>0</v>
      </c>
      <c r="AH1152">
        <v>0</v>
      </c>
      <c r="AI1152">
        <v>0</v>
      </c>
      <c r="AJ1152">
        <v>0</v>
      </c>
      <c r="AK1152">
        <v>0</v>
      </c>
      <c r="AL1152">
        <v>0</v>
      </c>
      <c r="AM1152">
        <v>0</v>
      </c>
    </row>
    <row r="1153" spans="1:39" x14ac:dyDescent="0.35">
      <c r="A1153" t="s">
        <v>174</v>
      </c>
      <c r="B1153" t="s">
        <v>310</v>
      </c>
      <c r="C1153" t="s">
        <v>176</v>
      </c>
      <c r="D1153" t="s">
        <v>315</v>
      </c>
      <c r="E1153" t="s">
        <v>1347</v>
      </c>
      <c r="F1153" t="s">
        <v>1202</v>
      </c>
      <c r="G1153" t="s">
        <v>1410</v>
      </c>
      <c r="H1153" t="s">
        <v>35</v>
      </c>
      <c r="I1153">
        <v>0</v>
      </c>
      <c r="J1153">
        <v>0</v>
      </c>
      <c r="K1153">
        <v>0</v>
      </c>
      <c r="L1153">
        <v>0</v>
      </c>
      <c r="M1153">
        <v>0</v>
      </c>
      <c r="N1153">
        <v>0</v>
      </c>
      <c r="O1153">
        <v>0</v>
      </c>
      <c r="P1153">
        <v>0</v>
      </c>
      <c r="Q1153">
        <v>0</v>
      </c>
      <c r="R1153">
        <v>0</v>
      </c>
      <c r="S1153">
        <v>0</v>
      </c>
      <c r="T1153">
        <v>0</v>
      </c>
      <c r="U1153">
        <v>0</v>
      </c>
      <c r="V1153">
        <v>0</v>
      </c>
      <c r="W1153">
        <v>0</v>
      </c>
      <c r="X1153">
        <v>0</v>
      </c>
      <c r="Y1153">
        <v>0</v>
      </c>
      <c r="Z1153">
        <v>0</v>
      </c>
      <c r="AA1153">
        <v>0</v>
      </c>
      <c r="AB1153">
        <v>0</v>
      </c>
      <c r="AC1153">
        <v>0</v>
      </c>
      <c r="AD1153">
        <v>0</v>
      </c>
      <c r="AE1153">
        <v>0</v>
      </c>
      <c r="AF1153">
        <v>0</v>
      </c>
      <c r="AG1153">
        <v>0</v>
      </c>
      <c r="AH1153">
        <v>0</v>
      </c>
      <c r="AI1153">
        <v>0</v>
      </c>
      <c r="AJ1153">
        <v>0</v>
      </c>
      <c r="AK1153">
        <v>0</v>
      </c>
      <c r="AL1153">
        <v>0</v>
      </c>
      <c r="AM1153">
        <v>0</v>
      </c>
    </row>
    <row r="1154" spans="1:39" x14ac:dyDescent="0.35">
      <c r="A1154" t="s">
        <v>174</v>
      </c>
      <c r="B1154" t="s">
        <v>310</v>
      </c>
      <c r="C1154" t="s">
        <v>176</v>
      </c>
      <c r="D1154" t="s">
        <v>315</v>
      </c>
      <c r="E1154" t="s">
        <v>351</v>
      </c>
      <c r="F1154" t="s">
        <v>1202</v>
      </c>
      <c r="G1154" t="s">
        <v>1231</v>
      </c>
      <c r="H1154" t="s">
        <v>35</v>
      </c>
      <c r="I1154">
        <v>0</v>
      </c>
      <c r="J1154">
        <v>0</v>
      </c>
      <c r="K1154">
        <v>0</v>
      </c>
      <c r="L1154">
        <v>0</v>
      </c>
      <c r="M1154">
        <v>0</v>
      </c>
      <c r="N1154">
        <v>0</v>
      </c>
      <c r="O1154">
        <v>0</v>
      </c>
      <c r="P1154">
        <v>0</v>
      </c>
      <c r="Q1154">
        <v>0</v>
      </c>
      <c r="R1154">
        <v>0</v>
      </c>
      <c r="S1154">
        <v>0</v>
      </c>
      <c r="T1154">
        <v>0</v>
      </c>
      <c r="U1154">
        <v>0</v>
      </c>
      <c r="V1154">
        <v>0</v>
      </c>
      <c r="W1154">
        <v>0</v>
      </c>
      <c r="X1154">
        <v>0</v>
      </c>
      <c r="Y1154">
        <v>0</v>
      </c>
      <c r="Z1154">
        <v>0</v>
      </c>
      <c r="AA1154">
        <v>0</v>
      </c>
      <c r="AB1154">
        <v>0</v>
      </c>
      <c r="AC1154">
        <v>0</v>
      </c>
      <c r="AD1154">
        <v>0</v>
      </c>
      <c r="AE1154">
        <v>0</v>
      </c>
      <c r="AF1154">
        <v>0</v>
      </c>
      <c r="AG1154">
        <v>0</v>
      </c>
      <c r="AH1154">
        <v>0</v>
      </c>
      <c r="AI1154">
        <v>0</v>
      </c>
      <c r="AJ1154">
        <v>0</v>
      </c>
      <c r="AK1154">
        <v>0</v>
      </c>
      <c r="AL1154">
        <v>0</v>
      </c>
      <c r="AM1154">
        <v>0</v>
      </c>
    </row>
    <row r="1155" spans="1:39" x14ac:dyDescent="0.35">
      <c r="A1155" t="s">
        <v>174</v>
      </c>
      <c r="B1155" t="s">
        <v>310</v>
      </c>
      <c r="C1155" t="s">
        <v>176</v>
      </c>
      <c r="D1155" t="s">
        <v>315</v>
      </c>
      <c r="E1155" t="s">
        <v>500</v>
      </c>
      <c r="F1155" t="s">
        <v>1202</v>
      </c>
      <c r="G1155" t="s">
        <v>1232</v>
      </c>
      <c r="H1155" t="s">
        <v>35</v>
      </c>
      <c r="I1155">
        <v>0</v>
      </c>
      <c r="J1155">
        <v>0</v>
      </c>
      <c r="K1155">
        <v>0</v>
      </c>
      <c r="L1155">
        <v>0</v>
      </c>
      <c r="M1155">
        <v>0</v>
      </c>
      <c r="N1155">
        <v>0</v>
      </c>
      <c r="O1155">
        <v>0</v>
      </c>
      <c r="P1155">
        <v>0</v>
      </c>
      <c r="Q1155">
        <v>0</v>
      </c>
      <c r="R1155">
        <v>0</v>
      </c>
      <c r="S1155">
        <v>0</v>
      </c>
      <c r="T1155">
        <v>0</v>
      </c>
      <c r="U1155">
        <v>0</v>
      </c>
      <c r="V1155">
        <v>0</v>
      </c>
      <c r="W1155">
        <v>0</v>
      </c>
      <c r="X1155">
        <v>0</v>
      </c>
      <c r="Y1155">
        <v>0</v>
      </c>
      <c r="Z1155">
        <v>0</v>
      </c>
      <c r="AA1155">
        <v>0</v>
      </c>
      <c r="AB1155">
        <v>0</v>
      </c>
      <c r="AC1155">
        <v>0</v>
      </c>
      <c r="AD1155">
        <v>0</v>
      </c>
      <c r="AE1155">
        <v>0</v>
      </c>
      <c r="AF1155">
        <v>0</v>
      </c>
      <c r="AG1155">
        <v>0</v>
      </c>
      <c r="AH1155">
        <v>0</v>
      </c>
      <c r="AI1155">
        <v>0</v>
      </c>
      <c r="AJ1155">
        <v>0</v>
      </c>
      <c r="AK1155">
        <v>0</v>
      </c>
      <c r="AL1155">
        <v>0</v>
      </c>
      <c r="AM1155">
        <v>0</v>
      </c>
    </row>
    <row r="1156" spans="1:39" x14ac:dyDescent="0.35">
      <c r="A1156" t="s">
        <v>174</v>
      </c>
      <c r="B1156" t="s">
        <v>310</v>
      </c>
      <c r="C1156" t="s">
        <v>176</v>
      </c>
      <c r="D1156" t="s">
        <v>315</v>
      </c>
      <c r="E1156" t="s">
        <v>501</v>
      </c>
      <c r="F1156" t="s">
        <v>1202</v>
      </c>
      <c r="G1156" t="s">
        <v>1233</v>
      </c>
      <c r="H1156" t="s">
        <v>35</v>
      </c>
      <c r="I1156">
        <v>0</v>
      </c>
      <c r="J1156">
        <v>0</v>
      </c>
      <c r="K1156">
        <v>0</v>
      </c>
      <c r="L1156">
        <v>0</v>
      </c>
      <c r="M1156">
        <v>0</v>
      </c>
      <c r="N1156">
        <v>0</v>
      </c>
      <c r="O1156">
        <v>0</v>
      </c>
      <c r="P1156">
        <v>0</v>
      </c>
      <c r="Q1156">
        <v>0</v>
      </c>
      <c r="R1156">
        <v>0</v>
      </c>
      <c r="S1156">
        <v>0</v>
      </c>
      <c r="T1156">
        <v>0</v>
      </c>
      <c r="U1156">
        <v>0</v>
      </c>
      <c r="V1156">
        <v>0</v>
      </c>
      <c r="W1156">
        <v>0</v>
      </c>
      <c r="X1156">
        <v>0</v>
      </c>
      <c r="Y1156">
        <v>0</v>
      </c>
      <c r="Z1156">
        <v>0</v>
      </c>
      <c r="AA1156">
        <v>0</v>
      </c>
      <c r="AB1156">
        <v>0</v>
      </c>
      <c r="AC1156">
        <v>0</v>
      </c>
      <c r="AD1156">
        <v>0</v>
      </c>
      <c r="AE1156">
        <v>0</v>
      </c>
      <c r="AF1156">
        <v>0</v>
      </c>
      <c r="AG1156">
        <v>0</v>
      </c>
      <c r="AH1156">
        <v>0</v>
      </c>
      <c r="AI1156">
        <v>0</v>
      </c>
      <c r="AJ1156">
        <v>0</v>
      </c>
      <c r="AK1156">
        <v>0</v>
      </c>
      <c r="AL1156">
        <v>0</v>
      </c>
      <c r="AM1156">
        <v>0</v>
      </c>
    </row>
    <row r="1157" spans="1:39" x14ac:dyDescent="0.35">
      <c r="A1157" t="s">
        <v>174</v>
      </c>
      <c r="B1157" t="s">
        <v>310</v>
      </c>
      <c r="C1157" t="s">
        <v>176</v>
      </c>
      <c r="D1157" t="s">
        <v>315</v>
      </c>
      <c r="E1157" t="s">
        <v>28</v>
      </c>
      <c r="F1157" t="s">
        <v>1202</v>
      </c>
      <c r="G1157" t="s">
        <v>1234</v>
      </c>
      <c r="H1157" t="s">
        <v>35</v>
      </c>
      <c r="I1157">
        <v>0</v>
      </c>
      <c r="J1157">
        <v>0</v>
      </c>
      <c r="K1157">
        <v>0</v>
      </c>
      <c r="L1157">
        <v>0</v>
      </c>
      <c r="M1157">
        <v>0</v>
      </c>
      <c r="N1157">
        <v>0</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c r="AI1157">
        <v>0</v>
      </c>
      <c r="AJ1157">
        <v>0</v>
      </c>
      <c r="AK1157">
        <v>0</v>
      </c>
      <c r="AL1157">
        <v>0</v>
      </c>
      <c r="AM1157">
        <v>0</v>
      </c>
    </row>
    <row r="1158" spans="1:39" x14ac:dyDescent="0.35">
      <c r="A1158" t="s">
        <v>174</v>
      </c>
      <c r="B1158" t="s">
        <v>310</v>
      </c>
      <c r="C1158" t="s">
        <v>176</v>
      </c>
      <c r="D1158" t="s">
        <v>315</v>
      </c>
      <c r="E1158" t="s">
        <v>1318</v>
      </c>
      <c r="F1158" t="s">
        <v>1202</v>
      </c>
      <c r="G1158" t="s">
        <v>1350</v>
      </c>
      <c r="H1158" t="s">
        <v>67</v>
      </c>
      <c r="I1158">
        <v>0</v>
      </c>
      <c r="J1158">
        <v>0</v>
      </c>
      <c r="K1158">
        <v>0</v>
      </c>
      <c r="L1158">
        <v>0</v>
      </c>
      <c r="M1158">
        <v>0</v>
      </c>
      <c r="N1158">
        <v>0</v>
      </c>
      <c r="O1158">
        <v>0</v>
      </c>
      <c r="P1158">
        <v>0</v>
      </c>
      <c r="Q1158">
        <v>0</v>
      </c>
      <c r="R1158">
        <v>0</v>
      </c>
      <c r="S1158">
        <v>0</v>
      </c>
      <c r="T1158">
        <v>0</v>
      </c>
      <c r="U1158">
        <v>0</v>
      </c>
      <c r="V1158">
        <v>0</v>
      </c>
      <c r="W1158">
        <v>0</v>
      </c>
      <c r="X1158">
        <v>0</v>
      </c>
      <c r="Y1158">
        <v>0</v>
      </c>
      <c r="Z1158">
        <v>0</v>
      </c>
      <c r="AA1158">
        <v>0</v>
      </c>
      <c r="AB1158">
        <v>0</v>
      </c>
      <c r="AC1158">
        <v>0</v>
      </c>
      <c r="AD1158">
        <v>0</v>
      </c>
      <c r="AE1158">
        <v>0</v>
      </c>
      <c r="AF1158">
        <v>0</v>
      </c>
      <c r="AG1158">
        <v>0</v>
      </c>
      <c r="AH1158">
        <v>0</v>
      </c>
      <c r="AI1158">
        <v>0</v>
      </c>
      <c r="AJ1158">
        <v>0</v>
      </c>
      <c r="AK1158">
        <v>0</v>
      </c>
      <c r="AL1158">
        <v>0</v>
      </c>
      <c r="AM1158">
        <v>0</v>
      </c>
    </row>
    <row r="1159" spans="1:39" x14ac:dyDescent="0.35">
      <c r="A1159" t="s">
        <v>174</v>
      </c>
      <c r="B1159" t="s">
        <v>310</v>
      </c>
      <c r="C1159" t="s">
        <v>176</v>
      </c>
      <c r="D1159" t="s">
        <v>315</v>
      </c>
      <c r="E1159" t="s">
        <v>30</v>
      </c>
      <c r="F1159" t="s">
        <v>1202</v>
      </c>
      <c r="G1159" t="s">
        <v>1235</v>
      </c>
      <c r="H1159" t="s">
        <v>67</v>
      </c>
      <c r="I1159">
        <v>0</v>
      </c>
      <c r="J1159">
        <v>0</v>
      </c>
      <c r="K1159">
        <v>0</v>
      </c>
      <c r="L1159">
        <v>0</v>
      </c>
      <c r="M1159">
        <v>0</v>
      </c>
      <c r="N1159">
        <v>0</v>
      </c>
      <c r="O1159">
        <v>0</v>
      </c>
      <c r="P1159">
        <v>0</v>
      </c>
      <c r="Q1159">
        <v>0</v>
      </c>
      <c r="R1159">
        <v>0</v>
      </c>
      <c r="S1159">
        <v>0</v>
      </c>
      <c r="T1159">
        <v>0</v>
      </c>
      <c r="U1159">
        <v>0</v>
      </c>
      <c r="V1159">
        <v>0</v>
      </c>
      <c r="W1159">
        <v>0</v>
      </c>
      <c r="X1159">
        <v>0</v>
      </c>
      <c r="Y1159">
        <v>0</v>
      </c>
      <c r="Z1159">
        <v>0</v>
      </c>
      <c r="AA1159">
        <v>0</v>
      </c>
      <c r="AB1159">
        <v>0</v>
      </c>
      <c r="AC1159">
        <v>0</v>
      </c>
      <c r="AD1159">
        <v>0</v>
      </c>
      <c r="AE1159">
        <v>0</v>
      </c>
      <c r="AF1159">
        <v>0</v>
      </c>
      <c r="AG1159">
        <v>0</v>
      </c>
      <c r="AH1159">
        <v>0</v>
      </c>
      <c r="AI1159">
        <v>0</v>
      </c>
      <c r="AJ1159">
        <v>0</v>
      </c>
      <c r="AK1159">
        <v>0</v>
      </c>
      <c r="AL1159">
        <v>0</v>
      </c>
      <c r="AM1159">
        <v>0</v>
      </c>
    </row>
    <row r="1160" spans="1:39" x14ac:dyDescent="0.35">
      <c r="A1160" t="s">
        <v>174</v>
      </c>
      <c r="B1160" t="s">
        <v>310</v>
      </c>
      <c r="C1160" t="s">
        <v>176</v>
      </c>
      <c r="D1160" t="s">
        <v>315</v>
      </c>
      <c r="E1160" t="s">
        <v>31</v>
      </c>
      <c r="F1160" t="s">
        <v>1202</v>
      </c>
      <c r="G1160" t="s">
        <v>1236</v>
      </c>
      <c r="H1160" t="s">
        <v>35</v>
      </c>
      <c r="I1160">
        <v>0</v>
      </c>
      <c r="J1160">
        <v>0</v>
      </c>
      <c r="K1160">
        <v>0</v>
      </c>
      <c r="L1160">
        <v>0</v>
      </c>
      <c r="M1160">
        <v>0</v>
      </c>
      <c r="N1160">
        <v>0</v>
      </c>
      <c r="O1160">
        <v>0</v>
      </c>
      <c r="P1160">
        <v>0</v>
      </c>
      <c r="Q1160">
        <v>0</v>
      </c>
      <c r="R1160">
        <v>0</v>
      </c>
      <c r="S1160">
        <v>0</v>
      </c>
      <c r="T1160">
        <v>0</v>
      </c>
      <c r="U1160">
        <v>0</v>
      </c>
      <c r="V1160">
        <v>0</v>
      </c>
      <c r="W1160">
        <v>0</v>
      </c>
      <c r="X1160">
        <v>0</v>
      </c>
      <c r="Y1160">
        <v>0</v>
      </c>
      <c r="Z1160">
        <v>0</v>
      </c>
      <c r="AA1160">
        <v>0</v>
      </c>
      <c r="AB1160">
        <v>0</v>
      </c>
      <c r="AC1160">
        <v>0</v>
      </c>
      <c r="AD1160">
        <v>0</v>
      </c>
      <c r="AE1160">
        <v>0</v>
      </c>
      <c r="AF1160">
        <v>0</v>
      </c>
      <c r="AG1160">
        <v>0</v>
      </c>
      <c r="AH1160">
        <v>0</v>
      </c>
      <c r="AI1160">
        <v>0</v>
      </c>
      <c r="AJ1160">
        <v>0</v>
      </c>
      <c r="AK1160">
        <v>0</v>
      </c>
      <c r="AL1160">
        <v>0</v>
      </c>
      <c r="AM1160">
        <v>0</v>
      </c>
    </row>
    <row r="1161" spans="1:39" x14ac:dyDescent="0.35">
      <c r="A1161" t="s">
        <v>174</v>
      </c>
      <c r="B1161" t="s">
        <v>310</v>
      </c>
      <c r="C1161" t="s">
        <v>176</v>
      </c>
      <c r="D1161" t="s">
        <v>315</v>
      </c>
      <c r="E1161" t="s">
        <v>72</v>
      </c>
      <c r="F1161" t="s">
        <v>1202</v>
      </c>
      <c r="G1161" t="s">
        <v>1237</v>
      </c>
      <c r="H1161" t="s">
        <v>35</v>
      </c>
      <c r="I1161">
        <v>0</v>
      </c>
      <c r="J1161">
        <v>0</v>
      </c>
      <c r="K1161">
        <v>0</v>
      </c>
      <c r="L1161">
        <v>0</v>
      </c>
      <c r="M1161">
        <v>0</v>
      </c>
      <c r="N1161">
        <v>0</v>
      </c>
      <c r="O1161">
        <v>0</v>
      </c>
      <c r="P1161">
        <v>0</v>
      </c>
      <c r="Q1161">
        <v>0</v>
      </c>
      <c r="R1161">
        <v>0</v>
      </c>
      <c r="S1161">
        <v>0</v>
      </c>
      <c r="T1161">
        <v>0</v>
      </c>
      <c r="U1161">
        <v>0</v>
      </c>
      <c r="V1161">
        <v>0</v>
      </c>
      <c r="W1161">
        <v>0</v>
      </c>
      <c r="X1161">
        <v>0</v>
      </c>
      <c r="Y1161">
        <v>0</v>
      </c>
      <c r="Z1161">
        <v>0</v>
      </c>
      <c r="AA1161">
        <v>0</v>
      </c>
      <c r="AB1161">
        <v>0</v>
      </c>
      <c r="AC1161">
        <v>0</v>
      </c>
      <c r="AD1161">
        <v>0</v>
      </c>
      <c r="AE1161">
        <v>0</v>
      </c>
      <c r="AF1161">
        <v>0</v>
      </c>
      <c r="AG1161">
        <v>0</v>
      </c>
      <c r="AH1161">
        <v>0</v>
      </c>
      <c r="AI1161">
        <v>0</v>
      </c>
      <c r="AJ1161">
        <v>0</v>
      </c>
      <c r="AK1161">
        <v>0</v>
      </c>
      <c r="AL1161">
        <v>0</v>
      </c>
      <c r="AM1161">
        <v>0</v>
      </c>
    </row>
    <row r="1162" spans="1:39" x14ac:dyDescent="0.35">
      <c r="A1162" t="s">
        <v>174</v>
      </c>
      <c r="B1162" t="s">
        <v>310</v>
      </c>
      <c r="C1162" t="s">
        <v>176</v>
      </c>
      <c r="D1162" t="s">
        <v>315</v>
      </c>
      <c r="E1162" t="s">
        <v>34</v>
      </c>
      <c r="F1162" t="s">
        <v>1202</v>
      </c>
      <c r="G1162" t="s">
        <v>1238</v>
      </c>
      <c r="H1162" t="s">
        <v>68</v>
      </c>
      <c r="I1162">
        <v>0</v>
      </c>
      <c r="J1162">
        <v>0</v>
      </c>
      <c r="K1162">
        <v>0</v>
      </c>
      <c r="L1162">
        <v>0</v>
      </c>
      <c r="M1162">
        <v>0</v>
      </c>
      <c r="N1162">
        <v>0</v>
      </c>
      <c r="O1162">
        <v>0</v>
      </c>
      <c r="P1162">
        <v>0</v>
      </c>
      <c r="Q1162">
        <v>0</v>
      </c>
      <c r="R1162">
        <v>0</v>
      </c>
      <c r="S1162">
        <v>0</v>
      </c>
      <c r="T1162">
        <v>0</v>
      </c>
      <c r="U1162">
        <v>0</v>
      </c>
      <c r="V1162">
        <v>0</v>
      </c>
      <c r="W1162">
        <v>0</v>
      </c>
      <c r="X1162">
        <v>0</v>
      </c>
      <c r="Y1162">
        <v>0</v>
      </c>
      <c r="Z1162">
        <v>0</v>
      </c>
      <c r="AA1162">
        <v>0</v>
      </c>
      <c r="AB1162">
        <v>0</v>
      </c>
      <c r="AC1162">
        <v>0</v>
      </c>
      <c r="AD1162">
        <v>0</v>
      </c>
      <c r="AE1162">
        <v>0</v>
      </c>
      <c r="AF1162">
        <v>0</v>
      </c>
      <c r="AG1162">
        <v>0</v>
      </c>
      <c r="AH1162">
        <v>0</v>
      </c>
      <c r="AI1162">
        <v>0</v>
      </c>
      <c r="AJ1162">
        <v>0</v>
      </c>
      <c r="AK1162">
        <v>0</v>
      </c>
      <c r="AL1162">
        <v>0</v>
      </c>
      <c r="AM1162">
        <v>0</v>
      </c>
    </row>
    <row r="1163" spans="1:39" x14ac:dyDescent="0.35">
      <c r="A1163" t="s">
        <v>174</v>
      </c>
      <c r="B1163" t="s">
        <v>311</v>
      </c>
      <c r="C1163" t="s">
        <v>176</v>
      </c>
      <c r="D1163" t="s">
        <v>315</v>
      </c>
      <c r="E1163" t="s">
        <v>1316</v>
      </c>
      <c r="F1163" t="s">
        <v>180</v>
      </c>
      <c r="G1163" t="s">
        <v>1325</v>
      </c>
      <c r="H1163" t="s">
        <v>35</v>
      </c>
      <c r="I1163">
        <v>0</v>
      </c>
      <c r="J1163">
        <v>0</v>
      </c>
      <c r="K1163">
        <v>0</v>
      </c>
      <c r="L1163">
        <v>0</v>
      </c>
      <c r="M1163">
        <v>0</v>
      </c>
      <c r="N1163">
        <v>0</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c r="AG1163">
        <v>0</v>
      </c>
      <c r="AH1163">
        <v>0</v>
      </c>
      <c r="AI1163">
        <v>0</v>
      </c>
      <c r="AJ1163">
        <v>0</v>
      </c>
      <c r="AK1163">
        <v>0</v>
      </c>
      <c r="AL1163">
        <v>0</v>
      </c>
      <c r="AM1163">
        <v>0</v>
      </c>
    </row>
    <row r="1164" spans="1:39" x14ac:dyDescent="0.35">
      <c r="A1164" t="s">
        <v>174</v>
      </c>
      <c r="B1164" t="s">
        <v>311</v>
      </c>
      <c r="C1164" t="s">
        <v>176</v>
      </c>
      <c r="D1164" t="s">
        <v>315</v>
      </c>
      <c r="E1164" t="s">
        <v>837</v>
      </c>
      <c r="F1164" t="s">
        <v>180</v>
      </c>
      <c r="G1164" t="s">
        <v>839</v>
      </c>
      <c r="H1164" t="s">
        <v>69</v>
      </c>
      <c r="I1164">
        <v>0</v>
      </c>
      <c r="J1164">
        <v>0</v>
      </c>
      <c r="K1164">
        <v>0</v>
      </c>
      <c r="L1164">
        <v>0</v>
      </c>
      <c r="M1164">
        <v>0</v>
      </c>
      <c r="N1164">
        <v>0</v>
      </c>
      <c r="O1164">
        <v>0</v>
      </c>
      <c r="P1164">
        <v>0</v>
      </c>
      <c r="Q1164">
        <v>0</v>
      </c>
      <c r="R1164">
        <v>0</v>
      </c>
      <c r="S1164">
        <v>0</v>
      </c>
      <c r="T1164">
        <v>0</v>
      </c>
      <c r="U1164">
        <v>0</v>
      </c>
      <c r="V1164">
        <v>0</v>
      </c>
      <c r="W1164">
        <v>0</v>
      </c>
      <c r="X1164">
        <v>0</v>
      </c>
      <c r="Y1164">
        <v>0</v>
      </c>
      <c r="Z1164">
        <v>0</v>
      </c>
      <c r="AA1164">
        <v>0</v>
      </c>
      <c r="AB1164">
        <v>0</v>
      </c>
      <c r="AC1164">
        <v>0</v>
      </c>
      <c r="AD1164">
        <v>0</v>
      </c>
      <c r="AE1164">
        <v>0</v>
      </c>
      <c r="AF1164">
        <v>0</v>
      </c>
      <c r="AG1164">
        <v>0</v>
      </c>
      <c r="AH1164">
        <v>0</v>
      </c>
      <c r="AI1164">
        <v>0</v>
      </c>
      <c r="AJ1164">
        <v>0</v>
      </c>
      <c r="AK1164">
        <v>0</v>
      </c>
      <c r="AL1164">
        <v>0</v>
      </c>
      <c r="AM1164">
        <v>0</v>
      </c>
    </row>
    <row r="1165" spans="1:39" x14ac:dyDescent="0.35">
      <c r="A1165" t="s">
        <v>174</v>
      </c>
      <c r="B1165" t="s">
        <v>311</v>
      </c>
      <c r="C1165" t="s">
        <v>176</v>
      </c>
      <c r="D1165" t="s">
        <v>315</v>
      </c>
      <c r="E1165" t="s">
        <v>484</v>
      </c>
      <c r="F1165" t="s">
        <v>180</v>
      </c>
      <c r="G1165" t="s">
        <v>646</v>
      </c>
      <c r="H1165" t="s">
        <v>67</v>
      </c>
      <c r="I1165">
        <v>0</v>
      </c>
      <c r="J1165">
        <v>0</v>
      </c>
      <c r="K1165">
        <v>0</v>
      </c>
      <c r="L1165">
        <v>0</v>
      </c>
      <c r="M1165">
        <v>0</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v>0</v>
      </c>
      <c r="AG1165">
        <v>0</v>
      </c>
      <c r="AH1165">
        <v>0</v>
      </c>
      <c r="AI1165">
        <v>0</v>
      </c>
      <c r="AJ1165">
        <v>0</v>
      </c>
      <c r="AK1165">
        <v>0</v>
      </c>
      <c r="AL1165">
        <v>0</v>
      </c>
      <c r="AM1165">
        <v>0</v>
      </c>
    </row>
    <row r="1166" spans="1:39" x14ac:dyDescent="0.35">
      <c r="A1166" t="s">
        <v>174</v>
      </c>
      <c r="B1166" t="s">
        <v>311</v>
      </c>
      <c r="C1166" t="s">
        <v>176</v>
      </c>
      <c r="D1166" t="s">
        <v>315</v>
      </c>
      <c r="E1166" t="s">
        <v>507</v>
      </c>
      <c r="F1166" t="s">
        <v>180</v>
      </c>
      <c r="G1166" t="s">
        <v>669</v>
      </c>
      <c r="H1166" t="s">
        <v>67</v>
      </c>
      <c r="I1166">
        <v>0</v>
      </c>
      <c r="J1166">
        <v>0</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0</v>
      </c>
      <c r="AI1166">
        <v>0</v>
      </c>
      <c r="AJ1166">
        <v>0</v>
      </c>
      <c r="AK1166">
        <v>0</v>
      </c>
      <c r="AL1166">
        <v>0</v>
      </c>
      <c r="AM1166">
        <v>0</v>
      </c>
    </row>
    <row r="1167" spans="1:39" x14ac:dyDescent="0.35">
      <c r="A1167" t="s">
        <v>174</v>
      </c>
      <c r="B1167" t="s">
        <v>311</v>
      </c>
      <c r="C1167" t="s">
        <v>176</v>
      </c>
      <c r="D1167" t="s">
        <v>315</v>
      </c>
      <c r="E1167" t="s">
        <v>540</v>
      </c>
      <c r="F1167" t="s">
        <v>180</v>
      </c>
      <c r="G1167" t="s">
        <v>680</v>
      </c>
      <c r="H1167" t="s">
        <v>67</v>
      </c>
      <c r="I1167">
        <v>0</v>
      </c>
      <c r="J1167">
        <v>0</v>
      </c>
      <c r="K1167">
        <v>0</v>
      </c>
      <c r="L1167">
        <v>0</v>
      </c>
      <c r="M1167">
        <v>0</v>
      </c>
      <c r="N1167">
        <v>0</v>
      </c>
      <c r="O1167">
        <v>0</v>
      </c>
      <c r="P1167">
        <v>0</v>
      </c>
      <c r="Q1167">
        <v>0</v>
      </c>
      <c r="R1167">
        <v>0</v>
      </c>
      <c r="S1167">
        <v>0</v>
      </c>
      <c r="T1167">
        <v>0</v>
      </c>
      <c r="U1167">
        <v>0</v>
      </c>
      <c r="V1167">
        <v>0</v>
      </c>
      <c r="W1167">
        <v>0</v>
      </c>
      <c r="X1167">
        <v>0</v>
      </c>
      <c r="Y1167">
        <v>0</v>
      </c>
      <c r="Z1167">
        <v>0</v>
      </c>
      <c r="AA1167">
        <v>0</v>
      </c>
      <c r="AB1167">
        <v>0</v>
      </c>
      <c r="AC1167">
        <v>0</v>
      </c>
      <c r="AD1167">
        <v>0</v>
      </c>
      <c r="AE1167">
        <v>0</v>
      </c>
      <c r="AF1167">
        <v>0</v>
      </c>
      <c r="AG1167">
        <v>0</v>
      </c>
      <c r="AH1167">
        <v>0</v>
      </c>
      <c r="AI1167">
        <v>0</v>
      </c>
      <c r="AJ1167">
        <v>0</v>
      </c>
      <c r="AK1167">
        <v>0</v>
      </c>
      <c r="AL1167">
        <v>0</v>
      </c>
      <c r="AM1167">
        <v>0</v>
      </c>
    </row>
    <row r="1168" spans="1:39" x14ac:dyDescent="0.35">
      <c r="A1168" t="s">
        <v>174</v>
      </c>
      <c r="B1168" t="s">
        <v>311</v>
      </c>
      <c r="C1168" t="s">
        <v>176</v>
      </c>
      <c r="D1168" t="s">
        <v>315</v>
      </c>
      <c r="E1168" t="s">
        <v>496</v>
      </c>
      <c r="F1168" t="s">
        <v>180</v>
      </c>
      <c r="G1168" t="s">
        <v>704</v>
      </c>
      <c r="H1168" t="s">
        <v>35</v>
      </c>
      <c r="I1168">
        <v>0</v>
      </c>
      <c r="J1168">
        <v>0</v>
      </c>
      <c r="K1168">
        <v>0</v>
      </c>
      <c r="L1168">
        <v>0</v>
      </c>
      <c r="M1168">
        <v>0</v>
      </c>
      <c r="N1168">
        <v>0</v>
      </c>
      <c r="O1168">
        <v>0</v>
      </c>
      <c r="P1168">
        <v>0</v>
      </c>
      <c r="Q1168">
        <v>0</v>
      </c>
      <c r="R1168">
        <v>0</v>
      </c>
      <c r="S1168">
        <v>0</v>
      </c>
      <c r="T1168">
        <v>0</v>
      </c>
      <c r="U1168">
        <v>0</v>
      </c>
      <c r="V1168">
        <v>0</v>
      </c>
      <c r="W1168">
        <v>0</v>
      </c>
      <c r="X1168">
        <v>0</v>
      </c>
      <c r="Y1168">
        <v>0</v>
      </c>
      <c r="Z1168">
        <v>0</v>
      </c>
      <c r="AA1168">
        <v>0</v>
      </c>
      <c r="AB1168">
        <v>0</v>
      </c>
      <c r="AC1168">
        <v>0</v>
      </c>
      <c r="AD1168">
        <v>0</v>
      </c>
      <c r="AE1168">
        <v>0</v>
      </c>
      <c r="AF1168">
        <v>0</v>
      </c>
      <c r="AG1168">
        <v>0</v>
      </c>
      <c r="AH1168">
        <v>0</v>
      </c>
      <c r="AI1168">
        <v>0</v>
      </c>
      <c r="AJ1168">
        <v>0</v>
      </c>
      <c r="AK1168">
        <v>0</v>
      </c>
      <c r="AL1168">
        <v>0</v>
      </c>
      <c r="AM1168">
        <v>0</v>
      </c>
    </row>
    <row r="1169" spans="1:39" x14ac:dyDescent="0.35">
      <c r="A1169" t="s">
        <v>174</v>
      </c>
      <c r="B1169" t="s">
        <v>311</v>
      </c>
      <c r="C1169" t="s">
        <v>176</v>
      </c>
      <c r="D1169" t="s">
        <v>315</v>
      </c>
      <c r="E1169" t="s">
        <v>1195</v>
      </c>
      <c r="F1169" t="s">
        <v>180</v>
      </c>
      <c r="G1169" t="s">
        <v>1239</v>
      </c>
      <c r="H1169" t="s">
        <v>35</v>
      </c>
      <c r="I1169">
        <v>0</v>
      </c>
      <c r="J1169">
        <v>0</v>
      </c>
      <c r="K1169">
        <v>0</v>
      </c>
      <c r="L1169">
        <v>0</v>
      </c>
      <c r="M1169">
        <v>0</v>
      </c>
      <c r="N1169">
        <v>0</v>
      </c>
      <c r="O1169">
        <v>0</v>
      </c>
      <c r="P1169">
        <v>0</v>
      </c>
      <c r="Q1169">
        <v>0</v>
      </c>
      <c r="R1169">
        <v>0</v>
      </c>
      <c r="S1169">
        <v>0</v>
      </c>
      <c r="T1169">
        <v>0</v>
      </c>
      <c r="U1169">
        <v>0</v>
      </c>
      <c r="V1169">
        <v>0</v>
      </c>
      <c r="W1169">
        <v>0</v>
      </c>
      <c r="X1169">
        <v>0</v>
      </c>
      <c r="Y1169">
        <v>0</v>
      </c>
      <c r="Z1169">
        <v>0</v>
      </c>
      <c r="AA1169">
        <v>0</v>
      </c>
      <c r="AB1169">
        <v>0</v>
      </c>
      <c r="AC1169">
        <v>0</v>
      </c>
      <c r="AD1169">
        <v>0</v>
      </c>
      <c r="AE1169">
        <v>0</v>
      </c>
      <c r="AF1169">
        <v>0</v>
      </c>
      <c r="AG1169">
        <v>0</v>
      </c>
      <c r="AH1169">
        <v>0</v>
      </c>
      <c r="AI1169">
        <v>0</v>
      </c>
      <c r="AJ1169">
        <v>0</v>
      </c>
      <c r="AK1169">
        <v>0</v>
      </c>
      <c r="AL1169">
        <v>0</v>
      </c>
      <c r="AM1169">
        <v>0</v>
      </c>
    </row>
    <row r="1170" spans="1:39" x14ac:dyDescent="0.35">
      <c r="A1170" t="s">
        <v>174</v>
      </c>
      <c r="B1170" t="s">
        <v>311</v>
      </c>
      <c r="C1170" t="s">
        <v>176</v>
      </c>
      <c r="D1170" t="s">
        <v>315</v>
      </c>
      <c r="E1170" t="s">
        <v>511</v>
      </c>
      <c r="F1170" t="s">
        <v>180</v>
      </c>
      <c r="G1170" t="s">
        <v>677</v>
      </c>
      <c r="H1170" t="s">
        <v>35</v>
      </c>
      <c r="I1170">
        <v>0</v>
      </c>
      <c r="J1170">
        <v>0</v>
      </c>
      <c r="K1170">
        <v>0</v>
      </c>
      <c r="L1170">
        <v>0</v>
      </c>
      <c r="M1170">
        <v>0</v>
      </c>
      <c r="N1170">
        <v>0</v>
      </c>
      <c r="O1170">
        <v>0</v>
      </c>
      <c r="P1170">
        <v>0</v>
      </c>
      <c r="Q1170">
        <v>0</v>
      </c>
      <c r="R1170">
        <v>0</v>
      </c>
      <c r="S1170">
        <v>0</v>
      </c>
      <c r="T1170">
        <v>0</v>
      </c>
      <c r="U1170">
        <v>0</v>
      </c>
      <c r="V1170">
        <v>0</v>
      </c>
      <c r="W1170">
        <v>0</v>
      </c>
      <c r="X1170">
        <v>0</v>
      </c>
      <c r="Y1170">
        <v>0</v>
      </c>
      <c r="Z1170">
        <v>0</v>
      </c>
      <c r="AA1170">
        <v>0</v>
      </c>
      <c r="AB1170">
        <v>0</v>
      </c>
      <c r="AC1170">
        <v>0</v>
      </c>
      <c r="AD1170">
        <v>0</v>
      </c>
      <c r="AE1170">
        <v>0</v>
      </c>
      <c r="AF1170">
        <v>0</v>
      </c>
      <c r="AG1170">
        <v>0</v>
      </c>
      <c r="AH1170">
        <v>0</v>
      </c>
      <c r="AI1170">
        <v>0</v>
      </c>
      <c r="AJ1170">
        <v>0</v>
      </c>
      <c r="AK1170">
        <v>0</v>
      </c>
      <c r="AL1170">
        <v>0</v>
      </c>
      <c r="AM1170">
        <v>0</v>
      </c>
    </row>
    <row r="1171" spans="1:39" x14ac:dyDescent="0.35">
      <c r="A1171" t="s">
        <v>174</v>
      </c>
      <c r="B1171" t="s">
        <v>311</v>
      </c>
      <c r="C1171" t="s">
        <v>176</v>
      </c>
      <c r="D1171" t="s">
        <v>315</v>
      </c>
      <c r="E1171" t="s">
        <v>509</v>
      </c>
      <c r="F1171" t="s">
        <v>180</v>
      </c>
      <c r="G1171" t="s">
        <v>673</v>
      </c>
      <c r="H1171" t="s">
        <v>35</v>
      </c>
      <c r="I1171">
        <v>0</v>
      </c>
      <c r="J1171">
        <v>0</v>
      </c>
      <c r="K1171">
        <v>0</v>
      </c>
      <c r="L1171">
        <v>0</v>
      </c>
      <c r="M1171">
        <v>0</v>
      </c>
      <c r="N1171">
        <v>0</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c r="AI1171">
        <v>0</v>
      </c>
      <c r="AJ1171">
        <v>0</v>
      </c>
      <c r="AK1171">
        <v>0</v>
      </c>
      <c r="AL1171">
        <v>0</v>
      </c>
      <c r="AM1171">
        <v>0</v>
      </c>
    </row>
    <row r="1172" spans="1:39" x14ac:dyDescent="0.35">
      <c r="A1172" t="s">
        <v>174</v>
      </c>
      <c r="B1172" t="s">
        <v>311</v>
      </c>
      <c r="C1172" t="s">
        <v>176</v>
      </c>
      <c r="D1172" t="s">
        <v>315</v>
      </c>
      <c r="E1172" t="s">
        <v>1345</v>
      </c>
      <c r="F1172" t="s">
        <v>180</v>
      </c>
      <c r="G1172" t="s">
        <v>1361</v>
      </c>
      <c r="H1172" t="s">
        <v>35</v>
      </c>
      <c r="I1172">
        <v>0</v>
      </c>
      <c r="J1172">
        <v>0</v>
      </c>
      <c r="K1172">
        <v>0</v>
      </c>
      <c r="L1172">
        <v>0</v>
      </c>
      <c r="M1172">
        <v>0</v>
      </c>
      <c r="N1172">
        <v>0</v>
      </c>
      <c r="O1172">
        <v>0</v>
      </c>
      <c r="P1172">
        <v>0</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c r="AI1172">
        <v>0</v>
      </c>
      <c r="AJ1172">
        <v>0</v>
      </c>
      <c r="AK1172">
        <v>0</v>
      </c>
      <c r="AL1172">
        <v>0</v>
      </c>
      <c r="AM1172">
        <v>0</v>
      </c>
    </row>
    <row r="1173" spans="1:39" x14ac:dyDescent="0.35">
      <c r="A1173" t="s">
        <v>174</v>
      </c>
      <c r="B1173" t="s">
        <v>311</v>
      </c>
      <c r="C1173" t="s">
        <v>176</v>
      </c>
      <c r="D1173" t="s">
        <v>315</v>
      </c>
      <c r="E1173" t="s">
        <v>1344</v>
      </c>
      <c r="F1173" t="s">
        <v>180</v>
      </c>
      <c r="G1173" t="s">
        <v>1357</v>
      </c>
      <c r="H1173" t="s">
        <v>35</v>
      </c>
      <c r="I1173">
        <v>0</v>
      </c>
      <c r="J1173">
        <v>0</v>
      </c>
      <c r="K1173">
        <v>0</v>
      </c>
      <c r="L1173">
        <v>0</v>
      </c>
      <c r="M1173">
        <v>0</v>
      </c>
      <c r="N1173">
        <v>0</v>
      </c>
      <c r="O1173">
        <v>0</v>
      </c>
      <c r="P1173">
        <v>0</v>
      </c>
      <c r="Q1173">
        <v>0</v>
      </c>
      <c r="R1173">
        <v>0</v>
      </c>
      <c r="S1173">
        <v>0</v>
      </c>
      <c r="T1173">
        <v>0</v>
      </c>
      <c r="U1173">
        <v>0</v>
      </c>
      <c r="V1173">
        <v>0</v>
      </c>
      <c r="W1173">
        <v>0</v>
      </c>
      <c r="X1173">
        <v>0</v>
      </c>
      <c r="Y1173">
        <v>0</v>
      </c>
      <c r="Z1173">
        <v>0</v>
      </c>
      <c r="AA1173">
        <v>0</v>
      </c>
      <c r="AB1173">
        <v>0</v>
      </c>
      <c r="AC1173">
        <v>0</v>
      </c>
      <c r="AD1173">
        <v>0</v>
      </c>
      <c r="AE1173">
        <v>0</v>
      </c>
      <c r="AF1173">
        <v>0</v>
      </c>
      <c r="AG1173">
        <v>0</v>
      </c>
      <c r="AH1173">
        <v>0</v>
      </c>
      <c r="AI1173">
        <v>0</v>
      </c>
      <c r="AJ1173">
        <v>0</v>
      </c>
      <c r="AK1173">
        <v>0</v>
      </c>
      <c r="AL1173">
        <v>0</v>
      </c>
      <c r="AM1173">
        <v>0</v>
      </c>
    </row>
    <row r="1174" spans="1:39" x14ac:dyDescent="0.35">
      <c r="A1174" t="s">
        <v>174</v>
      </c>
      <c r="B1174" t="s">
        <v>311</v>
      </c>
      <c r="C1174" t="s">
        <v>176</v>
      </c>
      <c r="D1174" t="s">
        <v>315</v>
      </c>
      <c r="E1174" t="s">
        <v>1343</v>
      </c>
      <c r="F1174" t="s">
        <v>180</v>
      </c>
      <c r="G1174" t="s">
        <v>1353</v>
      </c>
      <c r="H1174" t="s">
        <v>35</v>
      </c>
      <c r="I1174">
        <v>0</v>
      </c>
      <c r="J1174">
        <v>0</v>
      </c>
      <c r="K1174">
        <v>0</v>
      </c>
      <c r="L1174">
        <v>0</v>
      </c>
      <c r="M1174">
        <v>0</v>
      </c>
      <c r="N1174">
        <v>0</v>
      </c>
      <c r="O1174">
        <v>0</v>
      </c>
      <c r="P1174">
        <v>0</v>
      </c>
      <c r="Q1174">
        <v>0</v>
      </c>
      <c r="R1174">
        <v>0</v>
      </c>
      <c r="S1174">
        <v>0</v>
      </c>
      <c r="T1174">
        <v>0</v>
      </c>
      <c r="U1174">
        <v>0</v>
      </c>
      <c r="V1174">
        <v>0</v>
      </c>
      <c r="W1174">
        <v>0</v>
      </c>
      <c r="X1174">
        <v>0</v>
      </c>
      <c r="Y1174">
        <v>0</v>
      </c>
      <c r="Z1174">
        <v>0</v>
      </c>
      <c r="AA1174">
        <v>0</v>
      </c>
      <c r="AB1174">
        <v>0</v>
      </c>
      <c r="AC1174">
        <v>0</v>
      </c>
      <c r="AD1174">
        <v>0</v>
      </c>
      <c r="AE1174">
        <v>0</v>
      </c>
      <c r="AF1174">
        <v>0</v>
      </c>
      <c r="AG1174">
        <v>0</v>
      </c>
      <c r="AH1174">
        <v>0</v>
      </c>
      <c r="AI1174">
        <v>0</v>
      </c>
      <c r="AJ1174">
        <v>0</v>
      </c>
      <c r="AK1174">
        <v>0</v>
      </c>
      <c r="AL1174">
        <v>0</v>
      </c>
      <c r="AM1174">
        <v>0</v>
      </c>
    </row>
    <row r="1175" spans="1:39" x14ac:dyDescent="0.35">
      <c r="A1175" t="s">
        <v>174</v>
      </c>
      <c r="B1175" t="s">
        <v>311</v>
      </c>
      <c r="C1175" t="s">
        <v>176</v>
      </c>
      <c r="D1175" t="s">
        <v>315</v>
      </c>
      <c r="E1175" t="s">
        <v>1196</v>
      </c>
      <c r="F1175" t="s">
        <v>180</v>
      </c>
      <c r="G1175" t="s">
        <v>1240</v>
      </c>
      <c r="H1175" t="s">
        <v>35</v>
      </c>
      <c r="I1175">
        <v>0</v>
      </c>
      <c r="J1175">
        <v>0</v>
      </c>
      <c r="K1175">
        <v>0</v>
      </c>
      <c r="L1175">
        <v>0</v>
      </c>
      <c r="M1175">
        <v>0</v>
      </c>
      <c r="N1175">
        <v>0</v>
      </c>
      <c r="O1175">
        <v>0</v>
      </c>
      <c r="P1175">
        <v>0</v>
      </c>
      <c r="Q1175">
        <v>0</v>
      </c>
      <c r="R1175">
        <v>0</v>
      </c>
      <c r="S1175">
        <v>0</v>
      </c>
      <c r="T1175">
        <v>0</v>
      </c>
      <c r="U1175">
        <v>0</v>
      </c>
      <c r="V1175">
        <v>0</v>
      </c>
      <c r="W1175">
        <v>0</v>
      </c>
      <c r="X1175">
        <v>0</v>
      </c>
      <c r="Y1175">
        <v>0</v>
      </c>
      <c r="Z1175">
        <v>0</v>
      </c>
      <c r="AA1175">
        <v>0</v>
      </c>
      <c r="AB1175">
        <v>0</v>
      </c>
      <c r="AC1175">
        <v>0</v>
      </c>
      <c r="AD1175">
        <v>0</v>
      </c>
      <c r="AE1175">
        <v>0</v>
      </c>
      <c r="AF1175">
        <v>0</v>
      </c>
      <c r="AG1175">
        <v>0</v>
      </c>
      <c r="AH1175">
        <v>0</v>
      </c>
      <c r="AI1175">
        <v>0</v>
      </c>
      <c r="AJ1175">
        <v>0</v>
      </c>
      <c r="AK1175">
        <v>0</v>
      </c>
      <c r="AL1175">
        <v>0</v>
      </c>
      <c r="AM1175">
        <v>0</v>
      </c>
    </row>
    <row r="1176" spans="1:39" x14ac:dyDescent="0.35">
      <c r="A1176" t="s">
        <v>174</v>
      </c>
      <c r="B1176" t="s">
        <v>311</v>
      </c>
      <c r="C1176" t="s">
        <v>176</v>
      </c>
      <c r="D1176" t="s">
        <v>315</v>
      </c>
      <c r="E1176" t="s">
        <v>1194</v>
      </c>
      <c r="F1176" t="s">
        <v>180</v>
      </c>
      <c r="G1176" t="s">
        <v>1241</v>
      </c>
      <c r="H1176" t="s">
        <v>35</v>
      </c>
      <c r="I1176">
        <v>0</v>
      </c>
      <c r="J1176">
        <v>0</v>
      </c>
      <c r="K1176">
        <v>0</v>
      </c>
      <c r="L1176">
        <v>0</v>
      </c>
      <c r="M1176">
        <v>0</v>
      </c>
      <c r="N1176">
        <v>0</v>
      </c>
      <c r="O1176">
        <v>0</v>
      </c>
      <c r="P1176">
        <v>0</v>
      </c>
      <c r="Q1176">
        <v>0</v>
      </c>
      <c r="R1176">
        <v>0</v>
      </c>
      <c r="S1176">
        <v>0</v>
      </c>
      <c r="T1176">
        <v>0</v>
      </c>
      <c r="U1176">
        <v>0</v>
      </c>
      <c r="V1176">
        <v>0</v>
      </c>
      <c r="W1176">
        <v>0</v>
      </c>
      <c r="X1176">
        <v>0</v>
      </c>
      <c r="Y1176">
        <v>0</v>
      </c>
      <c r="Z1176">
        <v>0</v>
      </c>
      <c r="AA1176">
        <v>0</v>
      </c>
      <c r="AB1176">
        <v>0</v>
      </c>
      <c r="AC1176">
        <v>0</v>
      </c>
      <c r="AD1176">
        <v>0</v>
      </c>
      <c r="AE1176">
        <v>0</v>
      </c>
      <c r="AF1176">
        <v>0</v>
      </c>
      <c r="AG1176">
        <v>0</v>
      </c>
      <c r="AH1176">
        <v>0</v>
      </c>
      <c r="AI1176">
        <v>0</v>
      </c>
      <c r="AJ1176">
        <v>0</v>
      </c>
      <c r="AK1176">
        <v>0</v>
      </c>
      <c r="AL1176">
        <v>0</v>
      </c>
      <c r="AM1176">
        <v>0</v>
      </c>
    </row>
    <row r="1177" spans="1:39" x14ac:dyDescent="0.35">
      <c r="A1177" t="s">
        <v>174</v>
      </c>
      <c r="B1177" t="s">
        <v>311</v>
      </c>
      <c r="C1177" t="s">
        <v>176</v>
      </c>
      <c r="D1177" t="s">
        <v>315</v>
      </c>
      <c r="E1177" t="s">
        <v>2</v>
      </c>
      <c r="F1177" t="s">
        <v>180</v>
      </c>
      <c r="G1177" t="s">
        <v>1242</v>
      </c>
      <c r="H1177" t="s">
        <v>35</v>
      </c>
      <c r="I1177">
        <v>0</v>
      </c>
      <c r="J1177">
        <v>0</v>
      </c>
      <c r="K1177">
        <v>0</v>
      </c>
      <c r="L1177">
        <v>0</v>
      </c>
      <c r="M1177">
        <v>0</v>
      </c>
      <c r="N1177">
        <v>0</v>
      </c>
      <c r="O1177">
        <v>0</v>
      </c>
      <c r="P1177">
        <v>0</v>
      </c>
      <c r="Q1177">
        <v>0</v>
      </c>
      <c r="R1177">
        <v>0</v>
      </c>
      <c r="S1177">
        <v>0</v>
      </c>
      <c r="T1177">
        <v>0</v>
      </c>
      <c r="U1177">
        <v>0</v>
      </c>
      <c r="V1177">
        <v>0</v>
      </c>
      <c r="W1177">
        <v>0</v>
      </c>
      <c r="X1177">
        <v>0</v>
      </c>
      <c r="Y1177">
        <v>0</v>
      </c>
      <c r="Z1177">
        <v>0</v>
      </c>
      <c r="AA1177">
        <v>0</v>
      </c>
      <c r="AB1177">
        <v>0</v>
      </c>
      <c r="AC1177">
        <v>0</v>
      </c>
      <c r="AD1177">
        <v>0</v>
      </c>
      <c r="AE1177">
        <v>0</v>
      </c>
      <c r="AF1177">
        <v>0</v>
      </c>
      <c r="AG1177">
        <v>0</v>
      </c>
      <c r="AH1177">
        <v>0</v>
      </c>
      <c r="AI1177">
        <v>0</v>
      </c>
      <c r="AJ1177">
        <v>0</v>
      </c>
      <c r="AK1177">
        <v>0</v>
      </c>
      <c r="AL1177">
        <v>0</v>
      </c>
      <c r="AM1177">
        <v>0</v>
      </c>
    </row>
    <row r="1178" spans="1:39" x14ac:dyDescent="0.35">
      <c r="A1178" t="s">
        <v>174</v>
      </c>
      <c r="B1178" t="s">
        <v>311</v>
      </c>
      <c r="C1178" t="s">
        <v>176</v>
      </c>
      <c r="D1178" t="s">
        <v>315</v>
      </c>
      <c r="E1178" t="s">
        <v>353</v>
      </c>
      <c r="F1178" t="s">
        <v>180</v>
      </c>
      <c r="G1178" t="s">
        <v>430</v>
      </c>
      <c r="H1178" t="s">
        <v>35</v>
      </c>
      <c r="I1178">
        <v>0</v>
      </c>
      <c r="J1178">
        <v>0</v>
      </c>
      <c r="K1178">
        <v>0</v>
      </c>
      <c r="L1178">
        <v>0</v>
      </c>
      <c r="M1178">
        <v>0</v>
      </c>
      <c r="N1178">
        <v>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0</v>
      </c>
      <c r="AK1178">
        <v>0</v>
      </c>
      <c r="AL1178">
        <v>0</v>
      </c>
      <c r="AM1178">
        <v>0</v>
      </c>
    </row>
    <row r="1179" spans="1:39" x14ac:dyDescent="0.35">
      <c r="A1179" t="s">
        <v>174</v>
      </c>
      <c r="B1179" t="s">
        <v>311</v>
      </c>
      <c r="C1179" t="s">
        <v>176</v>
      </c>
      <c r="D1179" t="s">
        <v>315</v>
      </c>
      <c r="E1179" t="s">
        <v>352</v>
      </c>
      <c r="F1179" t="s">
        <v>180</v>
      </c>
      <c r="G1179" t="s">
        <v>434</v>
      </c>
      <c r="H1179" t="s">
        <v>68</v>
      </c>
      <c r="I1179">
        <v>0</v>
      </c>
      <c r="J1179">
        <v>0</v>
      </c>
      <c r="K1179">
        <v>0</v>
      </c>
      <c r="L1179">
        <v>0</v>
      </c>
      <c r="M1179">
        <v>0</v>
      </c>
      <c r="N1179">
        <v>0</v>
      </c>
      <c r="O1179">
        <v>0</v>
      </c>
      <c r="P1179">
        <v>0</v>
      </c>
      <c r="Q1179">
        <v>0</v>
      </c>
      <c r="R1179">
        <v>0</v>
      </c>
      <c r="S1179">
        <v>0</v>
      </c>
      <c r="T1179">
        <v>0</v>
      </c>
      <c r="U1179">
        <v>0</v>
      </c>
      <c r="V1179">
        <v>0</v>
      </c>
      <c r="W1179">
        <v>0</v>
      </c>
      <c r="X1179">
        <v>0</v>
      </c>
      <c r="Y1179">
        <v>0</v>
      </c>
      <c r="Z1179">
        <v>0</v>
      </c>
      <c r="AA1179">
        <v>0</v>
      </c>
      <c r="AB1179">
        <v>0</v>
      </c>
      <c r="AC1179">
        <v>0</v>
      </c>
      <c r="AD1179">
        <v>0</v>
      </c>
      <c r="AE1179">
        <v>0</v>
      </c>
      <c r="AF1179">
        <v>0</v>
      </c>
      <c r="AG1179">
        <v>0</v>
      </c>
      <c r="AH1179">
        <v>0</v>
      </c>
      <c r="AI1179">
        <v>0</v>
      </c>
      <c r="AJ1179">
        <v>0</v>
      </c>
      <c r="AK1179">
        <v>0</v>
      </c>
      <c r="AL1179">
        <v>0</v>
      </c>
      <c r="AM1179">
        <v>0</v>
      </c>
    </row>
    <row r="1180" spans="1:39" x14ac:dyDescent="0.35">
      <c r="A1180" t="s">
        <v>174</v>
      </c>
      <c r="B1180" t="s">
        <v>311</v>
      </c>
      <c r="C1180" t="s">
        <v>176</v>
      </c>
      <c r="D1180" t="s">
        <v>315</v>
      </c>
      <c r="E1180" t="s">
        <v>1346</v>
      </c>
      <c r="F1180" t="s">
        <v>180</v>
      </c>
      <c r="G1180" t="s">
        <v>1365</v>
      </c>
      <c r="H1180" t="s">
        <v>35</v>
      </c>
      <c r="I1180">
        <v>0</v>
      </c>
      <c r="J1180">
        <v>0</v>
      </c>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0</v>
      </c>
      <c r="AD1180">
        <v>0</v>
      </c>
      <c r="AE1180">
        <v>0</v>
      </c>
      <c r="AF1180">
        <v>0</v>
      </c>
      <c r="AG1180">
        <v>0</v>
      </c>
      <c r="AH1180">
        <v>0</v>
      </c>
      <c r="AI1180">
        <v>0</v>
      </c>
      <c r="AJ1180">
        <v>0</v>
      </c>
      <c r="AK1180">
        <v>0</v>
      </c>
      <c r="AL1180">
        <v>0</v>
      </c>
      <c r="AM1180">
        <v>0</v>
      </c>
    </row>
    <row r="1181" spans="1:39" x14ac:dyDescent="0.35">
      <c r="A1181" t="s">
        <v>174</v>
      </c>
      <c r="B1181" t="s">
        <v>311</v>
      </c>
      <c r="C1181" t="s">
        <v>176</v>
      </c>
      <c r="D1181" t="s">
        <v>315</v>
      </c>
      <c r="E1181" t="s">
        <v>497</v>
      </c>
      <c r="F1181" t="s">
        <v>180</v>
      </c>
      <c r="G1181" t="s">
        <v>658</v>
      </c>
      <c r="H1181" t="s">
        <v>35</v>
      </c>
      <c r="I1181">
        <v>0</v>
      </c>
      <c r="J1181">
        <v>0</v>
      </c>
      <c r="K1181">
        <v>0</v>
      </c>
      <c r="L1181">
        <v>0</v>
      </c>
      <c r="M1181">
        <v>0</v>
      </c>
      <c r="N1181">
        <v>0</v>
      </c>
      <c r="O1181">
        <v>0</v>
      </c>
      <c r="P1181">
        <v>0</v>
      </c>
      <c r="Q1181">
        <v>0</v>
      </c>
      <c r="R1181">
        <v>0</v>
      </c>
      <c r="S1181">
        <v>0</v>
      </c>
      <c r="T1181">
        <v>0</v>
      </c>
      <c r="U1181">
        <v>0</v>
      </c>
      <c r="V1181">
        <v>0</v>
      </c>
      <c r="W1181">
        <v>0</v>
      </c>
      <c r="X1181">
        <v>0</v>
      </c>
      <c r="Y1181">
        <v>0</v>
      </c>
      <c r="Z1181">
        <v>0</v>
      </c>
      <c r="AA1181">
        <v>0</v>
      </c>
      <c r="AB1181">
        <v>0</v>
      </c>
      <c r="AC1181">
        <v>0</v>
      </c>
      <c r="AD1181">
        <v>0</v>
      </c>
      <c r="AE1181">
        <v>0</v>
      </c>
      <c r="AF1181">
        <v>0</v>
      </c>
      <c r="AG1181">
        <v>0</v>
      </c>
      <c r="AH1181">
        <v>0</v>
      </c>
      <c r="AI1181">
        <v>0</v>
      </c>
      <c r="AJ1181">
        <v>0</v>
      </c>
      <c r="AK1181">
        <v>0</v>
      </c>
      <c r="AL1181">
        <v>0</v>
      </c>
      <c r="AM1181">
        <v>0</v>
      </c>
    </row>
    <row r="1182" spans="1:39" x14ac:dyDescent="0.35">
      <c r="A1182" t="s">
        <v>174</v>
      </c>
      <c r="B1182" t="s">
        <v>311</v>
      </c>
      <c r="C1182" t="s">
        <v>176</v>
      </c>
      <c r="D1182" t="s">
        <v>315</v>
      </c>
      <c r="E1182" t="s">
        <v>1306</v>
      </c>
      <c r="F1182" t="s">
        <v>180</v>
      </c>
      <c r="G1182" t="s">
        <v>1309</v>
      </c>
      <c r="H1182" t="s">
        <v>35</v>
      </c>
      <c r="I1182">
        <v>0</v>
      </c>
      <c r="J1182">
        <v>0</v>
      </c>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c r="AI1182">
        <v>0</v>
      </c>
      <c r="AJ1182">
        <v>0</v>
      </c>
      <c r="AK1182">
        <v>0</v>
      </c>
      <c r="AL1182">
        <v>0</v>
      </c>
      <c r="AM1182">
        <v>0</v>
      </c>
    </row>
    <row r="1183" spans="1:39" x14ac:dyDescent="0.35">
      <c r="A1183" t="s">
        <v>174</v>
      </c>
      <c r="B1183" t="s">
        <v>311</v>
      </c>
      <c r="C1183" t="s">
        <v>176</v>
      </c>
      <c r="D1183" t="s">
        <v>315</v>
      </c>
      <c r="E1183" t="s">
        <v>349</v>
      </c>
      <c r="F1183" t="s">
        <v>180</v>
      </c>
      <c r="G1183" t="s">
        <v>438</v>
      </c>
      <c r="H1183" t="s">
        <v>35</v>
      </c>
      <c r="I1183">
        <v>0</v>
      </c>
      <c r="J1183">
        <v>0</v>
      </c>
      <c r="K1183">
        <v>0</v>
      </c>
      <c r="L1183">
        <v>0</v>
      </c>
      <c r="M1183">
        <v>0</v>
      </c>
      <c r="N1183">
        <v>0</v>
      </c>
      <c r="O1183">
        <v>0</v>
      </c>
      <c r="P1183">
        <v>0</v>
      </c>
      <c r="Q1183">
        <v>0</v>
      </c>
      <c r="R1183">
        <v>0</v>
      </c>
      <c r="S1183">
        <v>0</v>
      </c>
      <c r="T1183">
        <v>0</v>
      </c>
      <c r="U1183">
        <v>0</v>
      </c>
      <c r="V1183">
        <v>0</v>
      </c>
      <c r="W1183">
        <v>0</v>
      </c>
      <c r="X1183">
        <v>0</v>
      </c>
      <c r="Y1183">
        <v>0</v>
      </c>
      <c r="Z1183">
        <v>0</v>
      </c>
      <c r="AA1183">
        <v>0</v>
      </c>
      <c r="AB1183">
        <v>0</v>
      </c>
      <c r="AC1183">
        <v>0</v>
      </c>
      <c r="AD1183">
        <v>0</v>
      </c>
      <c r="AE1183">
        <v>0</v>
      </c>
      <c r="AF1183">
        <v>0</v>
      </c>
      <c r="AG1183">
        <v>0</v>
      </c>
      <c r="AH1183">
        <v>0</v>
      </c>
      <c r="AI1183">
        <v>0</v>
      </c>
      <c r="AJ1183">
        <v>0</v>
      </c>
      <c r="AK1183">
        <v>0</v>
      </c>
      <c r="AL1183">
        <v>0</v>
      </c>
      <c r="AM1183">
        <v>0</v>
      </c>
    </row>
    <row r="1184" spans="1:39" x14ac:dyDescent="0.35">
      <c r="A1184" t="s">
        <v>174</v>
      </c>
      <c r="B1184" t="s">
        <v>311</v>
      </c>
      <c r="C1184" t="s">
        <v>176</v>
      </c>
      <c r="D1184" t="s">
        <v>315</v>
      </c>
      <c r="E1184" t="s">
        <v>985</v>
      </c>
      <c r="F1184" t="s">
        <v>180</v>
      </c>
      <c r="G1184" t="s">
        <v>1141</v>
      </c>
      <c r="H1184" t="s">
        <v>35</v>
      </c>
      <c r="I1184">
        <v>0</v>
      </c>
      <c r="J1184">
        <v>0</v>
      </c>
      <c r="K1184">
        <v>0</v>
      </c>
      <c r="L1184">
        <v>0</v>
      </c>
      <c r="M1184">
        <v>0</v>
      </c>
      <c r="N1184">
        <v>0</v>
      </c>
      <c r="O1184">
        <v>0</v>
      </c>
      <c r="P1184">
        <v>0</v>
      </c>
      <c r="Q1184">
        <v>0</v>
      </c>
      <c r="R1184">
        <v>0</v>
      </c>
      <c r="S1184">
        <v>0</v>
      </c>
      <c r="T1184">
        <v>0</v>
      </c>
      <c r="U1184">
        <v>0</v>
      </c>
      <c r="V1184">
        <v>0</v>
      </c>
      <c r="W1184">
        <v>0</v>
      </c>
      <c r="X1184">
        <v>0</v>
      </c>
      <c r="Y1184">
        <v>0</v>
      </c>
      <c r="Z1184">
        <v>0</v>
      </c>
      <c r="AA1184">
        <v>0</v>
      </c>
      <c r="AB1184">
        <v>0</v>
      </c>
      <c r="AC1184">
        <v>0</v>
      </c>
      <c r="AD1184">
        <v>0</v>
      </c>
      <c r="AE1184">
        <v>0</v>
      </c>
      <c r="AF1184">
        <v>0</v>
      </c>
      <c r="AG1184">
        <v>0</v>
      </c>
      <c r="AH1184">
        <v>0</v>
      </c>
      <c r="AI1184">
        <v>0</v>
      </c>
      <c r="AJ1184">
        <v>0</v>
      </c>
      <c r="AK1184">
        <v>0</v>
      </c>
      <c r="AL1184">
        <v>0</v>
      </c>
      <c r="AM1184">
        <v>0</v>
      </c>
    </row>
    <row r="1185" spans="1:39" x14ac:dyDescent="0.35">
      <c r="A1185" t="s">
        <v>174</v>
      </c>
      <c r="B1185" t="s">
        <v>311</v>
      </c>
      <c r="C1185" t="s">
        <v>176</v>
      </c>
      <c r="D1185" t="s">
        <v>315</v>
      </c>
      <c r="E1185" t="s">
        <v>355</v>
      </c>
      <c r="F1185" t="s">
        <v>180</v>
      </c>
      <c r="G1185" t="s">
        <v>442</v>
      </c>
      <c r="H1185" t="s">
        <v>35</v>
      </c>
      <c r="I1185">
        <v>0</v>
      </c>
      <c r="J1185">
        <v>0</v>
      </c>
      <c r="K1185">
        <v>0</v>
      </c>
      <c r="L1185">
        <v>0</v>
      </c>
      <c r="M1185">
        <v>0</v>
      </c>
      <c r="N1185">
        <v>0</v>
      </c>
      <c r="O1185">
        <v>0</v>
      </c>
      <c r="P1185">
        <v>0</v>
      </c>
      <c r="Q1185">
        <v>0</v>
      </c>
      <c r="R1185">
        <v>0</v>
      </c>
      <c r="S1185">
        <v>0</v>
      </c>
      <c r="T1185">
        <v>0</v>
      </c>
      <c r="U1185">
        <v>0</v>
      </c>
      <c r="V1185">
        <v>0</v>
      </c>
      <c r="W1185">
        <v>0</v>
      </c>
      <c r="X1185">
        <v>0</v>
      </c>
      <c r="Y1185">
        <v>0</v>
      </c>
      <c r="Z1185">
        <v>0</v>
      </c>
      <c r="AA1185">
        <v>0</v>
      </c>
      <c r="AB1185">
        <v>0</v>
      </c>
      <c r="AC1185">
        <v>0</v>
      </c>
      <c r="AD1185">
        <v>0</v>
      </c>
      <c r="AE1185">
        <v>0</v>
      </c>
      <c r="AF1185">
        <v>0</v>
      </c>
      <c r="AG1185">
        <v>0</v>
      </c>
      <c r="AH1185">
        <v>0</v>
      </c>
      <c r="AI1185">
        <v>0</v>
      </c>
      <c r="AJ1185">
        <v>0</v>
      </c>
      <c r="AK1185">
        <v>0</v>
      </c>
      <c r="AL1185">
        <v>0</v>
      </c>
      <c r="AM1185">
        <v>0</v>
      </c>
    </row>
    <row r="1186" spans="1:39" x14ac:dyDescent="0.35">
      <c r="A1186" t="s">
        <v>174</v>
      </c>
      <c r="B1186" t="s">
        <v>311</v>
      </c>
      <c r="C1186" t="s">
        <v>176</v>
      </c>
      <c r="D1186" t="s">
        <v>315</v>
      </c>
      <c r="E1186" t="s">
        <v>1339</v>
      </c>
      <c r="F1186" t="s">
        <v>180</v>
      </c>
      <c r="G1186" t="s">
        <v>1401</v>
      </c>
      <c r="H1186" t="s">
        <v>35</v>
      </c>
      <c r="I1186">
        <v>0</v>
      </c>
      <c r="J1186">
        <v>0</v>
      </c>
      <c r="K1186">
        <v>0</v>
      </c>
      <c r="L1186">
        <v>0</v>
      </c>
      <c r="M1186">
        <v>0</v>
      </c>
      <c r="N1186">
        <v>0</v>
      </c>
      <c r="O1186">
        <v>0</v>
      </c>
      <c r="P1186">
        <v>0</v>
      </c>
      <c r="Q1186">
        <v>0</v>
      </c>
      <c r="R1186">
        <v>0</v>
      </c>
      <c r="S1186">
        <v>0</v>
      </c>
      <c r="T1186">
        <v>0</v>
      </c>
      <c r="U1186">
        <v>0</v>
      </c>
      <c r="V1186">
        <v>0</v>
      </c>
      <c r="W1186">
        <v>0</v>
      </c>
      <c r="X1186">
        <v>0</v>
      </c>
      <c r="Y1186">
        <v>0</v>
      </c>
      <c r="Z1186">
        <v>0</v>
      </c>
      <c r="AA1186">
        <v>0</v>
      </c>
      <c r="AB1186">
        <v>0</v>
      </c>
      <c r="AC1186">
        <v>0</v>
      </c>
      <c r="AD1186">
        <v>0</v>
      </c>
      <c r="AE1186">
        <v>0</v>
      </c>
      <c r="AF1186">
        <v>0</v>
      </c>
      <c r="AG1186">
        <v>0</v>
      </c>
      <c r="AH1186">
        <v>0</v>
      </c>
      <c r="AI1186">
        <v>0</v>
      </c>
      <c r="AJ1186">
        <v>0</v>
      </c>
      <c r="AK1186">
        <v>0</v>
      </c>
      <c r="AL1186">
        <v>0</v>
      </c>
      <c r="AM1186">
        <v>0</v>
      </c>
    </row>
    <row r="1187" spans="1:39" x14ac:dyDescent="0.35">
      <c r="A1187" t="s">
        <v>174</v>
      </c>
      <c r="B1187" t="s">
        <v>311</v>
      </c>
      <c r="C1187" t="s">
        <v>176</v>
      </c>
      <c r="D1187" t="s">
        <v>315</v>
      </c>
      <c r="E1187" t="s">
        <v>1348</v>
      </c>
      <c r="F1187" t="s">
        <v>180</v>
      </c>
      <c r="G1187" t="s">
        <v>1373</v>
      </c>
      <c r="H1187" t="s">
        <v>35</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c r="AI1187">
        <v>0</v>
      </c>
      <c r="AJ1187">
        <v>0</v>
      </c>
      <c r="AK1187">
        <v>0</v>
      </c>
      <c r="AL1187">
        <v>0</v>
      </c>
      <c r="AM1187">
        <v>0</v>
      </c>
    </row>
    <row r="1188" spans="1:39" x14ac:dyDescent="0.35">
      <c r="A1188" t="s">
        <v>174</v>
      </c>
      <c r="B1188" t="s">
        <v>311</v>
      </c>
      <c r="C1188" t="s">
        <v>176</v>
      </c>
      <c r="D1188" t="s">
        <v>315</v>
      </c>
      <c r="E1188" t="s">
        <v>354</v>
      </c>
      <c r="F1188" t="s">
        <v>180</v>
      </c>
      <c r="G1188" t="s">
        <v>446</v>
      </c>
      <c r="H1188" t="s">
        <v>35</v>
      </c>
      <c r="I1188">
        <v>0</v>
      </c>
      <c r="J1188">
        <v>0</v>
      </c>
      <c r="K1188">
        <v>0</v>
      </c>
      <c r="L1188">
        <v>0</v>
      </c>
      <c r="M1188">
        <v>0</v>
      </c>
      <c r="N1188">
        <v>0</v>
      </c>
      <c r="O1188">
        <v>0</v>
      </c>
      <c r="P1188">
        <v>0</v>
      </c>
      <c r="Q1188">
        <v>0</v>
      </c>
      <c r="R1188">
        <v>0</v>
      </c>
      <c r="S1188">
        <v>0</v>
      </c>
      <c r="T1188">
        <v>0</v>
      </c>
      <c r="U1188">
        <v>0</v>
      </c>
      <c r="V1188">
        <v>0</v>
      </c>
      <c r="W1188">
        <v>0</v>
      </c>
      <c r="X1188">
        <v>0</v>
      </c>
      <c r="Y1188">
        <v>0</v>
      </c>
      <c r="Z1188">
        <v>0</v>
      </c>
      <c r="AA1188">
        <v>0</v>
      </c>
      <c r="AB1188">
        <v>0</v>
      </c>
      <c r="AC1188">
        <v>0</v>
      </c>
      <c r="AD1188">
        <v>0</v>
      </c>
      <c r="AE1188">
        <v>0</v>
      </c>
      <c r="AF1188">
        <v>0</v>
      </c>
      <c r="AG1188">
        <v>0</v>
      </c>
      <c r="AH1188">
        <v>0</v>
      </c>
      <c r="AI1188">
        <v>0</v>
      </c>
      <c r="AJ1188">
        <v>0</v>
      </c>
      <c r="AK1188">
        <v>0</v>
      </c>
      <c r="AL1188">
        <v>0</v>
      </c>
      <c r="AM1188">
        <v>0</v>
      </c>
    </row>
    <row r="1189" spans="1:39" x14ac:dyDescent="0.35">
      <c r="A1189" t="s">
        <v>174</v>
      </c>
      <c r="B1189" t="s">
        <v>311</v>
      </c>
      <c r="C1189" t="s">
        <v>176</v>
      </c>
      <c r="D1189" t="s">
        <v>315</v>
      </c>
      <c r="E1189" t="s">
        <v>19</v>
      </c>
      <c r="F1189" t="s">
        <v>180</v>
      </c>
      <c r="G1189" t="s">
        <v>1243</v>
      </c>
      <c r="H1189" t="s">
        <v>35</v>
      </c>
      <c r="I1189">
        <v>0</v>
      </c>
      <c r="J1189">
        <v>0</v>
      </c>
      <c r="K1189">
        <v>0</v>
      </c>
      <c r="L1189">
        <v>0</v>
      </c>
      <c r="M1189">
        <v>0</v>
      </c>
      <c r="N1189">
        <v>0</v>
      </c>
      <c r="O1189">
        <v>0</v>
      </c>
      <c r="P1189">
        <v>0</v>
      </c>
      <c r="Q1189">
        <v>0</v>
      </c>
      <c r="R1189">
        <v>0</v>
      </c>
      <c r="S1189">
        <v>0</v>
      </c>
      <c r="T1189">
        <v>0</v>
      </c>
      <c r="U1189">
        <v>0</v>
      </c>
      <c r="V1189">
        <v>0</v>
      </c>
      <c r="W1189">
        <v>0</v>
      </c>
      <c r="X1189">
        <v>0</v>
      </c>
      <c r="Y1189">
        <v>0</v>
      </c>
      <c r="Z1189">
        <v>0</v>
      </c>
      <c r="AA1189">
        <v>0</v>
      </c>
      <c r="AB1189">
        <v>0</v>
      </c>
      <c r="AC1189">
        <v>0</v>
      </c>
      <c r="AD1189">
        <v>0</v>
      </c>
      <c r="AE1189">
        <v>0</v>
      </c>
      <c r="AF1189">
        <v>0</v>
      </c>
      <c r="AG1189">
        <v>0</v>
      </c>
      <c r="AH1189">
        <v>0</v>
      </c>
      <c r="AI1189">
        <v>0</v>
      </c>
      <c r="AJ1189">
        <v>0</v>
      </c>
      <c r="AK1189">
        <v>0</v>
      </c>
      <c r="AL1189">
        <v>0</v>
      </c>
      <c r="AM1189">
        <v>0</v>
      </c>
    </row>
    <row r="1190" spans="1:39" x14ac:dyDescent="0.35">
      <c r="A1190" t="s">
        <v>174</v>
      </c>
      <c r="B1190" t="s">
        <v>311</v>
      </c>
      <c r="C1190" t="s">
        <v>176</v>
      </c>
      <c r="D1190" t="s">
        <v>315</v>
      </c>
      <c r="E1190" t="s">
        <v>20</v>
      </c>
      <c r="F1190" t="s">
        <v>180</v>
      </c>
      <c r="G1190" t="s">
        <v>1244</v>
      </c>
      <c r="H1190" t="s">
        <v>35</v>
      </c>
      <c r="I1190">
        <v>0</v>
      </c>
      <c r="J1190">
        <v>0</v>
      </c>
      <c r="K1190">
        <v>0</v>
      </c>
      <c r="L1190">
        <v>0</v>
      </c>
      <c r="M1190">
        <v>0</v>
      </c>
      <c r="N1190">
        <v>0</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c r="AI1190">
        <v>0</v>
      </c>
      <c r="AJ1190">
        <v>0</v>
      </c>
      <c r="AK1190">
        <v>0</v>
      </c>
      <c r="AL1190">
        <v>0</v>
      </c>
      <c r="AM1190">
        <v>0</v>
      </c>
    </row>
    <row r="1191" spans="1:39" x14ac:dyDescent="0.35">
      <c r="A1191" t="s">
        <v>174</v>
      </c>
      <c r="B1191" t="s">
        <v>311</v>
      </c>
      <c r="C1191" t="s">
        <v>176</v>
      </c>
      <c r="D1191" t="s">
        <v>315</v>
      </c>
      <c r="E1191" t="s">
        <v>350</v>
      </c>
      <c r="F1191" t="s">
        <v>180</v>
      </c>
      <c r="G1191" t="s">
        <v>450</v>
      </c>
      <c r="H1191" t="s">
        <v>35</v>
      </c>
      <c r="I1191">
        <v>0</v>
      </c>
      <c r="J1191">
        <v>0</v>
      </c>
      <c r="K1191">
        <v>0</v>
      </c>
      <c r="L1191">
        <v>0</v>
      </c>
      <c r="M1191">
        <v>0</v>
      </c>
      <c r="N1191">
        <v>0</v>
      </c>
      <c r="O1191">
        <v>0</v>
      </c>
      <c r="P1191">
        <v>0</v>
      </c>
      <c r="Q1191">
        <v>0</v>
      </c>
      <c r="R1191">
        <v>0</v>
      </c>
      <c r="S1191">
        <v>0</v>
      </c>
      <c r="T1191">
        <v>0</v>
      </c>
      <c r="U1191">
        <v>0</v>
      </c>
      <c r="V1191">
        <v>0</v>
      </c>
      <c r="W1191">
        <v>0</v>
      </c>
      <c r="X1191">
        <v>0</v>
      </c>
      <c r="Y1191">
        <v>0</v>
      </c>
      <c r="Z1191">
        <v>0</v>
      </c>
      <c r="AA1191">
        <v>0</v>
      </c>
      <c r="AB1191">
        <v>0</v>
      </c>
      <c r="AC1191">
        <v>0</v>
      </c>
      <c r="AD1191">
        <v>0</v>
      </c>
      <c r="AE1191">
        <v>0</v>
      </c>
      <c r="AF1191">
        <v>0</v>
      </c>
      <c r="AG1191">
        <v>0</v>
      </c>
      <c r="AH1191">
        <v>0</v>
      </c>
      <c r="AI1191">
        <v>0</v>
      </c>
      <c r="AJ1191">
        <v>0</v>
      </c>
      <c r="AK1191">
        <v>0</v>
      </c>
      <c r="AL1191">
        <v>0</v>
      </c>
      <c r="AM1191">
        <v>0</v>
      </c>
    </row>
    <row r="1192" spans="1:39" x14ac:dyDescent="0.35">
      <c r="A1192" t="s">
        <v>174</v>
      </c>
      <c r="B1192" t="s">
        <v>311</v>
      </c>
      <c r="C1192" t="s">
        <v>176</v>
      </c>
      <c r="D1192" t="s">
        <v>315</v>
      </c>
      <c r="E1192" t="s">
        <v>1347</v>
      </c>
      <c r="F1192" t="s">
        <v>180</v>
      </c>
      <c r="G1192" t="s">
        <v>1369</v>
      </c>
      <c r="H1192" t="s">
        <v>35</v>
      </c>
      <c r="I1192">
        <v>0</v>
      </c>
      <c r="J1192">
        <v>0</v>
      </c>
      <c r="K1192">
        <v>0</v>
      </c>
      <c r="L1192">
        <v>0</v>
      </c>
      <c r="M1192">
        <v>0</v>
      </c>
      <c r="N1192">
        <v>0</v>
      </c>
      <c r="O1192">
        <v>0</v>
      </c>
      <c r="P1192">
        <v>0</v>
      </c>
      <c r="Q1192">
        <v>0</v>
      </c>
      <c r="R1192">
        <v>0</v>
      </c>
      <c r="S1192">
        <v>0</v>
      </c>
      <c r="T1192">
        <v>0</v>
      </c>
      <c r="U1192">
        <v>0</v>
      </c>
      <c r="V1192">
        <v>0</v>
      </c>
      <c r="W1192">
        <v>0</v>
      </c>
      <c r="X1192">
        <v>0</v>
      </c>
      <c r="Y1192">
        <v>0</v>
      </c>
      <c r="Z1192">
        <v>0</v>
      </c>
      <c r="AA1192">
        <v>0</v>
      </c>
      <c r="AB1192">
        <v>0</v>
      </c>
      <c r="AC1192">
        <v>0</v>
      </c>
      <c r="AD1192">
        <v>0</v>
      </c>
      <c r="AE1192">
        <v>0</v>
      </c>
      <c r="AF1192">
        <v>0</v>
      </c>
      <c r="AG1192">
        <v>0</v>
      </c>
      <c r="AH1192">
        <v>0</v>
      </c>
      <c r="AI1192">
        <v>0</v>
      </c>
      <c r="AJ1192">
        <v>0</v>
      </c>
      <c r="AK1192">
        <v>0</v>
      </c>
      <c r="AL1192">
        <v>0</v>
      </c>
      <c r="AM1192">
        <v>0</v>
      </c>
    </row>
    <row r="1193" spans="1:39" x14ac:dyDescent="0.35">
      <c r="A1193" t="s">
        <v>174</v>
      </c>
      <c r="B1193" t="s">
        <v>311</v>
      </c>
      <c r="C1193" t="s">
        <v>176</v>
      </c>
      <c r="D1193" t="s">
        <v>315</v>
      </c>
      <c r="E1193" t="s">
        <v>351</v>
      </c>
      <c r="F1193" t="s">
        <v>180</v>
      </c>
      <c r="G1193" t="s">
        <v>454</v>
      </c>
      <c r="H1193" t="s">
        <v>35</v>
      </c>
      <c r="I1193">
        <v>0</v>
      </c>
      <c r="J1193">
        <v>0</v>
      </c>
      <c r="K1193">
        <v>0</v>
      </c>
      <c r="L1193">
        <v>0</v>
      </c>
      <c r="M1193">
        <v>0</v>
      </c>
      <c r="N1193">
        <v>0</v>
      </c>
      <c r="O1193">
        <v>0</v>
      </c>
      <c r="P1193">
        <v>0</v>
      </c>
      <c r="Q1193">
        <v>0</v>
      </c>
      <c r="R1193">
        <v>0</v>
      </c>
      <c r="S1193">
        <v>0</v>
      </c>
      <c r="T1193">
        <v>0</v>
      </c>
      <c r="U1193">
        <v>0</v>
      </c>
      <c r="V1193">
        <v>0</v>
      </c>
      <c r="W1193">
        <v>0</v>
      </c>
      <c r="X1193">
        <v>0</v>
      </c>
      <c r="Y1193">
        <v>0</v>
      </c>
      <c r="Z1193">
        <v>0</v>
      </c>
      <c r="AA1193">
        <v>0</v>
      </c>
      <c r="AB1193">
        <v>0</v>
      </c>
      <c r="AC1193">
        <v>0</v>
      </c>
      <c r="AD1193">
        <v>0</v>
      </c>
      <c r="AE1193">
        <v>0</v>
      </c>
      <c r="AF1193">
        <v>0</v>
      </c>
      <c r="AG1193">
        <v>0</v>
      </c>
      <c r="AH1193">
        <v>0</v>
      </c>
      <c r="AI1193">
        <v>0</v>
      </c>
      <c r="AJ1193">
        <v>0</v>
      </c>
      <c r="AK1193">
        <v>0</v>
      </c>
      <c r="AL1193">
        <v>0</v>
      </c>
      <c r="AM1193">
        <v>0</v>
      </c>
    </row>
    <row r="1194" spans="1:39" x14ac:dyDescent="0.35">
      <c r="A1194" t="s">
        <v>174</v>
      </c>
      <c r="B1194" t="s">
        <v>311</v>
      </c>
      <c r="C1194" t="s">
        <v>176</v>
      </c>
      <c r="D1194" t="s">
        <v>315</v>
      </c>
      <c r="E1194" t="s">
        <v>500</v>
      </c>
      <c r="F1194" t="s">
        <v>180</v>
      </c>
      <c r="G1194" t="s">
        <v>712</v>
      </c>
      <c r="H1194" t="s">
        <v>35</v>
      </c>
      <c r="I1194">
        <v>0</v>
      </c>
      <c r="J1194">
        <v>0</v>
      </c>
      <c r="K1194">
        <v>0</v>
      </c>
      <c r="L1194">
        <v>0</v>
      </c>
      <c r="M1194">
        <v>0</v>
      </c>
      <c r="N1194">
        <v>0</v>
      </c>
      <c r="O1194">
        <v>0</v>
      </c>
      <c r="P1194">
        <v>0</v>
      </c>
      <c r="Q1194">
        <v>0</v>
      </c>
      <c r="R1194">
        <v>0</v>
      </c>
      <c r="S1194">
        <v>0</v>
      </c>
      <c r="T1194">
        <v>0</v>
      </c>
      <c r="U1194">
        <v>0</v>
      </c>
      <c r="V1194">
        <v>0</v>
      </c>
      <c r="W1194">
        <v>0</v>
      </c>
      <c r="X1194">
        <v>0</v>
      </c>
      <c r="Y1194">
        <v>0</v>
      </c>
      <c r="Z1194">
        <v>0</v>
      </c>
      <c r="AA1194">
        <v>0</v>
      </c>
      <c r="AB1194">
        <v>0</v>
      </c>
      <c r="AC1194">
        <v>0</v>
      </c>
      <c r="AD1194">
        <v>0</v>
      </c>
      <c r="AE1194">
        <v>0</v>
      </c>
      <c r="AF1194">
        <v>0</v>
      </c>
      <c r="AG1194">
        <v>0</v>
      </c>
      <c r="AH1194">
        <v>0</v>
      </c>
      <c r="AI1194">
        <v>0</v>
      </c>
      <c r="AJ1194">
        <v>0</v>
      </c>
      <c r="AK1194">
        <v>0</v>
      </c>
      <c r="AL1194">
        <v>0</v>
      </c>
      <c r="AM1194">
        <v>0</v>
      </c>
    </row>
    <row r="1195" spans="1:39" x14ac:dyDescent="0.35">
      <c r="A1195" t="s">
        <v>174</v>
      </c>
      <c r="B1195" t="s">
        <v>311</v>
      </c>
      <c r="C1195" t="s">
        <v>176</v>
      </c>
      <c r="D1195" t="s">
        <v>315</v>
      </c>
      <c r="E1195" t="s">
        <v>501</v>
      </c>
      <c r="F1195" t="s">
        <v>180</v>
      </c>
      <c r="G1195" t="s">
        <v>666</v>
      </c>
      <c r="H1195" t="s">
        <v>35</v>
      </c>
      <c r="I1195">
        <v>0</v>
      </c>
      <c r="J1195">
        <v>0</v>
      </c>
      <c r="K1195">
        <v>0</v>
      </c>
      <c r="L1195">
        <v>0</v>
      </c>
      <c r="M1195">
        <v>0</v>
      </c>
      <c r="N1195">
        <v>0</v>
      </c>
      <c r="O1195">
        <v>0</v>
      </c>
      <c r="P1195">
        <v>0</v>
      </c>
      <c r="Q1195">
        <v>0</v>
      </c>
      <c r="R1195">
        <v>0</v>
      </c>
      <c r="S1195">
        <v>0</v>
      </c>
      <c r="T1195">
        <v>0</v>
      </c>
      <c r="U1195">
        <v>0</v>
      </c>
      <c r="V1195">
        <v>0</v>
      </c>
      <c r="W1195">
        <v>0</v>
      </c>
      <c r="X1195">
        <v>0</v>
      </c>
      <c r="Y1195">
        <v>0</v>
      </c>
      <c r="Z1195">
        <v>0</v>
      </c>
      <c r="AA1195">
        <v>0</v>
      </c>
      <c r="AB1195">
        <v>0</v>
      </c>
      <c r="AC1195">
        <v>0</v>
      </c>
      <c r="AD1195">
        <v>0</v>
      </c>
      <c r="AE1195">
        <v>0</v>
      </c>
      <c r="AF1195">
        <v>0</v>
      </c>
      <c r="AG1195">
        <v>0</v>
      </c>
      <c r="AH1195">
        <v>0</v>
      </c>
      <c r="AI1195">
        <v>0</v>
      </c>
      <c r="AJ1195">
        <v>0</v>
      </c>
      <c r="AK1195">
        <v>0</v>
      </c>
      <c r="AL1195">
        <v>0</v>
      </c>
      <c r="AM1195">
        <v>0</v>
      </c>
    </row>
    <row r="1196" spans="1:39" x14ac:dyDescent="0.35">
      <c r="A1196" t="s">
        <v>174</v>
      </c>
      <c r="B1196" t="s">
        <v>311</v>
      </c>
      <c r="C1196" t="s">
        <v>176</v>
      </c>
      <c r="D1196" t="s">
        <v>315</v>
      </c>
      <c r="E1196" t="s">
        <v>28</v>
      </c>
      <c r="F1196" t="s">
        <v>180</v>
      </c>
      <c r="G1196" t="s">
        <v>1245</v>
      </c>
      <c r="H1196" t="s">
        <v>35</v>
      </c>
      <c r="I1196">
        <v>0</v>
      </c>
      <c r="J1196">
        <v>0</v>
      </c>
      <c r="K1196">
        <v>0</v>
      </c>
      <c r="L1196">
        <v>0</v>
      </c>
      <c r="M1196">
        <v>0</v>
      </c>
      <c r="N1196">
        <v>0</v>
      </c>
      <c r="O1196">
        <v>0</v>
      </c>
      <c r="P1196">
        <v>0</v>
      </c>
      <c r="Q1196">
        <v>0</v>
      </c>
      <c r="R1196">
        <v>0</v>
      </c>
      <c r="S1196">
        <v>0</v>
      </c>
      <c r="T1196">
        <v>0</v>
      </c>
      <c r="U1196">
        <v>0</v>
      </c>
      <c r="V1196">
        <v>0</v>
      </c>
      <c r="W1196">
        <v>0</v>
      </c>
      <c r="X1196">
        <v>0</v>
      </c>
      <c r="Y1196">
        <v>0</v>
      </c>
      <c r="Z1196">
        <v>0</v>
      </c>
      <c r="AA1196">
        <v>0</v>
      </c>
      <c r="AB1196">
        <v>0</v>
      </c>
      <c r="AC1196">
        <v>0</v>
      </c>
      <c r="AD1196">
        <v>0</v>
      </c>
      <c r="AE1196">
        <v>0</v>
      </c>
      <c r="AF1196">
        <v>0</v>
      </c>
      <c r="AG1196">
        <v>0</v>
      </c>
      <c r="AH1196">
        <v>0</v>
      </c>
      <c r="AI1196">
        <v>0</v>
      </c>
      <c r="AJ1196">
        <v>0</v>
      </c>
      <c r="AK1196">
        <v>0</v>
      </c>
      <c r="AL1196">
        <v>0</v>
      </c>
      <c r="AM1196">
        <v>0</v>
      </c>
    </row>
    <row r="1197" spans="1:39" x14ac:dyDescent="0.35">
      <c r="A1197" t="s">
        <v>174</v>
      </c>
      <c r="B1197" t="s">
        <v>311</v>
      </c>
      <c r="C1197" t="s">
        <v>176</v>
      </c>
      <c r="D1197" t="s">
        <v>315</v>
      </c>
      <c r="E1197" t="s">
        <v>1318</v>
      </c>
      <c r="F1197" t="s">
        <v>180</v>
      </c>
      <c r="G1197" t="s">
        <v>1328</v>
      </c>
      <c r="H1197" t="s">
        <v>67</v>
      </c>
      <c r="I1197">
        <v>0</v>
      </c>
      <c r="J1197">
        <v>0</v>
      </c>
      <c r="K1197">
        <v>0</v>
      </c>
      <c r="L1197">
        <v>0</v>
      </c>
      <c r="M1197">
        <v>0</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v>0</v>
      </c>
      <c r="AG1197">
        <v>0</v>
      </c>
      <c r="AH1197">
        <v>0</v>
      </c>
      <c r="AI1197">
        <v>0</v>
      </c>
      <c r="AJ1197">
        <v>0</v>
      </c>
      <c r="AK1197">
        <v>0</v>
      </c>
      <c r="AL1197">
        <v>0</v>
      </c>
      <c r="AM1197">
        <v>0</v>
      </c>
    </row>
    <row r="1198" spans="1:39" x14ac:dyDescent="0.35">
      <c r="A1198" t="s">
        <v>174</v>
      </c>
      <c r="B1198" t="s">
        <v>311</v>
      </c>
      <c r="C1198" t="s">
        <v>176</v>
      </c>
      <c r="D1198" t="s">
        <v>315</v>
      </c>
      <c r="E1198" t="s">
        <v>30</v>
      </c>
      <c r="F1198" t="s">
        <v>180</v>
      </c>
      <c r="G1198" t="s">
        <v>1246</v>
      </c>
      <c r="H1198" t="s">
        <v>67</v>
      </c>
      <c r="I1198">
        <v>0</v>
      </c>
      <c r="J1198">
        <v>0</v>
      </c>
      <c r="K1198">
        <v>0</v>
      </c>
      <c r="L1198">
        <v>0</v>
      </c>
      <c r="M1198">
        <v>0</v>
      </c>
      <c r="N1198">
        <v>0</v>
      </c>
      <c r="O1198">
        <v>0</v>
      </c>
      <c r="P1198">
        <v>0</v>
      </c>
      <c r="Q1198">
        <v>0</v>
      </c>
      <c r="R1198">
        <v>0</v>
      </c>
      <c r="S1198">
        <v>0</v>
      </c>
      <c r="T1198">
        <v>0</v>
      </c>
      <c r="U1198">
        <v>0</v>
      </c>
      <c r="V1198">
        <v>0</v>
      </c>
      <c r="W1198">
        <v>0</v>
      </c>
      <c r="X1198">
        <v>0</v>
      </c>
      <c r="Y1198">
        <v>0</v>
      </c>
      <c r="Z1198">
        <v>0</v>
      </c>
      <c r="AA1198">
        <v>0</v>
      </c>
      <c r="AB1198">
        <v>0</v>
      </c>
      <c r="AC1198">
        <v>0</v>
      </c>
      <c r="AD1198">
        <v>0</v>
      </c>
      <c r="AE1198">
        <v>0</v>
      </c>
      <c r="AF1198">
        <v>0</v>
      </c>
      <c r="AG1198">
        <v>0</v>
      </c>
      <c r="AH1198">
        <v>0</v>
      </c>
      <c r="AI1198">
        <v>0</v>
      </c>
      <c r="AJ1198">
        <v>0</v>
      </c>
      <c r="AK1198">
        <v>0</v>
      </c>
      <c r="AL1198">
        <v>0</v>
      </c>
      <c r="AM1198">
        <v>0</v>
      </c>
    </row>
    <row r="1199" spans="1:39" x14ac:dyDescent="0.35">
      <c r="A1199" t="s">
        <v>174</v>
      </c>
      <c r="B1199" t="s">
        <v>311</v>
      </c>
      <c r="C1199" t="s">
        <v>176</v>
      </c>
      <c r="D1199" t="s">
        <v>315</v>
      </c>
      <c r="E1199" t="s">
        <v>31</v>
      </c>
      <c r="F1199" t="s">
        <v>180</v>
      </c>
      <c r="G1199" t="s">
        <v>1247</v>
      </c>
      <c r="H1199" t="s">
        <v>35</v>
      </c>
      <c r="I1199">
        <v>0</v>
      </c>
      <c r="J1199">
        <v>0</v>
      </c>
      <c r="K1199">
        <v>0</v>
      </c>
      <c r="L1199">
        <v>0</v>
      </c>
      <c r="M1199">
        <v>0</v>
      </c>
      <c r="N1199">
        <v>0</v>
      </c>
      <c r="O1199">
        <v>0</v>
      </c>
      <c r="P1199">
        <v>0</v>
      </c>
      <c r="Q1199">
        <v>0</v>
      </c>
      <c r="R1199">
        <v>0</v>
      </c>
      <c r="S1199">
        <v>0</v>
      </c>
      <c r="T1199">
        <v>0</v>
      </c>
      <c r="U1199">
        <v>0</v>
      </c>
      <c r="V1199">
        <v>0</v>
      </c>
      <c r="W1199">
        <v>0</v>
      </c>
      <c r="X1199">
        <v>0</v>
      </c>
      <c r="Y1199">
        <v>0</v>
      </c>
      <c r="Z1199">
        <v>0</v>
      </c>
      <c r="AA1199">
        <v>0</v>
      </c>
      <c r="AB1199">
        <v>0</v>
      </c>
      <c r="AC1199">
        <v>0</v>
      </c>
      <c r="AD1199">
        <v>0</v>
      </c>
      <c r="AE1199">
        <v>0</v>
      </c>
      <c r="AF1199">
        <v>0</v>
      </c>
      <c r="AG1199">
        <v>0</v>
      </c>
      <c r="AH1199">
        <v>0</v>
      </c>
      <c r="AI1199">
        <v>0</v>
      </c>
      <c r="AJ1199">
        <v>0</v>
      </c>
      <c r="AK1199">
        <v>0</v>
      </c>
      <c r="AL1199">
        <v>0</v>
      </c>
      <c r="AM1199">
        <v>0</v>
      </c>
    </row>
    <row r="1200" spans="1:39" x14ac:dyDescent="0.35">
      <c r="A1200" t="s">
        <v>174</v>
      </c>
      <c r="B1200" t="s">
        <v>311</v>
      </c>
      <c r="C1200" t="s">
        <v>176</v>
      </c>
      <c r="D1200" t="s">
        <v>315</v>
      </c>
      <c r="E1200" t="s">
        <v>72</v>
      </c>
      <c r="F1200" t="s">
        <v>180</v>
      </c>
      <c r="G1200" t="s">
        <v>1248</v>
      </c>
      <c r="H1200" t="s">
        <v>35</v>
      </c>
      <c r="I1200">
        <v>0</v>
      </c>
      <c r="J1200">
        <v>0</v>
      </c>
      <c r="K1200">
        <v>0</v>
      </c>
      <c r="L1200">
        <v>0</v>
      </c>
      <c r="M1200">
        <v>0</v>
      </c>
      <c r="N1200">
        <v>0</v>
      </c>
      <c r="O1200">
        <v>0</v>
      </c>
      <c r="P1200">
        <v>0</v>
      </c>
      <c r="Q1200">
        <v>0</v>
      </c>
      <c r="R1200">
        <v>0</v>
      </c>
      <c r="S1200">
        <v>0</v>
      </c>
      <c r="T1200">
        <v>0</v>
      </c>
      <c r="U1200">
        <v>0</v>
      </c>
      <c r="V1200">
        <v>0</v>
      </c>
      <c r="W1200">
        <v>0</v>
      </c>
      <c r="X1200">
        <v>0</v>
      </c>
      <c r="Y1200">
        <v>0</v>
      </c>
      <c r="Z1200">
        <v>0</v>
      </c>
      <c r="AA1200">
        <v>0</v>
      </c>
      <c r="AB1200">
        <v>0</v>
      </c>
      <c r="AC1200">
        <v>0</v>
      </c>
      <c r="AD1200">
        <v>0</v>
      </c>
      <c r="AE1200">
        <v>0</v>
      </c>
      <c r="AF1200">
        <v>0</v>
      </c>
      <c r="AG1200">
        <v>0</v>
      </c>
      <c r="AH1200">
        <v>0</v>
      </c>
      <c r="AI1200">
        <v>0</v>
      </c>
      <c r="AJ1200">
        <v>0</v>
      </c>
      <c r="AK1200">
        <v>0</v>
      </c>
      <c r="AL1200">
        <v>0</v>
      </c>
      <c r="AM1200">
        <v>0</v>
      </c>
    </row>
    <row r="1201" spans="1:39" x14ac:dyDescent="0.35">
      <c r="A1201" t="s">
        <v>174</v>
      </c>
      <c r="B1201" t="s">
        <v>311</v>
      </c>
      <c r="C1201" t="s">
        <v>176</v>
      </c>
      <c r="D1201" t="s">
        <v>315</v>
      </c>
      <c r="E1201" t="s">
        <v>34</v>
      </c>
      <c r="F1201" t="s">
        <v>180</v>
      </c>
      <c r="G1201" t="s">
        <v>1249</v>
      </c>
      <c r="H1201" t="s">
        <v>68</v>
      </c>
      <c r="I1201">
        <v>0</v>
      </c>
      <c r="J1201">
        <v>0</v>
      </c>
      <c r="K1201">
        <v>0</v>
      </c>
      <c r="L1201">
        <v>0</v>
      </c>
      <c r="M1201">
        <v>0</v>
      </c>
      <c r="N1201">
        <v>0</v>
      </c>
      <c r="O1201">
        <v>0</v>
      </c>
      <c r="P1201">
        <v>0</v>
      </c>
      <c r="Q1201">
        <v>0</v>
      </c>
      <c r="R1201">
        <v>0</v>
      </c>
      <c r="S1201">
        <v>0</v>
      </c>
      <c r="T1201">
        <v>0</v>
      </c>
      <c r="U1201">
        <v>0</v>
      </c>
      <c r="V1201">
        <v>0</v>
      </c>
      <c r="W1201">
        <v>0</v>
      </c>
      <c r="X1201">
        <v>0</v>
      </c>
      <c r="Y1201">
        <v>0</v>
      </c>
      <c r="Z1201">
        <v>0</v>
      </c>
      <c r="AA1201">
        <v>0</v>
      </c>
      <c r="AB1201">
        <v>0</v>
      </c>
      <c r="AC1201">
        <v>0</v>
      </c>
      <c r="AD1201">
        <v>0</v>
      </c>
      <c r="AE1201">
        <v>0</v>
      </c>
      <c r="AF1201">
        <v>0</v>
      </c>
      <c r="AG1201">
        <v>0</v>
      </c>
      <c r="AH1201">
        <v>0</v>
      </c>
      <c r="AI1201">
        <v>0</v>
      </c>
      <c r="AJ1201">
        <v>0</v>
      </c>
      <c r="AK1201">
        <v>0</v>
      </c>
      <c r="AL1201">
        <v>0</v>
      </c>
      <c r="AM1201">
        <v>0</v>
      </c>
    </row>
    <row r="1202" spans="1:39" x14ac:dyDescent="0.35">
      <c r="A1202" t="s">
        <v>1115</v>
      </c>
      <c r="B1202" t="s">
        <v>337</v>
      </c>
      <c r="C1202" t="s">
        <v>340</v>
      </c>
      <c r="D1202" t="s">
        <v>1115</v>
      </c>
      <c r="E1202" t="s">
        <v>1416</v>
      </c>
      <c r="F1202" t="s">
        <v>340</v>
      </c>
      <c r="H1202" t="s">
        <v>67</v>
      </c>
      <c r="I1202">
        <v>272</v>
      </c>
      <c r="J1202">
        <v>56</v>
      </c>
      <c r="K1202">
        <v>0</v>
      </c>
      <c r="L1202">
        <v>0</v>
      </c>
      <c r="M1202">
        <v>45</v>
      </c>
      <c r="N1202">
        <v>78</v>
      </c>
      <c r="O1202">
        <v>68</v>
      </c>
      <c r="P1202">
        <v>81</v>
      </c>
      <c r="Q1202">
        <v>56</v>
      </c>
      <c r="R1202">
        <v>16</v>
      </c>
      <c r="S1202">
        <v>128</v>
      </c>
      <c r="T1202">
        <v>108</v>
      </c>
      <c r="U1202">
        <v>32</v>
      </c>
      <c r="V1202">
        <v>208</v>
      </c>
      <c r="W1202">
        <v>0</v>
      </c>
      <c r="X1202">
        <v>0</v>
      </c>
      <c r="Y1202">
        <v>0</v>
      </c>
      <c r="Z1202">
        <v>0</v>
      </c>
      <c r="AA1202">
        <v>0</v>
      </c>
      <c r="AB1202">
        <v>0</v>
      </c>
      <c r="AC1202">
        <v>0</v>
      </c>
      <c r="AD1202">
        <v>0</v>
      </c>
      <c r="AE1202">
        <v>0</v>
      </c>
      <c r="AF1202">
        <v>0</v>
      </c>
      <c r="AG1202">
        <v>0</v>
      </c>
      <c r="AH1202">
        <v>0</v>
      </c>
      <c r="AI1202">
        <v>0</v>
      </c>
      <c r="AJ1202">
        <v>0</v>
      </c>
      <c r="AK1202">
        <v>0</v>
      </c>
      <c r="AL1202">
        <v>0</v>
      </c>
      <c r="AM1202">
        <v>0</v>
      </c>
    </row>
    <row r="1203" spans="1:39" x14ac:dyDescent="0.35">
      <c r="A1203" t="s">
        <v>1115</v>
      </c>
      <c r="B1203" t="s">
        <v>335</v>
      </c>
      <c r="C1203" t="s">
        <v>335</v>
      </c>
      <c r="D1203" t="s">
        <v>1115</v>
      </c>
      <c r="E1203" t="s">
        <v>1416</v>
      </c>
      <c r="F1203" t="s">
        <v>173</v>
      </c>
      <c r="H1203" t="s">
        <v>67</v>
      </c>
      <c r="I1203">
        <v>29</v>
      </c>
      <c r="J1203">
        <v>0</v>
      </c>
      <c r="K1203">
        <v>0</v>
      </c>
      <c r="L1203">
        <v>0</v>
      </c>
      <c r="M1203">
        <v>0</v>
      </c>
      <c r="N1203">
        <v>0</v>
      </c>
      <c r="O1203">
        <v>0</v>
      </c>
      <c r="P1203">
        <v>0</v>
      </c>
      <c r="Q1203">
        <v>0</v>
      </c>
      <c r="R1203">
        <v>0</v>
      </c>
      <c r="S1203">
        <v>0</v>
      </c>
      <c r="T1203">
        <v>0</v>
      </c>
      <c r="U1203">
        <v>0</v>
      </c>
      <c r="V1203">
        <v>0</v>
      </c>
      <c r="W1203">
        <v>0</v>
      </c>
      <c r="X1203">
        <v>0</v>
      </c>
      <c r="Y1203">
        <v>0</v>
      </c>
      <c r="Z1203">
        <v>0</v>
      </c>
      <c r="AA1203">
        <v>0</v>
      </c>
      <c r="AB1203">
        <v>0</v>
      </c>
      <c r="AC1203">
        <v>0</v>
      </c>
      <c r="AD1203">
        <v>0</v>
      </c>
      <c r="AE1203">
        <v>0</v>
      </c>
      <c r="AF1203">
        <v>0</v>
      </c>
      <c r="AG1203">
        <v>0</v>
      </c>
      <c r="AH1203">
        <v>0</v>
      </c>
      <c r="AI1203">
        <v>0</v>
      </c>
      <c r="AJ1203">
        <v>0</v>
      </c>
      <c r="AK1203">
        <v>0</v>
      </c>
      <c r="AL1203">
        <v>0</v>
      </c>
      <c r="AM1203">
        <v>0</v>
      </c>
    </row>
    <row r="1204" spans="1:39" x14ac:dyDescent="0.35">
      <c r="A1204" t="s">
        <v>1115</v>
      </c>
      <c r="B1204" t="s">
        <v>312</v>
      </c>
      <c r="C1204" t="s">
        <v>312</v>
      </c>
      <c r="D1204" t="s">
        <v>1115</v>
      </c>
      <c r="E1204" t="s">
        <v>1416</v>
      </c>
      <c r="F1204" t="s">
        <v>312</v>
      </c>
      <c r="H1204" t="s">
        <v>67</v>
      </c>
      <c r="I1204">
        <v>0</v>
      </c>
      <c r="J1204">
        <v>0</v>
      </c>
      <c r="K1204">
        <v>0</v>
      </c>
      <c r="L1204">
        <v>0</v>
      </c>
      <c r="M1204">
        <v>0</v>
      </c>
      <c r="N1204">
        <v>0</v>
      </c>
      <c r="O1204">
        <v>0</v>
      </c>
      <c r="P1204">
        <v>0</v>
      </c>
      <c r="Q1204">
        <v>0</v>
      </c>
      <c r="R1204">
        <v>0</v>
      </c>
      <c r="S1204">
        <v>0</v>
      </c>
      <c r="T1204">
        <v>0</v>
      </c>
      <c r="U1204">
        <v>0</v>
      </c>
      <c r="V1204">
        <v>0</v>
      </c>
      <c r="W1204">
        <v>0</v>
      </c>
      <c r="X1204">
        <v>0</v>
      </c>
      <c r="Y1204">
        <v>0</v>
      </c>
      <c r="Z1204">
        <v>0</v>
      </c>
      <c r="AA1204">
        <v>0</v>
      </c>
      <c r="AB1204">
        <v>0</v>
      </c>
      <c r="AC1204">
        <v>0</v>
      </c>
      <c r="AD1204">
        <v>0</v>
      </c>
      <c r="AE1204">
        <v>0</v>
      </c>
      <c r="AF1204">
        <v>0</v>
      </c>
      <c r="AG1204">
        <v>0</v>
      </c>
      <c r="AH1204">
        <v>0</v>
      </c>
      <c r="AI1204">
        <v>0</v>
      </c>
      <c r="AJ1204">
        <v>0</v>
      </c>
      <c r="AK1204">
        <v>0</v>
      </c>
      <c r="AL1204">
        <v>0</v>
      </c>
      <c r="AM1204">
        <v>0</v>
      </c>
    </row>
    <row r="1205" spans="1:39" x14ac:dyDescent="0.35">
      <c r="A1205" t="s">
        <v>1115</v>
      </c>
      <c r="B1205" t="s">
        <v>306</v>
      </c>
      <c r="C1205" t="s">
        <v>336</v>
      </c>
      <c r="D1205" t="s">
        <v>1115</v>
      </c>
      <c r="E1205" t="s">
        <v>1416</v>
      </c>
      <c r="F1205" t="s">
        <v>336</v>
      </c>
      <c r="H1205" t="s">
        <v>67</v>
      </c>
      <c r="I1205">
        <v>0</v>
      </c>
      <c r="J1205">
        <v>0</v>
      </c>
      <c r="K1205">
        <v>0</v>
      </c>
      <c r="L1205">
        <v>0</v>
      </c>
      <c r="M1205">
        <v>0</v>
      </c>
      <c r="N1205">
        <v>0</v>
      </c>
      <c r="O1205">
        <v>0</v>
      </c>
      <c r="P1205">
        <v>0</v>
      </c>
      <c r="Q1205">
        <v>0</v>
      </c>
      <c r="R1205">
        <v>0</v>
      </c>
      <c r="S1205">
        <v>0</v>
      </c>
      <c r="T1205">
        <v>0</v>
      </c>
      <c r="U1205">
        <v>0</v>
      </c>
      <c r="V1205">
        <v>8</v>
      </c>
      <c r="W1205">
        <v>0</v>
      </c>
      <c r="X1205">
        <v>0</v>
      </c>
      <c r="Y1205">
        <v>0</v>
      </c>
      <c r="Z1205">
        <v>0</v>
      </c>
      <c r="AA1205">
        <v>0</v>
      </c>
      <c r="AB1205">
        <v>0</v>
      </c>
      <c r="AC1205">
        <v>0</v>
      </c>
      <c r="AD1205">
        <v>0</v>
      </c>
      <c r="AE1205">
        <v>0</v>
      </c>
      <c r="AF1205">
        <v>0</v>
      </c>
      <c r="AG1205">
        <v>0</v>
      </c>
      <c r="AH1205">
        <v>0</v>
      </c>
      <c r="AI1205">
        <v>0</v>
      </c>
      <c r="AJ1205">
        <v>0</v>
      </c>
      <c r="AK1205">
        <v>0</v>
      </c>
      <c r="AL1205">
        <v>0</v>
      </c>
      <c r="AM1205">
        <v>0</v>
      </c>
    </row>
    <row r="1206" spans="1:39" x14ac:dyDescent="0.35">
      <c r="A1206" t="s">
        <v>1115</v>
      </c>
      <c r="B1206" t="s">
        <v>482</v>
      </c>
      <c r="C1206" t="s">
        <v>176</v>
      </c>
      <c r="D1206" t="s">
        <v>1115</v>
      </c>
      <c r="E1206" t="s">
        <v>1113</v>
      </c>
      <c r="F1206" t="s">
        <v>182</v>
      </c>
      <c r="G1206" t="s">
        <v>325</v>
      </c>
      <c r="H1206" t="s">
        <v>35</v>
      </c>
      <c r="I1206">
        <v>0</v>
      </c>
      <c r="J1206">
        <v>0</v>
      </c>
      <c r="K1206">
        <v>0</v>
      </c>
      <c r="L1206">
        <v>0</v>
      </c>
      <c r="M1206">
        <v>0</v>
      </c>
      <c r="N1206">
        <v>0</v>
      </c>
      <c r="O1206">
        <v>0</v>
      </c>
      <c r="P1206">
        <v>0</v>
      </c>
      <c r="Q1206">
        <v>0</v>
      </c>
      <c r="R1206">
        <v>0</v>
      </c>
      <c r="S1206">
        <v>0</v>
      </c>
      <c r="T1206">
        <v>0</v>
      </c>
      <c r="U1206">
        <v>0</v>
      </c>
      <c r="V1206">
        <v>0</v>
      </c>
      <c r="W1206">
        <v>0</v>
      </c>
      <c r="X1206">
        <v>0</v>
      </c>
      <c r="Y1206">
        <v>0</v>
      </c>
      <c r="Z1206">
        <v>0</v>
      </c>
      <c r="AA1206">
        <v>0</v>
      </c>
      <c r="AB1206">
        <v>0</v>
      </c>
      <c r="AC1206">
        <v>0</v>
      </c>
      <c r="AD1206">
        <v>0</v>
      </c>
      <c r="AE1206">
        <v>0</v>
      </c>
      <c r="AF1206">
        <v>0</v>
      </c>
      <c r="AG1206">
        <v>0</v>
      </c>
      <c r="AH1206">
        <v>0</v>
      </c>
      <c r="AI1206">
        <v>0</v>
      </c>
      <c r="AJ1206">
        <v>0</v>
      </c>
      <c r="AK1206">
        <v>0</v>
      </c>
      <c r="AL1206">
        <v>0</v>
      </c>
      <c r="AM1206">
        <v>0</v>
      </c>
    </row>
    <row r="1207" spans="1:39" x14ac:dyDescent="0.35">
      <c r="A1207" t="s">
        <v>1115</v>
      </c>
      <c r="B1207" t="s">
        <v>482</v>
      </c>
      <c r="C1207" t="s">
        <v>176</v>
      </c>
      <c r="D1207" t="s">
        <v>1115</v>
      </c>
      <c r="E1207" t="s">
        <v>1113</v>
      </c>
      <c r="F1207" t="s">
        <v>182</v>
      </c>
      <c r="G1207" t="s">
        <v>321</v>
      </c>
      <c r="H1207" t="s">
        <v>35</v>
      </c>
      <c r="I1207">
        <v>0</v>
      </c>
      <c r="J1207">
        <v>0</v>
      </c>
      <c r="K1207">
        <v>0</v>
      </c>
      <c r="L1207">
        <v>0</v>
      </c>
      <c r="M1207">
        <v>0</v>
      </c>
      <c r="N1207">
        <v>0</v>
      </c>
      <c r="O1207">
        <v>0</v>
      </c>
      <c r="P1207">
        <v>0</v>
      </c>
      <c r="Q1207">
        <v>0</v>
      </c>
      <c r="R1207">
        <v>0</v>
      </c>
      <c r="S1207">
        <v>0</v>
      </c>
      <c r="T1207">
        <v>0</v>
      </c>
      <c r="U1207">
        <v>0</v>
      </c>
      <c r="V1207">
        <v>0</v>
      </c>
      <c r="W1207">
        <v>0</v>
      </c>
      <c r="X1207">
        <v>0</v>
      </c>
      <c r="Y1207">
        <v>0</v>
      </c>
      <c r="Z1207">
        <v>0</v>
      </c>
      <c r="AA1207">
        <v>0</v>
      </c>
      <c r="AB1207">
        <v>0</v>
      </c>
      <c r="AC1207">
        <v>0</v>
      </c>
      <c r="AD1207">
        <v>0</v>
      </c>
      <c r="AE1207">
        <v>0</v>
      </c>
      <c r="AF1207">
        <v>0</v>
      </c>
      <c r="AG1207">
        <v>0</v>
      </c>
      <c r="AH1207">
        <v>0</v>
      </c>
      <c r="AI1207">
        <v>0</v>
      </c>
      <c r="AJ1207">
        <v>0</v>
      </c>
      <c r="AK1207">
        <v>0</v>
      </c>
      <c r="AL1207">
        <v>0</v>
      </c>
      <c r="AM1207">
        <v>0</v>
      </c>
    </row>
    <row r="1208" spans="1:39" x14ac:dyDescent="0.35">
      <c r="A1208" t="s">
        <v>1115</v>
      </c>
      <c r="B1208" t="s">
        <v>482</v>
      </c>
      <c r="C1208" t="s">
        <v>176</v>
      </c>
      <c r="D1208" t="s">
        <v>1115</v>
      </c>
      <c r="E1208" t="s">
        <v>1113</v>
      </c>
      <c r="F1208" t="s">
        <v>180</v>
      </c>
      <c r="G1208" t="s">
        <v>323</v>
      </c>
      <c r="H1208" t="s">
        <v>35</v>
      </c>
      <c r="I1208">
        <v>0</v>
      </c>
      <c r="J1208">
        <v>0</v>
      </c>
      <c r="K1208">
        <v>0</v>
      </c>
      <c r="L1208">
        <v>0</v>
      </c>
      <c r="M1208">
        <v>0</v>
      </c>
      <c r="N1208">
        <v>0</v>
      </c>
      <c r="O1208">
        <v>0</v>
      </c>
      <c r="P1208">
        <v>0</v>
      </c>
      <c r="Q1208">
        <v>0</v>
      </c>
      <c r="R1208">
        <v>374</v>
      </c>
      <c r="S1208">
        <v>0</v>
      </c>
      <c r="T1208">
        <v>0</v>
      </c>
      <c r="U1208">
        <v>437</v>
      </c>
      <c r="V1208">
        <v>0</v>
      </c>
      <c r="W1208">
        <v>0</v>
      </c>
      <c r="X1208">
        <v>0</v>
      </c>
      <c r="Y1208">
        <v>0</v>
      </c>
      <c r="Z1208">
        <v>0</v>
      </c>
      <c r="AA1208">
        <v>0</v>
      </c>
      <c r="AB1208">
        <v>0</v>
      </c>
      <c r="AC1208">
        <v>0</v>
      </c>
      <c r="AD1208">
        <v>0</v>
      </c>
      <c r="AE1208">
        <v>0</v>
      </c>
      <c r="AF1208">
        <v>0</v>
      </c>
      <c r="AG1208">
        <v>0</v>
      </c>
      <c r="AH1208">
        <v>0</v>
      </c>
      <c r="AI1208">
        <v>0</v>
      </c>
      <c r="AJ1208">
        <v>0</v>
      </c>
      <c r="AK1208">
        <v>0</v>
      </c>
      <c r="AL1208">
        <v>0</v>
      </c>
      <c r="AM1208">
        <v>0</v>
      </c>
    </row>
    <row r="1209" spans="1:39" x14ac:dyDescent="0.35">
      <c r="A1209" t="s">
        <v>1115</v>
      </c>
      <c r="B1209" t="s">
        <v>482</v>
      </c>
      <c r="C1209" t="s">
        <v>176</v>
      </c>
      <c r="D1209" t="s">
        <v>1115</v>
      </c>
      <c r="E1209" t="s">
        <v>1113</v>
      </c>
      <c r="F1209" t="s">
        <v>180</v>
      </c>
      <c r="G1209" t="s">
        <v>319</v>
      </c>
      <c r="H1209" t="s">
        <v>35</v>
      </c>
      <c r="I1209">
        <v>0</v>
      </c>
      <c r="J1209">
        <v>0</v>
      </c>
      <c r="K1209">
        <v>0</v>
      </c>
      <c r="L1209">
        <v>0</v>
      </c>
      <c r="M1209">
        <v>0</v>
      </c>
      <c r="N1209">
        <v>0</v>
      </c>
      <c r="O1209">
        <v>0</v>
      </c>
      <c r="P1209">
        <v>0</v>
      </c>
      <c r="Q1209">
        <v>0</v>
      </c>
      <c r="R1209">
        <v>0</v>
      </c>
      <c r="S1209">
        <v>0</v>
      </c>
      <c r="T1209">
        <v>0</v>
      </c>
      <c r="U1209">
        <v>0</v>
      </c>
      <c r="V1209">
        <v>0</v>
      </c>
      <c r="W1209">
        <v>0</v>
      </c>
      <c r="X1209">
        <v>0</v>
      </c>
      <c r="Y1209">
        <v>0</v>
      </c>
      <c r="Z1209">
        <v>0</v>
      </c>
      <c r="AA1209">
        <v>0</v>
      </c>
      <c r="AB1209">
        <v>0</v>
      </c>
      <c r="AC1209">
        <v>0</v>
      </c>
      <c r="AD1209">
        <v>0</v>
      </c>
      <c r="AE1209">
        <v>0</v>
      </c>
      <c r="AF1209">
        <v>0</v>
      </c>
      <c r="AG1209">
        <v>0</v>
      </c>
      <c r="AH1209">
        <v>0</v>
      </c>
      <c r="AI1209">
        <v>0</v>
      </c>
      <c r="AJ1209">
        <v>0</v>
      </c>
      <c r="AK1209">
        <v>0</v>
      </c>
      <c r="AL1209">
        <v>0</v>
      </c>
      <c r="AM1209">
        <v>0</v>
      </c>
    </row>
    <row r="1210" spans="1:39" x14ac:dyDescent="0.35">
      <c r="A1210" t="s">
        <v>1115</v>
      </c>
      <c r="B1210" t="s">
        <v>482</v>
      </c>
      <c r="C1210" t="s">
        <v>176</v>
      </c>
      <c r="D1210" t="s">
        <v>1115</v>
      </c>
      <c r="E1210" t="s">
        <v>1113</v>
      </c>
      <c r="F1210" t="s">
        <v>1114</v>
      </c>
      <c r="G1210" t="s">
        <v>324</v>
      </c>
      <c r="H1210" t="s">
        <v>35</v>
      </c>
      <c r="I1210">
        <v>0</v>
      </c>
      <c r="J1210">
        <v>0</v>
      </c>
      <c r="K1210">
        <v>0</v>
      </c>
      <c r="L1210">
        <v>0</v>
      </c>
      <c r="M1210">
        <v>0</v>
      </c>
      <c r="N1210">
        <v>0</v>
      </c>
      <c r="O1210">
        <v>0</v>
      </c>
      <c r="P1210">
        <v>0</v>
      </c>
      <c r="Q1210">
        <v>0</v>
      </c>
      <c r="R1210">
        <v>0</v>
      </c>
      <c r="S1210">
        <v>0</v>
      </c>
      <c r="T1210">
        <v>0</v>
      </c>
      <c r="U1210">
        <v>0</v>
      </c>
      <c r="V1210">
        <v>0</v>
      </c>
      <c r="W1210">
        <v>0</v>
      </c>
      <c r="X1210">
        <v>0</v>
      </c>
      <c r="Y1210">
        <v>0</v>
      </c>
      <c r="Z1210">
        <v>0</v>
      </c>
      <c r="AA1210">
        <v>0</v>
      </c>
      <c r="AB1210">
        <v>0</v>
      </c>
      <c r="AC1210">
        <v>0</v>
      </c>
      <c r="AD1210">
        <v>0</v>
      </c>
      <c r="AE1210">
        <v>0</v>
      </c>
      <c r="AF1210">
        <v>0</v>
      </c>
      <c r="AG1210">
        <v>0</v>
      </c>
      <c r="AH1210">
        <v>0</v>
      </c>
      <c r="AI1210">
        <v>0</v>
      </c>
      <c r="AJ1210">
        <v>0</v>
      </c>
      <c r="AK1210">
        <v>0</v>
      </c>
      <c r="AL1210">
        <v>0</v>
      </c>
      <c r="AM1210">
        <v>0</v>
      </c>
    </row>
    <row r="1211" spans="1:39" x14ac:dyDescent="0.35">
      <c r="A1211" t="s">
        <v>1115</v>
      </c>
      <c r="B1211" t="s">
        <v>482</v>
      </c>
      <c r="C1211" t="s">
        <v>176</v>
      </c>
      <c r="D1211" t="s">
        <v>1115</v>
      </c>
      <c r="E1211" t="s">
        <v>1113</v>
      </c>
      <c r="F1211" t="s">
        <v>1114</v>
      </c>
      <c r="G1211" t="s">
        <v>320</v>
      </c>
      <c r="H1211" t="s">
        <v>35</v>
      </c>
      <c r="I1211">
        <v>0</v>
      </c>
      <c r="J1211">
        <v>0</v>
      </c>
      <c r="K1211">
        <v>0</v>
      </c>
      <c r="L1211">
        <v>0</v>
      </c>
      <c r="M1211">
        <v>0</v>
      </c>
      <c r="N1211">
        <v>0</v>
      </c>
      <c r="O1211">
        <v>0</v>
      </c>
      <c r="P1211">
        <v>0</v>
      </c>
      <c r="Q1211">
        <v>0</v>
      </c>
      <c r="R1211">
        <v>0</v>
      </c>
      <c r="S1211">
        <v>0</v>
      </c>
      <c r="T1211">
        <v>0</v>
      </c>
      <c r="U1211">
        <v>0</v>
      </c>
      <c r="V1211">
        <v>0</v>
      </c>
      <c r="W1211">
        <v>0</v>
      </c>
      <c r="X1211">
        <v>0</v>
      </c>
      <c r="Y1211">
        <v>0</v>
      </c>
      <c r="Z1211">
        <v>0</v>
      </c>
      <c r="AA1211">
        <v>0</v>
      </c>
      <c r="AB1211">
        <v>0</v>
      </c>
      <c r="AC1211">
        <v>0</v>
      </c>
      <c r="AD1211">
        <v>0</v>
      </c>
      <c r="AE1211">
        <v>0</v>
      </c>
      <c r="AF1211">
        <v>0</v>
      </c>
      <c r="AG1211">
        <v>0</v>
      </c>
      <c r="AH1211">
        <v>0</v>
      </c>
      <c r="AI1211">
        <v>0</v>
      </c>
      <c r="AJ1211">
        <v>0</v>
      </c>
      <c r="AK1211">
        <v>0</v>
      </c>
      <c r="AL1211">
        <v>0</v>
      </c>
      <c r="AM1211">
        <v>0</v>
      </c>
    </row>
    <row r="1212" spans="1:39" x14ac:dyDescent="0.35">
      <c r="A1212" t="s">
        <v>1115</v>
      </c>
      <c r="B1212" t="s">
        <v>482</v>
      </c>
      <c r="C1212" t="s">
        <v>176</v>
      </c>
      <c r="D1212" t="s">
        <v>1115</v>
      </c>
      <c r="E1212" t="s">
        <v>1113</v>
      </c>
      <c r="F1212" t="s">
        <v>179</v>
      </c>
      <c r="G1212" t="s">
        <v>322</v>
      </c>
      <c r="H1212" t="s">
        <v>35</v>
      </c>
      <c r="I1212">
        <v>0</v>
      </c>
      <c r="J1212">
        <v>0</v>
      </c>
      <c r="K1212">
        <v>0</v>
      </c>
      <c r="L1212">
        <v>0</v>
      </c>
      <c r="M1212">
        <v>0</v>
      </c>
      <c r="N1212">
        <v>0</v>
      </c>
      <c r="O1212">
        <v>0</v>
      </c>
      <c r="P1212">
        <v>0</v>
      </c>
      <c r="Q1212">
        <v>0</v>
      </c>
      <c r="R1212">
        <v>0</v>
      </c>
      <c r="S1212">
        <v>0</v>
      </c>
      <c r="T1212">
        <v>0</v>
      </c>
      <c r="U1212">
        <v>0</v>
      </c>
      <c r="V1212">
        <v>2449</v>
      </c>
      <c r="W1212">
        <v>0</v>
      </c>
      <c r="X1212">
        <v>0</v>
      </c>
      <c r="Y1212">
        <v>0</v>
      </c>
      <c r="Z1212">
        <v>0</v>
      </c>
      <c r="AA1212">
        <v>0</v>
      </c>
      <c r="AB1212">
        <v>0</v>
      </c>
      <c r="AC1212">
        <v>0</v>
      </c>
      <c r="AD1212">
        <v>0</v>
      </c>
      <c r="AE1212">
        <v>0</v>
      </c>
      <c r="AF1212">
        <v>0</v>
      </c>
      <c r="AG1212">
        <v>0</v>
      </c>
      <c r="AH1212">
        <v>0</v>
      </c>
      <c r="AI1212">
        <v>0</v>
      </c>
      <c r="AJ1212">
        <v>0</v>
      </c>
      <c r="AK1212">
        <v>0</v>
      </c>
      <c r="AL1212">
        <v>0</v>
      </c>
      <c r="AM1212">
        <v>0</v>
      </c>
    </row>
    <row r="1213" spans="1:39" x14ac:dyDescent="0.35">
      <c r="A1213" t="s">
        <v>1115</v>
      </c>
      <c r="B1213" t="s">
        <v>482</v>
      </c>
      <c r="C1213" t="s">
        <v>176</v>
      </c>
      <c r="D1213" t="s">
        <v>1115</v>
      </c>
      <c r="E1213" t="s">
        <v>1113</v>
      </c>
      <c r="F1213" t="s">
        <v>179</v>
      </c>
      <c r="G1213" t="s">
        <v>318</v>
      </c>
      <c r="H1213" t="s">
        <v>35</v>
      </c>
      <c r="I1213">
        <v>0</v>
      </c>
      <c r="J1213">
        <v>0</v>
      </c>
      <c r="K1213">
        <v>0</v>
      </c>
      <c r="L1213">
        <v>0</v>
      </c>
      <c r="M1213">
        <v>0</v>
      </c>
      <c r="N1213">
        <v>0</v>
      </c>
      <c r="O1213">
        <v>0</v>
      </c>
      <c r="P1213">
        <v>0</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c r="AI1213">
        <v>0</v>
      </c>
      <c r="AJ1213">
        <v>0</v>
      </c>
      <c r="AK1213">
        <v>0</v>
      </c>
      <c r="AL1213">
        <v>0</v>
      </c>
      <c r="AM1213">
        <v>0</v>
      </c>
    </row>
    <row r="1214" spans="1:39" x14ac:dyDescent="0.35">
      <c r="A1214" t="s">
        <v>1115</v>
      </c>
      <c r="B1214" t="s">
        <v>482</v>
      </c>
      <c r="C1214" t="s">
        <v>176</v>
      </c>
      <c r="D1214" t="s">
        <v>1115</v>
      </c>
      <c r="E1214" t="s">
        <v>1416</v>
      </c>
      <c r="F1214" t="s">
        <v>182</v>
      </c>
      <c r="G1214" t="s">
        <v>1437</v>
      </c>
      <c r="H1214" t="s">
        <v>67</v>
      </c>
      <c r="I1214">
        <v>0</v>
      </c>
      <c r="J1214">
        <v>0</v>
      </c>
      <c r="K1214">
        <v>0</v>
      </c>
      <c r="L1214">
        <v>0</v>
      </c>
      <c r="M1214">
        <v>0</v>
      </c>
      <c r="N1214">
        <v>0</v>
      </c>
      <c r="O1214">
        <v>0</v>
      </c>
      <c r="P1214">
        <v>0</v>
      </c>
      <c r="Q1214">
        <v>0</v>
      </c>
      <c r="R1214">
        <v>0</v>
      </c>
      <c r="S1214">
        <v>0</v>
      </c>
      <c r="T1214">
        <v>18</v>
      </c>
      <c r="U1214">
        <v>0</v>
      </c>
      <c r="V1214">
        <v>0</v>
      </c>
      <c r="W1214">
        <v>0</v>
      </c>
      <c r="X1214">
        <v>0</v>
      </c>
      <c r="Y1214">
        <v>0</v>
      </c>
      <c r="Z1214">
        <v>0</v>
      </c>
      <c r="AA1214">
        <v>0</v>
      </c>
      <c r="AB1214">
        <v>0</v>
      </c>
      <c r="AC1214">
        <v>0</v>
      </c>
      <c r="AD1214">
        <v>0</v>
      </c>
      <c r="AE1214">
        <v>0</v>
      </c>
      <c r="AF1214">
        <v>0</v>
      </c>
      <c r="AG1214">
        <v>0</v>
      </c>
      <c r="AH1214">
        <v>0</v>
      </c>
      <c r="AI1214">
        <v>0</v>
      </c>
      <c r="AJ1214">
        <v>0</v>
      </c>
      <c r="AK1214">
        <v>0</v>
      </c>
      <c r="AL1214">
        <v>0</v>
      </c>
      <c r="AM1214">
        <v>0</v>
      </c>
    </row>
    <row r="1215" spans="1:39" x14ac:dyDescent="0.35">
      <c r="A1215" t="s">
        <v>1115</v>
      </c>
      <c r="B1215" t="s">
        <v>482</v>
      </c>
      <c r="C1215" t="s">
        <v>176</v>
      </c>
      <c r="D1215" t="s">
        <v>1115</v>
      </c>
      <c r="E1215" t="s">
        <v>1416</v>
      </c>
      <c r="F1215" t="s">
        <v>180</v>
      </c>
      <c r="G1215" t="s">
        <v>1435</v>
      </c>
      <c r="H1215" t="s">
        <v>67</v>
      </c>
      <c r="I1215">
        <v>112</v>
      </c>
      <c r="J1215">
        <v>107</v>
      </c>
      <c r="K1215">
        <v>121</v>
      </c>
      <c r="L1215">
        <v>104</v>
      </c>
      <c r="M1215">
        <v>122</v>
      </c>
      <c r="N1215">
        <v>64</v>
      </c>
      <c r="O1215">
        <v>169</v>
      </c>
      <c r="P1215">
        <v>106</v>
      </c>
      <c r="Q1215">
        <v>113</v>
      </c>
      <c r="R1215">
        <v>0</v>
      </c>
      <c r="S1215">
        <v>120</v>
      </c>
      <c r="T1215">
        <v>142</v>
      </c>
      <c r="U1215">
        <v>137</v>
      </c>
      <c r="V1215">
        <v>62</v>
      </c>
      <c r="W1215">
        <v>0</v>
      </c>
      <c r="X1215">
        <v>0</v>
      </c>
      <c r="Y1215">
        <v>0</v>
      </c>
      <c r="Z1215">
        <v>0</v>
      </c>
      <c r="AA1215">
        <v>0</v>
      </c>
      <c r="AB1215">
        <v>0</v>
      </c>
      <c r="AC1215">
        <v>0</v>
      </c>
      <c r="AD1215">
        <v>0</v>
      </c>
      <c r="AE1215">
        <v>0</v>
      </c>
      <c r="AF1215">
        <v>0</v>
      </c>
      <c r="AG1215">
        <v>0</v>
      </c>
      <c r="AH1215">
        <v>0</v>
      </c>
      <c r="AI1215">
        <v>0</v>
      </c>
      <c r="AJ1215">
        <v>0</v>
      </c>
      <c r="AK1215">
        <v>0</v>
      </c>
      <c r="AL1215">
        <v>0</v>
      </c>
      <c r="AM1215">
        <v>0</v>
      </c>
    </row>
    <row r="1216" spans="1:39" x14ac:dyDescent="0.35">
      <c r="A1216" t="s">
        <v>1115</v>
      </c>
      <c r="B1216" t="s">
        <v>482</v>
      </c>
      <c r="C1216" t="s">
        <v>176</v>
      </c>
      <c r="D1216" t="s">
        <v>1115</v>
      </c>
      <c r="E1216" t="s">
        <v>1416</v>
      </c>
      <c r="F1216" t="s">
        <v>181</v>
      </c>
      <c r="G1216" t="s">
        <v>1436</v>
      </c>
      <c r="H1216" t="s">
        <v>67</v>
      </c>
      <c r="I1216">
        <v>0</v>
      </c>
      <c r="J1216">
        <v>0</v>
      </c>
      <c r="K1216">
        <v>0</v>
      </c>
      <c r="L1216">
        <v>0</v>
      </c>
      <c r="M1216">
        <v>0</v>
      </c>
      <c r="N1216">
        <v>12</v>
      </c>
      <c r="O1216">
        <v>0</v>
      </c>
      <c r="P1216">
        <v>0</v>
      </c>
      <c r="Q1216">
        <v>0</v>
      </c>
      <c r="R1216">
        <v>0</v>
      </c>
      <c r="S1216">
        <v>0</v>
      </c>
      <c r="T1216">
        <v>0</v>
      </c>
      <c r="U1216">
        <v>0</v>
      </c>
      <c r="V1216">
        <v>12</v>
      </c>
      <c r="W1216">
        <v>0</v>
      </c>
      <c r="X1216">
        <v>0</v>
      </c>
      <c r="Y1216">
        <v>0</v>
      </c>
      <c r="Z1216">
        <v>0</v>
      </c>
      <c r="AA1216">
        <v>0</v>
      </c>
      <c r="AB1216">
        <v>0</v>
      </c>
      <c r="AC1216">
        <v>0</v>
      </c>
      <c r="AD1216">
        <v>0</v>
      </c>
      <c r="AE1216">
        <v>0</v>
      </c>
      <c r="AF1216">
        <v>0</v>
      </c>
      <c r="AG1216">
        <v>0</v>
      </c>
      <c r="AH1216">
        <v>0</v>
      </c>
      <c r="AI1216">
        <v>0</v>
      </c>
      <c r="AJ1216">
        <v>0</v>
      </c>
      <c r="AK1216">
        <v>0</v>
      </c>
      <c r="AL1216">
        <v>0</v>
      </c>
      <c r="AM1216">
        <v>0</v>
      </c>
    </row>
    <row r="1217" spans="1:39" x14ac:dyDescent="0.35">
      <c r="A1217" t="s">
        <v>1115</v>
      </c>
      <c r="B1217" t="s">
        <v>482</v>
      </c>
      <c r="C1217" t="s">
        <v>176</v>
      </c>
      <c r="D1217" t="s">
        <v>1115</v>
      </c>
      <c r="E1217" t="s">
        <v>1416</v>
      </c>
      <c r="F1217" t="s">
        <v>179</v>
      </c>
      <c r="G1217" t="s">
        <v>1434</v>
      </c>
      <c r="H1217" t="s">
        <v>67</v>
      </c>
      <c r="I1217">
        <v>0</v>
      </c>
      <c r="J1217">
        <v>0</v>
      </c>
      <c r="K1217">
        <v>0</v>
      </c>
      <c r="L1217">
        <v>0</v>
      </c>
      <c r="M1217">
        <v>0</v>
      </c>
      <c r="N1217">
        <v>0</v>
      </c>
      <c r="O1217">
        <v>0</v>
      </c>
      <c r="P1217">
        <v>0</v>
      </c>
      <c r="Q1217">
        <v>0</v>
      </c>
      <c r="R1217">
        <v>0</v>
      </c>
      <c r="S1217">
        <v>0</v>
      </c>
      <c r="T1217">
        <v>0</v>
      </c>
      <c r="U1217">
        <v>0</v>
      </c>
      <c r="V1217">
        <v>0</v>
      </c>
      <c r="W1217">
        <v>0</v>
      </c>
      <c r="X1217">
        <v>0</v>
      </c>
      <c r="Y1217">
        <v>0</v>
      </c>
      <c r="Z1217">
        <v>0</v>
      </c>
      <c r="AA1217">
        <v>0</v>
      </c>
      <c r="AB1217">
        <v>0</v>
      </c>
      <c r="AC1217">
        <v>0</v>
      </c>
      <c r="AD1217">
        <v>0</v>
      </c>
      <c r="AE1217">
        <v>0</v>
      </c>
      <c r="AF1217">
        <v>0</v>
      </c>
      <c r="AG1217">
        <v>0</v>
      </c>
      <c r="AH1217">
        <v>0</v>
      </c>
      <c r="AI1217">
        <v>0</v>
      </c>
      <c r="AJ1217">
        <v>0</v>
      </c>
      <c r="AK1217">
        <v>0</v>
      </c>
      <c r="AL1217">
        <v>0</v>
      </c>
      <c r="AM1217">
        <v>0</v>
      </c>
    </row>
    <row r="1219" spans="1:39" x14ac:dyDescent="0.35">
      <c r="G1219" s="116"/>
    </row>
    <row r="1220" spans="1:39" x14ac:dyDescent="0.35">
      <c r="H1220" s="117"/>
      <c r="I1220" s="115"/>
    </row>
    <row r="1221" spans="1:39" x14ac:dyDescent="0.35">
      <c r="H1221" s="117"/>
      <c r="I1221" s="115"/>
    </row>
    <row r="1222" spans="1:39" x14ac:dyDescent="0.35">
      <c r="H1222" s="117"/>
      <c r="I1222" s="115"/>
    </row>
  </sheetData>
  <phoneticPr fontId="2"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3399F-7D36-46BA-8C64-E0B2E1AD8C0B}">
  <sheetPr codeName="Sheet23">
    <tabColor theme="7"/>
  </sheetPr>
  <dimension ref="A1:AN840"/>
  <sheetViews>
    <sheetView zoomScale="70" zoomScaleNormal="70" workbookViewId="0">
      <pane xSplit="5" ySplit="1" topLeftCell="O365" activePane="bottomRight" state="frozen"/>
      <selection pane="topRight" activeCell="F1" sqref="F1"/>
      <selection pane="bottomLeft" activeCell="A2" sqref="A2"/>
      <selection pane="bottomRight" activeCell="S386" sqref="S386"/>
    </sheetView>
  </sheetViews>
  <sheetFormatPr defaultColWidth="0" defaultRowHeight="14.5" zeroHeight="1" x14ac:dyDescent="0.35"/>
  <cols>
    <col min="1" max="1" width="38.26953125" style="60" customWidth="1"/>
    <col min="2" max="2" width="15.453125" style="60" customWidth="1"/>
    <col min="3" max="3" width="62.7265625" style="60" bestFit="1" customWidth="1"/>
    <col min="4" max="4" width="12.26953125" style="60" bestFit="1" customWidth="1"/>
    <col min="5" max="5" width="12.1796875" style="60" customWidth="1"/>
    <col min="6" max="6" width="6.453125" style="60" bestFit="1" customWidth="1"/>
    <col min="7" max="7" width="8.26953125" bestFit="1" customWidth="1"/>
    <col min="8" max="8" width="6.453125" bestFit="1" customWidth="1"/>
    <col min="9" max="9" width="6.453125" style="67" customWidth="1"/>
    <col min="10" max="11" width="6.453125" style="67" bestFit="1" customWidth="1"/>
    <col min="12" max="12" width="6.453125" style="67" customWidth="1"/>
    <col min="13" max="14" width="6.453125" style="67" bestFit="1" customWidth="1"/>
    <col min="15" max="21" width="7.26953125" style="67" bestFit="1" customWidth="1"/>
    <col min="22" max="23" width="7.26953125" style="67" customWidth="1"/>
    <col min="24" max="24" width="9.26953125" style="67" customWidth="1"/>
    <col min="25" max="32" width="7.26953125" style="67" bestFit="1" customWidth="1"/>
    <col min="33" max="33" width="10.26953125" style="67" bestFit="1" customWidth="1"/>
    <col min="34" max="37" width="7.26953125" style="67" bestFit="1" customWidth="1"/>
    <col min="38" max="38" width="7.453125" style="67" bestFit="1" customWidth="1"/>
    <col min="39" max="39" width="0" style="67" hidden="1" customWidth="1"/>
    <col min="40" max="40" width="4.26953125" style="67" bestFit="1" customWidth="1"/>
    <col min="41" max="16384" width="10.7265625" hidden="1"/>
  </cols>
  <sheetData>
    <row r="1" spans="1:40" s="2" customFormat="1" x14ac:dyDescent="0.35">
      <c r="A1" s="122" t="s">
        <v>172</v>
      </c>
      <c r="B1" s="122" t="s">
        <v>177</v>
      </c>
      <c r="C1" s="122" t="s">
        <v>178</v>
      </c>
      <c r="D1" s="122" t="s">
        <v>1</v>
      </c>
      <c r="E1" s="122" t="s">
        <v>458</v>
      </c>
      <c r="F1" s="156" t="s">
        <v>36</v>
      </c>
      <c r="G1" s="156" t="s">
        <v>37</v>
      </c>
      <c r="H1" s="156" t="s">
        <v>38</v>
      </c>
      <c r="I1" s="156" t="s">
        <v>39</v>
      </c>
      <c r="J1" s="156" t="s">
        <v>40</v>
      </c>
      <c r="K1" s="156" t="s">
        <v>41</v>
      </c>
      <c r="L1" s="156" t="s">
        <v>42</v>
      </c>
      <c r="M1" s="156" t="s">
        <v>43</v>
      </c>
      <c r="N1" s="156" t="s">
        <v>44</v>
      </c>
      <c r="O1" s="156" t="s">
        <v>45</v>
      </c>
      <c r="P1" s="156" t="s">
        <v>46</v>
      </c>
      <c r="Q1" s="156" t="s">
        <v>47</v>
      </c>
      <c r="R1" s="156" t="s">
        <v>48</v>
      </c>
      <c r="S1" s="156" t="s">
        <v>49</v>
      </c>
      <c r="T1" s="156" t="s">
        <v>50</v>
      </c>
      <c r="U1" s="156" t="s">
        <v>51</v>
      </c>
      <c r="V1" s="156" t="s">
        <v>52</v>
      </c>
      <c r="W1" s="156" t="s">
        <v>53</v>
      </c>
      <c r="X1" s="156" t="s">
        <v>54</v>
      </c>
      <c r="Y1" s="156" t="s">
        <v>55</v>
      </c>
      <c r="Z1" s="156" t="s">
        <v>56</v>
      </c>
      <c r="AA1" s="156" t="s">
        <v>57</v>
      </c>
      <c r="AB1" s="156" t="s">
        <v>58</v>
      </c>
      <c r="AC1" s="156" t="s">
        <v>59</v>
      </c>
      <c r="AD1" s="156" t="s">
        <v>60</v>
      </c>
      <c r="AE1" s="156" t="s">
        <v>61</v>
      </c>
      <c r="AF1" s="156" t="s">
        <v>62</v>
      </c>
      <c r="AG1" s="156" t="s">
        <v>63</v>
      </c>
      <c r="AH1" s="156" t="s">
        <v>64</v>
      </c>
      <c r="AI1" s="156" t="s">
        <v>65</v>
      </c>
      <c r="AJ1" s="156" t="s">
        <v>66</v>
      </c>
    </row>
    <row r="2" spans="1:40" x14ac:dyDescent="0.35">
      <c r="A2" s="153" t="s">
        <v>1316</v>
      </c>
      <c r="B2" s="153" t="s">
        <v>179</v>
      </c>
      <c r="C2" s="153" t="s">
        <v>1324</v>
      </c>
      <c r="D2" s="153" t="s">
        <v>35</v>
      </c>
      <c r="E2" s="161">
        <v>1</v>
      </c>
      <c r="F2" s="154">
        <v>0</v>
      </c>
      <c r="G2" s="153">
        <v>0</v>
      </c>
      <c r="H2" s="153">
        <v>0</v>
      </c>
      <c r="I2" s="153">
        <v>0</v>
      </c>
      <c r="J2" s="153">
        <v>0</v>
      </c>
      <c r="K2" s="153">
        <v>0</v>
      </c>
      <c r="L2" s="153">
        <v>0</v>
      </c>
      <c r="M2">
        <v>0</v>
      </c>
      <c r="N2" s="153">
        <v>0</v>
      </c>
      <c r="O2" s="153"/>
      <c r="P2" s="153">
        <v>0</v>
      </c>
      <c r="Q2" s="153">
        <v>0</v>
      </c>
      <c r="R2" s="153">
        <v>0</v>
      </c>
      <c r="S2" s="153">
        <v>0</v>
      </c>
      <c r="T2" s="153"/>
      <c r="U2" s="153"/>
      <c r="V2" s="153"/>
      <c r="W2" s="153"/>
      <c r="X2" s="153"/>
      <c r="Y2" s="153"/>
      <c r="Z2" s="153"/>
      <c r="AA2" s="153"/>
      <c r="AB2" s="153"/>
      <c r="AC2" s="153"/>
      <c r="AD2" s="153"/>
      <c r="AE2" s="153"/>
      <c r="AF2" s="153"/>
      <c r="AG2" s="153"/>
      <c r="AH2" s="153"/>
      <c r="AI2" s="153"/>
      <c r="AJ2" s="153"/>
      <c r="AK2"/>
      <c r="AL2"/>
      <c r="AM2"/>
      <c r="AN2"/>
    </row>
    <row r="3" spans="1:40" x14ac:dyDescent="0.35">
      <c r="A3" s="153" t="s">
        <v>1316</v>
      </c>
      <c r="B3" s="153" t="s">
        <v>180</v>
      </c>
      <c r="C3" s="153" t="s">
        <v>1325</v>
      </c>
      <c r="D3" s="153" t="s">
        <v>35</v>
      </c>
      <c r="E3" s="161">
        <v>1</v>
      </c>
      <c r="F3" s="153">
        <v>0</v>
      </c>
      <c r="G3" s="153">
        <v>0</v>
      </c>
      <c r="H3" s="153">
        <v>0</v>
      </c>
      <c r="I3" s="153">
        <v>0</v>
      </c>
      <c r="J3" s="153">
        <v>0</v>
      </c>
      <c r="K3" s="153">
        <v>0</v>
      </c>
      <c r="L3" s="153">
        <v>0</v>
      </c>
      <c r="M3">
        <v>0</v>
      </c>
      <c r="N3" s="153">
        <v>0</v>
      </c>
      <c r="O3" s="153"/>
      <c r="P3" s="153">
        <v>0</v>
      </c>
      <c r="Q3" s="153">
        <v>0</v>
      </c>
      <c r="R3" s="153">
        <v>0</v>
      </c>
      <c r="S3" s="153">
        <v>0</v>
      </c>
      <c r="T3" s="153"/>
      <c r="U3" s="153"/>
      <c r="V3" s="153"/>
      <c r="W3" s="153"/>
      <c r="X3" s="153"/>
      <c r="Y3" s="153"/>
      <c r="Z3" s="153"/>
      <c r="AA3" s="153"/>
      <c r="AB3" s="153"/>
      <c r="AC3" s="153"/>
      <c r="AD3" s="153"/>
      <c r="AE3" s="153"/>
      <c r="AF3" s="153"/>
      <c r="AG3" s="153"/>
      <c r="AH3" s="153"/>
      <c r="AI3" s="153"/>
      <c r="AJ3" s="153"/>
      <c r="AK3"/>
      <c r="AL3"/>
      <c r="AM3"/>
      <c r="AN3"/>
    </row>
    <row r="4" spans="1:40" x14ac:dyDescent="0.35">
      <c r="A4" s="153" t="s">
        <v>1316</v>
      </c>
      <c r="B4" s="153" t="s">
        <v>181</v>
      </c>
      <c r="C4" s="153" t="s">
        <v>1456</v>
      </c>
      <c r="D4" s="153" t="s">
        <v>35</v>
      </c>
      <c r="E4" s="161">
        <v>1</v>
      </c>
      <c r="F4" s="153">
        <v>0</v>
      </c>
      <c r="G4" s="153">
        <v>0</v>
      </c>
      <c r="H4" s="153">
        <v>0</v>
      </c>
      <c r="I4" s="153">
        <v>0</v>
      </c>
      <c r="J4" s="153">
        <v>0</v>
      </c>
      <c r="K4" s="153">
        <v>0</v>
      </c>
      <c r="L4" s="153">
        <v>0</v>
      </c>
      <c r="M4">
        <v>0</v>
      </c>
      <c r="N4" s="153">
        <v>0</v>
      </c>
      <c r="O4" s="153"/>
      <c r="P4" s="153">
        <v>0</v>
      </c>
      <c r="Q4" s="153">
        <v>0</v>
      </c>
      <c r="R4" s="153">
        <v>0</v>
      </c>
      <c r="S4" s="153">
        <v>0</v>
      </c>
      <c r="T4" s="153"/>
      <c r="U4" s="153"/>
      <c r="V4" s="153"/>
      <c r="W4" s="153"/>
      <c r="X4" s="153"/>
      <c r="Y4" s="153"/>
      <c r="Z4" s="153"/>
      <c r="AA4" s="153"/>
      <c r="AB4" s="153"/>
      <c r="AC4" s="153"/>
      <c r="AD4" s="153"/>
      <c r="AE4" s="153"/>
      <c r="AF4" s="153"/>
      <c r="AG4" s="153"/>
      <c r="AH4" s="153"/>
      <c r="AI4" s="153"/>
      <c r="AJ4" s="153"/>
      <c r="AK4"/>
      <c r="AL4"/>
      <c r="AM4"/>
      <c r="AN4"/>
    </row>
    <row r="5" spans="1:40" x14ac:dyDescent="0.35">
      <c r="A5" s="153" t="s">
        <v>1316</v>
      </c>
      <c r="B5" s="153" t="s">
        <v>182</v>
      </c>
      <c r="C5" s="153" t="s">
        <v>1326</v>
      </c>
      <c r="D5" s="153" t="s">
        <v>35</v>
      </c>
      <c r="E5" s="161">
        <v>1</v>
      </c>
      <c r="F5" s="153">
        <v>0</v>
      </c>
      <c r="G5" s="153"/>
      <c r="H5" s="153"/>
      <c r="I5" s="153"/>
      <c r="J5" s="153"/>
      <c r="K5" s="153"/>
      <c r="L5" s="153"/>
      <c r="M5" s="153"/>
      <c r="N5" s="153"/>
      <c r="O5" s="153"/>
      <c r="P5" s="153"/>
      <c r="Q5" s="153"/>
      <c r="R5" s="153"/>
      <c r="S5" s="153"/>
      <c r="T5" s="153"/>
      <c r="U5" s="153"/>
      <c r="V5" s="153"/>
      <c r="W5" s="153"/>
      <c r="X5" s="153"/>
      <c r="Y5" s="153"/>
      <c r="Z5" s="153"/>
      <c r="AA5" s="153"/>
      <c r="AB5" s="153"/>
      <c r="AC5" s="153"/>
      <c r="AD5" s="153"/>
      <c r="AE5" s="153"/>
      <c r="AF5" s="153"/>
      <c r="AG5" s="153"/>
      <c r="AH5" s="153"/>
      <c r="AI5" s="153"/>
      <c r="AJ5" s="153"/>
      <c r="AK5"/>
      <c r="AL5"/>
      <c r="AM5"/>
      <c r="AN5"/>
    </row>
    <row r="6" spans="1:40" x14ac:dyDescent="0.35">
      <c r="A6" s="153"/>
      <c r="B6" s="153"/>
      <c r="C6" s="153"/>
      <c r="D6" s="153"/>
      <c r="E6" s="161"/>
      <c r="F6" s="153">
        <v>0</v>
      </c>
      <c r="G6" s="153"/>
      <c r="H6" s="153"/>
      <c r="I6" s="153"/>
      <c r="J6" s="153"/>
      <c r="K6" s="153"/>
      <c r="L6" s="153"/>
      <c r="M6"/>
      <c r="N6" s="153"/>
      <c r="O6" s="153"/>
      <c r="P6" s="153"/>
      <c r="Q6" s="153"/>
      <c r="R6" s="153"/>
      <c r="S6" s="153"/>
      <c r="T6" s="153"/>
      <c r="U6" s="153"/>
      <c r="V6" s="153"/>
      <c r="W6" s="153"/>
      <c r="X6" s="153"/>
      <c r="Y6" s="153"/>
      <c r="Z6" s="153"/>
      <c r="AA6" s="153"/>
      <c r="AB6" s="153"/>
      <c r="AC6" s="153"/>
      <c r="AD6" s="153"/>
      <c r="AE6" s="153"/>
      <c r="AF6" s="153"/>
      <c r="AG6" s="153"/>
      <c r="AH6" s="153"/>
      <c r="AI6" s="153"/>
      <c r="AJ6" s="153"/>
      <c r="AK6"/>
      <c r="AL6"/>
      <c r="AM6"/>
      <c r="AN6"/>
    </row>
    <row r="7" spans="1:40" x14ac:dyDescent="0.35">
      <c r="A7" s="153" t="s">
        <v>837</v>
      </c>
      <c r="B7" s="153" t="s">
        <v>179</v>
      </c>
      <c r="C7" s="153" t="s">
        <v>838</v>
      </c>
      <c r="D7" s="153" t="s">
        <v>69</v>
      </c>
      <c r="E7" s="161">
        <v>1</v>
      </c>
      <c r="F7" s="153">
        <v>0</v>
      </c>
      <c r="G7" s="153">
        <v>0</v>
      </c>
      <c r="H7" s="153">
        <v>0</v>
      </c>
      <c r="I7" s="153">
        <v>0</v>
      </c>
      <c r="J7" s="153">
        <v>0</v>
      </c>
      <c r="K7" s="153">
        <v>0</v>
      </c>
      <c r="L7" s="153">
        <v>0</v>
      </c>
      <c r="M7">
        <v>0</v>
      </c>
      <c r="N7" s="153">
        <v>0</v>
      </c>
      <c r="O7" s="153">
        <v>0</v>
      </c>
      <c r="P7" s="153">
        <v>0</v>
      </c>
      <c r="Q7" s="153">
        <v>0</v>
      </c>
      <c r="R7" s="153">
        <v>0</v>
      </c>
      <c r="S7" s="153">
        <v>0</v>
      </c>
      <c r="T7" s="153"/>
      <c r="U7" s="153"/>
      <c r="V7" s="153"/>
      <c r="W7" s="153"/>
      <c r="X7" s="153"/>
      <c r="Y7" s="153"/>
      <c r="Z7" s="153"/>
      <c r="AA7" s="153"/>
      <c r="AB7" s="153"/>
      <c r="AC7" s="153"/>
      <c r="AD7" s="153"/>
      <c r="AE7" s="153"/>
      <c r="AF7" s="153"/>
      <c r="AG7" s="153"/>
      <c r="AH7" s="153"/>
      <c r="AI7" s="153"/>
      <c r="AJ7" s="153"/>
      <c r="AK7"/>
      <c r="AL7"/>
      <c r="AM7"/>
      <c r="AN7"/>
    </row>
    <row r="8" spans="1:40" x14ac:dyDescent="0.35">
      <c r="A8" s="153" t="s">
        <v>837</v>
      </c>
      <c r="B8" s="153" t="s">
        <v>180</v>
      </c>
      <c r="C8" s="153" t="s">
        <v>839</v>
      </c>
      <c r="D8" s="153" t="s">
        <v>69</v>
      </c>
      <c r="E8" s="161">
        <v>1</v>
      </c>
      <c r="F8" s="153">
        <v>0</v>
      </c>
      <c r="G8" s="153">
        <v>0</v>
      </c>
      <c r="H8" s="153">
        <v>0</v>
      </c>
      <c r="I8" s="153">
        <v>0</v>
      </c>
      <c r="J8" s="153">
        <v>0</v>
      </c>
      <c r="K8" s="153">
        <v>0</v>
      </c>
      <c r="L8" s="153">
        <v>0</v>
      </c>
      <c r="M8">
        <v>0</v>
      </c>
      <c r="N8" s="153">
        <v>0</v>
      </c>
      <c r="O8" s="153">
        <v>0</v>
      </c>
      <c r="P8" s="153">
        <v>0</v>
      </c>
      <c r="Q8" s="153">
        <v>0</v>
      </c>
      <c r="R8" s="153">
        <v>0</v>
      </c>
      <c r="S8" s="153">
        <v>0</v>
      </c>
      <c r="T8" s="153"/>
      <c r="U8" s="153"/>
      <c r="V8" s="153"/>
      <c r="W8" s="153"/>
      <c r="X8" s="153"/>
      <c r="Y8" s="153"/>
      <c r="Z8" s="153"/>
      <c r="AA8" s="153"/>
      <c r="AB8" s="153"/>
      <c r="AC8" s="153"/>
      <c r="AD8" s="153"/>
      <c r="AE8" s="153"/>
      <c r="AF8" s="153"/>
      <c r="AG8" s="153"/>
      <c r="AH8" s="153"/>
      <c r="AI8" s="153"/>
      <c r="AJ8" s="153"/>
      <c r="AK8"/>
      <c r="AL8"/>
      <c r="AM8"/>
      <c r="AN8"/>
    </row>
    <row r="9" spans="1:40" x14ac:dyDescent="0.35">
      <c r="A9" s="153" t="s">
        <v>837</v>
      </c>
      <c r="B9" s="153" t="s">
        <v>183</v>
      </c>
      <c r="C9" s="153" t="s">
        <v>1107</v>
      </c>
      <c r="D9" s="153" t="s">
        <v>69</v>
      </c>
      <c r="E9" s="161">
        <v>1</v>
      </c>
      <c r="F9" s="153">
        <v>0</v>
      </c>
      <c r="G9" s="153">
        <v>0</v>
      </c>
      <c r="H9" s="153">
        <v>0</v>
      </c>
      <c r="I9" s="153">
        <v>0</v>
      </c>
      <c r="J9" s="153">
        <v>0</v>
      </c>
      <c r="K9" s="153">
        <v>0</v>
      </c>
      <c r="L9" s="153">
        <v>0</v>
      </c>
      <c r="M9">
        <v>0</v>
      </c>
      <c r="N9" s="153">
        <v>0</v>
      </c>
      <c r="O9" s="153">
        <v>0</v>
      </c>
      <c r="P9" s="153">
        <v>0</v>
      </c>
      <c r="Q9" s="153">
        <v>0</v>
      </c>
      <c r="R9" s="153">
        <v>0</v>
      </c>
      <c r="S9" s="153">
        <v>0</v>
      </c>
      <c r="T9" s="153"/>
      <c r="U9" s="153"/>
      <c r="V9" s="153"/>
      <c r="W9" s="153"/>
      <c r="X9" s="153"/>
      <c r="Y9" s="153"/>
      <c r="Z9" s="153"/>
      <c r="AA9" s="153"/>
      <c r="AB9" s="153"/>
      <c r="AC9" s="153"/>
      <c r="AD9" s="153"/>
      <c r="AE9" s="153"/>
      <c r="AF9" s="153"/>
      <c r="AG9" s="153"/>
      <c r="AH9" s="153"/>
      <c r="AI9" s="153"/>
      <c r="AJ9" s="153"/>
      <c r="AK9"/>
      <c r="AL9"/>
      <c r="AM9"/>
      <c r="AN9"/>
    </row>
    <row r="10" spans="1:40" x14ac:dyDescent="0.35">
      <c r="A10" s="153" t="s">
        <v>837</v>
      </c>
      <c r="B10" s="153" t="s">
        <v>182</v>
      </c>
      <c r="C10" s="153" t="s">
        <v>840</v>
      </c>
      <c r="D10" s="153" t="s">
        <v>69</v>
      </c>
      <c r="E10" s="161">
        <v>1</v>
      </c>
      <c r="F10" s="153">
        <v>0</v>
      </c>
      <c r="G10" s="153">
        <v>0</v>
      </c>
      <c r="H10" s="153">
        <v>0</v>
      </c>
      <c r="I10" s="153">
        <v>0</v>
      </c>
      <c r="J10" s="153">
        <v>0</v>
      </c>
      <c r="K10" s="153">
        <v>0</v>
      </c>
      <c r="L10" s="153">
        <v>0</v>
      </c>
      <c r="M10" s="153">
        <v>0</v>
      </c>
      <c r="N10" s="153">
        <v>0</v>
      </c>
      <c r="O10" s="153"/>
      <c r="P10" s="153">
        <v>0</v>
      </c>
      <c r="Q10" s="153">
        <v>0</v>
      </c>
      <c r="R10" s="153">
        <v>0</v>
      </c>
      <c r="S10" s="153">
        <v>0</v>
      </c>
      <c r="T10" s="153"/>
      <c r="U10" s="153"/>
      <c r="V10" s="153"/>
      <c r="W10" s="153"/>
      <c r="X10" s="153"/>
      <c r="Y10" s="153"/>
      <c r="Z10" s="153"/>
      <c r="AA10" s="153"/>
      <c r="AB10" s="153"/>
      <c r="AC10" s="153"/>
      <c r="AD10" s="153"/>
      <c r="AE10" s="153"/>
      <c r="AF10" s="153"/>
      <c r="AG10" s="153"/>
      <c r="AH10" s="153"/>
      <c r="AI10" s="153"/>
      <c r="AJ10" s="153"/>
      <c r="AK10"/>
      <c r="AL10"/>
      <c r="AM10"/>
      <c r="AN10"/>
    </row>
    <row r="11" spans="1:40" x14ac:dyDescent="0.35">
      <c r="A11" s="153"/>
      <c r="B11" s="153"/>
      <c r="C11" s="153"/>
      <c r="D11" s="153"/>
      <c r="E11" s="161"/>
      <c r="F11" s="153">
        <v>0</v>
      </c>
      <c r="G11" s="153"/>
      <c r="H11" s="153"/>
      <c r="I11" s="153"/>
      <c r="J11" s="153"/>
      <c r="K11" s="153"/>
      <c r="L11" s="153"/>
      <c r="M11"/>
      <c r="N11" s="153"/>
      <c r="O11" s="153"/>
      <c r="P11" s="153"/>
      <c r="Q11" s="153"/>
      <c r="R11" s="153"/>
      <c r="S11" s="153"/>
      <c r="T11" s="153"/>
      <c r="U11" s="153"/>
      <c r="V11" s="153"/>
      <c r="W11" s="153"/>
      <c r="X11" s="153"/>
      <c r="Y11" s="153"/>
      <c r="Z11" s="153"/>
      <c r="AA11" s="153"/>
      <c r="AB11" s="153"/>
      <c r="AC11" s="153"/>
      <c r="AD11" s="153"/>
      <c r="AE11" s="153"/>
      <c r="AF11" s="153"/>
      <c r="AG11" s="153"/>
      <c r="AH11" s="153"/>
      <c r="AI11" s="153"/>
      <c r="AJ11" s="153"/>
      <c r="AK11"/>
      <c r="AL11"/>
      <c r="AM11"/>
      <c r="AN11"/>
    </row>
    <row r="12" spans="1:40" s="129" customFormat="1" x14ac:dyDescent="0.35">
      <c r="A12" s="153" t="s">
        <v>914</v>
      </c>
      <c r="B12" s="153" t="s">
        <v>179</v>
      </c>
      <c r="C12" s="153" t="s">
        <v>929</v>
      </c>
      <c r="D12" s="153" t="s">
        <v>35</v>
      </c>
      <c r="E12" s="161">
        <v>1</v>
      </c>
      <c r="F12" s="153">
        <v>0</v>
      </c>
      <c r="G12" s="153">
        <v>0</v>
      </c>
      <c r="H12" s="153">
        <v>0</v>
      </c>
      <c r="I12" s="153">
        <v>0</v>
      </c>
      <c r="J12" s="153">
        <v>0</v>
      </c>
      <c r="K12" s="153">
        <v>0</v>
      </c>
      <c r="L12" s="153">
        <v>0</v>
      </c>
      <c r="M12">
        <v>0</v>
      </c>
      <c r="N12" s="153">
        <v>0</v>
      </c>
      <c r="O12" s="153">
        <v>0</v>
      </c>
      <c r="P12" s="153">
        <v>0</v>
      </c>
      <c r="Q12" s="153">
        <v>0</v>
      </c>
      <c r="R12" s="153">
        <v>0</v>
      </c>
      <c r="S12" s="153">
        <v>0</v>
      </c>
      <c r="T12" s="153"/>
      <c r="U12" s="153"/>
      <c r="V12" s="153"/>
      <c r="W12" s="153"/>
      <c r="X12" s="153"/>
      <c r="Y12" s="153"/>
      <c r="Z12" s="153"/>
      <c r="AA12" s="153"/>
      <c r="AB12" s="153"/>
      <c r="AC12" s="153"/>
      <c r="AD12" s="153"/>
      <c r="AE12" s="153"/>
      <c r="AF12" s="153"/>
      <c r="AG12" s="153"/>
      <c r="AH12" s="153"/>
      <c r="AI12" s="153"/>
      <c r="AJ12" s="153"/>
      <c r="AK12"/>
      <c r="AL12"/>
      <c r="AM12"/>
      <c r="AN12"/>
    </row>
    <row r="13" spans="1:40" x14ac:dyDescent="0.35">
      <c r="A13" s="153" t="s">
        <v>914</v>
      </c>
      <c r="B13" s="153" t="s">
        <v>180</v>
      </c>
      <c r="C13" s="153" t="s">
        <v>930</v>
      </c>
      <c r="D13" s="153" t="s">
        <v>35</v>
      </c>
      <c r="E13" s="161">
        <v>1</v>
      </c>
      <c r="F13" s="153">
        <v>0</v>
      </c>
      <c r="G13" s="153">
        <v>0</v>
      </c>
      <c r="H13" s="153">
        <v>0</v>
      </c>
      <c r="I13" s="153">
        <v>0</v>
      </c>
      <c r="J13" s="153">
        <v>0</v>
      </c>
      <c r="K13" s="153">
        <v>0</v>
      </c>
      <c r="L13" s="153">
        <v>0</v>
      </c>
      <c r="M13" s="172">
        <v>0</v>
      </c>
      <c r="N13" s="153">
        <v>0</v>
      </c>
      <c r="O13" s="153">
        <v>0</v>
      </c>
      <c r="P13" s="153">
        <v>0</v>
      </c>
      <c r="Q13" s="153">
        <v>0</v>
      </c>
      <c r="R13" s="153">
        <v>0</v>
      </c>
      <c r="S13" s="153">
        <v>0</v>
      </c>
      <c r="T13" s="153"/>
      <c r="U13" s="153"/>
      <c r="V13" s="153"/>
      <c r="W13" s="153"/>
      <c r="X13" s="153"/>
      <c r="Y13" s="153"/>
      <c r="Z13" s="153"/>
      <c r="AA13" s="153"/>
      <c r="AB13" s="153"/>
      <c r="AC13" s="153"/>
      <c r="AD13" s="153"/>
      <c r="AE13" s="153"/>
      <c r="AF13" s="153"/>
      <c r="AG13" s="153"/>
      <c r="AH13" s="153"/>
      <c r="AI13" s="153"/>
      <c r="AJ13" s="153"/>
      <c r="AK13"/>
      <c r="AL13"/>
      <c r="AM13"/>
      <c r="AN13"/>
    </row>
    <row r="14" spans="1:40" x14ac:dyDescent="0.35">
      <c r="A14" s="153" t="s">
        <v>914</v>
      </c>
      <c r="B14" s="153" t="s">
        <v>181</v>
      </c>
      <c r="C14" s="153" t="s">
        <v>931</v>
      </c>
      <c r="D14" s="153" t="s">
        <v>35</v>
      </c>
      <c r="E14" s="161">
        <v>1</v>
      </c>
      <c r="F14" s="153">
        <v>0</v>
      </c>
      <c r="G14" s="153">
        <v>0</v>
      </c>
      <c r="H14" s="153">
        <v>0</v>
      </c>
      <c r="I14" s="153">
        <v>0</v>
      </c>
      <c r="J14" s="153">
        <v>0</v>
      </c>
      <c r="K14" s="153">
        <v>0</v>
      </c>
      <c r="L14" s="153">
        <v>0</v>
      </c>
      <c r="M14" s="172">
        <v>0</v>
      </c>
      <c r="N14" s="153">
        <v>0</v>
      </c>
      <c r="O14" s="153">
        <v>0</v>
      </c>
      <c r="P14" s="153">
        <v>0</v>
      </c>
      <c r="Q14" s="153">
        <v>0</v>
      </c>
      <c r="R14" s="153">
        <v>0</v>
      </c>
      <c r="S14" s="153">
        <v>0</v>
      </c>
      <c r="T14" s="153"/>
      <c r="U14" s="153"/>
      <c r="V14" s="153"/>
      <c r="W14" s="153"/>
      <c r="X14" s="153"/>
      <c r="Y14" s="153"/>
      <c r="Z14" s="153"/>
      <c r="AA14" s="153"/>
      <c r="AB14" s="153"/>
      <c r="AC14" s="153"/>
      <c r="AD14" s="153"/>
      <c r="AE14" s="153"/>
      <c r="AF14" s="153"/>
      <c r="AG14" s="153"/>
      <c r="AH14" s="153"/>
      <c r="AI14" s="153"/>
      <c r="AJ14" s="153"/>
      <c r="AK14"/>
      <c r="AL14"/>
      <c r="AM14"/>
      <c r="AN14"/>
    </row>
    <row r="15" spans="1:40" x14ac:dyDescent="0.35">
      <c r="A15" s="153" t="s">
        <v>914</v>
      </c>
      <c r="B15" s="153" t="s">
        <v>182</v>
      </c>
      <c r="C15" s="153" t="s">
        <v>932</v>
      </c>
      <c r="D15" s="153" t="s">
        <v>35</v>
      </c>
      <c r="E15" s="161">
        <v>1</v>
      </c>
      <c r="F15" s="153">
        <v>0</v>
      </c>
      <c r="G15" s="153"/>
      <c r="H15" s="153"/>
      <c r="I15" s="153"/>
      <c r="J15" s="153"/>
      <c r="K15" s="153"/>
      <c r="L15" s="153"/>
      <c r="M15" s="153"/>
      <c r="N15" s="153"/>
      <c r="O15" s="153">
        <v>0</v>
      </c>
      <c r="P15" s="153"/>
      <c r="Q15" s="153"/>
      <c r="R15" s="153"/>
      <c r="S15" s="153"/>
      <c r="T15" s="153"/>
      <c r="U15" s="153"/>
      <c r="V15" s="153"/>
      <c r="W15" s="153"/>
      <c r="X15" s="153"/>
      <c r="Y15" s="153"/>
      <c r="Z15" s="153"/>
      <c r="AA15" s="153"/>
      <c r="AB15" s="153"/>
      <c r="AC15" s="153"/>
      <c r="AD15" s="153"/>
      <c r="AE15" s="153"/>
      <c r="AF15" s="153"/>
      <c r="AG15" s="153"/>
      <c r="AH15" s="153"/>
      <c r="AI15" s="153"/>
      <c r="AJ15" s="153"/>
      <c r="AK15"/>
      <c r="AL15"/>
      <c r="AM15"/>
      <c r="AN15"/>
    </row>
    <row r="16" spans="1:40" x14ac:dyDescent="0.35">
      <c r="A16" s="153"/>
      <c r="B16" s="153"/>
      <c r="C16" s="153"/>
      <c r="D16" s="153"/>
      <c r="E16" s="161"/>
      <c r="F16" s="153">
        <v>0</v>
      </c>
      <c r="G16" s="153"/>
      <c r="H16" s="153"/>
      <c r="I16" s="153"/>
      <c r="J16" s="153"/>
      <c r="K16" s="153"/>
      <c r="L16" s="153"/>
      <c r="M16" s="172"/>
      <c r="N16" s="153"/>
      <c r="O16" s="153"/>
      <c r="P16" s="153"/>
      <c r="Q16" s="153"/>
      <c r="R16" s="153"/>
      <c r="S16" s="153"/>
      <c r="T16" s="153"/>
      <c r="U16" s="153"/>
      <c r="V16" s="153"/>
      <c r="W16" s="153"/>
      <c r="X16" s="153"/>
      <c r="Y16" s="153"/>
      <c r="Z16" s="153"/>
      <c r="AA16" s="153"/>
      <c r="AB16" s="153"/>
      <c r="AC16" s="153"/>
      <c r="AD16" s="153"/>
      <c r="AE16" s="153"/>
      <c r="AF16" s="153"/>
      <c r="AG16" s="153"/>
      <c r="AH16" s="153"/>
      <c r="AI16" s="153"/>
      <c r="AJ16" s="153"/>
      <c r="AK16"/>
      <c r="AL16"/>
      <c r="AM16"/>
      <c r="AN16"/>
    </row>
    <row r="17" spans="1:40" s="129" customFormat="1" x14ac:dyDescent="0.35">
      <c r="A17" s="153" t="s">
        <v>484</v>
      </c>
      <c r="B17" s="153" t="s">
        <v>179</v>
      </c>
      <c r="C17" s="153" t="s">
        <v>645</v>
      </c>
      <c r="D17" s="153" t="s">
        <v>67</v>
      </c>
      <c r="E17" s="161">
        <v>1</v>
      </c>
      <c r="F17" s="153">
        <v>0</v>
      </c>
      <c r="G17" s="153">
        <v>0</v>
      </c>
      <c r="H17" s="153">
        <v>0</v>
      </c>
      <c r="I17" s="153">
        <v>0</v>
      </c>
      <c r="J17" s="153">
        <v>0</v>
      </c>
      <c r="K17" s="153">
        <v>0</v>
      </c>
      <c r="L17" s="153">
        <v>0</v>
      </c>
      <c r="M17" s="172">
        <v>0</v>
      </c>
      <c r="N17" s="153">
        <v>0</v>
      </c>
      <c r="O17" s="153">
        <v>0</v>
      </c>
      <c r="P17" s="153">
        <v>0</v>
      </c>
      <c r="Q17" s="153">
        <v>0</v>
      </c>
      <c r="R17" s="153">
        <v>0</v>
      </c>
      <c r="S17" s="153">
        <v>0</v>
      </c>
      <c r="T17" s="153"/>
      <c r="U17" s="153"/>
      <c r="V17" s="153"/>
      <c r="W17" s="153"/>
      <c r="X17" s="153"/>
      <c r="Y17" s="153"/>
      <c r="Z17" s="153"/>
      <c r="AA17" s="153"/>
      <c r="AB17" s="153"/>
      <c r="AC17" s="153"/>
      <c r="AD17" s="153"/>
      <c r="AE17" s="153"/>
      <c r="AF17" s="153"/>
      <c r="AG17" s="153"/>
      <c r="AH17" s="153"/>
      <c r="AI17" s="153"/>
      <c r="AJ17" s="153"/>
      <c r="AK17"/>
      <c r="AL17"/>
      <c r="AM17"/>
      <c r="AN17"/>
    </row>
    <row r="18" spans="1:40" x14ac:dyDescent="0.35">
      <c r="A18" s="153" t="s">
        <v>484</v>
      </c>
      <c r="B18" s="153" t="s">
        <v>180</v>
      </c>
      <c r="C18" s="153" t="s">
        <v>646</v>
      </c>
      <c r="D18" s="153" t="s">
        <v>67</v>
      </c>
      <c r="E18" s="161">
        <v>1</v>
      </c>
      <c r="F18" s="153">
        <v>9</v>
      </c>
      <c r="G18" s="153">
        <v>21</v>
      </c>
      <c r="H18" s="153">
        <v>10</v>
      </c>
      <c r="I18" s="153">
        <v>31</v>
      </c>
      <c r="J18" s="153">
        <v>13</v>
      </c>
      <c r="K18" s="153">
        <v>5</v>
      </c>
      <c r="L18" s="153">
        <v>124</v>
      </c>
      <c r="M18" s="172">
        <v>145</v>
      </c>
      <c r="N18" s="153">
        <v>26</v>
      </c>
      <c r="O18" s="153">
        <v>0</v>
      </c>
      <c r="P18" s="153">
        <v>26</v>
      </c>
      <c r="Q18" s="153">
        <v>16</v>
      </c>
      <c r="R18" s="153">
        <v>7</v>
      </c>
      <c r="S18" s="153">
        <v>14</v>
      </c>
      <c r="T18" s="153"/>
      <c r="U18" s="153"/>
      <c r="V18" s="153"/>
      <c r="W18" s="153"/>
      <c r="X18" s="153"/>
      <c r="Y18" s="153"/>
      <c r="Z18" s="153"/>
      <c r="AA18" s="153"/>
      <c r="AB18" s="153"/>
      <c r="AC18" s="153"/>
      <c r="AD18" s="153"/>
      <c r="AE18" s="153"/>
      <c r="AF18" s="153"/>
      <c r="AG18" s="153"/>
      <c r="AH18" s="153"/>
      <c r="AI18" s="153"/>
      <c r="AJ18" s="153"/>
      <c r="AK18"/>
      <c r="AL18"/>
      <c r="AM18"/>
      <c r="AN18"/>
    </row>
    <row r="19" spans="1:40" x14ac:dyDescent="0.35">
      <c r="A19" s="153" t="s">
        <v>484</v>
      </c>
      <c r="B19" s="153" t="s">
        <v>181</v>
      </c>
      <c r="C19" s="153" t="s">
        <v>647</v>
      </c>
      <c r="D19" s="153" t="s">
        <v>67</v>
      </c>
      <c r="E19" s="161">
        <v>1</v>
      </c>
      <c r="F19" s="153">
        <v>32</v>
      </c>
      <c r="G19" s="153">
        <v>15</v>
      </c>
      <c r="H19" s="153">
        <v>46</v>
      </c>
      <c r="I19" s="153">
        <v>45</v>
      </c>
      <c r="J19" s="153">
        <v>11</v>
      </c>
      <c r="K19" s="153">
        <v>38</v>
      </c>
      <c r="L19" s="153">
        <v>21</v>
      </c>
      <c r="M19" s="172">
        <v>32</v>
      </c>
      <c r="N19" s="153">
        <v>25</v>
      </c>
      <c r="O19" s="153">
        <v>0</v>
      </c>
      <c r="P19" s="153">
        <v>20</v>
      </c>
      <c r="Q19" s="153">
        <v>23</v>
      </c>
      <c r="R19" s="153">
        <v>28</v>
      </c>
      <c r="S19" s="153">
        <v>36</v>
      </c>
      <c r="T19" s="153"/>
      <c r="U19" s="153"/>
      <c r="V19" s="153"/>
      <c r="W19" s="153"/>
      <c r="X19" s="153"/>
      <c r="Y19" s="153"/>
      <c r="Z19" s="153"/>
      <c r="AA19" s="153"/>
      <c r="AB19" s="153"/>
      <c r="AC19" s="153"/>
      <c r="AD19" s="153"/>
      <c r="AE19" s="153"/>
      <c r="AF19" s="153"/>
      <c r="AG19" s="153"/>
      <c r="AH19" s="153"/>
      <c r="AI19" s="153"/>
      <c r="AJ19" s="153"/>
      <c r="AK19"/>
      <c r="AL19"/>
      <c r="AM19"/>
      <c r="AN19"/>
    </row>
    <row r="20" spans="1:40" x14ac:dyDescent="0.35">
      <c r="A20" s="153" t="s">
        <v>484</v>
      </c>
      <c r="B20" s="153" t="s">
        <v>182</v>
      </c>
      <c r="C20" s="153" t="s">
        <v>648</v>
      </c>
      <c r="D20" s="153" t="s">
        <v>67</v>
      </c>
      <c r="E20" s="161">
        <v>1</v>
      </c>
      <c r="F20" s="153">
        <v>0</v>
      </c>
      <c r="G20" s="153"/>
      <c r="H20" s="153"/>
      <c r="I20" s="153"/>
      <c r="J20" s="153"/>
      <c r="K20" s="153"/>
      <c r="L20" s="153"/>
      <c r="M20" s="153"/>
      <c r="N20" s="153"/>
      <c r="O20" s="153"/>
      <c r="P20" s="153"/>
      <c r="Q20" s="153"/>
      <c r="R20" s="153"/>
      <c r="S20" s="153"/>
      <c r="T20" s="153"/>
      <c r="U20" s="153"/>
      <c r="V20" s="153"/>
      <c r="W20" s="153"/>
      <c r="X20" s="153"/>
      <c r="Y20" s="153"/>
      <c r="Z20" s="153"/>
      <c r="AA20" s="153"/>
      <c r="AB20" s="153"/>
      <c r="AC20" s="153"/>
      <c r="AD20" s="153"/>
      <c r="AE20" s="153"/>
      <c r="AF20" s="153"/>
      <c r="AG20" s="153"/>
      <c r="AH20" s="153"/>
      <c r="AI20" s="153"/>
      <c r="AJ20" s="153"/>
      <c r="AK20"/>
      <c r="AL20"/>
      <c r="AM20"/>
      <c r="AN20"/>
    </row>
    <row r="21" spans="1:40" x14ac:dyDescent="0.35">
      <c r="A21" s="153"/>
      <c r="B21" s="153"/>
      <c r="C21" s="153"/>
      <c r="D21" s="153"/>
      <c r="E21" s="161"/>
      <c r="F21" s="153">
        <v>0</v>
      </c>
      <c r="G21" s="153"/>
      <c r="H21" s="153"/>
      <c r="I21" s="153"/>
      <c r="J21" s="153"/>
      <c r="K21" s="153"/>
      <c r="L21" s="153"/>
      <c r="M21" s="172"/>
      <c r="N21" s="153"/>
      <c r="O21" s="153"/>
      <c r="P21" s="153"/>
      <c r="Q21" s="153"/>
      <c r="R21" s="153"/>
      <c r="S21" s="153"/>
      <c r="T21" s="153"/>
      <c r="U21" s="153"/>
      <c r="V21" s="153"/>
      <c r="W21" s="153"/>
      <c r="X21" s="153"/>
      <c r="Y21" s="153"/>
      <c r="Z21" s="153"/>
      <c r="AA21" s="153"/>
      <c r="AB21" s="153"/>
      <c r="AC21" s="153"/>
      <c r="AD21" s="153"/>
      <c r="AE21" s="153"/>
      <c r="AF21" s="153"/>
      <c r="AG21" s="153"/>
      <c r="AH21" s="153"/>
      <c r="AI21" s="153"/>
      <c r="AJ21" s="153"/>
      <c r="AK21"/>
      <c r="AL21"/>
      <c r="AM21"/>
      <c r="AN21"/>
    </row>
    <row r="22" spans="1:40" x14ac:dyDescent="0.35">
      <c r="A22" s="153" t="s">
        <v>484</v>
      </c>
      <c r="B22" s="153" t="s">
        <v>179</v>
      </c>
      <c r="C22" s="153" t="s">
        <v>1260</v>
      </c>
      <c r="D22" s="153" t="s">
        <v>67</v>
      </c>
      <c r="E22" s="161">
        <v>1</v>
      </c>
      <c r="F22" s="153">
        <v>0</v>
      </c>
      <c r="G22" s="153">
        <v>0</v>
      </c>
      <c r="H22" s="153">
        <v>0</v>
      </c>
      <c r="I22" s="153">
        <v>0</v>
      </c>
      <c r="J22" s="153">
        <v>0</v>
      </c>
      <c r="K22" s="153">
        <v>0</v>
      </c>
      <c r="L22" s="153">
        <v>0</v>
      </c>
      <c r="M22" s="172">
        <v>0</v>
      </c>
      <c r="N22" s="153">
        <v>0</v>
      </c>
      <c r="O22" s="153">
        <v>0</v>
      </c>
      <c r="P22" s="153">
        <v>0</v>
      </c>
      <c r="Q22" s="153">
        <v>0</v>
      </c>
      <c r="R22" s="153">
        <v>0</v>
      </c>
      <c r="S22" s="153">
        <v>0</v>
      </c>
      <c r="T22" s="153"/>
      <c r="U22" s="153"/>
      <c r="V22" s="153"/>
      <c r="W22" s="153"/>
      <c r="X22" s="153"/>
      <c r="Y22" s="153"/>
      <c r="Z22" s="153"/>
      <c r="AA22" s="153"/>
      <c r="AB22" s="153"/>
      <c r="AC22" s="153"/>
      <c r="AD22" s="153"/>
      <c r="AE22" s="153"/>
      <c r="AF22" s="153"/>
      <c r="AG22" s="153"/>
      <c r="AH22" s="153"/>
      <c r="AI22" s="153"/>
      <c r="AJ22" s="153"/>
      <c r="AK22"/>
      <c r="AL22"/>
      <c r="AM22"/>
      <c r="AN22"/>
    </row>
    <row r="23" spans="1:40" x14ac:dyDescent="0.35">
      <c r="A23" s="153" t="s">
        <v>484</v>
      </c>
      <c r="B23" s="153" t="s">
        <v>180</v>
      </c>
      <c r="C23" s="153" t="s">
        <v>1261</v>
      </c>
      <c r="D23" s="153" t="s">
        <v>67</v>
      </c>
      <c r="E23" s="161">
        <v>1</v>
      </c>
      <c r="F23" s="153">
        <v>9</v>
      </c>
      <c r="G23" s="153">
        <v>16</v>
      </c>
      <c r="H23" s="153">
        <v>6</v>
      </c>
      <c r="I23" s="153">
        <v>11</v>
      </c>
      <c r="J23" s="153">
        <v>46</v>
      </c>
      <c r="K23" s="153">
        <v>2</v>
      </c>
      <c r="L23" s="153">
        <v>4</v>
      </c>
      <c r="M23" s="172">
        <v>22</v>
      </c>
      <c r="N23" s="153">
        <v>23</v>
      </c>
      <c r="O23" s="153">
        <v>76</v>
      </c>
      <c r="P23" s="153">
        <v>10</v>
      </c>
      <c r="Q23" s="153">
        <v>44</v>
      </c>
      <c r="R23" s="153">
        <v>34</v>
      </c>
      <c r="S23" s="153">
        <v>34</v>
      </c>
      <c r="T23" s="153"/>
      <c r="U23" s="153"/>
      <c r="V23" s="153"/>
      <c r="W23" s="153"/>
      <c r="X23" s="153"/>
      <c r="Y23" s="153"/>
      <c r="Z23" s="153"/>
      <c r="AA23" s="153"/>
      <c r="AB23" s="153"/>
      <c r="AC23" s="153"/>
      <c r="AD23" s="153"/>
      <c r="AE23" s="153"/>
      <c r="AF23" s="153"/>
      <c r="AG23" s="153"/>
      <c r="AH23" s="153"/>
      <c r="AI23" s="153"/>
      <c r="AJ23" s="153"/>
      <c r="AK23"/>
      <c r="AL23"/>
      <c r="AM23"/>
      <c r="AN23"/>
    </row>
    <row r="24" spans="1:40" x14ac:dyDescent="0.35">
      <c r="A24" s="153" t="s">
        <v>484</v>
      </c>
      <c r="B24" s="153" t="s">
        <v>181</v>
      </c>
      <c r="C24" s="153" t="s">
        <v>1262</v>
      </c>
      <c r="D24" s="153" t="s">
        <v>67</v>
      </c>
      <c r="E24" s="161">
        <v>1</v>
      </c>
      <c r="F24" s="153">
        <v>32</v>
      </c>
      <c r="G24" s="153">
        <v>0</v>
      </c>
      <c r="H24" s="153">
        <v>0</v>
      </c>
      <c r="I24" s="153">
        <v>0</v>
      </c>
      <c r="J24" s="153">
        <v>0</v>
      </c>
      <c r="K24" s="153">
        <v>0</v>
      </c>
      <c r="L24" s="153">
        <v>0</v>
      </c>
      <c r="M24" s="172">
        <v>0</v>
      </c>
      <c r="N24" s="153">
        <v>0</v>
      </c>
      <c r="O24" s="153">
        <v>34</v>
      </c>
      <c r="P24" s="153">
        <v>0</v>
      </c>
      <c r="Q24" s="153">
        <v>0</v>
      </c>
      <c r="R24" s="153">
        <v>0</v>
      </c>
      <c r="S24" s="153">
        <v>0</v>
      </c>
      <c r="T24" s="153"/>
      <c r="U24" s="153"/>
      <c r="V24" s="153"/>
      <c r="W24" s="153"/>
      <c r="X24" s="153"/>
      <c r="Y24" s="153"/>
      <c r="Z24" s="153"/>
      <c r="AA24" s="153"/>
      <c r="AB24" s="153"/>
      <c r="AC24" s="153"/>
      <c r="AD24" s="153"/>
      <c r="AE24" s="153"/>
      <c r="AF24" s="153"/>
      <c r="AG24" s="153"/>
      <c r="AH24" s="153"/>
      <c r="AI24" s="153"/>
      <c r="AJ24" s="153"/>
      <c r="AK24"/>
      <c r="AL24"/>
      <c r="AM24"/>
      <c r="AN24"/>
    </row>
    <row r="25" spans="1:40" x14ac:dyDescent="0.35">
      <c r="A25" s="153" t="s">
        <v>484</v>
      </c>
      <c r="B25" s="153" t="s">
        <v>182</v>
      </c>
      <c r="C25" s="153" t="s">
        <v>1263</v>
      </c>
      <c r="D25" s="153" t="s">
        <v>67</v>
      </c>
      <c r="E25" s="161">
        <v>1</v>
      </c>
      <c r="F25" s="153">
        <v>0</v>
      </c>
      <c r="G25" s="153">
        <v>0</v>
      </c>
      <c r="H25" s="153">
        <v>0</v>
      </c>
      <c r="I25" s="153">
        <v>0</v>
      </c>
      <c r="J25" s="153">
        <v>0</v>
      </c>
      <c r="K25" s="153">
        <v>0</v>
      </c>
      <c r="L25" s="153">
        <v>0</v>
      </c>
      <c r="M25" s="153">
        <v>0</v>
      </c>
      <c r="N25" s="153">
        <v>0</v>
      </c>
      <c r="O25" s="153"/>
      <c r="P25" s="153">
        <v>0</v>
      </c>
      <c r="Q25" s="153">
        <v>0</v>
      </c>
      <c r="R25" s="153">
        <v>0</v>
      </c>
      <c r="S25" s="153">
        <v>0</v>
      </c>
      <c r="T25" s="153"/>
      <c r="U25" s="153"/>
      <c r="V25" s="153"/>
      <c r="W25" s="153"/>
      <c r="X25" s="153"/>
      <c r="Y25" s="153"/>
      <c r="Z25" s="153"/>
      <c r="AA25" s="153"/>
      <c r="AB25" s="153"/>
      <c r="AC25" s="153"/>
      <c r="AD25" s="153"/>
      <c r="AE25" s="153"/>
      <c r="AF25" s="153"/>
      <c r="AG25" s="153"/>
      <c r="AH25" s="153"/>
      <c r="AI25" s="153"/>
      <c r="AJ25" s="153"/>
      <c r="AK25"/>
      <c r="AL25"/>
      <c r="AM25"/>
      <c r="AN25"/>
    </row>
    <row r="26" spans="1:40" x14ac:dyDescent="0.35">
      <c r="A26" s="153"/>
      <c r="B26" s="153"/>
      <c r="C26" s="153"/>
      <c r="D26" s="153"/>
      <c r="E26" s="161"/>
      <c r="F26" s="153">
        <v>0</v>
      </c>
      <c r="G26" s="153">
        <v>0</v>
      </c>
      <c r="H26" s="153">
        <v>0</v>
      </c>
      <c r="I26" s="153">
        <v>0</v>
      </c>
      <c r="J26" s="153">
        <v>0</v>
      </c>
      <c r="K26" s="153">
        <v>0</v>
      </c>
      <c r="L26" s="153">
        <v>0</v>
      </c>
      <c r="M26" s="172">
        <v>0</v>
      </c>
      <c r="N26" s="153">
        <v>0</v>
      </c>
      <c r="O26" s="153"/>
      <c r="P26" s="153">
        <v>0</v>
      </c>
      <c r="Q26" s="153">
        <v>0</v>
      </c>
      <c r="R26" s="153">
        <v>0</v>
      </c>
      <c r="S26" s="153">
        <v>0</v>
      </c>
      <c r="T26" s="153"/>
      <c r="U26" s="153"/>
      <c r="V26" s="153"/>
      <c r="W26" s="153"/>
      <c r="X26" s="153"/>
      <c r="Y26" s="153"/>
      <c r="Z26" s="153"/>
      <c r="AA26" s="153"/>
      <c r="AB26" s="153"/>
      <c r="AC26" s="153"/>
      <c r="AD26" s="153"/>
      <c r="AE26" s="153"/>
      <c r="AF26" s="153"/>
      <c r="AG26" s="153"/>
      <c r="AH26" s="153"/>
      <c r="AI26" s="153"/>
      <c r="AJ26" s="153"/>
      <c r="AK26"/>
      <c r="AL26"/>
      <c r="AM26"/>
      <c r="AN26"/>
    </row>
    <row r="27" spans="1:40" s="129" customFormat="1" x14ac:dyDescent="0.35">
      <c r="A27" s="153" t="s">
        <v>484</v>
      </c>
      <c r="B27" s="153" t="s">
        <v>179</v>
      </c>
      <c r="C27" s="153" t="s">
        <v>1264</v>
      </c>
      <c r="D27" s="153" t="s">
        <v>67</v>
      </c>
      <c r="E27" s="161">
        <v>1</v>
      </c>
      <c r="F27" s="153">
        <v>0</v>
      </c>
      <c r="G27" s="153">
        <v>0</v>
      </c>
      <c r="H27" s="153">
        <v>0</v>
      </c>
      <c r="I27" s="153">
        <v>0</v>
      </c>
      <c r="J27" s="153">
        <v>0</v>
      </c>
      <c r="K27" s="153">
        <v>0</v>
      </c>
      <c r="L27" s="153">
        <v>0</v>
      </c>
      <c r="M27" s="172">
        <v>0</v>
      </c>
      <c r="N27" s="153">
        <v>0</v>
      </c>
      <c r="O27" s="153">
        <v>0</v>
      </c>
      <c r="P27" s="153">
        <v>0</v>
      </c>
      <c r="Q27" s="153">
        <v>0</v>
      </c>
      <c r="R27" s="153">
        <v>0</v>
      </c>
      <c r="S27" s="153">
        <v>0</v>
      </c>
      <c r="T27" s="153"/>
      <c r="U27" s="153"/>
      <c r="V27" s="153"/>
      <c r="W27" s="153"/>
      <c r="X27" s="153"/>
      <c r="Y27" s="153"/>
      <c r="Z27" s="153"/>
      <c r="AA27" s="153"/>
      <c r="AB27" s="153"/>
      <c r="AC27" s="153"/>
      <c r="AD27" s="153"/>
      <c r="AE27" s="153"/>
      <c r="AF27" s="153"/>
      <c r="AG27" s="153"/>
      <c r="AH27" s="153"/>
      <c r="AI27" s="153"/>
      <c r="AJ27" s="153"/>
      <c r="AK27"/>
      <c r="AL27"/>
      <c r="AM27"/>
      <c r="AN27"/>
    </row>
    <row r="28" spans="1:40" x14ac:dyDescent="0.35">
      <c r="A28" s="153" t="s">
        <v>484</v>
      </c>
      <c r="B28" s="153" t="s">
        <v>180</v>
      </c>
      <c r="C28" s="153" t="s">
        <v>1265</v>
      </c>
      <c r="D28" s="153" t="s">
        <v>67</v>
      </c>
      <c r="E28" s="161">
        <v>1</v>
      </c>
      <c r="F28" s="153">
        <v>9</v>
      </c>
      <c r="G28" s="153">
        <v>0</v>
      </c>
      <c r="H28" s="153">
        <v>0</v>
      </c>
      <c r="I28" s="153">
        <v>0</v>
      </c>
      <c r="J28" s="153">
        <v>0</v>
      </c>
      <c r="K28" s="153">
        <v>0</v>
      </c>
      <c r="L28" s="153">
        <v>0</v>
      </c>
      <c r="M28" s="172">
        <v>0</v>
      </c>
      <c r="N28" s="153">
        <v>0</v>
      </c>
      <c r="O28" s="153">
        <v>18</v>
      </c>
      <c r="P28" s="153">
        <v>0</v>
      </c>
      <c r="Q28" s="153">
        <v>0</v>
      </c>
      <c r="R28" s="153">
        <v>0</v>
      </c>
      <c r="S28" s="153">
        <v>0</v>
      </c>
      <c r="T28" s="153"/>
      <c r="U28" s="153"/>
      <c r="V28" s="153"/>
      <c r="W28" s="153"/>
      <c r="X28" s="153"/>
      <c r="Y28" s="153"/>
      <c r="Z28" s="153"/>
      <c r="AA28" s="153"/>
      <c r="AB28" s="153"/>
      <c r="AC28" s="153"/>
      <c r="AD28" s="153"/>
      <c r="AE28" s="153"/>
      <c r="AF28" s="153"/>
      <c r="AG28" s="153"/>
      <c r="AH28" s="153"/>
      <c r="AI28" s="153"/>
      <c r="AJ28" s="153"/>
      <c r="AK28"/>
      <c r="AL28"/>
      <c r="AM28"/>
      <c r="AN28"/>
    </row>
    <row r="29" spans="1:40" x14ac:dyDescent="0.35">
      <c r="A29" s="153" t="s">
        <v>484</v>
      </c>
      <c r="B29" s="153" t="s">
        <v>181</v>
      </c>
      <c r="C29" s="153" t="s">
        <v>1266</v>
      </c>
      <c r="D29" s="153" t="s">
        <v>67</v>
      </c>
      <c r="E29" s="161">
        <v>1</v>
      </c>
      <c r="F29" s="153">
        <v>32</v>
      </c>
      <c r="G29" s="153">
        <v>0</v>
      </c>
      <c r="H29" s="153">
        <v>0</v>
      </c>
      <c r="I29" s="153">
        <v>0</v>
      </c>
      <c r="J29" s="153">
        <v>0</v>
      </c>
      <c r="K29" s="153">
        <v>0</v>
      </c>
      <c r="L29" s="153">
        <v>0</v>
      </c>
      <c r="M29" s="172">
        <v>0</v>
      </c>
      <c r="N29" s="153">
        <v>0</v>
      </c>
      <c r="O29" s="153">
        <v>0</v>
      </c>
      <c r="P29" s="153">
        <v>0</v>
      </c>
      <c r="Q29" s="153">
        <v>0</v>
      </c>
      <c r="R29" s="153">
        <v>0</v>
      </c>
      <c r="S29" s="153">
        <v>0</v>
      </c>
      <c r="T29" s="153"/>
      <c r="U29" s="153"/>
      <c r="V29" s="153"/>
      <c r="W29" s="153"/>
      <c r="X29" s="153"/>
      <c r="Y29" s="153"/>
      <c r="Z29" s="153"/>
      <c r="AA29" s="153"/>
      <c r="AB29" s="153"/>
      <c r="AC29" s="153"/>
      <c r="AD29" s="153"/>
      <c r="AE29" s="153"/>
      <c r="AF29" s="153"/>
      <c r="AG29" s="153"/>
      <c r="AH29" s="153"/>
      <c r="AI29" s="153"/>
      <c r="AJ29" s="153"/>
      <c r="AK29"/>
      <c r="AL29"/>
      <c r="AM29"/>
      <c r="AN29"/>
    </row>
    <row r="30" spans="1:40" x14ac:dyDescent="0.35">
      <c r="A30" s="153" t="s">
        <v>484</v>
      </c>
      <c r="B30" s="153" t="s">
        <v>182</v>
      </c>
      <c r="C30" s="153" t="s">
        <v>1267</v>
      </c>
      <c r="D30" s="153" t="s">
        <v>67</v>
      </c>
      <c r="E30" s="161">
        <v>1</v>
      </c>
      <c r="F30" s="153">
        <v>0</v>
      </c>
      <c r="G30" s="153">
        <v>0</v>
      </c>
      <c r="H30" s="153">
        <v>0</v>
      </c>
      <c r="I30" s="153">
        <v>0</v>
      </c>
      <c r="J30" s="153">
        <v>0</v>
      </c>
      <c r="K30" s="153">
        <v>0</v>
      </c>
      <c r="L30" s="153">
        <v>0</v>
      </c>
      <c r="M30" s="153">
        <v>0</v>
      </c>
      <c r="N30" s="153">
        <v>0</v>
      </c>
      <c r="O30" s="153">
        <v>0</v>
      </c>
      <c r="P30" s="153">
        <v>0</v>
      </c>
      <c r="Q30" s="153">
        <v>0</v>
      </c>
      <c r="R30" s="153">
        <v>0</v>
      </c>
      <c r="S30" s="153">
        <v>0</v>
      </c>
      <c r="T30" s="153"/>
      <c r="U30" s="153"/>
      <c r="V30" s="153"/>
      <c r="W30" s="153"/>
      <c r="X30" s="153"/>
      <c r="Y30" s="153"/>
      <c r="Z30" s="153"/>
      <c r="AA30" s="153"/>
      <c r="AB30" s="153"/>
      <c r="AC30" s="153"/>
      <c r="AD30" s="153"/>
      <c r="AE30" s="153"/>
      <c r="AF30" s="153"/>
      <c r="AG30" s="153"/>
      <c r="AH30" s="153"/>
      <c r="AI30" s="153"/>
      <c r="AJ30" s="153"/>
      <c r="AK30"/>
      <c r="AL30"/>
      <c r="AM30"/>
      <c r="AN30"/>
    </row>
    <row r="31" spans="1:40" x14ac:dyDescent="0.35">
      <c r="A31" s="153"/>
      <c r="B31" s="153"/>
      <c r="C31" s="153"/>
      <c r="D31" s="153"/>
      <c r="E31" s="161"/>
      <c r="F31" s="153">
        <v>0</v>
      </c>
      <c r="G31" s="153">
        <v>0</v>
      </c>
      <c r="H31" s="153">
        <v>0</v>
      </c>
      <c r="I31" s="153">
        <v>0</v>
      </c>
      <c r="J31" s="153">
        <v>0</v>
      </c>
      <c r="K31" s="153">
        <v>0</v>
      </c>
      <c r="L31" s="153">
        <v>0</v>
      </c>
      <c r="M31" s="172">
        <v>0</v>
      </c>
      <c r="N31" s="153">
        <v>0</v>
      </c>
      <c r="O31" s="153">
        <v>0</v>
      </c>
      <c r="P31" s="153">
        <v>0</v>
      </c>
      <c r="Q31" s="153">
        <v>0</v>
      </c>
      <c r="R31" s="153">
        <v>0</v>
      </c>
      <c r="S31" s="153">
        <v>0</v>
      </c>
      <c r="T31" s="153"/>
      <c r="U31" s="153"/>
      <c r="V31" s="153"/>
      <c r="W31" s="153"/>
      <c r="X31" s="153"/>
      <c r="Y31" s="153"/>
      <c r="Z31" s="153"/>
      <c r="AA31" s="153"/>
      <c r="AB31" s="153"/>
      <c r="AC31" s="153"/>
      <c r="AD31" s="153"/>
      <c r="AE31" s="153"/>
      <c r="AF31" s="153"/>
      <c r="AG31" s="153"/>
      <c r="AH31" s="153"/>
      <c r="AI31" s="153"/>
      <c r="AJ31" s="153"/>
      <c r="AK31"/>
      <c r="AL31"/>
      <c r="AM31"/>
      <c r="AN31"/>
    </row>
    <row r="32" spans="1:40" x14ac:dyDescent="0.35">
      <c r="A32" s="153" t="s">
        <v>484</v>
      </c>
      <c r="B32" s="153" t="s">
        <v>179</v>
      </c>
      <c r="C32" s="153" t="s">
        <v>1273</v>
      </c>
      <c r="D32" s="153" t="s">
        <v>67</v>
      </c>
      <c r="E32" s="161">
        <v>1</v>
      </c>
      <c r="F32" s="153">
        <v>0</v>
      </c>
      <c r="G32" s="153">
        <v>0</v>
      </c>
      <c r="H32" s="153">
        <v>0</v>
      </c>
      <c r="I32" s="153">
        <v>0</v>
      </c>
      <c r="J32" s="153">
        <v>0</v>
      </c>
      <c r="K32" s="153">
        <v>0</v>
      </c>
      <c r="L32" s="153">
        <v>0</v>
      </c>
      <c r="M32" s="172">
        <v>0</v>
      </c>
      <c r="N32" s="153">
        <v>0</v>
      </c>
      <c r="O32" s="153">
        <v>0</v>
      </c>
      <c r="P32" s="153">
        <v>0</v>
      </c>
      <c r="Q32" s="153">
        <v>0</v>
      </c>
      <c r="R32" s="153">
        <v>0</v>
      </c>
      <c r="S32" s="153">
        <v>0</v>
      </c>
      <c r="T32" s="153"/>
      <c r="U32" s="153"/>
      <c r="V32" s="153"/>
      <c r="W32" s="153"/>
      <c r="X32" s="153"/>
      <c r="Y32" s="153"/>
      <c r="Z32" s="153"/>
      <c r="AA32" s="153"/>
      <c r="AB32" s="153"/>
      <c r="AC32" s="153"/>
      <c r="AD32" s="153"/>
      <c r="AE32" s="153"/>
      <c r="AF32" s="153"/>
      <c r="AG32" s="153"/>
      <c r="AH32" s="153"/>
      <c r="AI32" s="153"/>
      <c r="AJ32" s="153"/>
      <c r="AK32"/>
      <c r="AL32"/>
      <c r="AM32"/>
      <c r="AN32"/>
    </row>
    <row r="33" spans="1:40" x14ac:dyDescent="0.35">
      <c r="A33" s="153" t="s">
        <v>484</v>
      </c>
      <c r="B33" s="153" t="s">
        <v>180</v>
      </c>
      <c r="C33" s="153" t="s">
        <v>1275</v>
      </c>
      <c r="D33" s="153" t="s">
        <v>67</v>
      </c>
      <c r="E33" s="161">
        <v>1</v>
      </c>
      <c r="F33" s="153">
        <v>9</v>
      </c>
      <c r="G33" s="153">
        <v>1</v>
      </c>
      <c r="H33" s="153">
        <v>10</v>
      </c>
      <c r="I33" s="153">
        <v>17</v>
      </c>
      <c r="J33" s="153">
        <v>7</v>
      </c>
      <c r="K33" s="153">
        <v>7</v>
      </c>
      <c r="L33" s="153">
        <v>12</v>
      </c>
      <c r="M33" s="172">
        <v>10</v>
      </c>
      <c r="N33" s="153">
        <v>15</v>
      </c>
      <c r="O33" s="153">
        <v>0</v>
      </c>
      <c r="P33" s="153">
        <v>5</v>
      </c>
      <c r="Q33" s="153">
        <v>31</v>
      </c>
      <c r="R33" s="153">
        <v>27</v>
      </c>
      <c r="S33" s="153">
        <v>45</v>
      </c>
      <c r="T33" s="153"/>
      <c r="U33" s="153"/>
      <c r="V33" s="153"/>
      <c r="W33" s="153"/>
      <c r="X33" s="153"/>
      <c r="Y33" s="153"/>
      <c r="Z33" s="153"/>
      <c r="AA33" s="153"/>
      <c r="AB33" s="153"/>
      <c r="AC33" s="153"/>
      <c r="AD33" s="153"/>
      <c r="AE33" s="153"/>
      <c r="AF33" s="153"/>
      <c r="AG33" s="153"/>
      <c r="AH33" s="153"/>
      <c r="AI33" s="153"/>
      <c r="AJ33" s="153"/>
      <c r="AK33"/>
      <c r="AL33"/>
      <c r="AM33"/>
      <c r="AN33"/>
    </row>
    <row r="34" spans="1:40" x14ac:dyDescent="0.35">
      <c r="A34" s="153" t="s">
        <v>484</v>
      </c>
      <c r="B34" s="153" t="s">
        <v>181</v>
      </c>
      <c r="C34" s="153" t="s">
        <v>1277</v>
      </c>
      <c r="D34" s="153" t="s">
        <v>67</v>
      </c>
      <c r="E34" s="161">
        <v>1</v>
      </c>
      <c r="F34" s="153">
        <v>32</v>
      </c>
      <c r="G34" s="153">
        <v>0</v>
      </c>
      <c r="H34" s="153">
        <v>0</v>
      </c>
      <c r="I34" s="153">
        <v>0</v>
      </c>
      <c r="J34" s="153">
        <v>0</v>
      </c>
      <c r="K34" s="153">
        <v>0</v>
      </c>
      <c r="L34" s="153">
        <v>0</v>
      </c>
      <c r="M34" s="172">
        <v>0</v>
      </c>
      <c r="N34" s="153">
        <v>0</v>
      </c>
      <c r="O34" s="153">
        <v>0</v>
      </c>
      <c r="P34" s="153">
        <v>0</v>
      </c>
      <c r="Q34" s="153">
        <v>0</v>
      </c>
      <c r="R34" s="153">
        <v>0</v>
      </c>
      <c r="S34" s="153">
        <v>0</v>
      </c>
      <c r="T34" s="153"/>
      <c r="U34" s="153"/>
      <c r="V34" s="153"/>
      <c r="W34" s="153"/>
      <c r="X34" s="153"/>
      <c r="Y34" s="153"/>
      <c r="Z34" s="153"/>
      <c r="AA34" s="153"/>
      <c r="AB34" s="153"/>
      <c r="AC34" s="153"/>
      <c r="AD34" s="153"/>
      <c r="AE34" s="153"/>
      <c r="AF34" s="153"/>
      <c r="AG34" s="153"/>
      <c r="AH34" s="153"/>
      <c r="AI34" s="153"/>
      <c r="AJ34" s="153"/>
      <c r="AK34"/>
      <c r="AL34"/>
      <c r="AM34"/>
      <c r="AN34"/>
    </row>
    <row r="35" spans="1:40" x14ac:dyDescent="0.35">
      <c r="A35" s="153" t="s">
        <v>484</v>
      </c>
      <c r="B35" s="153" t="s">
        <v>182</v>
      </c>
      <c r="C35" s="153" t="s">
        <v>1279</v>
      </c>
      <c r="D35" s="153" t="s">
        <v>67</v>
      </c>
      <c r="E35" s="161">
        <v>1</v>
      </c>
      <c r="F35" s="153">
        <v>0</v>
      </c>
      <c r="G35" s="153">
        <v>0</v>
      </c>
      <c r="H35" s="153">
        <v>0</v>
      </c>
      <c r="I35" s="153">
        <v>0</v>
      </c>
      <c r="J35" s="153">
        <v>0</v>
      </c>
      <c r="K35" s="153">
        <v>0</v>
      </c>
      <c r="L35" s="153">
        <v>0</v>
      </c>
      <c r="M35" s="153">
        <v>0</v>
      </c>
      <c r="N35" s="153">
        <v>0</v>
      </c>
      <c r="O35" s="153">
        <v>0</v>
      </c>
      <c r="P35" s="153">
        <v>0</v>
      </c>
      <c r="Q35" s="153">
        <v>0</v>
      </c>
      <c r="R35" s="153">
        <v>0</v>
      </c>
      <c r="S35" s="153">
        <v>0</v>
      </c>
      <c r="T35" s="153"/>
      <c r="U35" s="153"/>
      <c r="V35" s="153"/>
      <c r="W35" s="153"/>
      <c r="X35" s="153"/>
      <c r="Y35" s="153"/>
      <c r="Z35" s="153"/>
      <c r="AA35" s="153"/>
      <c r="AB35" s="153"/>
      <c r="AC35" s="153"/>
      <c r="AD35" s="153"/>
      <c r="AE35" s="153"/>
      <c r="AF35" s="153"/>
      <c r="AG35" s="153"/>
      <c r="AH35" s="153"/>
      <c r="AI35" s="153"/>
      <c r="AJ35" s="153"/>
      <c r="AK35"/>
      <c r="AL35"/>
      <c r="AM35"/>
      <c r="AN35"/>
    </row>
    <row r="36" spans="1:40" x14ac:dyDescent="0.35">
      <c r="A36" s="153"/>
      <c r="B36" s="153"/>
      <c r="C36" s="153"/>
      <c r="D36" s="153"/>
      <c r="E36" s="161"/>
      <c r="F36" s="153">
        <v>0</v>
      </c>
      <c r="G36" s="153"/>
      <c r="H36" s="153"/>
      <c r="I36" s="153"/>
      <c r="J36" s="153"/>
      <c r="K36" s="153"/>
      <c r="L36" s="153"/>
      <c r="M36" s="172"/>
      <c r="N36" s="153"/>
      <c r="O36" s="153">
        <v>0</v>
      </c>
      <c r="P36" s="153"/>
      <c r="Q36" s="153"/>
      <c r="R36" s="153"/>
      <c r="S36" s="153"/>
      <c r="T36" s="153"/>
      <c r="U36" s="153"/>
      <c r="V36" s="153"/>
      <c r="W36" s="153"/>
      <c r="X36" s="153"/>
      <c r="Y36" s="153"/>
      <c r="Z36" s="153"/>
      <c r="AA36" s="153"/>
      <c r="AB36" s="153"/>
      <c r="AC36" s="153"/>
      <c r="AD36" s="153"/>
      <c r="AE36" s="153"/>
      <c r="AF36" s="153"/>
      <c r="AG36" s="153"/>
      <c r="AH36" s="153"/>
      <c r="AI36" s="153"/>
      <c r="AJ36" s="153"/>
      <c r="AK36"/>
      <c r="AL36"/>
      <c r="AM36"/>
      <c r="AN36"/>
    </row>
    <row r="37" spans="1:40" x14ac:dyDescent="0.35">
      <c r="A37" s="153" t="s">
        <v>484</v>
      </c>
      <c r="B37" s="153" t="s">
        <v>179</v>
      </c>
      <c r="C37" s="153" t="s">
        <v>1285</v>
      </c>
      <c r="D37" s="153" t="s">
        <v>67</v>
      </c>
      <c r="E37" s="161">
        <v>1</v>
      </c>
      <c r="F37" s="153">
        <v>0</v>
      </c>
      <c r="G37" s="153"/>
      <c r="H37" s="153"/>
      <c r="I37" s="153"/>
      <c r="J37" s="153"/>
      <c r="K37" s="153"/>
      <c r="L37" s="153"/>
      <c r="M37" s="172"/>
      <c r="N37" s="153"/>
      <c r="O37" s="153">
        <v>0</v>
      </c>
      <c r="P37" s="153"/>
      <c r="Q37" s="153"/>
      <c r="R37" s="153"/>
      <c r="S37" s="153"/>
      <c r="T37" s="153"/>
      <c r="U37" s="153"/>
      <c r="V37" s="153"/>
      <c r="W37" s="153"/>
      <c r="X37" s="153"/>
      <c r="Y37" s="153"/>
      <c r="Z37" s="153"/>
      <c r="AA37" s="153"/>
      <c r="AB37" s="153"/>
      <c r="AC37" s="153"/>
      <c r="AD37" s="153"/>
      <c r="AE37" s="153"/>
      <c r="AF37" s="153"/>
      <c r="AG37" s="153"/>
      <c r="AH37" s="153"/>
      <c r="AI37" s="153"/>
      <c r="AJ37" s="153"/>
      <c r="AK37"/>
      <c r="AL37"/>
      <c r="AM37"/>
      <c r="AN37"/>
    </row>
    <row r="38" spans="1:40" x14ac:dyDescent="0.35">
      <c r="A38" s="153" t="s">
        <v>484</v>
      </c>
      <c r="B38" s="153" t="s">
        <v>180</v>
      </c>
      <c r="C38" s="153" t="s">
        <v>1287</v>
      </c>
      <c r="D38" s="153" t="s">
        <v>67</v>
      </c>
      <c r="E38" s="161">
        <v>1</v>
      </c>
      <c r="F38" s="153">
        <v>9</v>
      </c>
      <c r="G38" s="153"/>
      <c r="H38" s="153"/>
      <c r="I38" s="153"/>
      <c r="J38" s="153"/>
      <c r="K38" s="153"/>
      <c r="L38" s="153"/>
      <c r="M38" s="172"/>
      <c r="N38" s="153"/>
      <c r="O38" s="153">
        <v>11</v>
      </c>
      <c r="P38" s="153"/>
      <c r="Q38" s="153"/>
      <c r="R38" s="153"/>
      <c r="S38" s="153"/>
      <c r="T38" s="153"/>
      <c r="U38" s="153"/>
      <c r="V38" s="153"/>
      <c r="W38" s="153"/>
      <c r="X38" s="153"/>
      <c r="Y38" s="153"/>
      <c r="Z38" s="153"/>
      <c r="AA38" s="153"/>
      <c r="AB38" s="153"/>
      <c r="AC38" s="153"/>
      <c r="AD38" s="153"/>
      <c r="AE38" s="153"/>
      <c r="AF38" s="153"/>
      <c r="AG38" s="153"/>
      <c r="AH38" s="153"/>
      <c r="AI38" s="153"/>
      <c r="AJ38" s="153"/>
      <c r="AK38"/>
      <c r="AL38"/>
      <c r="AM38"/>
      <c r="AN38"/>
    </row>
    <row r="39" spans="1:40" x14ac:dyDescent="0.35">
      <c r="A39" s="153" t="s">
        <v>484</v>
      </c>
      <c r="B39" s="153" t="s">
        <v>181</v>
      </c>
      <c r="C39" s="153" t="s">
        <v>1289</v>
      </c>
      <c r="D39" s="153" t="s">
        <v>67</v>
      </c>
      <c r="E39" s="161">
        <v>1</v>
      </c>
      <c r="F39" s="153">
        <v>32</v>
      </c>
      <c r="G39" s="153"/>
      <c r="H39" s="153"/>
      <c r="I39" s="153"/>
      <c r="J39" s="153"/>
      <c r="K39" s="153"/>
      <c r="L39" s="153"/>
      <c r="M39" s="172"/>
      <c r="N39" s="153"/>
      <c r="O39" s="153">
        <v>0</v>
      </c>
      <c r="P39" s="153"/>
      <c r="Q39" s="153"/>
      <c r="R39" s="153"/>
      <c r="S39" s="153"/>
      <c r="T39" s="153"/>
      <c r="U39" s="153"/>
      <c r="V39" s="153"/>
      <c r="W39" s="153"/>
      <c r="X39" s="153"/>
      <c r="Y39" s="153"/>
      <c r="Z39" s="153"/>
      <c r="AA39" s="153"/>
      <c r="AB39" s="153"/>
      <c r="AC39" s="153"/>
      <c r="AD39" s="153"/>
      <c r="AE39" s="153"/>
      <c r="AF39" s="153"/>
      <c r="AG39" s="153"/>
      <c r="AH39" s="153"/>
      <c r="AI39" s="153"/>
      <c r="AJ39" s="153"/>
      <c r="AK39"/>
      <c r="AL39"/>
      <c r="AM39"/>
      <c r="AN39"/>
    </row>
    <row r="40" spans="1:40" x14ac:dyDescent="0.35">
      <c r="A40" s="153" t="s">
        <v>484</v>
      </c>
      <c r="B40" s="153" t="s">
        <v>182</v>
      </c>
      <c r="C40" s="153" t="s">
        <v>1291</v>
      </c>
      <c r="D40" s="153" t="s">
        <v>67</v>
      </c>
      <c r="E40" s="161">
        <v>1</v>
      </c>
      <c r="F40" s="153">
        <v>0</v>
      </c>
      <c r="G40" s="153"/>
      <c r="H40" s="153"/>
      <c r="I40" s="153"/>
      <c r="J40" s="153"/>
      <c r="K40" s="153"/>
      <c r="L40" s="153"/>
      <c r="M40" s="153"/>
      <c r="N40" s="153"/>
      <c r="O40" s="153">
        <v>0</v>
      </c>
      <c r="P40" s="153"/>
      <c r="Q40" s="153"/>
      <c r="R40" s="153"/>
      <c r="S40" s="153"/>
      <c r="T40" s="153"/>
      <c r="U40" s="153"/>
      <c r="V40" s="153"/>
      <c r="W40" s="153"/>
      <c r="X40" s="153"/>
      <c r="Y40" s="153"/>
      <c r="Z40" s="153"/>
      <c r="AA40" s="153"/>
      <c r="AB40" s="153"/>
      <c r="AC40" s="153"/>
      <c r="AD40" s="153"/>
      <c r="AE40" s="153"/>
      <c r="AF40" s="153"/>
      <c r="AG40" s="153"/>
      <c r="AH40" s="153"/>
      <c r="AI40" s="153"/>
      <c r="AJ40" s="153"/>
      <c r="AK40"/>
      <c r="AL40"/>
      <c r="AM40"/>
      <c r="AN40"/>
    </row>
    <row r="41" spans="1:40" x14ac:dyDescent="0.35">
      <c r="A41" s="153"/>
      <c r="B41" s="153"/>
      <c r="C41" s="153"/>
      <c r="D41" s="153"/>
      <c r="E41" s="161"/>
      <c r="F41" s="153">
        <v>0</v>
      </c>
      <c r="G41" s="153"/>
      <c r="H41" s="153"/>
      <c r="I41" s="153"/>
      <c r="J41" s="153"/>
      <c r="K41" s="153"/>
      <c r="L41" s="153"/>
      <c r="M41" s="172"/>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c r="AL41"/>
      <c r="AM41"/>
      <c r="AN41"/>
    </row>
    <row r="42" spans="1:40" x14ac:dyDescent="0.35">
      <c r="A42" s="153" t="s">
        <v>507</v>
      </c>
      <c r="B42" s="153" t="s">
        <v>179</v>
      </c>
      <c r="C42" s="153" t="s">
        <v>668</v>
      </c>
      <c r="D42" s="153" t="s">
        <v>67</v>
      </c>
      <c r="E42" s="161">
        <v>1</v>
      </c>
      <c r="F42" s="153">
        <v>0</v>
      </c>
      <c r="G42" s="153">
        <v>0</v>
      </c>
      <c r="H42" s="153">
        <v>0</v>
      </c>
      <c r="I42" s="153">
        <v>0</v>
      </c>
      <c r="J42" s="153">
        <v>0</v>
      </c>
      <c r="K42" s="153">
        <v>0</v>
      </c>
      <c r="L42" s="153">
        <v>0</v>
      </c>
      <c r="M42" s="172">
        <v>0</v>
      </c>
      <c r="N42" s="153">
        <v>0</v>
      </c>
      <c r="O42" s="153"/>
      <c r="P42" s="153">
        <v>0</v>
      </c>
      <c r="Q42" s="153">
        <v>0</v>
      </c>
      <c r="R42" s="153">
        <v>0</v>
      </c>
      <c r="S42" s="153">
        <v>0</v>
      </c>
      <c r="T42" s="153"/>
      <c r="U42" s="153"/>
      <c r="V42" s="153"/>
      <c r="W42" s="153"/>
      <c r="X42" s="153"/>
      <c r="Y42" s="153"/>
      <c r="Z42" s="153"/>
      <c r="AA42" s="153"/>
      <c r="AB42" s="153"/>
      <c r="AC42" s="153"/>
      <c r="AD42" s="153"/>
      <c r="AE42" s="153"/>
      <c r="AF42" s="153"/>
      <c r="AG42" s="153"/>
      <c r="AH42" s="153"/>
      <c r="AI42" s="153"/>
      <c r="AJ42" s="153"/>
      <c r="AK42"/>
      <c r="AL42"/>
      <c r="AM42"/>
      <c r="AN42"/>
    </row>
    <row r="43" spans="1:40" x14ac:dyDescent="0.35">
      <c r="A43" s="153" t="s">
        <v>507</v>
      </c>
      <c r="B43" s="153" t="s">
        <v>180</v>
      </c>
      <c r="C43" s="153" t="s">
        <v>669</v>
      </c>
      <c r="D43" s="153" t="s">
        <v>67</v>
      </c>
      <c r="E43" s="161">
        <v>1</v>
      </c>
      <c r="F43" s="153">
        <v>11</v>
      </c>
      <c r="G43" s="153">
        <v>4</v>
      </c>
      <c r="H43" s="153">
        <v>0</v>
      </c>
      <c r="I43" s="153">
        <v>0</v>
      </c>
      <c r="J43" s="153">
        <v>2</v>
      </c>
      <c r="K43" s="153">
        <v>6</v>
      </c>
      <c r="L43" s="153">
        <v>73</v>
      </c>
      <c r="M43" s="172">
        <v>48</v>
      </c>
      <c r="N43" s="153">
        <v>0</v>
      </c>
      <c r="O43" s="153"/>
      <c r="P43" s="153">
        <v>11</v>
      </c>
      <c r="Q43" s="153">
        <v>25</v>
      </c>
      <c r="R43" s="153">
        <v>3</v>
      </c>
      <c r="S43" s="153">
        <v>5</v>
      </c>
      <c r="T43" s="153"/>
      <c r="U43" s="153"/>
      <c r="V43" s="153"/>
      <c r="W43" s="153"/>
      <c r="X43" s="153"/>
      <c r="Y43" s="153"/>
      <c r="Z43" s="153"/>
      <c r="AA43" s="153"/>
      <c r="AB43" s="153"/>
      <c r="AC43" s="153"/>
      <c r="AD43" s="153"/>
      <c r="AE43" s="153"/>
      <c r="AF43" s="153"/>
      <c r="AG43" s="153"/>
      <c r="AH43" s="153"/>
      <c r="AI43" s="153"/>
      <c r="AJ43" s="153"/>
      <c r="AK43"/>
      <c r="AL43"/>
      <c r="AM43"/>
      <c r="AN43"/>
    </row>
    <row r="44" spans="1:40" x14ac:dyDescent="0.35">
      <c r="A44" s="153" t="s">
        <v>507</v>
      </c>
      <c r="B44" s="153" t="s">
        <v>181</v>
      </c>
      <c r="C44" s="153" t="s">
        <v>670</v>
      </c>
      <c r="D44" s="153" t="s">
        <v>67</v>
      </c>
      <c r="E44" s="161">
        <v>1</v>
      </c>
      <c r="F44" s="153">
        <v>29</v>
      </c>
      <c r="G44" s="153">
        <v>42</v>
      </c>
      <c r="H44" s="153">
        <v>47</v>
      </c>
      <c r="I44" s="153">
        <v>40</v>
      </c>
      <c r="J44" s="153">
        <v>52</v>
      </c>
      <c r="K44" s="153">
        <v>77</v>
      </c>
      <c r="L44" s="153">
        <v>6</v>
      </c>
      <c r="M44" s="172">
        <v>24</v>
      </c>
      <c r="N44" s="153">
        <v>64</v>
      </c>
      <c r="O44" s="153"/>
      <c r="P44" s="153">
        <v>55</v>
      </c>
      <c r="Q44" s="153">
        <v>60</v>
      </c>
      <c r="R44" s="153">
        <v>79</v>
      </c>
      <c r="S44" s="153">
        <v>92</v>
      </c>
      <c r="T44" s="153"/>
      <c r="U44" s="153"/>
      <c r="V44" s="153"/>
      <c r="W44" s="153"/>
      <c r="X44" s="153"/>
      <c r="Y44" s="153"/>
      <c r="Z44" s="153"/>
      <c r="AA44" s="153"/>
      <c r="AB44" s="153"/>
      <c r="AC44" s="153"/>
      <c r="AD44" s="153"/>
      <c r="AE44" s="153"/>
      <c r="AF44" s="153"/>
      <c r="AG44" s="153"/>
      <c r="AH44" s="153"/>
      <c r="AI44" s="153"/>
      <c r="AJ44" s="153"/>
      <c r="AK44"/>
      <c r="AL44"/>
      <c r="AM44"/>
      <c r="AN44"/>
    </row>
    <row r="45" spans="1:40" x14ac:dyDescent="0.35">
      <c r="A45" s="153" t="s">
        <v>507</v>
      </c>
      <c r="B45" s="153" t="s">
        <v>182</v>
      </c>
      <c r="C45" s="153" t="s">
        <v>671</v>
      </c>
      <c r="D45" s="153" t="s">
        <v>67</v>
      </c>
      <c r="E45" s="161">
        <v>1</v>
      </c>
      <c r="F45" s="153">
        <v>0</v>
      </c>
      <c r="G45" s="153">
        <v>0</v>
      </c>
      <c r="H45" s="153">
        <v>0</v>
      </c>
      <c r="I45" s="153">
        <v>0</v>
      </c>
      <c r="J45" s="153">
        <v>0</v>
      </c>
      <c r="K45" s="153">
        <v>0</v>
      </c>
      <c r="L45" s="153">
        <v>0</v>
      </c>
      <c r="M45" s="153">
        <v>0</v>
      </c>
      <c r="N45" s="153">
        <v>0</v>
      </c>
      <c r="O45" s="153"/>
      <c r="P45" s="153">
        <v>0</v>
      </c>
      <c r="Q45" s="153">
        <v>0</v>
      </c>
      <c r="R45" s="153">
        <v>0</v>
      </c>
      <c r="S45" s="153">
        <v>0</v>
      </c>
      <c r="T45" s="153"/>
      <c r="U45" s="153"/>
      <c r="V45" s="153"/>
      <c r="W45" s="153"/>
      <c r="X45" s="153"/>
      <c r="Y45" s="153"/>
      <c r="Z45" s="153"/>
      <c r="AA45" s="153"/>
      <c r="AB45" s="153"/>
      <c r="AC45" s="153"/>
      <c r="AD45" s="153"/>
      <c r="AE45" s="153"/>
      <c r="AF45" s="153"/>
      <c r="AG45" s="153"/>
      <c r="AH45" s="153"/>
      <c r="AI45" s="153"/>
      <c r="AJ45" s="153"/>
      <c r="AK45"/>
      <c r="AL45"/>
      <c r="AM45"/>
      <c r="AN45"/>
    </row>
    <row r="46" spans="1:40" x14ac:dyDescent="0.35">
      <c r="A46" s="153"/>
      <c r="B46" s="153"/>
      <c r="C46" s="153"/>
      <c r="D46" s="153"/>
      <c r="E46" s="161"/>
      <c r="F46" s="153">
        <v>0</v>
      </c>
      <c r="G46" s="153"/>
      <c r="H46" s="153"/>
      <c r="I46" s="153"/>
      <c r="J46" s="153"/>
      <c r="K46" s="153"/>
      <c r="L46" s="153"/>
      <c r="M46" s="172"/>
      <c r="N46" s="153"/>
      <c r="O46" s="153"/>
      <c r="P46" s="153"/>
      <c r="Q46" s="153"/>
      <c r="R46" s="153"/>
      <c r="S46" s="153"/>
      <c r="T46" s="153"/>
      <c r="U46" s="153"/>
      <c r="V46" s="153"/>
      <c r="W46" s="153"/>
      <c r="X46" s="153"/>
      <c r="Y46" s="153"/>
      <c r="Z46" s="153"/>
      <c r="AA46" s="153"/>
      <c r="AB46" s="153"/>
      <c r="AC46" s="153"/>
      <c r="AD46" s="153"/>
      <c r="AE46" s="153"/>
      <c r="AF46" s="153"/>
      <c r="AG46" s="153"/>
      <c r="AH46" s="153"/>
      <c r="AI46" s="153"/>
      <c r="AJ46" s="153"/>
      <c r="AK46"/>
      <c r="AL46"/>
      <c r="AM46"/>
      <c r="AN46"/>
    </row>
    <row r="47" spans="1:40" x14ac:dyDescent="0.35">
      <c r="A47" s="153" t="s">
        <v>915</v>
      </c>
      <c r="B47" s="153" t="s">
        <v>179</v>
      </c>
      <c r="C47" s="153" t="s">
        <v>933</v>
      </c>
      <c r="D47" s="153" t="s">
        <v>35</v>
      </c>
      <c r="E47" s="161">
        <v>1</v>
      </c>
      <c r="F47" s="153">
        <v>0</v>
      </c>
      <c r="G47" s="153">
        <v>0</v>
      </c>
      <c r="H47" s="153">
        <v>0</v>
      </c>
      <c r="I47" s="153">
        <v>0</v>
      </c>
      <c r="J47" s="153">
        <v>0</v>
      </c>
      <c r="K47" s="153">
        <v>0</v>
      </c>
      <c r="L47" s="153">
        <v>0</v>
      </c>
      <c r="M47" s="153">
        <v>0</v>
      </c>
      <c r="N47" s="153">
        <v>0</v>
      </c>
      <c r="O47" s="153">
        <v>0</v>
      </c>
      <c r="P47" s="153">
        <v>0</v>
      </c>
      <c r="Q47" s="153">
        <v>0</v>
      </c>
      <c r="R47" s="153">
        <v>0</v>
      </c>
      <c r="S47" s="153">
        <v>0</v>
      </c>
      <c r="T47" s="153"/>
      <c r="U47" s="153"/>
      <c r="V47" s="153"/>
      <c r="W47" s="153"/>
      <c r="X47" s="153"/>
      <c r="Y47" s="153"/>
      <c r="Z47" s="153"/>
      <c r="AA47" s="153"/>
      <c r="AB47" s="153"/>
      <c r="AC47" s="153"/>
      <c r="AD47" s="153"/>
      <c r="AE47" s="153"/>
      <c r="AF47" s="153"/>
      <c r="AG47" s="153"/>
      <c r="AH47" s="153"/>
      <c r="AI47" s="153"/>
      <c r="AJ47" s="153"/>
      <c r="AK47"/>
      <c r="AL47"/>
      <c r="AM47"/>
      <c r="AN47"/>
    </row>
    <row r="48" spans="1:40" x14ac:dyDescent="0.35">
      <c r="A48" s="153" t="s">
        <v>915</v>
      </c>
      <c r="B48" s="153" t="s">
        <v>180</v>
      </c>
      <c r="C48" s="153" t="s">
        <v>934</v>
      </c>
      <c r="D48" s="153" t="s">
        <v>35</v>
      </c>
      <c r="E48" s="161">
        <v>1</v>
      </c>
      <c r="F48" s="153">
        <v>0</v>
      </c>
      <c r="G48" s="153">
        <v>0</v>
      </c>
      <c r="H48" s="153">
        <v>0</v>
      </c>
      <c r="I48" s="153">
        <v>0</v>
      </c>
      <c r="J48" s="153">
        <v>0</v>
      </c>
      <c r="K48" s="153">
        <v>0</v>
      </c>
      <c r="L48" s="153">
        <v>0</v>
      </c>
      <c r="M48" s="153">
        <v>0</v>
      </c>
      <c r="N48" s="153">
        <v>0</v>
      </c>
      <c r="O48" s="153">
        <v>20</v>
      </c>
      <c r="P48" s="153">
        <v>0</v>
      </c>
      <c r="Q48" s="153">
        <v>0</v>
      </c>
      <c r="R48" s="153">
        <v>0</v>
      </c>
      <c r="S48" s="153">
        <v>0</v>
      </c>
      <c r="T48" s="153"/>
      <c r="U48" s="153"/>
      <c r="V48" s="153"/>
      <c r="W48" s="153"/>
      <c r="X48" s="153"/>
      <c r="Y48" s="153"/>
      <c r="Z48" s="153"/>
      <c r="AA48" s="153"/>
      <c r="AB48" s="153"/>
      <c r="AC48" s="153"/>
      <c r="AD48" s="153"/>
      <c r="AE48" s="153"/>
      <c r="AF48" s="153"/>
      <c r="AG48" s="153"/>
      <c r="AH48" s="153"/>
      <c r="AI48" s="153"/>
      <c r="AJ48" s="153"/>
      <c r="AK48"/>
      <c r="AL48"/>
      <c r="AM48"/>
      <c r="AN48"/>
    </row>
    <row r="49" spans="1:40" x14ac:dyDescent="0.35">
      <c r="A49" s="153" t="s">
        <v>915</v>
      </c>
      <c r="B49" s="153" t="s">
        <v>181</v>
      </c>
      <c r="C49" s="153" t="s">
        <v>935</v>
      </c>
      <c r="D49" s="153" t="s">
        <v>35</v>
      </c>
      <c r="E49" s="161">
        <v>1</v>
      </c>
      <c r="F49" s="153">
        <v>0</v>
      </c>
      <c r="G49" s="153">
        <v>0</v>
      </c>
      <c r="H49" s="153">
        <v>0</v>
      </c>
      <c r="I49" s="153">
        <v>0</v>
      </c>
      <c r="J49" s="153">
        <v>0</v>
      </c>
      <c r="K49" s="153">
        <v>0</v>
      </c>
      <c r="L49" s="153">
        <v>0</v>
      </c>
      <c r="M49" s="153">
        <v>0</v>
      </c>
      <c r="N49" s="153">
        <v>0</v>
      </c>
      <c r="O49" s="153">
        <v>101</v>
      </c>
      <c r="P49" s="153">
        <v>0</v>
      </c>
      <c r="Q49" s="153">
        <v>0</v>
      </c>
      <c r="R49" s="153">
        <v>0</v>
      </c>
      <c r="S49" s="153">
        <v>0</v>
      </c>
      <c r="T49" s="153"/>
      <c r="U49" s="153"/>
      <c r="V49" s="153"/>
      <c r="W49" s="153"/>
      <c r="X49" s="153"/>
      <c r="Y49" s="153"/>
      <c r="Z49" s="153"/>
      <c r="AA49" s="153"/>
      <c r="AB49" s="153"/>
      <c r="AC49" s="153"/>
      <c r="AD49" s="153"/>
      <c r="AE49" s="153"/>
      <c r="AF49" s="153"/>
      <c r="AG49" s="153"/>
      <c r="AH49" s="153"/>
      <c r="AI49" s="153"/>
      <c r="AJ49" s="153"/>
      <c r="AK49"/>
      <c r="AL49"/>
      <c r="AM49"/>
      <c r="AN49"/>
    </row>
    <row r="50" spans="1:40" x14ac:dyDescent="0.35">
      <c r="A50" s="153" t="s">
        <v>915</v>
      </c>
      <c r="B50" s="153" t="s">
        <v>182</v>
      </c>
      <c r="C50" s="153" t="s">
        <v>936</v>
      </c>
      <c r="D50" s="153" t="s">
        <v>35</v>
      </c>
      <c r="E50" s="161">
        <v>1</v>
      </c>
      <c r="F50" s="153">
        <v>0</v>
      </c>
      <c r="G50" s="153">
        <v>0</v>
      </c>
      <c r="H50" s="153">
        <v>0</v>
      </c>
      <c r="I50" s="153">
        <v>0</v>
      </c>
      <c r="J50" s="153">
        <v>0</v>
      </c>
      <c r="K50" s="153">
        <v>0</v>
      </c>
      <c r="L50" s="153">
        <v>0</v>
      </c>
      <c r="M50" s="153">
        <v>0</v>
      </c>
      <c r="N50" s="153">
        <v>0</v>
      </c>
      <c r="O50" s="153">
        <v>0</v>
      </c>
      <c r="P50" s="153">
        <v>0</v>
      </c>
      <c r="Q50" s="153">
        <v>0</v>
      </c>
      <c r="R50" s="153">
        <v>0</v>
      </c>
      <c r="S50" s="153">
        <v>0</v>
      </c>
      <c r="T50" s="153"/>
      <c r="U50" s="153"/>
      <c r="V50" s="153"/>
      <c r="W50" s="153"/>
      <c r="X50" s="153"/>
      <c r="Y50" s="153"/>
      <c r="Z50" s="153"/>
      <c r="AA50" s="153"/>
      <c r="AB50" s="153"/>
      <c r="AC50" s="153"/>
      <c r="AD50" s="153"/>
      <c r="AE50" s="153"/>
      <c r="AF50" s="153"/>
      <c r="AG50" s="153"/>
      <c r="AH50" s="153"/>
      <c r="AI50" s="153"/>
      <c r="AJ50" s="153"/>
      <c r="AK50"/>
      <c r="AL50"/>
      <c r="AM50"/>
      <c r="AN50"/>
    </row>
    <row r="51" spans="1:40" x14ac:dyDescent="0.35">
      <c r="A51" s="153"/>
      <c r="B51" s="153"/>
      <c r="C51" s="153"/>
      <c r="D51" s="153"/>
      <c r="E51" s="161"/>
      <c r="F51" s="153">
        <v>0</v>
      </c>
      <c r="G51" s="153"/>
      <c r="H51" s="153"/>
      <c r="I51" s="153"/>
      <c r="J51" s="153"/>
      <c r="K51" s="153"/>
      <c r="L51" s="153"/>
      <c r="M51" s="153"/>
      <c r="N51" s="153"/>
      <c r="O51" s="153"/>
      <c r="P51" s="153"/>
      <c r="Q51" s="153"/>
      <c r="R51" s="153"/>
      <c r="S51" s="153"/>
      <c r="T51" s="153"/>
      <c r="U51" s="153"/>
      <c r="V51" s="153"/>
      <c r="W51" s="153"/>
      <c r="X51" s="153"/>
      <c r="Y51" s="153"/>
      <c r="Z51" s="153"/>
      <c r="AA51" s="153"/>
      <c r="AB51" s="153"/>
      <c r="AC51" s="153"/>
      <c r="AD51" s="153"/>
      <c r="AE51" s="153"/>
      <c r="AF51" s="153"/>
      <c r="AG51" s="153"/>
      <c r="AH51" s="153"/>
      <c r="AI51" s="153"/>
      <c r="AJ51" s="153"/>
      <c r="AK51"/>
      <c r="AL51"/>
      <c r="AM51"/>
      <c r="AN51"/>
    </row>
    <row r="52" spans="1:40" x14ac:dyDescent="0.35">
      <c r="A52" s="153" t="s">
        <v>540</v>
      </c>
      <c r="B52" s="153" t="s">
        <v>179</v>
      </c>
      <c r="C52" s="153" t="s">
        <v>679</v>
      </c>
      <c r="D52" s="153" t="s">
        <v>67</v>
      </c>
      <c r="E52" s="161">
        <v>1</v>
      </c>
      <c r="F52" s="153">
        <v>0</v>
      </c>
      <c r="G52" s="153">
        <v>0</v>
      </c>
      <c r="H52" s="153">
        <v>0</v>
      </c>
      <c r="I52" s="153">
        <v>0</v>
      </c>
      <c r="J52" s="153">
        <v>0</v>
      </c>
      <c r="K52" s="153">
        <v>0</v>
      </c>
      <c r="L52" s="153">
        <v>0</v>
      </c>
      <c r="M52" s="153">
        <v>0</v>
      </c>
      <c r="N52" s="153">
        <v>0</v>
      </c>
      <c r="O52" s="153">
        <v>0</v>
      </c>
      <c r="P52" s="153">
        <v>0</v>
      </c>
      <c r="Q52" s="153">
        <v>0</v>
      </c>
      <c r="R52" s="153">
        <v>0</v>
      </c>
      <c r="S52" s="153">
        <v>0</v>
      </c>
      <c r="T52" s="153"/>
      <c r="U52" s="153"/>
      <c r="V52" s="153"/>
      <c r="W52" s="153"/>
      <c r="X52" s="153"/>
      <c r="Y52" s="153"/>
      <c r="Z52" s="153"/>
      <c r="AA52" s="153"/>
      <c r="AB52" s="153"/>
      <c r="AC52" s="153"/>
      <c r="AD52" s="153"/>
      <c r="AE52" s="153"/>
      <c r="AF52" s="153"/>
      <c r="AG52" s="153"/>
      <c r="AH52" s="153"/>
      <c r="AI52" s="153"/>
      <c r="AJ52" s="153"/>
      <c r="AK52"/>
      <c r="AL52"/>
      <c r="AM52"/>
      <c r="AN52"/>
    </row>
    <row r="53" spans="1:40" x14ac:dyDescent="0.35">
      <c r="A53" s="153" t="s">
        <v>540</v>
      </c>
      <c r="B53" s="153" t="s">
        <v>180</v>
      </c>
      <c r="C53" s="153" t="s">
        <v>680</v>
      </c>
      <c r="D53" s="153" t="s">
        <v>67</v>
      </c>
      <c r="E53" s="161">
        <v>1</v>
      </c>
      <c r="F53" s="153">
        <v>2</v>
      </c>
      <c r="G53" s="153">
        <v>7</v>
      </c>
      <c r="H53" s="153">
        <v>2</v>
      </c>
      <c r="I53" s="153">
        <v>2</v>
      </c>
      <c r="J53" s="153">
        <v>1</v>
      </c>
      <c r="K53" s="153">
        <v>1</v>
      </c>
      <c r="L53" s="153">
        <v>6</v>
      </c>
      <c r="M53" s="153">
        <v>23</v>
      </c>
      <c r="N53" s="153">
        <v>9</v>
      </c>
      <c r="O53" s="153">
        <v>0</v>
      </c>
      <c r="P53" s="153">
        <v>7</v>
      </c>
      <c r="Q53" s="153">
        <v>39</v>
      </c>
      <c r="R53" s="153">
        <v>1</v>
      </c>
      <c r="S53" s="153">
        <v>2</v>
      </c>
      <c r="T53" s="153"/>
      <c r="U53" s="153"/>
      <c r="V53" s="153"/>
      <c r="W53" s="153"/>
      <c r="X53" s="153"/>
      <c r="Y53" s="153"/>
      <c r="Z53" s="153"/>
      <c r="AA53" s="153"/>
      <c r="AB53" s="153"/>
      <c r="AC53" s="153"/>
      <c r="AD53" s="153"/>
      <c r="AE53" s="153"/>
      <c r="AF53" s="153"/>
      <c r="AG53" s="153"/>
      <c r="AH53" s="153"/>
      <c r="AI53" s="153"/>
      <c r="AJ53" s="153"/>
      <c r="AK53"/>
      <c r="AL53"/>
      <c r="AM53"/>
      <c r="AN53"/>
    </row>
    <row r="54" spans="1:40" x14ac:dyDescent="0.35">
      <c r="A54" s="153" t="s">
        <v>540</v>
      </c>
      <c r="B54" s="153" t="s">
        <v>181</v>
      </c>
      <c r="C54" s="153" t="s">
        <v>681</v>
      </c>
      <c r="D54" s="153" t="s">
        <v>67</v>
      </c>
      <c r="E54" s="161">
        <v>1</v>
      </c>
      <c r="F54" s="153">
        <v>38</v>
      </c>
      <c r="G54" s="153">
        <v>39</v>
      </c>
      <c r="H54" s="153">
        <v>48</v>
      </c>
      <c r="I54" s="153">
        <v>61</v>
      </c>
      <c r="J54" s="153">
        <v>11</v>
      </c>
      <c r="K54" s="153">
        <v>24</v>
      </c>
      <c r="L54" s="153">
        <v>55</v>
      </c>
      <c r="M54" s="153">
        <v>17</v>
      </c>
      <c r="N54" s="153">
        <v>17</v>
      </c>
      <c r="O54" s="153">
        <v>0</v>
      </c>
      <c r="P54" s="153">
        <v>47</v>
      </c>
      <c r="Q54" s="153">
        <v>36</v>
      </c>
      <c r="R54" s="153">
        <v>6</v>
      </c>
      <c r="S54" s="153">
        <v>21</v>
      </c>
      <c r="T54" s="153"/>
      <c r="U54" s="153"/>
      <c r="V54" s="153"/>
      <c r="W54" s="153"/>
      <c r="X54" s="153"/>
      <c r="Y54" s="153"/>
      <c r="Z54" s="153"/>
      <c r="AA54" s="153"/>
      <c r="AB54" s="153"/>
      <c r="AC54" s="153"/>
      <c r="AD54" s="153"/>
      <c r="AE54" s="153"/>
      <c r="AF54" s="153"/>
      <c r="AG54" s="153"/>
      <c r="AH54" s="153"/>
      <c r="AI54" s="153"/>
      <c r="AJ54" s="153"/>
      <c r="AK54"/>
      <c r="AL54"/>
      <c r="AM54"/>
      <c r="AN54"/>
    </row>
    <row r="55" spans="1:40" x14ac:dyDescent="0.35">
      <c r="A55" s="153" t="s">
        <v>540</v>
      </c>
      <c r="B55" s="153" t="s">
        <v>182</v>
      </c>
      <c r="C55" s="153" t="s">
        <v>682</v>
      </c>
      <c r="D55" s="153" t="s">
        <v>67</v>
      </c>
      <c r="E55" s="161">
        <v>1</v>
      </c>
      <c r="F55" s="153">
        <v>0</v>
      </c>
      <c r="G55" s="153">
        <v>0</v>
      </c>
      <c r="H55" s="153">
        <v>0</v>
      </c>
      <c r="I55" s="153">
        <v>0</v>
      </c>
      <c r="J55" s="153">
        <v>0</v>
      </c>
      <c r="K55" s="153">
        <v>0</v>
      </c>
      <c r="L55" s="153">
        <v>0</v>
      </c>
      <c r="M55" s="153">
        <v>0</v>
      </c>
      <c r="N55" s="153">
        <v>0</v>
      </c>
      <c r="O55" s="153">
        <v>0</v>
      </c>
      <c r="P55" s="153">
        <v>0</v>
      </c>
      <c r="Q55" s="153">
        <v>0</v>
      </c>
      <c r="R55" s="153">
        <v>0</v>
      </c>
      <c r="S55" s="153">
        <v>0</v>
      </c>
      <c r="T55" s="153"/>
      <c r="U55" s="153"/>
      <c r="V55" s="153"/>
      <c r="W55" s="153"/>
      <c r="X55" s="153"/>
      <c r="Y55" s="153"/>
      <c r="Z55" s="153"/>
      <c r="AA55" s="153"/>
      <c r="AB55" s="153"/>
      <c r="AC55" s="153"/>
      <c r="AD55" s="153"/>
      <c r="AE55" s="153"/>
      <c r="AF55" s="153"/>
      <c r="AG55" s="153"/>
      <c r="AH55" s="153"/>
      <c r="AI55" s="153"/>
      <c r="AJ55" s="153"/>
      <c r="AK55"/>
      <c r="AL55"/>
      <c r="AM55"/>
      <c r="AN55"/>
    </row>
    <row r="56" spans="1:40" x14ac:dyDescent="0.35">
      <c r="A56" s="153"/>
      <c r="B56" s="153"/>
      <c r="C56" s="153"/>
      <c r="D56" s="153"/>
      <c r="E56" s="161"/>
      <c r="F56" s="153">
        <v>0</v>
      </c>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c r="AI56" s="153"/>
      <c r="AJ56" s="153"/>
      <c r="AK56"/>
      <c r="AL56"/>
      <c r="AM56"/>
      <c r="AN56"/>
    </row>
    <row r="57" spans="1:40" x14ac:dyDescent="0.35">
      <c r="A57" s="153" t="s">
        <v>496</v>
      </c>
      <c r="B57" s="153" t="s">
        <v>179</v>
      </c>
      <c r="C57" s="153" t="s">
        <v>703</v>
      </c>
      <c r="D57" s="153" t="s">
        <v>35</v>
      </c>
      <c r="E57" s="161">
        <v>1</v>
      </c>
      <c r="F57" s="153">
        <v>0</v>
      </c>
      <c r="G57" s="153">
        <v>0</v>
      </c>
      <c r="H57" s="153">
        <v>0</v>
      </c>
      <c r="I57" s="153">
        <v>0</v>
      </c>
      <c r="J57" s="153">
        <v>0</v>
      </c>
      <c r="K57" s="153">
        <v>0</v>
      </c>
      <c r="L57" s="153">
        <v>0</v>
      </c>
      <c r="M57" s="153">
        <v>0</v>
      </c>
      <c r="N57" s="153">
        <v>0</v>
      </c>
      <c r="O57" s="153">
        <v>0</v>
      </c>
      <c r="P57" s="153">
        <v>0</v>
      </c>
      <c r="Q57" s="153">
        <v>0</v>
      </c>
      <c r="R57" s="153">
        <v>0</v>
      </c>
      <c r="S57" s="153">
        <v>0</v>
      </c>
      <c r="T57" s="153"/>
      <c r="U57" s="153"/>
      <c r="V57" s="153"/>
      <c r="W57" s="153"/>
      <c r="X57" s="153"/>
      <c r="Y57" s="153"/>
      <c r="Z57" s="153"/>
      <c r="AA57" s="153"/>
      <c r="AB57" s="153"/>
      <c r="AC57" s="153"/>
      <c r="AD57" s="153"/>
      <c r="AE57" s="153"/>
      <c r="AF57" s="153"/>
      <c r="AG57" s="153"/>
      <c r="AH57" s="153"/>
      <c r="AI57" s="153"/>
      <c r="AJ57" s="153"/>
      <c r="AK57"/>
      <c r="AL57"/>
      <c r="AM57"/>
      <c r="AN57"/>
    </row>
    <row r="58" spans="1:40" x14ac:dyDescent="0.35">
      <c r="A58" s="153" t="s">
        <v>496</v>
      </c>
      <c r="B58" s="153" t="s">
        <v>180</v>
      </c>
      <c r="C58" s="153" t="s">
        <v>704</v>
      </c>
      <c r="D58" s="153" t="s">
        <v>35</v>
      </c>
      <c r="E58" s="161">
        <v>1</v>
      </c>
      <c r="F58" s="153">
        <v>0</v>
      </c>
      <c r="G58" s="153">
        <v>0</v>
      </c>
      <c r="H58" s="153">
        <v>0</v>
      </c>
      <c r="I58" s="153">
        <v>0</v>
      </c>
      <c r="J58" s="153">
        <v>0</v>
      </c>
      <c r="K58" s="153">
        <v>55</v>
      </c>
      <c r="L58" s="153">
        <v>0</v>
      </c>
      <c r="M58" s="153">
        <v>0</v>
      </c>
      <c r="N58" s="153">
        <v>0</v>
      </c>
      <c r="O58" s="153">
        <v>13</v>
      </c>
      <c r="P58" s="153">
        <v>0</v>
      </c>
      <c r="Q58" s="153">
        <v>0</v>
      </c>
      <c r="R58" s="153">
        <v>0</v>
      </c>
      <c r="S58" s="153">
        <v>0</v>
      </c>
      <c r="T58" s="153"/>
      <c r="U58" s="153"/>
      <c r="V58" s="153"/>
      <c r="W58" s="153"/>
      <c r="X58" s="153"/>
      <c r="Y58" s="153"/>
      <c r="Z58" s="153"/>
      <c r="AA58" s="153"/>
      <c r="AB58" s="153"/>
      <c r="AC58" s="153"/>
      <c r="AD58" s="153"/>
      <c r="AE58" s="153"/>
      <c r="AF58" s="153"/>
      <c r="AG58" s="153"/>
      <c r="AH58" s="153"/>
      <c r="AI58" s="153"/>
      <c r="AJ58" s="153"/>
      <c r="AK58"/>
      <c r="AL58"/>
      <c r="AM58"/>
      <c r="AN58"/>
    </row>
    <row r="59" spans="1:40" x14ac:dyDescent="0.35">
      <c r="A59" s="153" t="s">
        <v>496</v>
      </c>
      <c r="B59" s="153" t="s">
        <v>181</v>
      </c>
      <c r="C59" s="153" t="s">
        <v>705</v>
      </c>
      <c r="D59" s="153" t="s">
        <v>35</v>
      </c>
      <c r="E59" s="161">
        <v>1</v>
      </c>
      <c r="F59" s="153">
        <v>0</v>
      </c>
      <c r="G59" s="153">
        <v>0</v>
      </c>
      <c r="H59" s="153">
        <v>0</v>
      </c>
      <c r="I59" s="153">
        <v>0</v>
      </c>
      <c r="J59" s="153">
        <v>0</v>
      </c>
      <c r="K59" s="153">
        <v>0</v>
      </c>
      <c r="L59" s="153">
        <v>0</v>
      </c>
      <c r="M59" s="153">
        <v>0</v>
      </c>
      <c r="N59" s="153">
        <v>0</v>
      </c>
      <c r="O59" s="153">
        <v>78</v>
      </c>
      <c r="P59" s="153">
        <v>0</v>
      </c>
      <c r="Q59" s="153">
        <v>0</v>
      </c>
      <c r="R59" s="153">
        <v>0</v>
      </c>
      <c r="S59" s="153">
        <v>0</v>
      </c>
      <c r="T59" s="153"/>
      <c r="U59" s="153"/>
      <c r="V59" s="153"/>
      <c r="W59" s="153"/>
      <c r="X59" s="153"/>
      <c r="Y59" s="153"/>
      <c r="Z59" s="153"/>
      <c r="AA59" s="153"/>
      <c r="AB59" s="153"/>
      <c r="AC59" s="153"/>
      <c r="AD59" s="153"/>
      <c r="AE59" s="153"/>
      <c r="AF59" s="153"/>
      <c r="AG59" s="153"/>
      <c r="AH59" s="153"/>
      <c r="AI59" s="153"/>
      <c r="AJ59" s="153"/>
      <c r="AK59"/>
      <c r="AL59"/>
      <c r="AM59"/>
      <c r="AN59"/>
    </row>
    <row r="60" spans="1:40" x14ac:dyDescent="0.35">
      <c r="A60" s="153" t="s">
        <v>496</v>
      </c>
      <c r="B60" s="153" t="s">
        <v>182</v>
      </c>
      <c r="C60" s="153" t="s">
        <v>706</v>
      </c>
      <c r="D60" s="153" t="s">
        <v>35</v>
      </c>
      <c r="E60" s="161">
        <v>1</v>
      </c>
      <c r="F60" s="153">
        <v>0</v>
      </c>
      <c r="G60" s="153">
        <v>0</v>
      </c>
      <c r="H60" s="153">
        <v>0</v>
      </c>
      <c r="I60" s="153">
        <v>0</v>
      </c>
      <c r="J60" s="153">
        <v>0</v>
      </c>
      <c r="K60" s="153">
        <v>0</v>
      </c>
      <c r="L60" s="153">
        <v>0</v>
      </c>
      <c r="M60" s="153">
        <v>0</v>
      </c>
      <c r="N60" s="153">
        <v>0</v>
      </c>
      <c r="O60" s="153">
        <v>0</v>
      </c>
      <c r="P60" s="153">
        <v>0</v>
      </c>
      <c r="Q60" s="153">
        <v>0</v>
      </c>
      <c r="R60" s="153">
        <v>0</v>
      </c>
      <c r="S60" s="153">
        <v>0</v>
      </c>
      <c r="T60" s="153"/>
      <c r="U60" s="153"/>
      <c r="V60" s="153"/>
      <c r="W60" s="153"/>
      <c r="X60" s="153"/>
      <c r="Y60" s="153"/>
      <c r="Z60" s="153"/>
      <c r="AA60" s="153"/>
      <c r="AB60" s="153"/>
      <c r="AC60" s="153"/>
      <c r="AD60" s="153"/>
      <c r="AE60" s="153"/>
      <c r="AF60" s="153"/>
      <c r="AG60" s="153"/>
      <c r="AH60" s="153"/>
      <c r="AI60" s="153"/>
      <c r="AJ60" s="153"/>
      <c r="AK60"/>
      <c r="AL60"/>
      <c r="AM60"/>
      <c r="AN60"/>
    </row>
    <row r="61" spans="1:40" x14ac:dyDescent="0.35">
      <c r="A61" s="153"/>
      <c r="B61" s="153"/>
      <c r="C61" s="153"/>
      <c r="D61" s="153"/>
      <c r="E61" s="161"/>
      <c r="F61" s="153">
        <v>0</v>
      </c>
      <c r="G61" s="153"/>
      <c r="H61" s="153"/>
      <c r="I61" s="153"/>
      <c r="J61" s="153"/>
      <c r="K61" s="153"/>
      <c r="L61" s="153"/>
      <c r="M61" s="153"/>
      <c r="N61" s="153"/>
      <c r="O61" s="153"/>
      <c r="P61" s="153"/>
      <c r="Q61" s="153"/>
      <c r="R61" s="153"/>
      <c r="S61" s="153"/>
      <c r="T61" s="153"/>
      <c r="U61" s="153"/>
      <c r="V61" s="153"/>
      <c r="W61" s="153"/>
      <c r="X61" s="153"/>
      <c r="Y61" s="153"/>
      <c r="Z61" s="153"/>
      <c r="AA61" s="153"/>
      <c r="AB61" s="153"/>
      <c r="AC61" s="153"/>
      <c r="AD61" s="153"/>
      <c r="AE61" s="153"/>
      <c r="AF61" s="153"/>
      <c r="AG61" s="153"/>
      <c r="AH61" s="153"/>
      <c r="AI61" s="153"/>
      <c r="AJ61" s="153"/>
      <c r="AK61"/>
      <c r="AL61"/>
      <c r="AM61"/>
      <c r="AN61"/>
    </row>
    <row r="62" spans="1:40" s="129" customFormat="1" x14ac:dyDescent="0.35">
      <c r="A62" s="153" t="s">
        <v>1195</v>
      </c>
      <c r="B62" s="153" t="s">
        <v>179</v>
      </c>
      <c r="C62" s="153" t="s">
        <v>719</v>
      </c>
      <c r="D62" s="153" t="s">
        <v>35</v>
      </c>
      <c r="E62" s="161">
        <v>1</v>
      </c>
      <c r="F62" s="153">
        <v>0</v>
      </c>
      <c r="G62" s="153">
        <v>0</v>
      </c>
      <c r="H62" s="153">
        <v>0</v>
      </c>
      <c r="I62" s="153">
        <v>0</v>
      </c>
      <c r="J62" s="153">
        <v>0</v>
      </c>
      <c r="K62" s="153">
        <v>0</v>
      </c>
      <c r="L62" s="153">
        <v>0</v>
      </c>
      <c r="M62" s="153">
        <v>0</v>
      </c>
      <c r="N62" s="153">
        <v>0</v>
      </c>
      <c r="O62" s="153">
        <v>0</v>
      </c>
      <c r="P62" s="153">
        <v>0</v>
      </c>
      <c r="Q62" s="153">
        <v>0</v>
      </c>
      <c r="R62" s="153">
        <v>0</v>
      </c>
      <c r="S62" s="153">
        <v>0</v>
      </c>
      <c r="T62" s="153"/>
      <c r="U62" s="153"/>
      <c r="V62" s="153"/>
      <c r="W62" s="153"/>
      <c r="X62" s="153"/>
      <c r="Y62" s="153"/>
      <c r="Z62" s="153"/>
      <c r="AA62" s="153"/>
      <c r="AB62" s="153"/>
      <c r="AC62" s="153"/>
      <c r="AD62" s="153"/>
      <c r="AE62" s="153"/>
      <c r="AF62" s="153"/>
      <c r="AG62" s="153"/>
      <c r="AH62" s="153"/>
      <c r="AI62" s="153"/>
      <c r="AJ62" s="153"/>
      <c r="AK62"/>
      <c r="AL62"/>
      <c r="AM62"/>
      <c r="AN62"/>
    </row>
    <row r="63" spans="1:40" x14ac:dyDescent="0.35">
      <c r="A63" s="153" t="s">
        <v>1195</v>
      </c>
      <c r="B63" s="153" t="s">
        <v>180</v>
      </c>
      <c r="C63" s="153" t="s">
        <v>720</v>
      </c>
      <c r="D63" s="153" t="s">
        <v>35</v>
      </c>
      <c r="E63" s="161">
        <v>1</v>
      </c>
      <c r="F63" s="153">
        <v>0</v>
      </c>
      <c r="G63" s="153">
        <v>0</v>
      </c>
      <c r="H63" s="153">
        <v>0</v>
      </c>
      <c r="I63" s="153">
        <v>0</v>
      </c>
      <c r="J63" s="153">
        <v>0</v>
      </c>
      <c r="K63" s="153">
        <v>0</v>
      </c>
      <c r="L63" s="153">
        <v>0</v>
      </c>
      <c r="M63" s="153">
        <v>0</v>
      </c>
      <c r="N63" s="153">
        <v>0</v>
      </c>
      <c r="O63" s="153">
        <v>0</v>
      </c>
      <c r="P63" s="153">
        <v>0</v>
      </c>
      <c r="Q63" s="153">
        <v>0</v>
      </c>
      <c r="R63" s="153">
        <v>0</v>
      </c>
      <c r="S63" s="153">
        <v>0</v>
      </c>
      <c r="T63" s="153"/>
      <c r="U63" s="153"/>
      <c r="V63" s="153"/>
      <c r="W63" s="153"/>
      <c r="X63" s="153"/>
      <c r="Y63" s="153"/>
      <c r="Z63" s="153"/>
      <c r="AA63" s="153"/>
      <c r="AB63" s="153"/>
      <c r="AC63" s="153"/>
      <c r="AD63" s="153"/>
      <c r="AE63" s="153"/>
      <c r="AF63" s="153"/>
      <c r="AG63" s="153"/>
      <c r="AH63" s="153"/>
      <c r="AI63" s="153"/>
      <c r="AJ63" s="153"/>
      <c r="AK63"/>
      <c r="AL63"/>
      <c r="AM63"/>
      <c r="AN63"/>
    </row>
    <row r="64" spans="1:40" x14ac:dyDescent="0.35">
      <c r="A64" s="153" t="s">
        <v>1195</v>
      </c>
      <c r="B64" s="153" t="s">
        <v>181</v>
      </c>
      <c r="C64" s="153" t="s">
        <v>721</v>
      </c>
      <c r="D64" s="153" t="s">
        <v>35</v>
      </c>
      <c r="E64" s="161">
        <v>1</v>
      </c>
      <c r="F64" s="153">
        <v>0</v>
      </c>
      <c r="G64" s="153">
        <v>0</v>
      </c>
      <c r="H64" s="153">
        <v>0</v>
      </c>
      <c r="I64" s="153">
        <v>0</v>
      </c>
      <c r="J64" s="153">
        <v>0</v>
      </c>
      <c r="K64" s="153">
        <v>0</v>
      </c>
      <c r="L64" s="153">
        <v>0</v>
      </c>
      <c r="M64" s="153">
        <v>0</v>
      </c>
      <c r="N64" s="153">
        <v>0</v>
      </c>
      <c r="O64" s="153">
        <v>0</v>
      </c>
      <c r="P64" s="153">
        <v>0</v>
      </c>
      <c r="Q64" s="153">
        <v>0</v>
      </c>
      <c r="R64" s="153">
        <v>0</v>
      </c>
      <c r="S64" s="153">
        <v>0</v>
      </c>
      <c r="T64" s="153"/>
      <c r="U64" s="153"/>
      <c r="V64" s="153"/>
      <c r="W64" s="153"/>
      <c r="X64" s="153"/>
      <c r="Y64" s="153"/>
      <c r="Z64" s="153"/>
      <c r="AA64" s="153"/>
      <c r="AB64" s="153"/>
      <c r="AC64" s="153"/>
      <c r="AD64" s="153"/>
      <c r="AE64" s="153"/>
      <c r="AF64" s="153"/>
      <c r="AG64" s="153"/>
      <c r="AH64" s="153"/>
      <c r="AI64" s="153"/>
      <c r="AJ64" s="153"/>
      <c r="AK64"/>
      <c r="AL64"/>
      <c r="AM64"/>
      <c r="AN64"/>
    </row>
    <row r="65" spans="1:40" x14ac:dyDescent="0.35">
      <c r="A65" s="153" t="s">
        <v>1195</v>
      </c>
      <c r="B65" s="153" t="s">
        <v>182</v>
      </c>
      <c r="C65" s="153" t="s">
        <v>722</v>
      </c>
      <c r="D65" s="153" t="s">
        <v>35</v>
      </c>
      <c r="E65" s="161">
        <v>1</v>
      </c>
      <c r="F65" s="153">
        <v>0</v>
      </c>
      <c r="G65" s="153">
        <v>0</v>
      </c>
      <c r="H65" s="153">
        <v>0</v>
      </c>
      <c r="I65" s="153">
        <v>0</v>
      </c>
      <c r="J65" s="153">
        <v>0</v>
      </c>
      <c r="K65" s="153">
        <v>0</v>
      </c>
      <c r="L65" s="153">
        <v>0</v>
      </c>
      <c r="M65" s="153">
        <v>0</v>
      </c>
      <c r="N65" s="153">
        <v>0</v>
      </c>
      <c r="O65" s="153">
        <v>0</v>
      </c>
      <c r="P65" s="153">
        <v>0</v>
      </c>
      <c r="Q65" s="153">
        <v>0</v>
      </c>
      <c r="R65" s="153">
        <v>0</v>
      </c>
      <c r="S65" s="153">
        <v>0</v>
      </c>
      <c r="T65" s="153"/>
      <c r="U65" s="153"/>
      <c r="V65" s="153"/>
      <c r="W65" s="153"/>
      <c r="X65" s="153"/>
      <c r="Y65" s="153"/>
      <c r="Z65" s="153"/>
      <c r="AA65" s="153"/>
      <c r="AB65" s="153"/>
      <c r="AC65" s="153"/>
      <c r="AD65" s="153"/>
      <c r="AE65" s="153"/>
      <c r="AF65" s="153"/>
      <c r="AG65" s="153"/>
      <c r="AH65" s="153"/>
      <c r="AI65" s="153"/>
      <c r="AJ65" s="153"/>
      <c r="AK65"/>
      <c r="AL65"/>
      <c r="AM65"/>
      <c r="AN65"/>
    </row>
    <row r="66" spans="1:40" x14ac:dyDescent="0.35">
      <c r="A66" s="153"/>
      <c r="B66" s="153"/>
      <c r="C66" s="153"/>
      <c r="D66" s="153"/>
      <c r="E66" s="161"/>
      <c r="F66" s="153">
        <v>0</v>
      </c>
      <c r="G66" s="153"/>
      <c r="H66" s="153"/>
      <c r="I66" s="153"/>
      <c r="J66" s="153"/>
      <c r="K66" s="153"/>
      <c r="L66" s="153"/>
      <c r="M66" s="153"/>
      <c r="N66" s="153"/>
      <c r="O66" s="153"/>
      <c r="P66" s="153"/>
      <c r="Q66" s="153"/>
      <c r="R66" s="153"/>
      <c r="S66" s="153"/>
      <c r="T66" s="153"/>
      <c r="U66" s="153"/>
      <c r="V66" s="153"/>
      <c r="W66" s="153"/>
      <c r="X66" s="153"/>
      <c r="Y66" s="153"/>
      <c r="Z66" s="153"/>
      <c r="AA66" s="153"/>
      <c r="AB66" s="153"/>
      <c r="AC66" s="153"/>
      <c r="AD66" s="153"/>
      <c r="AE66" s="153"/>
      <c r="AF66" s="153"/>
      <c r="AG66" s="153"/>
      <c r="AH66" s="153"/>
      <c r="AI66" s="153"/>
      <c r="AJ66" s="153"/>
      <c r="AK66"/>
      <c r="AL66"/>
      <c r="AM66"/>
      <c r="AN66"/>
    </row>
    <row r="67" spans="1:40" s="129" customFormat="1" x14ac:dyDescent="0.35">
      <c r="A67" s="153" t="s">
        <v>511</v>
      </c>
      <c r="B67" s="153" t="s">
        <v>179</v>
      </c>
      <c r="C67" s="153" t="s">
        <v>676</v>
      </c>
      <c r="D67" s="153" t="s">
        <v>35</v>
      </c>
      <c r="E67" s="161">
        <v>1</v>
      </c>
      <c r="F67" s="153">
        <v>0</v>
      </c>
      <c r="G67" s="153">
        <v>0</v>
      </c>
      <c r="H67" s="153">
        <v>0</v>
      </c>
      <c r="I67" s="153">
        <v>0</v>
      </c>
      <c r="J67" s="153">
        <v>0</v>
      </c>
      <c r="K67" s="153">
        <v>0</v>
      </c>
      <c r="L67" s="153">
        <v>0</v>
      </c>
      <c r="M67" s="153">
        <v>0</v>
      </c>
      <c r="N67" s="153">
        <v>0</v>
      </c>
      <c r="O67" s="153">
        <v>0</v>
      </c>
      <c r="P67" s="153">
        <v>0</v>
      </c>
      <c r="Q67" s="153">
        <v>0</v>
      </c>
      <c r="R67" s="153">
        <v>0</v>
      </c>
      <c r="S67" s="153">
        <v>0</v>
      </c>
      <c r="T67" s="153"/>
      <c r="U67" s="153"/>
      <c r="V67" s="153"/>
      <c r="W67" s="153"/>
      <c r="X67" s="153"/>
      <c r="Y67" s="153"/>
      <c r="Z67" s="153"/>
      <c r="AA67" s="153"/>
      <c r="AB67" s="153"/>
      <c r="AC67" s="153"/>
      <c r="AD67" s="153"/>
      <c r="AE67" s="153"/>
      <c r="AF67" s="153"/>
      <c r="AG67" s="153"/>
      <c r="AH67" s="153"/>
      <c r="AI67" s="153"/>
      <c r="AJ67" s="153"/>
      <c r="AK67"/>
      <c r="AL67"/>
      <c r="AM67"/>
      <c r="AN67"/>
    </row>
    <row r="68" spans="1:40" x14ac:dyDescent="0.35">
      <c r="A68" s="153" t="s">
        <v>511</v>
      </c>
      <c r="B68" s="153" t="s">
        <v>180</v>
      </c>
      <c r="C68" s="153" t="s">
        <v>677</v>
      </c>
      <c r="D68" s="153" t="s">
        <v>35</v>
      </c>
      <c r="E68" s="161">
        <v>1</v>
      </c>
      <c r="F68" s="153">
        <v>0</v>
      </c>
      <c r="G68" s="153">
        <v>0</v>
      </c>
      <c r="H68" s="153">
        <v>0</v>
      </c>
      <c r="I68" s="153">
        <v>0</v>
      </c>
      <c r="J68" s="153">
        <v>0</v>
      </c>
      <c r="K68" s="153">
        <v>0</v>
      </c>
      <c r="L68" s="153">
        <v>0</v>
      </c>
      <c r="M68" s="153">
        <v>0</v>
      </c>
      <c r="N68" s="153">
        <v>0</v>
      </c>
      <c r="O68" s="153">
        <v>0</v>
      </c>
      <c r="P68" s="153">
        <v>0</v>
      </c>
      <c r="Q68" s="153">
        <v>0</v>
      </c>
      <c r="R68" s="153">
        <v>0</v>
      </c>
      <c r="S68" s="153">
        <v>0</v>
      </c>
      <c r="T68" s="153"/>
      <c r="U68" s="153"/>
      <c r="V68" s="153"/>
      <c r="W68" s="153"/>
      <c r="X68" s="153"/>
      <c r="Y68" s="153"/>
      <c r="Z68" s="153"/>
      <c r="AA68" s="153"/>
      <c r="AB68" s="153"/>
      <c r="AC68" s="153"/>
      <c r="AD68" s="153"/>
      <c r="AE68" s="153"/>
      <c r="AF68" s="153"/>
      <c r="AG68" s="153"/>
      <c r="AH68" s="153"/>
      <c r="AI68" s="153"/>
      <c r="AJ68" s="153"/>
      <c r="AK68"/>
      <c r="AL68"/>
      <c r="AM68"/>
      <c r="AN68"/>
    </row>
    <row r="69" spans="1:40" x14ac:dyDescent="0.35">
      <c r="A69" s="153" t="s">
        <v>511</v>
      </c>
      <c r="B69" s="153" t="s">
        <v>183</v>
      </c>
      <c r="C69" s="153" t="s">
        <v>1108</v>
      </c>
      <c r="D69" s="153" t="s">
        <v>35</v>
      </c>
      <c r="E69" s="161">
        <v>1</v>
      </c>
      <c r="F69" s="153">
        <v>0</v>
      </c>
      <c r="G69" s="153">
        <v>0</v>
      </c>
      <c r="H69" s="153">
        <v>0</v>
      </c>
      <c r="I69" s="153">
        <v>0</v>
      </c>
      <c r="J69" s="153">
        <v>0</v>
      </c>
      <c r="K69" s="153">
        <v>0</v>
      </c>
      <c r="L69" s="153">
        <v>0</v>
      </c>
      <c r="M69" s="153">
        <v>0</v>
      </c>
      <c r="N69" s="153">
        <v>0</v>
      </c>
      <c r="O69" s="153">
        <v>0</v>
      </c>
      <c r="P69" s="153">
        <v>0</v>
      </c>
      <c r="Q69" s="153">
        <v>0</v>
      </c>
      <c r="R69" s="153">
        <v>0</v>
      </c>
      <c r="S69" s="153">
        <v>0</v>
      </c>
      <c r="T69" s="153"/>
      <c r="U69" s="153"/>
      <c r="V69" s="153"/>
      <c r="W69" s="153"/>
      <c r="X69" s="153"/>
      <c r="Y69" s="153"/>
      <c r="Z69" s="153"/>
      <c r="AA69" s="153"/>
      <c r="AB69" s="153"/>
      <c r="AC69" s="153"/>
      <c r="AD69" s="153"/>
      <c r="AE69" s="153"/>
      <c r="AF69" s="153"/>
      <c r="AG69" s="153"/>
      <c r="AH69" s="153"/>
      <c r="AI69" s="153"/>
      <c r="AJ69" s="153"/>
      <c r="AK69"/>
      <c r="AL69"/>
      <c r="AM69"/>
      <c r="AN69"/>
    </row>
    <row r="70" spans="1:40" x14ac:dyDescent="0.35">
      <c r="A70" s="153" t="s">
        <v>511</v>
      </c>
      <c r="B70" s="153" t="s">
        <v>182</v>
      </c>
      <c r="C70" s="153" t="s">
        <v>678</v>
      </c>
      <c r="D70" s="153" t="s">
        <v>35</v>
      </c>
      <c r="E70" s="161">
        <v>1</v>
      </c>
      <c r="F70" s="153">
        <v>0</v>
      </c>
      <c r="G70" s="153">
        <v>0</v>
      </c>
      <c r="H70" s="153">
        <v>0</v>
      </c>
      <c r="I70" s="153">
        <v>0</v>
      </c>
      <c r="J70" s="153">
        <v>0</v>
      </c>
      <c r="K70" s="153">
        <v>0</v>
      </c>
      <c r="L70" s="153">
        <v>0</v>
      </c>
      <c r="M70" s="153">
        <v>0</v>
      </c>
      <c r="N70" s="153">
        <v>0</v>
      </c>
      <c r="O70" s="153">
        <v>0</v>
      </c>
      <c r="P70" s="153">
        <v>0</v>
      </c>
      <c r="Q70" s="153">
        <v>0</v>
      </c>
      <c r="R70" s="153">
        <v>0</v>
      </c>
      <c r="S70" s="153">
        <v>0</v>
      </c>
      <c r="T70" s="153"/>
      <c r="U70" s="153"/>
      <c r="V70" s="153"/>
      <c r="W70" s="153"/>
      <c r="X70" s="153"/>
      <c r="Y70" s="153"/>
      <c r="Z70" s="153"/>
      <c r="AA70" s="153"/>
      <c r="AB70" s="153"/>
      <c r="AC70" s="153"/>
      <c r="AD70" s="153"/>
      <c r="AE70" s="153"/>
      <c r="AF70" s="153"/>
      <c r="AG70" s="153"/>
      <c r="AH70" s="153"/>
      <c r="AI70" s="153"/>
      <c r="AJ70" s="153"/>
      <c r="AK70"/>
      <c r="AL70"/>
      <c r="AM70"/>
      <c r="AN70"/>
    </row>
    <row r="71" spans="1:40" x14ac:dyDescent="0.35">
      <c r="A71" s="153"/>
      <c r="B71" s="153"/>
      <c r="C71" s="153"/>
      <c r="D71" s="153"/>
      <c r="E71" s="161"/>
      <c r="F71" s="153">
        <v>0</v>
      </c>
      <c r="G71" s="153"/>
      <c r="H71" s="153"/>
      <c r="I71" s="153"/>
      <c r="J71" s="153"/>
      <c r="K71" s="153"/>
      <c r="L71" s="153"/>
      <c r="M71" s="153"/>
      <c r="N71" s="153"/>
      <c r="O71" s="153"/>
      <c r="P71" s="153"/>
      <c r="Q71" s="153"/>
      <c r="R71" s="153"/>
      <c r="S71" s="153"/>
      <c r="T71" s="153"/>
      <c r="U71" s="153"/>
      <c r="V71" s="153"/>
      <c r="W71" s="153"/>
      <c r="X71" s="153"/>
      <c r="Y71" s="153"/>
      <c r="Z71" s="153"/>
      <c r="AA71" s="153"/>
      <c r="AB71" s="153"/>
      <c r="AC71" s="153"/>
      <c r="AD71" s="153"/>
      <c r="AE71" s="153"/>
      <c r="AF71" s="153"/>
      <c r="AG71" s="153"/>
      <c r="AH71" s="153"/>
      <c r="AI71" s="153"/>
      <c r="AJ71" s="153"/>
      <c r="AK71"/>
      <c r="AL71"/>
      <c r="AM71"/>
      <c r="AN71"/>
    </row>
    <row r="72" spans="1:40" x14ac:dyDescent="0.35">
      <c r="A72" s="153" t="s">
        <v>511</v>
      </c>
      <c r="B72" s="153" t="s">
        <v>179</v>
      </c>
      <c r="C72" s="153" t="s">
        <v>848</v>
      </c>
      <c r="D72" s="153" t="s">
        <v>35</v>
      </c>
      <c r="E72" s="161">
        <v>0.46666666666666667</v>
      </c>
      <c r="F72" s="153">
        <v>0</v>
      </c>
      <c r="G72" s="153">
        <v>0</v>
      </c>
      <c r="H72" s="153">
        <v>0</v>
      </c>
      <c r="I72" s="153">
        <v>0</v>
      </c>
      <c r="J72" s="153">
        <v>0</v>
      </c>
      <c r="K72" s="153">
        <v>0</v>
      </c>
      <c r="L72" s="153">
        <v>0</v>
      </c>
      <c r="M72" s="153">
        <v>0</v>
      </c>
      <c r="N72" s="153">
        <v>0</v>
      </c>
      <c r="O72" s="153">
        <v>0</v>
      </c>
      <c r="P72" s="153">
        <v>0</v>
      </c>
      <c r="Q72" s="153">
        <v>0</v>
      </c>
      <c r="R72" s="153">
        <v>0</v>
      </c>
      <c r="S72" s="153">
        <v>0</v>
      </c>
      <c r="T72" s="153"/>
      <c r="U72" s="153"/>
      <c r="V72" s="153"/>
      <c r="W72" s="153"/>
      <c r="X72" s="153"/>
      <c r="Y72" s="153"/>
      <c r="Z72" s="153"/>
      <c r="AA72" s="153"/>
      <c r="AB72" s="153"/>
      <c r="AC72" s="153"/>
      <c r="AD72" s="153"/>
      <c r="AE72" s="153"/>
      <c r="AF72" s="153"/>
      <c r="AG72" s="153"/>
      <c r="AH72" s="153"/>
      <c r="AI72" s="153"/>
      <c r="AJ72" s="153"/>
      <c r="AK72"/>
      <c r="AL72"/>
      <c r="AM72"/>
      <c r="AN72"/>
    </row>
    <row r="73" spans="1:40" x14ac:dyDescent="0.35">
      <c r="A73" s="153" t="s">
        <v>511</v>
      </c>
      <c r="B73" s="153" t="s">
        <v>180</v>
      </c>
      <c r="C73" s="153" t="s">
        <v>849</v>
      </c>
      <c r="D73" s="153" t="s">
        <v>35</v>
      </c>
      <c r="E73" s="161">
        <v>0.46666666666666667</v>
      </c>
      <c r="F73" s="153">
        <v>0</v>
      </c>
      <c r="G73" s="153">
        <v>0</v>
      </c>
      <c r="H73" s="153">
        <v>0</v>
      </c>
      <c r="I73" s="153">
        <v>0</v>
      </c>
      <c r="J73" s="153">
        <v>0</v>
      </c>
      <c r="K73" s="153">
        <v>0</v>
      </c>
      <c r="L73" s="153">
        <v>0</v>
      </c>
      <c r="M73" s="153">
        <v>0</v>
      </c>
      <c r="N73" s="153">
        <v>0</v>
      </c>
      <c r="O73" s="153">
        <v>0</v>
      </c>
      <c r="P73" s="153">
        <v>0</v>
      </c>
      <c r="Q73" s="153">
        <v>0</v>
      </c>
      <c r="R73" s="153">
        <v>0</v>
      </c>
      <c r="S73" s="153">
        <v>0</v>
      </c>
      <c r="T73" s="153"/>
      <c r="U73" s="153"/>
      <c r="V73" s="153"/>
      <c r="W73" s="153"/>
      <c r="X73" s="153"/>
      <c r="Y73" s="153"/>
      <c r="Z73" s="153"/>
      <c r="AA73" s="153"/>
      <c r="AB73" s="153"/>
      <c r="AC73" s="153"/>
      <c r="AD73" s="153"/>
      <c r="AE73" s="153"/>
      <c r="AF73" s="153"/>
      <c r="AG73" s="153"/>
      <c r="AH73" s="153"/>
      <c r="AI73" s="153"/>
      <c r="AJ73" s="153"/>
      <c r="AK73"/>
      <c r="AL73"/>
      <c r="AM73"/>
      <c r="AN73"/>
    </row>
    <row r="74" spans="1:40" x14ac:dyDescent="0.35">
      <c r="A74" s="153" t="s">
        <v>511</v>
      </c>
      <c r="B74" s="153" t="s">
        <v>181</v>
      </c>
      <c r="C74" s="153" t="s">
        <v>1109</v>
      </c>
      <c r="D74" s="153" t="s">
        <v>35</v>
      </c>
      <c r="E74" s="161">
        <v>0.46666666666666667</v>
      </c>
      <c r="F74" s="153">
        <v>0</v>
      </c>
      <c r="G74" s="153">
        <v>0</v>
      </c>
      <c r="H74" s="153">
        <v>0</v>
      </c>
      <c r="I74" s="153">
        <v>0</v>
      </c>
      <c r="J74" s="153">
        <v>0</v>
      </c>
      <c r="K74" s="153">
        <v>0</v>
      </c>
      <c r="L74" s="153">
        <v>0</v>
      </c>
      <c r="M74" s="153">
        <v>0</v>
      </c>
      <c r="N74" s="153">
        <v>0</v>
      </c>
      <c r="O74" s="153">
        <v>0</v>
      </c>
      <c r="P74" s="153">
        <v>0</v>
      </c>
      <c r="Q74" s="153">
        <v>0</v>
      </c>
      <c r="R74" s="153">
        <v>0</v>
      </c>
      <c r="S74" s="153">
        <v>0</v>
      </c>
      <c r="T74" s="153"/>
      <c r="U74" s="153"/>
      <c r="V74" s="153"/>
      <c r="W74" s="153"/>
      <c r="X74" s="153"/>
      <c r="Y74" s="153"/>
      <c r="Z74" s="153"/>
      <c r="AA74" s="153"/>
      <c r="AB74" s="153"/>
      <c r="AC74" s="153"/>
      <c r="AD74" s="153"/>
      <c r="AE74" s="153"/>
      <c r="AF74" s="153"/>
      <c r="AG74" s="153"/>
      <c r="AH74" s="153"/>
      <c r="AI74" s="153"/>
      <c r="AJ74" s="153"/>
      <c r="AK74"/>
      <c r="AL74"/>
      <c r="AM74"/>
      <c r="AN74"/>
    </row>
    <row r="75" spans="1:40" x14ac:dyDescent="0.35">
      <c r="A75" s="153" t="s">
        <v>511</v>
      </c>
      <c r="B75" s="153" t="s">
        <v>182</v>
      </c>
      <c r="C75" s="153" t="s">
        <v>850</v>
      </c>
      <c r="D75" s="153" t="s">
        <v>35</v>
      </c>
      <c r="E75" s="161">
        <v>0.46666666666666667</v>
      </c>
      <c r="F75" s="153">
        <v>0</v>
      </c>
      <c r="G75" s="153">
        <v>0</v>
      </c>
      <c r="H75" s="153">
        <v>0</v>
      </c>
      <c r="I75" s="153">
        <v>0</v>
      </c>
      <c r="J75" s="153">
        <v>0</v>
      </c>
      <c r="K75" s="153">
        <v>0</v>
      </c>
      <c r="L75" s="153">
        <v>0</v>
      </c>
      <c r="M75" s="153">
        <v>0</v>
      </c>
      <c r="N75" s="153">
        <v>0</v>
      </c>
      <c r="O75" s="153">
        <v>0</v>
      </c>
      <c r="P75" s="153">
        <v>0</v>
      </c>
      <c r="Q75" s="153">
        <v>0</v>
      </c>
      <c r="R75" s="153">
        <v>0</v>
      </c>
      <c r="S75" s="153">
        <v>0</v>
      </c>
      <c r="T75" s="153"/>
      <c r="U75" s="153"/>
      <c r="V75" s="153"/>
      <c r="W75" s="153"/>
      <c r="X75" s="153"/>
      <c r="Y75" s="153"/>
      <c r="Z75" s="153"/>
      <c r="AA75" s="153"/>
      <c r="AB75" s="153"/>
      <c r="AC75" s="153"/>
      <c r="AD75" s="153"/>
      <c r="AE75" s="153"/>
      <c r="AF75" s="153"/>
      <c r="AG75" s="153"/>
      <c r="AH75" s="153"/>
      <c r="AI75" s="153"/>
      <c r="AJ75" s="153"/>
      <c r="AK75"/>
      <c r="AL75"/>
      <c r="AM75"/>
      <c r="AN75"/>
    </row>
    <row r="76" spans="1:40" x14ac:dyDescent="0.35">
      <c r="A76" s="153"/>
      <c r="B76" s="153"/>
      <c r="C76" s="153"/>
      <c r="D76" s="153"/>
      <c r="E76" s="161"/>
      <c r="F76" s="153">
        <v>0</v>
      </c>
      <c r="G76" s="153"/>
      <c r="H76" s="153"/>
      <c r="I76" s="153"/>
      <c r="J76" s="153"/>
      <c r="K76" s="153"/>
      <c r="L76" s="153"/>
      <c r="M76" s="153"/>
      <c r="N76" s="153"/>
      <c r="O76" s="153"/>
      <c r="P76" s="153"/>
      <c r="Q76" s="153"/>
      <c r="R76" s="153"/>
      <c r="S76" s="153"/>
      <c r="T76" s="153"/>
      <c r="U76" s="153"/>
      <c r="V76" s="153"/>
      <c r="W76" s="153"/>
      <c r="X76" s="153"/>
      <c r="Y76" s="153"/>
      <c r="Z76" s="153"/>
      <c r="AA76" s="153"/>
      <c r="AB76" s="153"/>
      <c r="AC76" s="153"/>
      <c r="AD76" s="153"/>
      <c r="AE76" s="153"/>
      <c r="AF76" s="153"/>
      <c r="AG76" s="153"/>
      <c r="AH76" s="153"/>
      <c r="AI76" s="153"/>
      <c r="AJ76" s="153"/>
      <c r="AK76"/>
      <c r="AL76"/>
      <c r="AM76"/>
      <c r="AN76"/>
    </row>
    <row r="77" spans="1:40" x14ac:dyDescent="0.35">
      <c r="A77" s="153" t="s">
        <v>511</v>
      </c>
      <c r="B77" s="153" t="s">
        <v>179</v>
      </c>
      <c r="C77" s="153" t="s">
        <v>851</v>
      </c>
      <c r="D77" s="153" t="s">
        <v>35</v>
      </c>
      <c r="E77" s="161">
        <v>0.46666666666666667</v>
      </c>
      <c r="F77" s="153">
        <v>0</v>
      </c>
      <c r="G77" s="153">
        <v>0</v>
      </c>
      <c r="H77" s="153">
        <v>0</v>
      </c>
      <c r="I77" s="153">
        <v>0</v>
      </c>
      <c r="J77" s="153">
        <v>0</v>
      </c>
      <c r="K77" s="153">
        <v>0</v>
      </c>
      <c r="L77" s="153">
        <v>0</v>
      </c>
      <c r="M77" s="153">
        <v>0</v>
      </c>
      <c r="N77" s="153">
        <v>0</v>
      </c>
      <c r="O77" s="153">
        <v>0</v>
      </c>
      <c r="P77" s="153">
        <v>0</v>
      </c>
      <c r="Q77" s="153">
        <v>0</v>
      </c>
      <c r="R77" s="153">
        <v>0</v>
      </c>
      <c r="S77" s="153">
        <v>0</v>
      </c>
      <c r="T77" s="153"/>
      <c r="U77" s="153"/>
      <c r="V77" s="153"/>
      <c r="W77" s="153"/>
      <c r="X77" s="153"/>
      <c r="Y77" s="153"/>
      <c r="Z77" s="153"/>
      <c r="AA77" s="153"/>
      <c r="AB77" s="153"/>
      <c r="AC77" s="153"/>
      <c r="AD77" s="153"/>
      <c r="AE77" s="153"/>
      <c r="AF77" s="153"/>
      <c r="AG77" s="153"/>
      <c r="AH77" s="153"/>
      <c r="AI77" s="153"/>
      <c r="AJ77" s="153"/>
      <c r="AK77"/>
      <c r="AL77"/>
      <c r="AM77"/>
      <c r="AN77"/>
    </row>
    <row r="78" spans="1:40" x14ac:dyDescent="0.35">
      <c r="A78" s="153" t="s">
        <v>511</v>
      </c>
      <c r="B78" s="153" t="s">
        <v>180</v>
      </c>
      <c r="C78" s="153" t="s">
        <v>852</v>
      </c>
      <c r="D78" s="153" t="s">
        <v>35</v>
      </c>
      <c r="E78" s="161">
        <v>0.46666666666666667</v>
      </c>
      <c r="F78" s="153">
        <v>0</v>
      </c>
      <c r="G78" s="153">
        <v>0</v>
      </c>
      <c r="H78" s="153">
        <v>0</v>
      </c>
      <c r="I78" s="153">
        <v>0</v>
      </c>
      <c r="J78" s="153">
        <v>0</v>
      </c>
      <c r="K78" s="153">
        <v>0</v>
      </c>
      <c r="L78" s="153">
        <v>0</v>
      </c>
      <c r="M78" s="153">
        <v>0</v>
      </c>
      <c r="N78" s="153">
        <v>0</v>
      </c>
      <c r="O78" s="153">
        <v>0</v>
      </c>
      <c r="P78" s="153">
        <v>0</v>
      </c>
      <c r="Q78" s="153">
        <v>0</v>
      </c>
      <c r="R78" s="153">
        <v>0</v>
      </c>
      <c r="S78" s="153">
        <v>0</v>
      </c>
      <c r="T78" s="153"/>
      <c r="U78" s="153"/>
      <c r="V78" s="153"/>
      <c r="W78" s="153"/>
      <c r="X78" s="153"/>
      <c r="Y78" s="153"/>
      <c r="Z78" s="153"/>
      <c r="AA78" s="153"/>
      <c r="AB78" s="153"/>
      <c r="AC78" s="153"/>
      <c r="AD78" s="153"/>
      <c r="AE78" s="153"/>
      <c r="AF78" s="153"/>
      <c r="AG78" s="153"/>
      <c r="AH78" s="153"/>
      <c r="AI78" s="153"/>
      <c r="AJ78" s="153"/>
      <c r="AK78"/>
      <c r="AL78"/>
      <c r="AM78"/>
      <c r="AN78"/>
    </row>
    <row r="79" spans="1:40" x14ac:dyDescent="0.35">
      <c r="A79" s="153" t="s">
        <v>511</v>
      </c>
      <c r="B79" s="153" t="s">
        <v>181</v>
      </c>
      <c r="C79" s="153" t="s">
        <v>1110</v>
      </c>
      <c r="D79" s="153" t="s">
        <v>35</v>
      </c>
      <c r="E79" s="161">
        <v>0.46666666666666667</v>
      </c>
      <c r="F79" s="153">
        <v>0</v>
      </c>
      <c r="G79" s="153">
        <v>0</v>
      </c>
      <c r="H79" s="153">
        <v>0</v>
      </c>
      <c r="I79" s="153">
        <v>0</v>
      </c>
      <c r="J79" s="153">
        <v>0</v>
      </c>
      <c r="K79" s="153">
        <v>0</v>
      </c>
      <c r="L79" s="153">
        <v>0</v>
      </c>
      <c r="M79" s="153">
        <v>0</v>
      </c>
      <c r="N79" s="153">
        <v>0</v>
      </c>
      <c r="O79" s="153">
        <v>0</v>
      </c>
      <c r="P79" s="153">
        <v>0</v>
      </c>
      <c r="Q79" s="153">
        <v>0</v>
      </c>
      <c r="R79" s="153">
        <v>0</v>
      </c>
      <c r="S79" s="153">
        <v>0</v>
      </c>
      <c r="T79" s="153"/>
      <c r="U79" s="153"/>
      <c r="V79" s="153"/>
      <c r="W79" s="153"/>
      <c r="X79" s="153"/>
      <c r="Y79" s="153"/>
      <c r="Z79" s="153"/>
      <c r="AA79" s="153"/>
      <c r="AB79" s="153"/>
      <c r="AC79" s="153"/>
      <c r="AD79" s="153"/>
      <c r="AE79" s="153"/>
      <c r="AF79" s="153"/>
      <c r="AG79" s="153"/>
      <c r="AH79" s="153"/>
      <c r="AI79" s="153"/>
      <c r="AJ79" s="153"/>
      <c r="AK79"/>
      <c r="AL79"/>
      <c r="AM79"/>
      <c r="AN79"/>
    </row>
    <row r="80" spans="1:40" x14ac:dyDescent="0.35">
      <c r="A80" s="153" t="s">
        <v>511</v>
      </c>
      <c r="B80" s="153" t="s">
        <v>182</v>
      </c>
      <c r="C80" s="153" t="s">
        <v>853</v>
      </c>
      <c r="D80" s="153" t="s">
        <v>35</v>
      </c>
      <c r="E80" s="161">
        <v>0.46666666666666667</v>
      </c>
      <c r="F80" s="153">
        <v>0</v>
      </c>
      <c r="G80" s="153">
        <v>0</v>
      </c>
      <c r="H80" s="153">
        <v>0</v>
      </c>
      <c r="I80" s="153">
        <v>0</v>
      </c>
      <c r="J80" s="153">
        <v>0</v>
      </c>
      <c r="K80" s="153">
        <v>0</v>
      </c>
      <c r="L80" s="153">
        <v>0</v>
      </c>
      <c r="M80" s="153">
        <v>0</v>
      </c>
      <c r="N80" s="153">
        <v>0</v>
      </c>
      <c r="O80" s="153">
        <v>0</v>
      </c>
      <c r="P80" s="153">
        <v>0</v>
      </c>
      <c r="Q80" s="153">
        <v>0</v>
      </c>
      <c r="R80" s="153">
        <v>0</v>
      </c>
      <c r="S80" s="153">
        <v>0</v>
      </c>
      <c r="T80" s="153"/>
      <c r="U80" s="153"/>
      <c r="V80" s="153"/>
      <c r="W80" s="153"/>
      <c r="X80" s="153"/>
      <c r="Y80" s="153"/>
      <c r="Z80" s="153"/>
      <c r="AA80" s="153"/>
      <c r="AB80" s="153"/>
      <c r="AC80" s="153"/>
      <c r="AD80" s="153"/>
      <c r="AE80" s="153"/>
      <c r="AF80" s="153"/>
      <c r="AG80" s="153"/>
      <c r="AH80" s="153"/>
      <c r="AI80" s="153"/>
      <c r="AJ80" s="153"/>
      <c r="AK80"/>
      <c r="AL80"/>
      <c r="AM80"/>
      <c r="AN80"/>
    </row>
    <row r="81" spans="1:40" x14ac:dyDescent="0.35">
      <c r="A81" s="153"/>
      <c r="B81" s="153"/>
      <c r="C81" s="153"/>
      <c r="D81" s="153"/>
      <c r="E81" s="161"/>
      <c r="F81" s="153">
        <v>0</v>
      </c>
      <c r="G81" s="153"/>
      <c r="H81" s="153"/>
      <c r="I81" s="153"/>
      <c r="J81" s="153"/>
      <c r="K81" s="153"/>
      <c r="L81" s="153"/>
      <c r="M81" s="153"/>
      <c r="N81" s="153"/>
      <c r="O81" s="153"/>
      <c r="P81" s="153"/>
      <c r="Q81" s="153"/>
      <c r="R81" s="153"/>
      <c r="S81" s="153"/>
      <c r="T81" s="153"/>
      <c r="U81" s="153"/>
      <c r="V81" s="153"/>
      <c r="W81" s="153"/>
      <c r="X81" s="153"/>
      <c r="Y81" s="153"/>
      <c r="Z81" s="153"/>
      <c r="AA81" s="153"/>
      <c r="AB81" s="153"/>
      <c r="AC81" s="153"/>
      <c r="AD81" s="153"/>
      <c r="AE81" s="153"/>
      <c r="AF81" s="153"/>
      <c r="AG81" s="153"/>
      <c r="AH81" s="153"/>
      <c r="AI81" s="153"/>
      <c r="AJ81" s="153"/>
      <c r="AK81"/>
      <c r="AL81"/>
      <c r="AM81"/>
      <c r="AN81"/>
    </row>
    <row r="82" spans="1:40" x14ac:dyDescent="0.35">
      <c r="A82" s="153" t="s">
        <v>509</v>
      </c>
      <c r="B82" s="153" t="s">
        <v>179</v>
      </c>
      <c r="C82" s="153" t="s">
        <v>672</v>
      </c>
      <c r="D82" s="153" t="s">
        <v>35</v>
      </c>
      <c r="E82" s="161">
        <v>1</v>
      </c>
      <c r="F82" s="153">
        <v>0</v>
      </c>
      <c r="G82" s="153">
        <v>0</v>
      </c>
      <c r="H82" s="153">
        <v>0</v>
      </c>
      <c r="I82" s="153">
        <v>0</v>
      </c>
      <c r="J82" s="153">
        <v>0</v>
      </c>
      <c r="K82" s="153">
        <v>0</v>
      </c>
      <c r="L82" s="153">
        <v>0</v>
      </c>
      <c r="M82" s="153">
        <v>0</v>
      </c>
      <c r="N82" s="153">
        <v>0</v>
      </c>
      <c r="O82" s="153">
        <v>0</v>
      </c>
      <c r="P82" s="153">
        <v>0</v>
      </c>
      <c r="Q82" s="153">
        <v>0</v>
      </c>
      <c r="R82" s="153">
        <v>0</v>
      </c>
      <c r="S82" s="153">
        <v>0</v>
      </c>
      <c r="T82" s="153"/>
      <c r="U82" s="153"/>
      <c r="V82" s="153"/>
      <c r="W82" s="153"/>
      <c r="X82" s="153"/>
      <c r="Y82" s="153"/>
      <c r="Z82" s="153"/>
      <c r="AA82" s="153"/>
      <c r="AB82" s="153"/>
      <c r="AC82" s="153"/>
      <c r="AD82" s="153"/>
      <c r="AE82" s="153"/>
      <c r="AF82" s="153"/>
      <c r="AG82" s="153"/>
      <c r="AH82" s="153"/>
      <c r="AI82" s="153"/>
      <c r="AJ82" s="153"/>
      <c r="AK82"/>
      <c r="AL82"/>
      <c r="AM82"/>
      <c r="AN82"/>
    </row>
    <row r="83" spans="1:40" x14ac:dyDescent="0.35">
      <c r="A83" s="153" t="s">
        <v>509</v>
      </c>
      <c r="B83" s="153" t="s">
        <v>180</v>
      </c>
      <c r="C83" s="153" t="s">
        <v>673</v>
      </c>
      <c r="D83" s="153" t="s">
        <v>35</v>
      </c>
      <c r="E83" s="161">
        <v>1</v>
      </c>
      <c r="F83" s="153">
        <v>0</v>
      </c>
      <c r="G83" s="153">
        <v>0</v>
      </c>
      <c r="H83" s="153">
        <v>0</v>
      </c>
      <c r="I83" s="153">
        <v>0</v>
      </c>
      <c r="J83" s="153">
        <v>0</v>
      </c>
      <c r="K83" s="153">
        <v>0</v>
      </c>
      <c r="L83" s="153">
        <v>0</v>
      </c>
      <c r="M83" s="153">
        <v>0</v>
      </c>
      <c r="N83" s="153">
        <v>0</v>
      </c>
      <c r="O83" s="153">
        <v>0</v>
      </c>
      <c r="P83" s="153">
        <v>0</v>
      </c>
      <c r="Q83" s="153">
        <v>0</v>
      </c>
      <c r="R83" s="153">
        <v>0</v>
      </c>
      <c r="S83" s="153">
        <v>0</v>
      </c>
      <c r="T83" s="153"/>
      <c r="U83" s="153"/>
      <c r="V83" s="153"/>
      <c r="W83" s="153"/>
      <c r="X83" s="153"/>
      <c r="Y83" s="153"/>
      <c r="Z83" s="153"/>
      <c r="AA83" s="153"/>
      <c r="AB83" s="153"/>
      <c r="AC83" s="153"/>
      <c r="AD83" s="153"/>
      <c r="AE83" s="153"/>
      <c r="AF83" s="153"/>
      <c r="AG83" s="153"/>
      <c r="AH83" s="153"/>
      <c r="AI83" s="153"/>
      <c r="AJ83" s="153"/>
      <c r="AK83"/>
      <c r="AL83"/>
      <c r="AM83"/>
      <c r="AN83"/>
    </row>
    <row r="84" spans="1:40" x14ac:dyDescent="0.35">
      <c r="A84" s="153" t="s">
        <v>509</v>
      </c>
      <c r="B84" s="153" t="s">
        <v>181</v>
      </c>
      <c r="C84" s="153" t="s">
        <v>674</v>
      </c>
      <c r="D84" s="153" t="s">
        <v>35</v>
      </c>
      <c r="E84" s="161">
        <v>1</v>
      </c>
      <c r="F84" s="153">
        <v>0</v>
      </c>
      <c r="G84" s="153">
        <v>0</v>
      </c>
      <c r="H84" s="153">
        <v>0</v>
      </c>
      <c r="I84" s="153">
        <v>0</v>
      </c>
      <c r="J84" s="153">
        <v>0</v>
      </c>
      <c r="K84" s="153">
        <v>0</v>
      </c>
      <c r="L84" s="153">
        <v>0</v>
      </c>
      <c r="M84" s="153">
        <v>0</v>
      </c>
      <c r="N84" s="153">
        <v>0</v>
      </c>
      <c r="O84" s="153">
        <v>0</v>
      </c>
      <c r="P84" s="153">
        <v>0</v>
      </c>
      <c r="Q84" s="153">
        <v>0</v>
      </c>
      <c r="R84" s="153">
        <v>0</v>
      </c>
      <c r="S84" s="153">
        <v>0</v>
      </c>
      <c r="T84" s="153"/>
      <c r="U84" s="153"/>
      <c r="V84" s="153"/>
      <c r="W84" s="153"/>
      <c r="X84" s="153"/>
      <c r="Y84" s="153"/>
      <c r="Z84" s="153"/>
      <c r="AA84" s="153"/>
      <c r="AB84" s="153"/>
      <c r="AC84" s="153"/>
      <c r="AD84" s="153"/>
      <c r="AE84" s="153"/>
      <c r="AF84" s="153"/>
      <c r="AG84" s="153"/>
      <c r="AH84" s="153"/>
      <c r="AI84" s="153"/>
      <c r="AJ84" s="153"/>
      <c r="AK84"/>
      <c r="AL84"/>
      <c r="AM84"/>
      <c r="AN84"/>
    </row>
    <row r="85" spans="1:40" x14ac:dyDescent="0.35">
      <c r="A85" s="153" t="s">
        <v>509</v>
      </c>
      <c r="B85" s="153" t="s">
        <v>182</v>
      </c>
      <c r="C85" s="153" t="s">
        <v>675</v>
      </c>
      <c r="D85" s="153" t="s">
        <v>35</v>
      </c>
      <c r="E85" s="161">
        <v>1</v>
      </c>
      <c r="F85" s="153">
        <v>0</v>
      </c>
      <c r="G85" s="153">
        <v>0</v>
      </c>
      <c r="H85" s="153">
        <v>0</v>
      </c>
      <c r="I85" s="153">
        <v>0</v>
      </c>
      <c r="J85" s="153">
        <v>0</v>
      </c>
      <c r="K85" s="153">
        <v>0</v>
      </c>
      <c r="L85" s="153">
        <v>0</v>
      </c>
      <c r="M85" s="153">
        <v>0</v>
      </c>
      <c r="N85" s="153">
        <v>0</v>
      </c>
      <c r="O85" s="153">
        <v>0</v>
      </c>
      <c r="P85" s="153">
        <v>0</v>
      </c>
      <c r="Q85" s="153">
        <v>0</v>
      </c>
      <c r="R85" s="153">
        <v>0</v>
      </c>
      <c r="S85" s="153">
        <v>0</v>
      </c>
      <c r="T85" s="153"/>
      <c r="U85" s="153"/>
      <c r="V85" s="153"/>
      <c r="W85" s="153"/>
      <c r="X85" s="153"/>
      <c r="Y85" s="153"/>
      <c r="Z85" s="153"/>
      <c r="AA85" s="153"/>
      <c r="AB85" s="153"/>
      <c r="AC85" s="153"/>
      <c r="AD85" s="153"/>
      <c r="AE85" s="153"/>
      <c r="AF85" s="153"/>
      <c r="AG85" s="153"/>
      <c r="AH85" s="153"/>
      <c r="AI85" s="153"/>
      <c r="AJ85" s="153"/>
      <c r="AK85"/>
      <c r="AL85"/>
      <c r="AM85"/>
      <c r="AN85"/>
    </row>
    <row r="86" spans="1:40" x14ac:dyDescent="0.35">
      <c r="A86" s="153"/>
      <c r="B86" s="153"/>
      <c r="C86" s="153"/>
      <c r="D86" s="153"/>
      <c r="E86" s="161"/>
      <c r="F86" s="153">
        <v>0</v>
      </c>
      <c r="G86" s="153"/>
      <c r="H86" s="153"/>
      <c r="I86" s="153"/>
      <c r="J86" s="153"/>
      <c r="K86" s="153"/>
      <c r="L86" s="153"/>
      <c r="M86" s="153"/>
      <c r="N86" s="153"/>
      <c r="O86" s="153"/>
      <c r="P86" s="153"/>
      <c r="Q86" s="153"/>
      <c r="R86" s="153"/>
      <c r="S86" s="153"/>
      <c r="T86" s="153"/>
      <c r="U86" s="153"/>
      <c r="V86" s="153"/>
      <c r="W86" s="153"/>
      <c r="X86" s="153"/>
      <c r="Y86" s="153"/>
      <c r="Z86" s="153"/>
      <c r="AA86" s="153"/>
      <c r="AB86" s="153"/>
      <c r="AC86" s="153"/>
      <c r="AD86" s="153"/>
      <c r="AE86" s="153"/>
      <c r="AF86" s="153"/>
      <c r="AG86" s="153"/>
      <c r="AH86" s="153"/>
      <c r="AI86" s="153"/>
      <c r="AJ86" s="153"/>
      <c r="AK86"/>
      <c r="AL86"/>
      <c r="AM86"/>
      <c r="AN86"/>
    </row>
    <row r="87" spans="1:40" x14ac:dyDescent="0.35">
      <c r="A87" s="153" t="s">
        <v>1113</v>
      </c>
      <c r="B87" s="153" t="s">
        <v>179</v>
      </c>
      <c r="C87" s="153" t="s">
        <v>318</v>
      </c>
      <c r="D87" s="153" t="s">
        <v>35</v>
      </c>
      <c r="E87" s="161">
        <v>1</v>
      </c>
      <c r="F87" s="153">
        <v>0</v>
      </c>
      <c r="G87" s="153">
        <v>0</v>
      </c>
      <c r="H87" s="153">
        <v>0</v>
      </c>
      <c r="I87" s="153">
        <v>0</v>
      </c>
      <c r="J87" s="153">
        <v>0</v>
      </c>
      <c r="K87" s="153">
        <v>0</v>
      </c>
      <c r="L87" s="153">
        <v>0</v>
      </c>
      <c r="M87" s="153">
        <v>0</v>
      </c>
      <c r="N87" s="153">
        <v>0</v>
      </c>
      <c r="O87" s="153">
        <v>0</v>
      </c>
      <c r="P87" s="153">
        <v>0</v>
      </c>
      <c r="Q87" s="153">
        <v>0</v>
      </c>
      <c r="R87" s="153">
        <v>0</v>
      </c>
      <c r="S87" s="153">
        <v>0</v>
      </c>
      <c r="T87" s="153"/>
      <c r="U87" s="153"/>
      <c r="V87" s="153"/>
      <c r="W87" s="153"/>
      <c r="X87" s="153"/>
      <c r="Y87" s="153"/>
      <c r="Z87" s="153"/>
      <c r="AA87" s="153"/>
      <c r="AB87" s="153"/>
      <c r="AC87" s="153"/>
      <c r="AD87" s="153"/>
      <c r="AE87" s="153"/>
      <c r="AF87" s="153"/>
      <c r="AG87" s="153"/>
      <c r="AH87" s="153"/>
      <c r="AI87" s="153"/>
      <c r="AJ87" s="153"/>
      <c r="AK87"/>
      <c r="AL87"/>
      <c r="AM87"/>
      <c r="AN87"/>
    </row>
    <row r="88" spans="1:40" x14ac:dyDescent="0.35">
      <c r="A88" s="153" t="s">
        <v>1113</v>
      </c>
      <c r="B88" s="153" t="s">
        <v>180</v>
      </c>
      <c r="C88" s="153" t="s">
        <v>319</v>
      </c>
      <c r="D88" s="153" t="s">
        <v>35</v>
      </c>
      <c r="E88" s="161">
        <v>1</v>
      </c>
      <c r="F88" s="153">
        <v>0</v>
      </c>
      <c r="G88" s="153">
        <v>0</v>
      </c>
      <c r="H88" s="153">
        <v>0</v>
      </c>
      <c r="I88" s="153">
        <v>0</v>
      </c>
      <c r="J88" s="153">
        <v>0</v>
      </c>
      <c r="K88" s="153">
        <v>0</v>
      </c>
      <c r="L88" s="153">
        <v>0</v>
      </c>
      <c r="M88" s="153">
        <v>0</v>
      </c>
      <c r="N88" s="153">
        <v>0</v>
      </c>
      <c r="O88" s="153">
        <v>0</v>
      </c>
      <c r="P88" s="153">
        <v>0</v>
      </c>
      <c r="Q88" s="153">
        <v>0</v>
      </c>
      <c r="R88" s="153">
        <v>0</v>
      </c>
      <c r="S88" s="153">
        <v>0</v>
      </c>
      <c r="T88" s="153"/>
      <c r="U88" s="153"/>
      <c r="V88" s="153"/>
      <c r="W88" s="153"/>
      <c r="X88" s="153"/>
      <c r="Y88" s="153"/>
      <c r="Z88" s="153"/>
      <c r="AA88" s="153"/>
      <c r="AB88" s="153"/>
      <c r="AC88" s="153"/>
      <c r="AD88" s="153"/>
      <c r="AE88" s="153"/>
      <c r="AF88" s="153"/>
      <c r="AG88" s="153"/>
      <c r="AH88" s="153"/>
      <c r="AI88" s="153"/>
      <c r="AJ88" s="153"/>
      <c r="AK88"/>
      <c r="AL88"/>
      <c r="AM88"/>
      <c r="AN88"/>
    </row>
    <row r="89" spans="1:40" x14ac:dyDescent="0.35">
      <c r="A89" s="153" t="s">
        <v>1113</v>
      </c>
      <c r="B89" s="153" t="s">
        <v>1114</v>
      </c>
      <c r="C89" s="153" t="s">
        <v>320</v>
      </c>
      <c r="D89" s="153" t="s">
        <v>35</v>
      </c>
      <c r="E89" s="161">
        <v>1</v>
      </c>
      <c r="F89" s="153">
        <v>0</v>
      </c>
      <c r="G89" s="153">
        <v>0</v>
      </c>
      <c r="H89" s="153">
        <v>0</v>
      </c>
      <c r="I89" s="153">
        <v>0</v>
      </c>
      <c r="J89" s="153">
        <v>0</v>
      </c>
      <c r="K89" s="153">
        <v>0</v>
      </c>
      <c r="L89" s="153">
        <v>0</v>
      </c>
      <c r="M89" s="153">
        <v>0</v>
      </c>
      <c r="N89" s="153">
        <v>0</v>
      </c>
      <c r="O89" s="153">
        <v>0</v>
      </c>
      <c r="P89" s="153">
        <v>0</v>
      </c>
      <c r="Q89" s="153">
        <v>0</v>
      </c>
      <c r="R89" s="153">
        <v>0</v>
      </c>
      <c r="S89" s="153">
        <v>0</v>
      </c>
      <c r="T89" s="153"/>
      <c r="U89" s="153"/>
      <c r="V89" s="153"/>
      <c r="W89" s="153"/>
      <c r="X89" s="153"/>
      <c r="Y89" s="153"/>
      <c r="Z89" s="153"/>
      <c r="AA89" s="153"/>
      <c r="AB89" s="153"/>
      <c r="AC89" s="153"/>
      <c r="AD89" s="153"/>
      <c r="AE89" s="153"/>
      <c r="AF89" s="153"/>
      <c r="AG89" s="153"/>
      <c r="AH89" s="153"/>
      <c r="AI89" s="153"/>
      <c r="AJ89" s="153"/>
      <c r="AK89"/>
      <c r="AL89"/>
      <c r="AM89"/>
      <c r="AN89"/>
    </row>
    <row r="90" spans="1:40" x14ac:dyDescent="0.35">
      <c r="A90" s="153" t="s">
        <v>1113</v>
      </c>
      <c r="B90" s="153" t="s">
        <v>182</v>
      </c>
      <c r="C90" s="153" t="s">
        <v>321</v>
      </c>
      <c r="D90" s="153" t="s">
        <v>35</v>
      </c>
      <c r="E90" s="161">
        <v>1</v>
      </c>
      <c r="F90" s="153">
        <v>0</v>
      </c>
      <c r="G90" s="153">
        <v>0</v>
      </c>
      <c r="H90" s="153">
        <v>0</v>
      </c>
      <c r="I90" s="153">
        <v>0</v>
      </c>
      <c r="J90" s="153">
        <v>0</v>
      </c>
      <c r="K90" s="153">
        <v>0</v>
      </c>
      <c r="L90" s="153">
        <v>0</v>
      </c>
      <c r="M90" s="153">
        <v>0</v>
      </c>
      <c r="N90" s="153">
        <v>0</v>
      </c>
      <c r="O90" s="153">
        <v>0</v>
      </c>
      <c r="P90" s="153">
        <v>0</v>
      </c>
      <c r="Q90" s="153">
        <v>0</v>
      </c>
      <c r="R90" s="153">
        <v>0</v>
      </c>
      <c r="S90" s="153">
        <v>0</v>
      </c>
      <c r="T90" s="153"/>
      <c r="U90" s="153"/>
      <c r="V90" s="153"/>
      <c r="W90" s="153"/>
      <c r="X90" s="153"/>
      <c r="Y90" s="153"/>
      <c r="Z90" s="153"/>
      <c r="AA90" s="153"/>
      <c r="AB90" s="153"/>
      <c r="AC90" s="153"/>
      <c r="AD90" s="153"/>
      <c r="AE90" s="153"/>
      <c r="AF90" s="153"/>
      <c r="AG90" s="153"/>
      <c r="AH90" s="153"/>
      <c r="AI90" s="153"/>
      <c r="AJ90" s="153"/>
      <c r="AK90"/>
      <c r="AL90"/>
      <c r="AM90"/>
      <c r="AN90"/>
    </row>
    <row r="91" spans="1:40" x14ac:dyDescent="0.35">
      <c r="A91" s="153"/>
      <c r="B91" s="153"/>
      <c r="C91" s="153"/>
      <c r="D91" s="153"/>
      <c r="E91" s="161"/>
      <c r="F91" s="153">
        <v>0</v>
      </c>
      <c r="G91" s="153"/>
      <c r="H91" s="153"/>
      <c r="I91" s="153"/>
      <c r="J91" s="153"/>
      <c r="K91" s="153"/>
      <c r="L91" s="153"/>
      <c r="M91" s="153"/>
      <c r="N91" s="153"/>
      <c r="O91" s="153"/>
      <c r="P91" s="153"/>
      <c r="Q91" s="153"/>
      <c r="R91" s="153"/>
      <c r="S91" s="153"/>
      <c r="T91" s="153"/>
      <c r="U91" s="153"/>
      <c r="V91" s="153"/>
      <c r="W91" s="153"/>
      <c r="X91" s="153"/>
      <c r="Y91" s="153"/>
      <c r="Z91" s="153"/>
      <c r="AA91" s="153"/>
      <c r="AB91" s="153"/>
      <c r="AC91" s="153"/>
      <c r="AD91" s="153"/>
      <c r="AE91" s="153"/>
      <c r="AF91" s="153"/>
      <c r="AG91" s="153"/>
      <c r="AH91" s="153"/>
      <c r="AI91" s="153"/>
      <c r="AJ91" s="153"/>
      <c r="AK91"/>
      <c r="AL91"/>
      <c r="AM91"/>
      <c r="AN91"/>
    </row>
    <row r="92" spans="1:40" x14ac:dyDescent="0.35">
      <c r="A92" s="153" t="s">
        <v>1113</v>
      </c>
      <c r="B92" s="153" t="s">
        <v>179</v>
      </c>
      <c r="C92" s="153" t="s">
        <v>322</v>
      </c>
      <c r="D92" s="153" t="s">
        <v>35</v>
      </c>
      <c r="E92" s="161">
        <v>1</v>
      </c>
      <c r="F92" s="153">
        <v>0</v>
      </c>
      <c r="G92" s="153">
        <v>0</v>
      </c>
      <c r="H92" s="153">
        <v>0</v>
      </c>
      <c r="I92" s="153">
        <v>0</v>
      </c>
      <c r="J92" s="153">
        <v>0</v>
      </c>
      <c r="K92" s="153">
        <v>0</v>
      </c>
      <c r="L92" s="153">
        <v>0</v>
      </c>
      <c r="M92" s="153">
        <v>0</v>
      </c>
      <c r="N92" s="153">
        <v>0</v>
      </c>
      <c r="O92" s="153">
        <v>0</v>
      </c>
      <c r="P92" s="153">
        <v>0</v>
      </c>
      <c r="Q92" s="153">
        <v>0</v>
      </c>
      <c r="R92" s="153">
        <v>0</v>
      </c>
      <c r="S92" s="153">
        <v>2449</v>
      </c>
      <c r="T92" s="153"/>
      <c r="U92" s="153"/>
      <c r="V92" s="153"/>
      <c r="W92" s="153"/>
      <c r="X92" s="153"/>
      <c r="Y92" s="153"/>
      <c r="Z92" s="153"/>
      <c r="AA92" s="153"/>
      <c r="AB92" s="153"/>
      <c r="AC92" s="153"/>
      <c r="AD92" s="153"/>
      <c r="AE92" s="153"/>
      <c r="AF92" s="153"/>
      <c r="AG92" s="153"/>
      <c r="AH92" s="153"/>
      <c r="AI92" s="153"/>
      <c r="AJ92" s="153"/>
      <c r="AK92"/>
      <c r="AL92"/>
      <c r="AM92"/>
      <c r="AN92"/>
    </row>
    <row r="93" spans="1:40" ht="14.25" customHeight="1" x14ac:dyDescent="0.35">
      <c r="A93" s="153" t="s">
        <v>1113</v>
      </c>
      <c r="B93" s="153" t="s">
        <v>180</v>
      </c>
      <c r="C93" s="153" t="s">
        <v>323</v>
      </c>
      <c r="D93" s="153" t="s">
        <v>35</v>
      </c>
      <c r="E93" s="161">
        <v>1</v>
      </c>
      <c r="F93" s="153">
        <v>0</v>
      </c>
      <c r="G93" s="153">
        <v>0</v>
      </c>
      <c r="H93" s="153">
        <v>0</v>
      </c>
      <c r="I93" s="153">
        <v>0</v>
      </c>
      <c r="J93" s="153">
        <v>0</v>
      </c>
      <c r="K93" s="153">
        <v>0</v>
      </c>
      <c r="L93" s="153">
        <v>0</v>
      </c>
      <c r="M93" s="153">
        <v>0</v>
      </c>
      <c r="N93" s="153">
        <v>0</v>
      </c>
      <c r="O93" s="153">
        <v>374</v>
      </c>
      <c r="P93" s="153">
        <v>0</v>
      </c>
      <c r="Q93" s="153">
        <v>0</v>
      </c>
      <c r="R93" s="153">
        <v>437</v>
      </c>
      <c r="S93" s="153">
        <v>0</v>
      </c>
      <c r="T93" s="153"/>
      <c r="U93" s="153"/>
      <c r="V93" s="153"/>
      <c r="W93" s="153"/>
      <c r="X93" s="153"/>
      <c r="Y93" s="153"/>
      <c r="Z93" s="153"/>
      <c r="AA93" s="153"/>
      <c r="AB93" s="153"/>
      <c r="AC93" s="153"/>
      <c r="AD93" s="153"/>
      <c r="AE93" s="153"/>
      <c r="AF93" s="153"/>
      <c r="AG93" s="153"/>
      <c r="AH93" s="153"/>
      <c r="AI93" s="153"/>
      <c r="AJ93" s="153"/>
      <c r="AK93"/>
      <c r="AL93"/>
      <c r="AM93"/>
      <c r="AN93"/>
    </row>
    <row r="94" spans="1:40" x14ac:dyDescent="0.35">
      <c r="A94" s="153" t="s">
        <v>1113</v>
      </c>
      <c r="B94" s="153" t="s">
        <v>1114</v>
      </c>
      <c r="C94" s="153" t="s">
        <v>324</v>
      </c>
      <c r="D94" s="153" t="s">
        <v>35</v>
      </c>
      <c r="E94" s="161">
        <v>1</v>
      </c>
      <c r="F94" s="153">
        <v>0</v>
      </c>
      <c r="G94" s="153">
        <v>0</v>
      </c>
      <c r="H94" s="153">
        <v>0</v>
      </c>
      <c r="I94" s="153">
        <v>0</v>
      </c>
      <c r="J94" s="153">
        <v>0</v>
      </c>
      <c r="K94" s="153">
        <v>0</v>
      </c>
      <c r="L94" s="153">
        <v>0</v>
      </c>
      <c r="M94" s="153">
        <v>0</v>
      </c>
      <c r="N94" s="153">
        <v>0</v>
      </c>
      <c r="O94" s="153">
        <v>0</v>
      </c>
      <c r="P94" s="153">
        <v>0</v>
      </c>
      <c r="Q94" s="153">
        <v>0</v>
      </c>
      <c r="R94" s="153">
        <v>0</v>
      </c>
      <c r="S94" s="153">
        <v>0</v>
      </c>
      <c r="T94" s="153"/>
      <c r="U94" s="153"/>
      <c r="V94" s="153"/>
      <c r="W94" s="153"/>
      <c r="X94" s="153"/>
      <c r="Y94" s="153"/>
      <c r="Z94" s="153"/>
      <c r="AA94" s="153"/>
      <c r="AB94" s="153"/>
      <c r="AC94" s="153"/>
      <c r="AD94" s="153"/>
      <c r="AE94" s="153"/>
      <c r="AF94" s="153"/>
      <c r="AG94" s="153"/>
      <c r="AH94" s="153"/>
      <c r="AI94" s="153"/>
      <c r="AJ94" s="153"/>
      <c r="AK94"/>
      <c r="AL94"/>
      <c r="AM94"/>
      <c r="AN94"/>
    </row>
    <row r="95" spans="1:40" x14ac:dyDescent="0.35">
      <c r="A95" s="153" t="s">
        <v>1113</v>
      </c>
      <c r="B95" s="153" t="s">
        <v>182</v>
      </c>
      <c r="C95" s="153" t="s">
        <v>325</v>
      </c>
      <c r="D95" s="153" t="s">
        <v>35</v>
      </c>
      <c r="E95" s="161">
        <v>1</v>
      </c>
      <c r="F95" s="153">
        <v>0</v>
      </c>
      <c r="G95" s="153">
        <v>0</v>
      </c>
      <c r="H95" s="153">
        <v>0</v>
      </c>
      <c r="I95" s="153">
        <v>0</v>
      </c>
      <c r="J95" s="153">
        <v>0</v>
      </c>
      <c r="K95" s="153">
        <v>0</v>
      </c>
      <c r="L95" s="153">
        <v>0</v>
      </c>
      <c r="M95" s="153">
        <v>0</v>
      </c>
      <c r="N95" s="153">
        <v>0</v>
      </c>
      <c r="O95" s="153">
        <v>0</v>
      </c>
      <c r="P95" s="153">
        <v>0</v>
      </c>
      <c r="Q95" s="153">
        <v>0</v>
      </c>
      <c r="R95" s="153">
        <v>0</v>
      </c>
      <c r="S95" s="153">
        <v>0</v>
      </c>
      <c r="T95" s="153"/>
      <c r="U95" s="153"/>
      <c r="V95" s="153"/>
      <c r="W95" s="153"/>
      <c r="X95" s="153"/>
      <c r="Y95" s="153"/>
      <c r="Z95" s="153"/>
      <c r="AA95" s="153"/>
      <c r="AB95" s="153"/>
      <c r="AC95" s="153"/>
      <c r="AD95" s="153"/>
      <c r="AE95" s="153"/>
      <c r="AF95" s="153"/>
      <c r="AG95" s="153"/>
      <c r="AH95" s="153"/>
      <c r="AI95" s="153"/>
      <c r="AJ95" s="153"/>
      <c r="AK95"/>
      <c r="AL95"/>
      <c r="AM95"/>
      <c r="AN95"/>
    </row>
    <row r="96" spans="1:40" x14ac:dyDescent="0.35">
      <c r="A96" s="153"/>
      <c r="B96" s="153"/>
      <c r="C96" s="153"/>
      <c r="D96" s="153"/>
      <c r="E96" s="161"/>
      <c r="F96" s="153">
        <v>0</v>
      </c>
      <c r="G96" s="153"/>
      <c r="H96" s="153"/>
      <c r="I96" s="153"/>
      <c r="J96" s="153"/>
      <c r="K96" s="153"/>
      <c r="L96" s="153"/>
      <c r="M96" s="153"/>
      <c r="N96" s="153"/>
      <c r="O96" s="153"/>
      <c r="P96" s="153"/>
      <c r="Q96" s="153"/>
      <c r="R96" s="153"/>
      <c r="S96" s="153"/>
      <c r="T96" s="153"/>
      <c r="U96" s="153"/>
      <c r="V96" s="153"/>
      <c r="W96" s="153"/>
      <c r="X96" s="153"/>
      <c r="Y96" s="153"/>
      <c r="Z96" s="153"/>
      <c r="AA96" s="153"/>
      <c r="AB96" s="153"/>
      <c r="AC96" s="153"/>
      <c r="AD96" s="153"/>
      <c r="AE96" s="153"/>
      <c r="AF96" s="153"/>
      <c r="AG96" s="153"/>
      <c r="AH96" s="153"/>
      <c r="AI96" s="153"/>
      <c r="AJ96" s="153"/>
      <c r="AK96"/>
      <c r="AL96"/>
      <c r="AM96"/>
      <c r="AN96"/>
    </row>
    <row r="97" spans="1:40" x14ac:dyDescent="0.35">
      <c r="A97" s="153" t="s">
        <v>1345</v>
      </c>
      <c r="B97" s="153" t="s">
        <v>179</v>
      </c>
      <c r="C97" s="153" t="s">
        <v>1360</v>
      </c>
      <c r="D97" s="153" t="s">
        <v>35</v>
      </c>
      <c r="E97" s="161">
        <v>1</v>
      </c>
      <c r="F97" s="153">
        <v>0</v>
      </c>
      <c r="G97" s="153">
        <v>0</v>
      </c>
      <c r="H97" s="153">
        <v>0</v>
      </c>
      <c r="I97" s="153">
        <v>0</v>
      </c>
      <c r="J97" s="153">
        <v>0</v>
      </c>
      <c r="K97" s="153">
        <v>0</v>
      </c>
      <c r="L97" s="153">
        <v>0</v>
      </c>
      <c r="M97" s="153">
        <v>0</v>
      </c>
      <c r="N97" s="153">
        <v>0</v>
      </c>
      <c r="O97" s="153">
        <v>0</v>
      </c>
      <c r="P97" s="153">
        <v>0</v>
      </c>
      <c r="Q97" s="153">
        <v>0</v>
      </c>
      <c r="R97" s="153">
        <v>0</v>
      </c>
      <c r="S97" s="153">
        <v>0</v>
      </c>
      <c r="T97" s="153"/>
      <c r="U97" s="153"/>
      <c r="V97" s="153"/>
      <c r="W97" s="153"/>
      <c r="X97" s="153"/>
      <c r="Y97" s="153"/>
      <c r="Z97" s="153"/>
      <c r="AA97" s="153"/>
      <c r="AB97" s="153"/>
      <c r="AC97" s="153"/>
      <c r="AD97" s="153"/>
      <c r="AE97" s="153"/>
      <c r="AF97" s="153"/>
      <c r="AG97" s="153"/>
      <c r="AH97" s="153"/>
      <c r="AI97" s="153"/>
      <c r="AJ97" s="153"/>
      <c r="AK97"/>
      <c r="AL97"/>
      <c r="AM97"/>
      <c r="AN97"/>
    </row>
    <row r="98" spans="1:40" x14ac:dyDescent="0.35">
      <c r="A98" s="153" t="s">
        <v>1345</v>
      </c>
      <c r="B98" s="153" t="s">
        <v>180</v>
      </c>
      <c r="C98" s="153" t="s">
        <v>1361</v>
      </c>
      <c r="D98" s="153" t="s">
        <v>35</v>
      </c>
      <c r="E98" s="161">
        <v>1</v>
      </c>
      <c r="F98" s="153">
        <v>0</v>
      </c>
      <c r="G98" s="153">
        <v>0</v>
      </c>
      <c r="H98" s="153">
        <v>0</v>
      </c>
      <c r="I98" s="153">
        <v>0</v>
      </c>
      <c r="J98" s="153">
        <v>0</v>
      </c>
      <c r="K98" s="153">
        <v>0</v>
      </c>
      <c r="L98" s="153">
        <v>0</v>
      </c>
      <c r="M98" s="153">
        <v>0</v>
      </c>
      <c r="N98" s="153">
        <v>0</v>
      </c>
      <c r="O98" s="153">
        <v>0</v>
      </c>
      <c r="P98" s="153">
        <v>0</v>
      </c>
      <c r="Q98" s="153">
        <v>0</v>
      </c>
      <c r="R98" s="153">
        <v>0</v>
      </c>
      <c r="S98" s="153">
        <v>0</v>
      </c>
      <c r="T98" s="153"/>
      <c r="U98" s="153"/>
      <c r="V98" s="153"/>
      <c r="W98" s="153"/>
      <c r="X98" s="153"/>
      <c r="Y98" s="153"/>
      <c r="Z98" s="153"/>
      <c r="AA98" s="153"/>
      <c r="AB98" s="153"/>
      <c r="AC98" s="153"/>
      <c r="AD98" s="153"/>
      <c r="AE98" s="153"/>
      <c r="AF98" s="153"/>
      <c r="AG98" s="153"/>
      <c r="AH98" s="153"/>
      <c r="AI98" s="153"/>
      <c r="AJ98" s="153"/>
      <c r="AK98"/>
      <c r="AL98"/>
      <c r="AM98"/>
      <c r="AN98"/>
    </row>
    <row r="99" spans="1:40" x14ac:dyDescent="0.35">
      <c r="A99" s="153" t="s">
        <v>1345</v>
      </c>
      <c r="B99" s="153" t="s">
        <v>181</v>
      </c>
      <c r="C99" s="153" t="s">
        <v>1362</v>
      </c>
      <c r="D99" s="153" t="s">
        <v>35</v>
      </c>
      <c r="E99" s="161">
        <v>1</v>
      </c>
      <c r="F99" s="153">
        <v>0</v>
      </c>
      <c r="G99" s="153">
        <v>0</v>
      </c>
      <c r="H99" s="153">
        <v>0</v>
      </c>
      <c r="I99" s="153">
        <v>0</v>
      </c>
      <c r="J99" s="153">
        <v>0</v>
      </c>
      <c r="K99" s="153">
        <v>0</v>
      </c>
      <c r="L99" s="153">
        <v>0</v>
      </c>
      <c r="M99" s="153">
        <v>0</v>
      </c>
      <c r="N99" s="153">
        <v>0</v>
      </c>
      <c r="O99" s="153">
        <v>0</v>
      </c>
      <c r="P99" s="153">
        <v>0</v>
      </c>
      <c r="Q99" s="153">
        <v>0</v>
      </c>
      <c r="R99" s="153">
        <v>0</v>
      </c>
      <c r="S99" s="153">
        <v>0</v>
      </c>
      <c r="T99" s="153"/>
      <c r="U99" s="153"/>
      <c r="V99" s="153"/>
      <c r="W99" s="153"/>
      <c r="X99" s="153"/>
      <c r="Y99" s="153"/>
      <c r="Z99" s="153"/>
      <c r="AA99" s="153"/>
      <c r="AB99" s="153"/>
      <c r="AC99" s="153"/>
      <c r="AD99" s="153"/>
      <c r="AE99" s="153"/>
      <c r="AF99" s="153"/>
      <c r="AG99" s="153"/>
      <c r="AH99" s="153"/>
      <c r="AI99" s="153"/>
      <c r="AJ99" s="153"/>
      <c r="AK99"/>
      <c r="AL99"/>
      <c r="AM99"/>
      <c r="AN99"/>
    </row>
    <row r="100" spans="1:40" x14ac:dyDescent="0.35">
      <c r="A100" s="153" t="s">
        <v>1345</v>
      </c>
      <c r="B100" s="153" t="s">
        <v>182</v>
      </c>
      <c r="C100" s="153" t="s">
        <v>1363</v>
      </c>
      <c r="D100" s="153" t="s">
        <v>35</v>
      </c>
      <c r="E100" s="161">
        <v>1</v>
      </c>
      <c r="F100" s="153">
        <v>0</v>
      </c>
      <c r="G100" s="153">
        <v>0</v>
      </c>
      <c r="H100" s="153">
        <v>0</v>
      </c>
      <c r="I100" s="153">
        <v>0</v>
      </c>
      <c r="J100" s="153">
        <v>0</v>
      </c>
      <c r="K100" s="153">
        <v>0</v>
      </c>
      <c r="L100" s="153">
        <v>0</v>
      </c>
      <c r="M100" s="153">
        <v>0</v>
      </c>
      <c r="N100" s="153">
        <v>0</v>
      </c>
      <c r="O100" s="153">
        <v>0</v>
      </c>
      <c r="P100" s="153">
        <v>0</v>
      </c>
      <c r="Q100" s="153">
        <v>0</v>
      </c>
      <c r="R100" s="153">
        <v>0</v>
      </c>
      <c r="S100" s="153">
        <v>0</v>
      </c>
      <c r="T100" s="153"/>
      <c r="U100" s="153"/>
      <c r="V100" s="153"/>
      <c r="W100" s="153"/>
      <c r="X100" s="153"/>
      <c r="Y100" s="153"/>
      <c r="Z100" s="153"/>
      <c r="AA100" s="153"/>
      <c r="AB100" s="153"/>
      <c r="AC100" s="153"/>
      <c r="AD100" s="153"/>
      <c r="AE100" s="153"/>
      <c r="AF100" s="153"/>
      <c r="AG100" s="153"/>
      <c r="AH100" s="153"/>
      <c r="AI100" s="153"/>
      <c r="AJ100" s="153"/>
      <c r="AK100"/>
      <c r="AL100"/>
      <c r="AM100"/>
      <c r="AN100"/>
    </row>
    <row r="101" spans="1:40" x14ac:dyDescent="0.35">
      <c r="A101" s="153"/>
      <c r="B101" s="153"/>
      <c r="C101" s="153"/>
      <c r="D101" s="153"/>
      <c r="E101" s="161"/>
      <c r="F101" s="153">
        <v>0</v>
      </c>
      <c r="G101" s="153"/>
      <c r="H101" s="153"/>
      <c r="I101" s="153"/>
      <c r="J101" s="153"/>
      <c r="K101" s="153"/>
      <c r="L101" s="153"/>
      <c r="M101" s="153"/>
      <c r="N101" s="153"/>
      <c r="O101" s="153"/>
      <c r="P101" s="153"/>
      <c r="Q101" s="153"/>
      <c r="R101" s="153"/>
      <c r="S101" s="153"/>
      <c r="T101" s="153"/>
      <c r="U101" s="153"/>
      <c r="V101" s="153"/>
      <c r="W101" s="153"/>
      <c r="X101" s="153"/>
      <c r="Y101" s="153"/>
      <c r="Z101" s="153"/>
      <c r="AA101" s="153"/>
      <c r="AB101" s="153"/>
      <c r="AC101" s="153"/>
      <c r="AD101" s="153"/>
      <c r="AE101" s="153"/>
      <c r="AF101" s="153"/>
      <c r="AG101" s="153"/>
      <c r="AH101" s="153"/>
      <c r="AI101" s="153"/>
      <c r="AJ101" s="153"/>
      <c r="AK101"/>
      <c r="AL101"/>
      <c r="AM101"/>
      <c r="AN101"/>
    </row>
    <row r="102" spans="1:40" x14ac:dyDescent="0.35">
      <c r="A102" s="153" t="s">
        <v>1344</v>
      </c>
      <c r="B102" s="153" t="s">
        <v>179</v>
      </c>
      <c r="C102" s="153" t="s">
        <v>1356</v>
      </c>
      <c r="D102" s="153" t="s">
        <v>35</v>
      </c>
      <c r="E102" s="161">
        <v>1</v>
      </c>
      <c r="F102" s="153">
        <v>0</v>
      </c>
      <c r="G102" s="153">
        <v>0</v>
      </c>
      <c r="H102" s="153">
        <v>0</v>
      </c>
      <c r="I102" s="153">
        <v>0</v>
      </c>
      <c r="J102" s="153">
        <v>0</v>
      </c>
      <c r="K102" s="153">
        <v>0</v>
      </c>
      <c r="L102" s="153">
        <v>0</v>
      </c>
      <c r="M102" s="153">
        <v>0</v>
      </c>
      <c r="N102" s="153">
        <v>0</v>
      </c>
      <c r="O102" s="153">
        <v>0</v>
      </c>
      <c r="P102" s="153">
        <v>0</v>
      </c>
      <c r="Q102" s="153">
        <v>0</v>
      </c>
      <c r="R102" s="153">
        <v>0</v>
      </c>
      <c r="S102" s="153">
        <v>0</v>
      </c>
      <c r="T102" s="153"/>
      <c r="U102" s="153"/>
      <c r="V102" s="153"/>
      <c r="W102" s="153"/>
      <c r="X102" s="153"/>
      <c r="Y102" s="153"/>
      <c r="Z102" s="153"/>
      <c r="AA102" s="153"/>
      <c r="AB102" s="153"/>
      <c r="AC102" s="153"/>
      <c r="AD102" s="153"/>
      <c r="AE102" s="153"/>
      <c r="AF102" s="153"/>
      <c r="AG102" s="153"/>
      <c r="AH102" s="153"/>
      <c r="AI102" s="153"/>
      <c r="AJ102" s="153"/>
      <c r="AK102"/>
      <c r="AL102"/>
      <c r="AM102"/>
      <c r="AN102"/>
    </row>
    <row r="103" spans="1:40" x14ac:dyDescent="0.35">
      <c r="A103" s="153" t="s">
        <v>1344</v>
      </c>
      <c r="B103" s="153" t="s">
        <v>180</v>
      </c>
      <c r="C103" s="153" t="s">
        <v>1357</v>
      </c>
      <c r="D103" s="153" t="s">
        <v>35</v>
      </c>
      <c r="E103" s="161">
        <v>1</v>
      </c>
      <c r="F103" s="153">
        <v>0</v>
      </c>
      <c r="G103" s="153">
        <v>0</v>
      </c>
      <c r="H103" s="153">
        <v>0</v>
      </c>
      <c r="I103" s="153">
        <v>0</v>
      </c>
      <c r="J103" s="153">
        <v>0</v>
      </c>
      <c r="K103" s="153">
        <v>0</v>
      </c>
      <c r="L103" s="153">
        <v>0</v>
      </c>
      <c r="M103" s="153">
        <v>0</v>
      </c>
      <c r="N103" s="153">
        <v>0</v>
      </c>
      <c r="O103" s="153">
        <v>0</v>
      </c>
      <c r="P103" s="153">
        <v>0</v>
      </c>
      <c r="Q103" s="153">
        <v>0</v>
      </c>
      <c r="R103" s="153">
        <v>0</v>
      </c>
      <c r="S103" s="153">
        <v>0</v>
      </c>
      <c r="T103" s="153"/>
      <c r="U103" s="153"/>
      <c r="V103" s="153"/>
      <c r="W103" s="153"/>
      <c r="X103" s="153"/>
      <c r="Y103" s="153"/>
      <c r="Z103" s="153"/>
      <c r="AA103" s="153"/>
      <c r="AB103" s="153"/>
      <c r="AC103" s="153"/>
      <c r="AD103" s="153"/>
      <c r="AE103" s="153"/>
      <c r="AF103" s="153"/>
      <c r="AG103" s="153"/>
      <c r="AH103" s="153"/>
      <c r="AI103" s="153"/>
      <c r="AJ103" s="153"/>
      <c r="AK103"/>
      <c r="AL103"/>
      <c r="AM103"/>
      <c r="AN103"/>
    </row>
    <row r="104" spans="1:40" x14ac:dyDescent="0.35">
      <c r="A104" s="153" t="s">
        <v>1344</v>
      </c>
      <c r="B104" s="153" t="s">
        <v>181</v>
      </c>
      <c r="C104" s="153" t="s">
        <v>1358</v>
      </c>
      <c r="D104" s="153" t="s">
        <v>35</v>
      </c>
      <c r="E104" s="161">
        <v>1</v>
      </c>
      <c r="F104" s="153">
        <v>0</v>
      </c>
      <c r="G104" s="153">
        <v>0</v>
      </c>
      <c r="H104" s="153">
        <v>0</v>
      </c>
      <c r="I104" s="153">
        <v>0</v>
      </c>
      <c r="J104" s="153">
        <v>0</v>
      </c>
      <c r="K104" s="153">
        <v>0</v>
      </c>
      <c r="L104" s="153">
        <v>0</v>
      </c>
      <c r="M104" s="153">
        <v>0</v>
      </c>
      <c r="N104" s="153">
        <v>0</v>
      </c>
      <c r="O104" s="153">
        <v>0</v>
      </c>
      <c r="P104" s="153">
        <v>0</v>
      </c>
      <c r="Q104" s="153">
        <v>0</v>
      </c>
      <c r="R104" s="153">
        <v>0</v>
      </c>
      <c r="S104" s="153">
        <v>0</v>
      </c>
      <c r="T104" s="153"/>
      <c r="U104" s="153"/>
      <c r="V104" s="153"/>
      <c r="W104" s="153"/>
      <c r="X104" s="153"/>
      <c r="Y104" s="153"/>
      <c r="Z104" s="153"/>
      <c r="AA104" s="153"/>
      <c r="AB104" s="153"/>
      <c r="AC104" s="153"/>
      <c r="AD104" s="153"/>
      <c r="AE104" s="153"/>
      <c r="AF104" s="153"/>
      <c r="AG104" s="153"/>
      <c r="AH104" s="153"/>
      <c r="AI104" s="153"/>
      <c r="AJ104" s="153"/>
      <c r="AK104"/>
      <c r="AL104"/>
      <c r="AM104"/>
      <c r="AN104"/>
    </row>
    <row r="105" spans="1:40" x14ac:dyDescent="0.35">
      <c r="A105" s="153" t="s">
        <v>1344</v>
      </c>
      <c r="B105" s="153" t="s">
        <v>182</v>
      </c>
      <c r="C105" s="153" t="s">
        <v>1359</v>
      </c>
      <c r="D105" s="153" t="s">
        <v>35</v>
      </c>
      <c r="E105" s="161">
        <v>1</v>
      </c>
      <c r="F105" s="153">
        <v>0</v>
      </c>
      <c r="G105" s="153">
        <v>0</v>
      </c>
      <c r="H105" s="153">
        <v>0</v>
      </c>
      <c r="I105" s="153">
        <v>0</v>
      </c>
      <c r="J105" s="153">
        <v>0</v>
      </c>
      <c r="K105" s="153">
        <v>0</v>
      </c>
      <c r="L105" s="153">
        <v>0</v>
      </c>
      <c r="M105" s="153">
        <v>0</v>
      </c>
      <c r="N105" s="153">
        <v>0</v>
      </c>
      <c r="O105" s="153">
        <v>0</v>
      </c>
      <c r="P105" s="153">
        <v>0</v>
      </c>
      <c r="Q105" s="153">
        <v>0</v>
      </c>
      <c r="R105" s="153">
        <v>0</v>
      </c>
      <c r="S105" s="153">
        <v>0</v>
      </c>
      <c r="T105" s="153"/>
      <c r="U105" s="153"/>
      <c r="V105" s="153"/>
      <c r="W105" s="153"/>
      <c r="X105" s="153"/>
      <c r="Y105" s="153"/>
      <c r="Z105" s="153"/>
      <c r="AA105" s="153"/>
      <c r="AB105" s="153"/>
      <c r="AC105" s="153"/>
      <c r="AD105" s="153"/>
      <c r="AE105" s="153"/>
      <c r="AF105" s="153"/>
      <c r="AG105" s="153"/>
      <c r="AH105" s="153"/>
      <c r="AI105" s="153"/>
      <c r="AJ105" s="153"/>
      <c r="AK105"/>
      <c r="AL105"/>
      <c r="AM105"/>
      <c r="AN105"/>
    </row>
    <row r="106" spans="1:40" x14ac:dyDescent="0.35">
      <c r="A106" s="153"/>
      <c r="B106" s="153"/>
      <c r="C106" s="153"/>
      <c r="D106" s="153"/>
      <c r="E106" s="161"/>
      <c r="F106" s="153">
        <v>0</v>
      </c>
      <c r="G106" s="153"/>
      <c r="H106" s="153"/>
      <c r="I106" s="153"/>
      <c r="J106" s="153"/>
      <c r="K106" s="153"/>
      <c r="L106" s="153"/>
      <c r="M106" s="153"/>
      <c r="N106" s="153"/>
      <c r="O106" s="153"/>
      <c r="P106" s="153"/>
      <c r="Q106" s="153"/>
      <c r="R106" s="153"/>
      <c r="S106" s="153"/>
      <c r="T106" s="153"/>
      <c r="U106" s="153"/>
      <c r="V106" s="153"/>
      <c r="W106" s="153"/>
      <c r="X106" s="153"/>
      <c r="Y106" s="153"/>
      <c r="Z106" s="153"/>
      <c r="AA106" s="153"/>
      <c r="AB106" s="153"/>
      <c r="AC106" s="153"/>
      <c r="AD106" s="153"/>
      <c r="AE106" s="153"/>
      <c r="AF106" s="153"/>
      <c r="AG106" s="153"/>
      <c r="AH106" s="153"/>
      <c r="AI106" s="153"/>
      <c r="AJ106" s="153"/>
      <c r="AK106"/>
      <c r="AL106"/>
      <c r="AM106"/>
      <c r="AN106"/>
    </row>
    <row r="107" spans="1:40" x14ac:dyDescent="0.35">
      <c r="A107" s="153" t="s">
        <v>1343</v>
      </c>
      <c r="B107" s="153" t="s">
        <v>179</v>
      </c>
      <c r="C107" s="153" t="s">
        <v>1352</v>
      </c>
      <c r="D107" s="153" t="s">
        <v>35</v>
      </c>
      <c r="E107" s="161">
        <v>1</v>
      </c>
      <c r="F107" s="153">
        <v>0</v>
      </c>
      <c r="G107" s="153">
        <v>0</v>
      </c>
      <c r="H107" s="153">
        <v>0</v>
      </c>
      <c r="I107" s="153">
        <v>0</v>
      </c>
      <c r="J107" s="153">
        <v>0</v>
      </c>
      <c r="K107" s="153">
        <v>0</v>
      </c>
      <c r="L107" s="153">
        <v>0</v>
      </c>
      <c r="M107" s="153">
        <v>0</v>
      </c>
      <c r="N107" s="153">
        <v>0</v>
      </c>
      <c r="O107" s="153">
        <v>0</v>
      </c>
      <c r="P107" s="153">
        <v>0</v>
      </c>
      <c r="Q107" s="153">
        <v>0</v>
      </c>
      <c r="R107" s="153">
        <v>0</v>
      </c>
      <c r="S107" s="153">
        <v>0</v>
      </c>
      <c r="T107" s="153"/>
      <c r="U107" s="153"/>
      <c r="V107" s="153"/>
      <c r="W107" s="153"/>
      <c r="X107" s="153"/>
      <c r="Y107" s="153"/>
      <c r="Z107" s="153"/>
      <c r="AA107" s="153"/>
      <c r="AB107" s="153"/>
      <c r="AC107" s="153"/>
      <c r="AD107" s="153"/>
      <c r="AE107" s="153"/>
      <c r="AF107" s="153"/>
      <c r="AG107" s="153"/>
      <c r="AH107" s="153"/>
      <c r="AI107" s="153"/>
      <c r="AJ107" s="153"/>
      <c r="AK107"/>
      <c r="AL107"/>
      <c r="AM107"/>
      <c r="AN107"/>
    </row>
    <row r="108" spans="1:40" x14ac:dyDescent="0.35">
      <c r="A108" s="153" t="s">
        <v>1343</v>
      </c>
      <c r="B108" s="153" t="s">
        <v>180</v>
      </c>
      <c r="C108" s="153" t="s">
        <v>1353</v>
      </c>
      <c r="D108" s="153" t="s">
        <v>35</v>
      </c>
      <c r="E108" s="161">
        <v>1</v>
      </c>
      <c r="F108" s="153">
        <v>0</v>
      </c>
      <c r="G108" s="153">
        <v>0</v>
      </c>
      <c r="H108" s="153">
        <v>0</v>
      </c>
      <c r="I108" s="153">
        <v>0</v>
      </c>
      <c r="J108" s="153">
        <v>0</v>
      </c>
      <c r="K108" s="153">
        <v>0</v>
      </c>
      <c r="L108" s="153">
        <v>0</v>
      </c>
      <c r="M108" s="153">
        <v>0</v>
      </c>
      <c r="N108" s="153">
        <v>0</v>
      </c>
      <c r="O108" s="153">
        <v>0</v>
      </c>
      <c r="P108" s="153">
        <v>0</v>
      </c>
      <c r="Q108" s="153">
        <v>0</v>
      </c>
      <c r="R108" s="153">
        <v>0</v>
      </c>
      <c r="S108" s="153">
        <v>0</v>
      </c>
      <c r="T108" s="153"/>
      <c r="U108" s="153"/>
      <c r="V108" s="153"/>
      <c r="W108" s="153"/>
      <c r="X108" s="153"/>
      <c r="Y108" s="153"/>
      <c r="Z108" s="153"/>
      <c r="AA108" s="153"/>
      <c r="AB108" s="153"/>
      <c r="AC108" s="153"/>
      <c r="AD108" s="153"/>
      <c r="AE108" s="153"/>
      <c r="AF108" s="153"/>
      <c r="AG108" s="153"/>
      <c r="AH108" s="153"/>
      <c r="AI108" s="153"/>
      <c r="AJ108" s="153"/>
      <c r="AK108"/>
      <c r="AL108"/>
      <c r="AM108"/>
      <c r="AN108"/>
    </row>
    <row r="109" spans="1:40" x14ac:dyDescent="0.35">
      <c r="A109" s="153" t="s">
        <v>1343</v>
      </c>
      <c r="B109" s="153" t="s">
        <v>181</v>
      </c>
      <c r="C109" s="153" t="s">
        <v>1354</v>
      </c>
      <c r="D109" s="153" t="s">
        <v>35</v>
      </c>
      <c r="E109" s="161">
        <v>1</v>
      </c>
      <c r="F109" s="153">
        <v>0</v>
      </c>
      <c r="G109" s="153">
        <v>0</v>
      </c>
      <c r="H109" s="153">
        <v>0</v>
      </c>
      <c r="I109" s="153">
        <v>0</v>
      </c>
      <c r="J109" s="153">
        <v>0</v>
      </c>
      <c r="K109" s="153">
        <v>0</v>
      </c>
      <c r="L109" s="153">
        <v>0</v>
      </c>
      <c r="M109" s="153">
        <v>0</v>
      </c>
      <c r="N109" s="153">
        <v>0</v>
      </c>
      <c r="O109" s="153">
        <v>0</v>
      </c>
      <c r="P109" s="153">
        <v>0</v>
      </c>
      <c r="Q109" s="153">
        <v>0</v>
      </c>
      <c r="R109" s="153">
        <v>0</v>
      </c>
      <c r="S109" s="153">
        <v>0</v>
      </c>
      <c r="T109" s="153"/>
      <c r="U109" s="153"/>
      <c r="V109" s="153"/>
      <c r="W109" s="153"/>
      <c r="X109" s="153"/>
      <c r="Y109" s="153"/>
      <c r="Z109" s="153"/>
      <c r="AA109" s="153"/>
      <c r="AB109" s="153"/>
      <c r="AC109" s="153"/>
      <c r="AD109" s="153"/>
      <c r="AE109" s="153"/>
      <c r="AF109" s="153"/>
      <c r="AG109" s="153"/>
      <c r="AH109" s="153"/>
      <c r="AI109" s="153"/>
      <c r="AJ109" s="153"/>
      <c r="AK109"/>
      <c r="AL109"/>
      <c r="AM109"/>
      <c r="AN109"/>
    </row>
    <row r="110" spans="1:40" x14ac:dyDescent="0.35">
      <c r="A110" s="153" t="s">
        <v>1343</v>
      </c>
      <c r="B110" s="153" t="s">
        <v>182</v>
      </c>
      <c r="C110" s="153" t="s">
        <v>1355</v>
      </c>
      <c r="D110" s="153" t="s">
        <v>35</v>
      </c>
      <c r="E110" s="161">
        <v>1</v>
      </c>
      <c r="F110" s="153">
        <v>0</v>
      </c>
      <c r="G110" s="153">
        <v>0</v>
      </c>
      <c r="H110" s="153">
        <v>0</v>
      </c>
      <c r="I110" s="153">
        <v>0</v>
      </c>
      <c r="J110" s="153">
        <v>0</v>
      </c>
      <c r="K110" s="153">
        <v>0</v>
      </c>
      <c r="L110" s="153">
        <v>0</v>
      </c>
      <c r="M110" s="153">
        <v>0</v>
      </c>
      <c r="N110" s="153">
        <v>0</v>
      </c>
      <c r="O110" s="153">
        <v>0</v>
      </c>
      <c r="P110" s="153">
        <v>0</v>
      </c>
      <c r="Q110" s="153">
        <v>0</v>
      </c>
      <c r="R110" s="153">
        <v>0</v>
      </c>
      <c r="S110" s="153">
        <v>0</v>
      </c>
      <c r="T110" s="153"/>
      <c r="U110" s="153"/>
      <c r="V110" s="153"/>
      <c r="W110" s="153"/>
      <c r="X110" s="153"/>
      <c r="Y110" s="153"/>
      <c r="Z110" s="153"/>
      <c r="AA110" s="153"/>
      <c r="AB110" s="153"/>
      <c r="AC110" s="153"/>
      <c r="AD110" s="153"/>
      <c r="AE110" s="153"/>
      <c r="AF110" s="153"/>
      <c r="AG110" s="153"/>
      <c r="AH110" s="153"/>
      <c r="AI110" s="153"/>
      <c r="AJ110" s="153"/>
      <c r="AK110"/>
      <c r="AL110"/>
      <c r="AM110"/>
      <c r="AN110"/>
    </row>
    <row r="111" spans="1:40" x14ac:dyDescent="0.35">
      <c r="A111" s="153"/>
      <c r="B111" s="153"/>
      <c r="C111" s="153"/>
      <c r="D111" s="153"/>
      <c r="E111" s="161"/>
      <c r="F111" s="153">
        <v>0</v>
      </c>
      <c r="G111" s="153"/>
      <c r="H111" s="153"/>
      <c r="I111" s="153"/>
      <c r="J111" s="153"/>
      <c r="K111" s="153"/>
      <c r="L111" s="153"/>
      <c r="M111" s="153"/>
      <c r="N111" s="153"/>
      <c r="O111" s="153"/>
      <c r="P111" s="153"/>
      <c r="Q111" s="153"/>
      <c r="R111" s="153"/>
      <c r="S111" s="153"/>
      <c r="T111" s="153"/>
      <c r="U111" s="153"/>
      <c r="V111" s="153"/>
      <c r="W111" s="153"/>
      <c r="X111" s="153"/>
      <c r="Y111" s="153"/>
      <c r="Z111" s="153"/>
      <c r="AA111" s="153"/>
      <c r="AB111" s="153"/>
      <c r="AC111" s="153"/>
      <c r="AD111" s="153"/>
      <c r="AE111" s="153"/>
      <c r="AF111" s="153"/>
      <c r="AG111" s="153"/>
      <c r="AH111" s="153"/>
      <c r="AI111" s="153"/>
      <c r="AJ111" s="153"/>
      <c r="AK111"/>
      <c r="AL111"/>
      <c r="AM111"/>
      <c r="AN111"/>
    </row>
    <row r="112" spans="1:40" x14ac:dyDescent="0.35">
      <c r="A112" s="153" t="s">
        <v>1196</v>
      </c>
      <c r="B112" s="153" t="s">
        <v>179</v>
      </c>
      <c r="C112" s="153" t="s">
        <v>695</v>
      </c>
      <c r="D112" s="153" t="s">
        <v>35</v>
      </c>
      <c r="E112" s="161">
        <v>1</v>
      </c>
      <c r="F112" s="153">
        <v>0</v>
      </c>
      <c r="G112" s="153">
        <v>0</v>
      </c>
      <c r="H112" s="153">
        <v>0</v>
      </c>
      <c r="I112" s="153">
        <v>0</v>
      </c>
      <c r="J112" s="153">
        <v>0</v>
      </c>
      <c r="K112" s="153">
        <v>0</v>
      </c>
      <c r="L112" s="153">
        <v>0</v>
      </c>
      <c r="M112" s="153">
        <v>0</v>
      </c>
      <c r="N112" s="153">
        <v>0</v>
      </c>
      <c r="O112" s="153">
        <v>0</v>
      </c>
      <c r="P112" s="153">
        <v>0</v>
      </c>
      <c r="Q112" s="153">
        <v>0</v>
      </c>
      <c r="R112" s="153">
        <v>0</v>
      </c>
      <c r="S112" s="153">
        <v>0</v>
      </c>
      <c r="T112" s="153"/>
      <c r="U112" s="153"/>
      <c r="V112" s="153"/>
      <c r="W112" s="153"/>
      <c r="X112" s="153"/>
      <c r="Y112" s="153"/>
      <c r="Z112" s="153"/>
      <c r="AA112" s="153"/>
      <c r="AB112" s="153"/>
      <c r="AC112" s="153"/>
      <c r="AD112" s="153"/>
      <c r="AE112" s="153"/>
      <c r="AF112" s="153"/>
      <c r="AG112" s="153"/>
      <c r="AH112" s="153"/>
      <c r="AI112" s="153"/>
      <c r="AJ112" s="153"/>
      <c r="AK112"/>
      <c r="AL112"/>
      <c r="AM112"/>
      <c r="AN112"/>
    </row>
    <row r="113" spans="1:40" x14ac:dyDescent="0.35">
      <c r="A113" s="153" t="s">
        <v>1196</v>
      </c>
      <c r="B113" s="153" t="s">
        <v>180</v>
      </c>
      <c r="C113" s="153" t="s">
        <v>696</v>
      </c>
      <c r="D113" s="153" t="s">
        <v>35</v>
      </c>
      <c r="E113" s="161">
        <v>1</v>
      </c>
      <c r="F113" s="153">
        <v>0</v>
      </c>
      <c r="G113" s="153">
        <v>0</v>
      </c>
      <c r="H113" s="153">
        <v>0</v>
      </c>
      <c r="I113" s="153">
        <v>0</v>
      </c>
      <c r="J113" s="153">
        <v>0</v>
      </c>
      <c r="K113" s="153">
        <v>0</v>
      </c>
      <c r="L113" s="153">
        <v>0</v>
      </c>
      <c r="M113" s="153">
        <v>0</v>
      </c>
      <c r="N113" s="153">
        <v>0</v>
      </c>
      <c r="O113" s="153">
        <v>0</v>
      </c>
      <c r="P113" s="153">
        <v>0</v>
      </c>
      <c r="Q113" s="153">
        <v>0</v>
      </c>
      <c r="R113" s="153">
        <v>0</v>
      </c>
      <c r="S113" s="153">
        <v>0</v>
      </c>
      <c r="T113" s="153"/>
      <c r="U113" s="153"/>
      <c r="V113" s="153"/>
      <c r="W113" s="153"/>
      <c r="X113" s="153"/>
      <c r="Y113" s="153"/>
      <c r="Z113" s="153"/>
      <c r="AA113" s="153"/>
      <c r="AB113" s="153"/>
      <c r="AC113" s="153"/>
      <c r="AD113" s="153"/>
      <c r="AE113" s="153"/>
      <c r="AF113" s="153"/>
      <c r="AG113" s="153"/>
      <c r="AH113" s="153"/>
      <c r="AI113" s="153"/>
      <c r="AJ113" s="153"/>
      <c r="AK113"/>
      <c r="AL113"/>
      <c r="AM113"/>
      <c r="AN113"/>
    </row>
    <row r="114" spans="1:40" x14ac:dyDescent="0.35">
      <c r="A114" s="153" t="s">
        <v>1196</v>
      </c>
      <c r="B114" s="153" t="s">
        <v>181</v>
      </c>
      <c r="C114" s="153" t="s">
        <v>697</v>
      </c>
      <c r="D114" s="153" t="s">
        <v>35</v>
      </c>
      <c r="E114" s="161">
        <v>1</v>
      </c>
      <c r="F114" s="153">
        <v>0</v>
      </c>
      <c r="G114" s="153">
        <v>0</v>
      </c>
      <c r="H114" s="153">
        <v>0</v>
      </c>
      <c r="I114" s="153">
        <v>0</v>
      </c>
      <c r="J114" s="153">
        <v>0</v>
      </c>
      <c r="K114" s="153">
        <v>0</v>
      </c>
      <c r="L114" s="153">
        <v>0</v>
      </c>
      <c r="M114" s="153">
        <v>0</v>
      </c>
      <c r="N114" s="153">
        <v>0</v>
      </c>
      <c r="O114" s="153">
        <v>0</v>
      </c>
      <c r="P114" s="153">
        <v>0</v>
      </c>
      <c r="Q114" s="153">
        <v>0</v>
      </c>
      <c r="R114" s="153">
        <v>0</v>
      </c>
      <c r="S114" s="153">
        <v>0</v>
      </c>
      <c r="T114" s="153"/>
      <c r="U114" s="153"/>
      <c r="V114" s="153"/>
      <c r="W114" s="153"/>
      <c r="X114" s="153"/>
      <c r="Y114" s="153"/>
      <c r="Z114" s="153"/>
      <c r="AA114" s="153"/>
      <c r="AB114" s="153"/>
      <c r="AC114" s="153"/>
      <c r="AD114" s="153"/>
      <c r="AE114" s="153"/>
      <c r="AF114" s="153"/>
      <c r="AG114" s="153"/>
      <c r="AH114" s="153"/>
      <c r="AI114" s="153"/>
      <c r="AJ114" s="153"/>
      <c r="AK114"/>
      <c r="AL114"/>
      <c r="AM114"/>
      <c r="AN114"/>
    </row>
    <row r="115" spans="1:40" x14ac:dyDescent="0.35">
      <c r="A115" s="153" t="s">
        <v>1196</v>
      </c>
      <c r="B115" s="153" t="s">
        <v>182</v>
      </c>
      <c r="C115" s="153" t="s">
        <v>698</v>
      </c>
      <c r="D115" s="153" t="s">
        <v>35</v>
      </c>
      <c r="E115" s="161">
        <v>1</v>
      </c>
      <c r="F115" s="153">
        <v>0</v>
      </c>
      <c r="G115" s="153">
        <v>0</v>
      </c>
      <c r="H115" s="153">
        <v>0</v>
      </c>
      <c r="I115" s="153">
        <v>0</v>
      </c>
      <c r="J115" s="153">
        <v>0</v>
      </c>
      <c r="K115" s="153">
        <v>0</v>
      </c>
      <c r="L115" s="153">
        <v>0</v>
      </c>
      <c r="M115" s="153">
        <v>0</v>
      </c>
      <c r="N115" s="153">
        <v>0</v>
      </c>
      <c r="O115" s="153">
        <v>0</v>
      </c>
      <c r="P115" s="153">
        <v>0</v>
      </c>
      <c r="Q115" s="153">
        <v>0</v>
      </c>
      <c r="R115" s="153">
        <v>0</v>
      </c>
      <c r="S115" s="153">
        <v>0</v>
      </c>
      <c r="T115" s="153"/>
      <c r="U115" s="153"/>
      <c r="V115" s="153"/>
      <c r="W115" s="153"/>
      <c r="X115" s="153"/>
      <c r="Y115" s="153"/>
      <c r="Z115" s="153"/>
      <c r="AA115" s="153"/>
      <c r="AB115" s="153"/>
      <c r="AC115" s="153"/>
      <c r="AD115" s="153"/>
      <c r="AE115" s="153"/>
      <c r="AF115" s="153"/>
      <c r="AG115" s="153"/>
      <c r="AH115" s="153"/>
      <c r="AI115" s="153"/>
      <c r="AJ115" s="153"/>
      <c r="AK115"/>
      <c r="AL115"/>
      <c r="AM115"/>
      <c r="AN115"/>
    </row>
    <row r="116" spans="1:40" x14ac:dyDescent="0.35">
      <c r="A116" s="153"/>
      <c r="B116" s="153"/>
      <c r="C116" s="153"/>
      <c r="D116" s="153"/>
      <c r="E116" s="161"/>
      <c r="F116" s="153">
        <v>0</v>
      </c>
      <c r="G116" s="153"/>
      <c r="H116" s="153"/>
      <c r="I116" s="153"/>
      <c r="J116" s="153"/>
      <c r="K116" s="153"/>
      <c r="L116" s="153"/>
      <c r="M116" s="153"/>
      <c r="N116" s="153"/>
      <c r="O116" s="153"/>
      <c r="P116" s="153"/>
      <c r="Q116" s="153"/>
      <c r="R116" s="153"/>
      <c r="S116" s="153"/>
      <c r="T116" s="153"/>
      <c r="U116" s="153"/>
      <c r="V116" s="153"/>
      <c r="W116" s="153"/>
      <c r="X116" s="153"/>
      <c r="Y116" s="153"/>
      <c r="Z116" s="153"/>
      <c r="AA116" s="153"/>
      <c r="AB116" s="153"/>
      <c r="AC116" s="153"/>
      <c r="AD116" s="153"/>
      <c r="AE116" s="153"/>
      <c r="AF116" s="153"/>
      <c r="AG116" s="153"/>
      <c r="AH116" s="153"/>
      <c r="AI116" s="153"/>
      <c r="AJ116" s="153"/>
      <c r="AK116"/>
      <c r="AL116"/>
      <c r="AM116"/>
      <c r="AN116"/>
    </row>
    <row r="117" spans="1:40" x14ac:dyDescent="0.35">
      <c r="A117" s="153" t="s">
        <v>1196</v>
      </c>
      <c r="B117" s="153" t="s">
        <v>179</v>
      </c>
      <c r="C117" s="153" t="s">
        <v>889</v>
      </c>
      <c r="D117" s="153" t="s">
        <v>35</v>
      </c>
      <c r="E117" s="161">
        <v>1</v>
      </c>
      <c r="F117" s="153">
        <v>0</v>
      </c>
      <c r="G117" s="153">
        <v>0</v>
      </c>
      <c r="H117" s="153">
        <v>0</v>
      </c>
      <c r="I117" s="153">
        <v>0</v>
      </c>
      <c r="J117" s="153">
        <v>0</v>
      </c>
      <c r="K117" s="153">
        <v>0</v>
      </c>
      <c r="L117" s="153">
        <v>0</v>
      </c>
      <c r="M117" s="153">
        <v>0</v>
      </c>
      <c r="N117" s="153">
        <v>0</v>
      </c>
      <c r="O117" s="153">
        <v>0</v>
      </c>
      <c r="P117" s="153">
        <v>0</v>
      </c>
      <c r="Q117" s="153">
        <v>0</v>
      </c>
      <c r="R117" s="153">
        <v>0</v>
      </c>
      <c r="S117" s="153">
        <v>0</v>
      </c>
      <c r="T117" s="153"/>
      <c r="U117" s="153"/>
      <c r="V117" s="153"/>
      <c r="W117" s="153"/>
      <c r="X117" s="153"/>
      <c r="Y117" s="153"/>
      <c r="Z117" s="153"/>
      <c r="AA117" s="153"/>
      <c r="AB117" s="153"/>
      <c r="AC117" s="153"/>
      <c r="AD117" s="153"/>
      <c r="AE117" s="153"/>
      <c r="AF117" s="153"/>
      <c r="AG117" s="153"/>
      <c r="AH117" s="153"/>
      <c r="AI117" s="153"/>
      <c r="AJ117" s="153"/>
      <c r="AK117"/>
      <c r="AL117"/>
      <c r="AM117"/>
      <c r="AN117"/>
    </row>
    <row r="118" spans="1:40" x14ac:dyDescent="0.35">
      <c r="A118" s="153" t="s">
        <v>1196</v>
      </c>
      <c r="B118" s="153" t="s">
        <v>180</v>
      </c>
      <c r="C118" s="153" t="s">
        <v>890</v>
      </c>
      <c r="D118" s="153" t="s">
        <v>35</v>
      </c>
      <c r="E118" s="161">
        <v>1</v>
      </c>
      <c r="F118" s="153">
        <v>0</v>
      </c>
      <c r="G118" s="153">
        <v>0</v>
      </c>
      <c r="H118" s="153">
        <v>0</v>
      </c>
      <c r="I118" s="153">
        <v>0</v>
      </c>
      <c r="J118" s="153">
        <v>0</v>
      </c>
      <c r="K118" s="153">
        <v>0</v>
      </c>
      <c r="L118" s="153">
        <v>0</v>
      </c>
      <c r="M118" s="153">
        <v>0</v>
      </c>
      <c r="N118" s="153">
        <v>0</v>
      </c>
      <c r="O118" s="153">
        <v>0</v>
      </c>
      <c r="P118" s="153">
        <v>0</v>
      </c>
      <c r="Q118" s="153">
        <v>0</v>
      </c>
      <c r="R118" s="153">
        <v>0</v>
      </c>
      <c r="S118" s="153">
        <v>0</v>
      </c>
      <c r="T118" s="153"/>
      <c r="U118" s="153"/>
      <c r="V118" s="153"/>
      <c r="W118" s="153"/>
      <c r="X118" s="153"/>
      <c r="Y118" s="153"/>
      <c r="Z118" s="153"/>
      <c r="AA118" s="153"/>
      <c r="AB118" s="153"/>
      <c r="AC118" s="153"/>
      <c r="AD118" s="153"/>
      <c r="AE118" s="153"/>
      <c r="AF118" s="153"/>
      <c r="AG118" s="153"/>
      <c r="AH118" s="153"/>
      <c r="AI118" s="153"/>
      <c r="AJ118" s="153"/>
      <c r="AK118"/>
      <c r="AL118"/>
      <c r="AM118"/>
      <c r="AN118"/>
    </row>
    <row r="119" spans="1:40" x14ac:dyDescent="0.35">
      <c r="A119" s="153" t="s">
        <v>1196</v>
      </c>
      <c r="B119" s="153" t="s">
        <v>181</v>
      </c>
      <c r="C119" s="153" t="s">
        <v>891</v>
      </c>
      <c r="D119" s="153" t="s">
        <v>35</v>
      </c>
      <c r="E119" s="161">
        <v>1</v>
      </c>
      <c r="F119" s="153">
        <v>0</v>
      </c>
      <c r="G119" s="153">
        <v>0</v>
      </c>
      <c r="H119" s="153">
        <v>0</v>
      </c>
      <c r="I119" s="153">
        <v>0</v>
      </c>
      <c r="J119" s="153">
        <v>0</v>
      </c>
      <c r="K119" s="153">
        <v>0</v>
      </c>
      <c r="L119" s="153">
        <v>0</v>
      </c>
      <c r="M119" s="153">
        <v>0</v>
      </c>
      <c r="N119" s="153">
        <v>0</v>
      </c>
      <c r="O119" s="153">
        <v>0</v>
      </c>
      <c r="P119" s="153">
        <v>0</v>
      </c>
      <c r="Q119" s="153">
        <v>0</v>
      </c>
      <c r="R119" s="153">
        <v>0</v>
      </c>
      <c r="S119" s="153">
        <v>0</v>
      </c>
      <c r="T119" s="153"/>
      <c r="U119" s="153"/>
      <c r="V119" s="153"/>
      <c r="W119" s="153"/>
      <c r="X119" s="153"/>
      <c r="Y119" s="153"/>
      <c r="Z119" s="153"/>
      <c r="AA119" s="153"/>
      <c r="AB119" s="153"/>
      <c r="AC119" s="153"/>
      <c r="AD119" s="153"/>
      <c r="AE119" s="153"/>
      <c r="AF119" s="153"/>
      <c r="AG119" s="153"/>
      <c r="AH119" s="153"/>
      <c r="AI119" s="153"/>
      <c r="AJ119" s="153"/>
      <c r="AK119"/>
      <c r="AL119"/>
      <c r="AM119"/>
      <c r="AN119"/>
    </row>
    <row r="120" spans="1:40" x14ac:dyDescent="0.35">
      <c r="A120" s="153" t="s">
        <v>1196</v>
      </c>
      <c r="B120" s="153" t="s">
        <v>182</v>
      </c>
      <c r="C120" s="153" t="s">
        <v>892</v>
      </c>
      <c r="D120" s="153" t="s">
        <v>35</v>
      </c>
      <c r="E120" s="161">
        <v>1</v>
      </c>
      <c r="F120" s="153">
        <v>0</v>
      </c>
      <c r="G120" s="153">
        <v>0</v>
      </c>
      <c r="H120" s="153">
        <v>0</v>
      </c>
      <c r="I120" s="153">
        <v>0</v>
      </c>
      <c r="J120" s="153">
        <v>0</v>
      </c>
      <c r="K120" s="153">
        <v>0</v>
      </c>
      <c r="L120" s="153">
        <v>0</v>
      </c>
      <c r="M120" s="153">
        <v>0</v>
      </c>
      <c r="N120" s="153">
        <v>0</v>
      </c>
      <c r="O120" s="153">
        <v>0</v>
      </c>
      <c r="P120" s="153">
        <v>0</v>
      </c>
      <c r="Q120" s="153">
        <v>0</v>
      </c>
      <c r="R120" s="153">
        <v>0</v>
      </c>
      <c r="S120" s="153">
        <v>0</v>
      </c>
      <c r="T120" s="153"/>
      <c r="U120" s="153"/>
      <c r="V120" s="153"/>
      <c r="W120" s="153"/>
      <c r="X120" s="153"/>
      <c r="Y120" s="153"/>
      <c r="Z120" s="153"/>
      <c r="AA120" s="153"/>
      <c r="AB120" s="153"/>
      <c r="AC120" s="153"/>
      <c r="AD120" s="153"/>
      <c r="AE120" s="153"/>
      <c r="AF120" s="153"/>
      <c r="AG120" s="153"/>
      <c r="AH120" s="153"/>
      <c r="AI120" s="153"/>
      <c r="AJ120" s="153"/>
      <c r="AK120"/>
      <c r="AL120"/>
      <c r="AM120"/>
      <c r="AN120"/>
    </row>
    <row r="121" spans="1:40" x14ac:dyDescent="0.35">
      <c r="A121" s="153"/>
      <c r="B121" s="153"/>
      <c r="C121" s="153"/>
      <c r="D121" s="153"/>
      <c r="E121" s="161"/>
      <c r="F121" s="153">
        <v>0</v>
      </c>
      <c r="G121" s="153"/>
      <c r="H121" s="153"/>
      <c r="I121" s="153"/>
      <c r="J121" s="153"/>
      <c r="K121" s="153"/>
      <c r="L121" s="153"/>
      <c r="M121" s="153"/>
      <c r="N121" s="153"/>
      <c r="O121" s="153"/>
      <c r="P121" s="153"/>
      <c r="Q121" s="153"/>
      <c r="R121" s="153"/>
      <c r="S121" s="153"/>
      <c r="T121" s="153"/>
      <c r="U121" s="153"/>
      <c r="V121" s="153"/>
      <c r="W121" s="153"/>
      <c r="X121" s="153"/>
      <c r="Y121" s="153"/>
      <c r="Z121" s="153"/>
      <c r="AA121" s="153"/>
      <c r="AB121" s="153"/>
      <c r="AC121" s="153"/>
      <c r="AD121" s="153"/>
      <c r="AE121" s="153"/>
      <c r="AF121" s="153"/>
      <c r="AG121" s="153"/>
      <c r="AH121" s="153"/>
      <c r="AI121" s="153"/>
      <c r="AJ121" s="153"/>
      <c r="AK121"/>
      <c r="AL121"/>
      <c r="AM121"/>
      <c r="AN121"/>
    </row>
    <row r="122" spans="1:40" x14ac:dyDescent="0.35">
      <c r="A122" s="153" t="s">
        <v>1196</v>
      </c>
      <c r="B122" s="153" t="s">
        <v>179</v>
      </c>
      <c r="C122" s="153" t="s">
        <v>897</v>
      </c>
      <c r="D122" s="153" t="s">
        <v>35</v>
      </c>
      <c r="E122" s="161">
        <v>1</v>
      </c>
      <c r="F122" s="153">
        <v>0</v>
      </c>
      <c r="G122" s="153">
        <v>0</v>
      </c>
      <c r="H122" s="153">
        <v>0</v>
      </c>
      <c r="I122" s="153">
        <v>0</v>
      </c>
      <c r="J122" s="153">
        <v>0</v>
      </c>
      <c r="K122" s="153">
        <v>0</v>
      </c>
      <c r="L122" s="153">
        <v>0</v>
      </c>
      <c r="M122" s="153">
        <v>0</v>
      </c>
      <c r="N122" s="153">
        <v>0</v>
      </c>
      <c r="O122" s="153">
        <v>0</v>
      </c>
      <c r="P122" s="153">
        <v>0</v>
      </c>
      <c r="Q122" s="153">
        <v>0</v>
      </c>
      <c r="R122" s="153">
        <v>0</v>
      </c>
      <c r="S122" s="153">
        <v>0</v>
      </c>
      <c r="T122" s="153"/>
      <c r="U122" s="153"/>
      <c r="V122" s="153"/>
      <c r="W122" s="153"/>
      <c r="X122" s="153"/>
      <c r="Y122" s="153"/>
      <c r="Z122" s="153"/>
      <c r="AA122" s="153"/>
      <c r="AB122" s="153"/>
      <c r="AC122" s="153"/>
      <c r="AD122" s="153"/>
      <c r="AE122" s="153"/>
      <c r="AF122" s="153"/>
      <c r="AG122" s="153"/>
      <c r="AH122" s="153"/>
      <c r="AI122" s="153"/>
      <c r="AJ122" s="153"/>
      <c r="AK122"/>
      <c r="AL122"/>
      <c r="AM122"/>
      <c r="AN122"/>
    </row>
    <row r="123" spans="1:40" x14ac:dyDescent="0.35">
      <c r="A123" s="153" t="s">
        <v>1196</v>
      </c>
      <c r="B123" s="153" t="s">
        <v>180</v>
      </c>
      <c r="C123" s="153" t="s">
        <v>898</v>
      </c>
      <c r="D123" s="153" t="s">
        <v>35</v>
      </c>
      <c r="E123" s="161">
        <v>1</v>
      </c>
      <c r="F123" s="153">
        <v>0</v>
      </c>
      <c r="G123" s="153">
        <v>0</v>
      </c>
      <c r="H123" s="153">
        <v>0</v>
      </c>
      <c r="I123" s="153">
        <v>0</v>
      </c>
      <c r="J123" s="153">
        <v>551</v>
      </c>
      <c r="K123" s="153">
        <v>0</v>
      </c>
      <c r="L123" s="153">
        <v>0</v>
      </c>
      <c r="M123" s="153">
        <v>0</v>
      </c>
      <c r="N123" s="153">
        <v>0</v>
      </c>
      <c r="O123" s="153">
        <v>0</v>
      </c>
      <c r="P123" s="153">
        <v>0</v>
      </c>
      <c r="Q123" s="153">
        <v>622</v>
      </c>
      <c r="R123" s="153">
        <v>316</v>
      </c>
      <c r="S123" s="153">
        <v>201</v>
      </c>
      <c r="T123" s="153"/>
      <c r="U123" s="153"/>
      <c r="V123" s="153"/>
      <c r="W123" s="153"/>
      <c r="X123" s="153"/>
      <c r="Y123" s="153"/>
      <c r="Z123" s="153"/>
      <c r="AA123" s="153"/>
      <c r="AB123" s="153"/>
      <c r="AC123" s="153"/>
      <c r="AD123" s="153"/>
      <c r="AE123" s="153"/>
      <c r="AF123" s="153"/>
      <c r="AG123" s="153"/>
      <c r="AH123" s="153"/>
      <c r="AI123" s="153"/>
      <c r="AJ123" s="153"/>
      <c r="AK123"/>
      <c r="AL123"/>
      <c r="AM123"/>
      <c r="AN123"/>
    </row>
    <row r="124" spans="1:40" x14ac:dyDescent="0.35">
      <c r="A124" s="153" t="s">
        <v>1196</v>
      </c>
      <c r="B124" s="153" t="s">
        <v>181</v>
      </c>
      <c r="C124" s="153" t="s">
        <v>899</v>
      </c>
      <c r="D124" s="153" t="s">
        <v>35</v>
      </c>
      <c r="E124" s="161">
        <v>1</v>
      </c>
      <c r="F124" s="153">
        <v>0</v>
      </c>
      <c r="G124" s="153">
        <v>0</v>
      </c>
      <c r="H124" s="153">
        <v>0</v>
      </c>
      <c r="I124" s="153">
        <v>0</v>
      </c>
      <c r="J124" s="153">
        <v>0</v>
      </c>
      <c r="K124" s="153">
        <v>0</v>
      </c>
      <c r="L124" s="153">
        <v>0</v>
      </c>
      <c r="M124" s="153">
        <v>0</v>
      </c>
      <c r="N124" s="153">
        <v>0</v>
      </c>
      <c r="O124" s="153">
        <v>0</v>
      </c>
      <c r="P124" s="153">
        <v>0</v>
      </c>
      <c r="Q124" s="153">
        <v>0</v>
      </c>
      <c r="R124" s="153">
        <v>0</v>
      </c>
      <c r="S124" s="153">
        <v>0</v>
      </c>
      <c r="T124" s="153"/>
      <c r="U124" s="153"/>
      <c r="V124" s="153"/>
      <c r="W124" s="153"/>
      <c r="X124" s="153"/>
      <c r="Y124" s="153"/>
      <c r="Z124" s="153"/>
      <c r="AA124" s="153"/>
      <c r="AB124" s="153"/>
      <c r="AC124" s="153"/>
      <c r="AD124" s="153"/>
      <c r="AE124" s="153"/>
      <c r="AF124" s="153"/>
      <c r="AG124" s="153"/>
      <c r="AH124" s="153"/>
      <c r="AI124" s="153"/>
      <c r="AJ124" s="153"/>
      <c r="AK124"/>
      <c r="AL124"/>
      <c r="AM124"/>
      <c r="AN124"/>
    </row>
    <row r="125" spans="1:40" x14ac:dyDescent="0.35">
      <c r="A125" s="153" t="s">
        <v>1196</v>
      </c>
      <c r="B125" s="153" t="s">
        <v>182</v>
      </c>
      <c r="C125" s="153" t="s">
        <v>900</v>
      </c>
      <c r="D125" s="153" t="s">
        <v>35</v>
      </c>
      <c r="E125" s="161">
        <v>1</v>
      </c>
      <c r="F125" s="153">
        <v>0</v>
      </c>
      <c r="G125" s="153">
        <v>0</v>
      </c>
      <c r="H125" s="153">
        <v>0</v>
      </c>
      <c r="I125" s="153">
        <v>0</v>
      </c>
      <c r="J125" s="153">
        <v>0</v>
      </c>
      <c r="K125" s="153">
        <v>0</v>
      </c>
      <c r="L125" s="153">
        <v>0</v>
      </c>
      <c r="M125" s="153">
        <v>0</v>
      </c>
      <c r="N125" s="153">
        <v>0</v>
      </c>
      <c r="O125" s="153">
        <v>0</v>
      </c>
      <c r="P125" s="153">
        <v>0</v>
      </c>
      <c r="Q125" s="153">
        <v>0</v>
      </c>
      <c r="R125" s="153">
        <v>0</v>
      </c>
      <c r="S125" s="153">
        <v>0</v>
      </c>
      <c r="T125" s="153"/>
      <c r="U125" s="153"/>
      <c r="V125" s="153"/>
      <c r="W125" s="153"/>
      <c r="X125" s="153"/>
      <c r="Y125" s="153"/>
      <c r="Z125" s="153"/>
      <c r="AA125" s="153"/>
      <c r="AB125" s="153"/>
      <c r="AC125" s="153"/>
      <c r="AD125" s="153"/>
      <c r="AE125" s="153"/>
      <c r="AF125" s="153"/>
      <c r="AG125" s="153"/>
      <c r="AH125" s="153"/>
      <c r="AI125" s="153"/>
      <c r="AJ125" s="153"/>
      <c r="AK125"/>
      <c r="AL125"/>
      <c r="AM125"/>
      <c r="AN125"/>
    </row>
    <row r="126" spans="1:40" x14ac:dyDescent="0.35">
      <c r="A126" s="153"/>
      <c r="B126" s="153"/>
      <c r="C126" s="153"/>
      <c r="D126" s="153"/>
      <c r="E126" s="161"/>
      <c r="F126" s="153">
        <v>0</v>
      </c>
      <c r="G126" s="153"/>
      <c r="H126" s="153"/>
      <c r="I126" s="153"/>
      <c r="J126" s="153"/>
      <c r="K126" s="153"/>
      <c r="L126" s="153"/>
      <c r="M126" s="153"/>
      <c r="N126" s="153"/>
      <c r="O126" s="153"/>
      <c r="P126" s="153"/>
      <c r="Q126" s="153"/>
      <c r="R126" s="153"/>
      <c r="S126" s="153"/>
      <c r="T126" s="153"/>
      <c r="U126" s="153"/>
      <c r="V126" s="153"/>
      <c r="W126" s="153"/>
      <c r="X126" s="153"/>
      <c r="Y126" s="153"/>
      <c r="Z126" s="153"/>
      <c r="AA126" s="153"/>
      <c r="AB126" s="153"/>
      <c r="AC126" s="153"/>
      <c r="AD126" s="153"/>
      <c r="AE126" s="153"/>
      <c r="AF126" s="153"/>
      <c r="AG126" s="153"/>
      <c r="AH126" s="153"/>
      <c r="AI126" s="153"/>
      <c r="AJ126" s="153"/>
      <c r="AK126"/>
      <c r="AL126"/>
      <c r="AM126"/>
      <c r="AN126"/>
    </row>
    <row r="127" spans="1:40" x14ac:dyDescent="0.35">
      <c r="A127" s="153" t="s">
        <v>1196</v>
      </c>
      <c r="B127" s="153" t="s">
        <v>179</v>
      </c>
      <c r="C127" s="153" t="s">
        <v>893</v>
      </c>
      <c r="D127" s="153" t="s">
        <v>35</v>
      </c>
      <c r="E127" s="161">
        <v>1</v>
      </c>
      <c r="F127" s="153">
        <v>0</v>
      </c>
      <c r="G127" s="153">
        <v>0</v>
      </c>
      <c r="H127" s="153">
        <v>0</v>
      </c>
      <c r="I127" s="153">
        <v>0</v>
      </c>
      <c r="J127" s="153">
        <v>0</v>
      </c>
      <c r="K127" s="153">
        <v>0</v>
      </c>
      <c r="L127" s="153">
        <v>0</v>
      </c>
      <c r="M127" s="153">
        <v>0</v>
      </c>
      <c r="N127" s="153">
        <v>0</v>
      </c>
      <c r="O127" s="153">
        <v>0</v>
      </c>
      <c r="P127" s="153">
        <v>0</v>
      </c>
      <c r="Q127" s="153">
        <v>0</v>
      </c>
      <c r="R127" s="153">
        <v>0</v>
      </c>
      <c r="S127" s="153">
        <v>0</v>
      </c>
      <c r="T127" s="153"/>
      <c r="U127" s="153"/>
      <c r="V127" s="153"/>
      <c r="W127" s="153"/>
      <c r="X127" s="153"/>
      <c r="Y127" s="153"/>
      <c r="Z127" s="153"/>
      <c r="AA127" s="153"/>
      <c r="AB127" s="153"/>
      <c r="AC127" s="153"/>
      <c r="AD127" s="153"/>
      <c r="AE127" s="153"/>
      <c r="AF127" s="153"/>
      <c r="AG127" s="153"/>
      <c r="AH127" s="153"/>
      <c r="AI127" s="153"/>
      <c r="AJ127" s="153"/>
      <c r="AK127"/>
      <c r="AL127"/>
      <c r="AM127"/>
      <c r="AN127"/>
    </row>
    <row r="128" spans="1:40" x14ac:dyDescent="0.35">
      <c r="A128" s="153" t="s">
        <v>1196</v>
      </c>
      <c r="B128" s="153" t="s">
        <v>180</v>
      </c>
      <c r="C128" s="153" t="s">
        <v>894</v>
      </c>
      <c r="D128" s="153" t="s">
        <v>35</v>
      </c>
      <c r="E128" s="161">
        <v>1</v>
      </c>
      <c r="F128" s="153">
        <v>0</v>
      </c>
      <c r="G128" s="153">
        <v>0</v>
      </c>
      <c r="H128" s="153">
        <v>0</v>
      </c>
      <c r="I128" s="153">
        <v>0</v>
      </c>
      <c r="J128" s="153">
        <v>0</v>
      </c>
      <c r="K128" s="153">
        <v>0</v>
      </c>
      <c r="L128" s="153">
        <v>0</v>
      </c>
      <c r="M128" s="153">
        <v>0</v>
      </c>
      <c r="N128" s="153">
        <v>0</v>
      </c>
      <c r="O128" s="153">
        <v>741</v>
      </c>
      <c r="P128" s="153">
        <v>0</v>
      </c>
      <c r="Q128" s="153">
        <v>0</v>
      </c>
      <c r="R128" s="153">
        <v>0</v>
      </c>
      <c r="S128" s="153">
        <v>0</v>
      </c>
      <c r="T128" s="153"/>
      <c r="U128" s="153"/>
      <c r="V128" s="153"/>
      <c r="W128" s="153"/>
      <c r="X128" s="153"/>
      <c r="Y128" s="153"/>
      <c r="Z128" s="153"/>
      <c r="AA128" s="153"/>
      <c r="AB128" s="153"/>
      <c r="AC128" s="153"/>
      <c r="AD128" s="153"/>
      <c r="AE128" s="153"/>
      <c r="AF128" s="153"/>
      <c r="AG128" s="153"/>
      <c r="AH128" s="153"/>
      <c r="AI128" s="153"/>
      <c r="AJ128" s="153"/>
      <c r="AK128"/>
      <c r="AL128"/>
      <c r="AM128"/>
      <c r="AN128"/>
    </row>
    <row r="129" spans="1:40" x14ac:dyDescent="0.35">
      <c r="A129" s="153" t="s">
        <v>1196</v>
      </c>
      <c r="B129" s="153" t="s">
        <v>181</v>
      </c>
      <c r="C129" s="153" t="s">
        <v>895</v>
      </c>
      <c r="D129" s="153" t="s">
        <v>35</v>
      </c>
      <c r="E129" s="161">
        <v>1</v>
      </c>
      <c r="F129" s="153">
        <v>0</v>
      </c>
      <c r="G129" s="153">
        <v>0</v>
      </c>
      <c r="H129" s="153">
        <v>0</v>
      </c>
      <c r="I129" s="153">
        <v>0</v>
      </c>
      <c r="J129" s="153">
        <v>0</v>
      </c>
      <c r="K129" s="153">
        <v>0</v>
      </c>
      <c r="L129" s="153">
        <v>0</v>
      </c>
      <c r="M129" s="153">
        <v>0</v>
      </c>
      <c r="N129" s="153">
        <v>0</v>
      </c>
      <c r="O129" s="153">
        <v>0</v>
      </c>
      <c r="P129" s="153">
        <v>0</v>
      </c>
      <c r="Q129" s="153">
        <v>0</v>
      </c>
      <c r="R129" s="153">
        <v>0</v>
      </c>
      <c r="S129" s="153">
        <v>0</v>
      </c>
      <c r="T129" s="153"/>
      <c r="U129" s="153"/>
      <c r="V129" s="153"/>
      <c r="W129" s="153"/>
      <c r="X129" s="153"/>
      <c r="Y129" s="153"/>
      <c r="Z129" s="153"/>
      <c r="AA129" s="153"/>
      <c r="AB129" s="153"/>
      <c r="AC129" s="153"/>
      <c r="AD129" s="153"/>
      <c r="AE129" s="153"/>
      <c r="AF129" s="153"/>
      <c r="AG129" s="153"/>
      <c r="AH129" s="153"/>
      <c r="AI129" s="153"/>
      <c r="AJ129" s="153"/>
      <c r="AK129"/>
      <c r="AL129"/>
      <c r="AM129"/>
      <c r="AN129"/>
    </row>
    <row r="130" spans="1:40" x14ac:dyDescent="0.35">
      <c r="A130" s="153" t="s">
        <v>1196</v>
      </c>
      <c r="B130" s="153" t="s">
        <v>182</v>
      </c>
      <c r="C130" s="153" t="s">
        <v>896</v>
      </c>
      <c r="D130" s="153" t="s">
        <v>35</v>
      </c>
      <c r="E130" s="161">
        <v>1</v>
      </c>
      <c r="F130" s="153">
        <v>0</v>
      </c>
      <c r="G130" s="153">
        <v>0</v>
      </c>
      <c r="H130" s="153">
        <v>0</v>
      </c>
      <c r="I130" s="153">
        <v>0</v>
      </c>
      <c r="J130" s="153">
        <v>0</v>
      </c>
      <c r="K130" s="153">
        <v>0</v>
      </c>
      <c r="L130" s="153">
        <v>0</v>
      </c>
      <c r="M130" s="153">
        <v>0</v>
      </c>
      <c r="N130" s="153">
        <v>0</v>
      </c>
      <c r="O130" s="153">
        <v>0</v>
      </c>
      <c r="P130" s="153">
        <v>0</v>
      </c>
      <c r="Q130" s="153">
        <v>0</v>
      </c>
      <c r="R130" s="153">
        <v>0</v>
      </c>
      <c r="S130" s="153">
        <v>0</v>
      </c>
      <c r="T130" s="153"/>
      <c r="U130" s="153"/>
      <c r="V130" s="153"/>
      <c r="W130" s="153"/>
      <c r="X130" s="153"/>
      <c r="Y130" s="153"/>
      <c r="Z130" s="153"/>
      <c r="AA130" s="153"/>
      <c r="AB130" s="153"/>
      <c r="AC130" s="153"/>
      <c r="AD130" s="153"/>
      <c r="AE130" s="153"/>
      <c r="AF130" s="153"/>
      <c r="AG130" s="153"/>
      <c r="AH130" s="153"/>
      <c r="AI130" s="153"/>
      <c r="AJ130" s="153"/>
      <c r="AK130"/>
      <c r="AL130"/>
      <c r="AM130"/>
      <c r="AN130"/>
    </row>
    <row r="131" spans="1:40" x14ac:dyDescent="0.35">
      <c r="A131" s="153"/>
      <c r="B131" s="153"/>
      <c r="C131" s="153"/>
      <c r="D131" s="153"/>
      <c r="E131" s="161"/>
      <c r="F131" s="153">
        <v>0</v>
      </c>
      <c r="G131" s="153"/>
      <c r="H131" s="153"/>
      <c r="I131" s="153"/>
      <c r="J131" s="153"/>
      <c r="K131" s="153"/>
      <c r="L131" s="153"/>
      <c r="M131" s="153"/>
      <c r="N131" s="153"/>
      <c r="O131" s="153"/>
      <c r="P131" s="153"/>
      <c r="Q131" s="153"/>
      <c r="R131" s="153"/>
      <c r="S131" s="153"/>
      <c r="T131" s="153"/>
      <c r="U131" s="153"/>
      <c r="V131" s="153"/>
      <c r="W131" s="153"/>
      <c r="X131" s="153"/>
      <c r="Y131" s="153"/>
      <c r="Z131" s="153"/>
      <c r="AA131" s="153"/>
      <c r="AB131" s="153"/>
      <c r="AC131" s="153"/>
      <c r="AD131" s="153"/>
      <c r="AE131" s="153"/>
      <c r="AF131" s="153"/>
      <c r="AG131" s="153"/>
      <c r="AH131" s="153"/>
      <c r="AI131" s="153"/>
      <c r="AJ131" s="153"/>
      <c r="AK131"/>
      <c r="AL131"/>
      <c r="AM131"/>
      <c r="AN131"/>
    </row>
    <row r="132" spans="1:40" x14ac:dyDescent="0.35">
      <c r="A132" s="153" t="s">
        <v>1194</v>
      </c>
      <c r="B132" s="153" t="s">
        <v>179</v>
      </c>
      <c r="C132" s="153" t="s">
        <v>723</v>
      </c>
      <c r="D132" s="153" t="s">
        <v>35</v>
      </c>
      <c r="E132" s="161">
        <v>1</v>
      </c>
      <c r="F132" s="153">
        <v>0</v>
      </c>
      <c r="G132" s="153">
        <v>0</v>
      </c>
      <c r="H132" s="153">
        <v>0</v>
      </c>
      <c r="I132" s="153">
        <v>0</v>
      </c>
      <c r="J132" s="153">
        <v>0</v>
      </c>
      <c r="K132" s="153">
        <v>0</v>
      </c>
      <c r="L132" s="153">
        <v>0</v>
      </c>
      <c r="M132" s="153">
        <v>0</v>
      </c>
      <c r="N132" s="153">
        <v>0</v>
      </c>
      <c r="O132" s="153">
        <v>0</v>
      </c>
      <c r="P132" s="153">
        <v>0</v>
      </c>
      <c r="Q132" s="153">
        <v>0</v>
      </c>
      <c r="R132" s="153">
        <v>0</v>
      </c>
      <c r="S132" s="153">
        <v>0</v>
      </c>
      <c r="T132" s="153"/>
      <c r="U132" s="153"/>
      <c r="V132" s="153"/>
      <c r="W132" s="153"/>
      <c r="X132" s="153"/>
      <c r="Y132" s="153"/>
      <c r="Z132" s="153"/>
      <c r="AA132" s="153"/>
      <c r="AB132" s="153"/>
      <c r="AC132" s="153"/>
      <c r="AD132" s="153"/>
      <c r="AE132" s="153"/>
      <c r="AF132" s="153"/>
      <c r="AG132" s="153"/>
      <c r="AH132" s="153"/>
      <c r="AI132" s="153"/>
      <c r="AJ132" s="153"/>
      <c r="AK132"/>
      <c r="AL132"/>
      <c r="AM132"/>
      <c r="AN132"/>
    </row>
    <row r="133" spans="1:40" x14ac:dyDescent="0.35">
      <c r="A133" s="153" t="s">
        <v>1194</v>
      </c>
      <c r="B133" s="153" t="s">
        <v>180</v>
      </c>
      <c r="C133" s="153" t="s">
        <v>724</v>
      </c>
      <c r="D133" s="153" t="s">
        <v>35</v>
      </c>
      <c r="E133" s="161">
        <v>1</v>
      </c>
      <c r="F133" s="153">
        <v>0</v>
      </c>
      <c r="G133" s="153">
        <v>0</v>
      </c>
      <c r="H133" s="153">
        <v>0</v>
      </c>
      <c r="I133" s="153">
        <v>0</v>
      </c>
      <c r="J133" s="153">
        <v>0</v>
      </c>
      <c r="K133" s="153">
        <v>0</v>
      </c>
      <c r="L133" s="153">
        <v>0</v>
      </c>
      <c r="M133" s="153">
        <v>0</v>
      </c>
      <c r="N133" s="153">
        <v>0</v>
      </c>
      <c r="O133" s="153">
        <v>0</v>
      </c>
      <c r="P133" s="153">
        <v>0</v>
      </c>
      <c r="Q133" s="153">
        <v>0</v>
      </c>
      <c r="R133" s="153">
        <v>0</v>
      </c>
      <c r="S133" s="153">
        <v>0</v>
      </c>
      <c r="T133" s="153"/>
      <c r="U133" s="153"/>
      <c r="V133" s="153"/>
      <c r="W133" s="153"/>
      <c r="X133" s="153"/>
      <c r="Y133" s="153"/>
      <c r="Z133" s="153"/>
      <c r="AA133" s="153"/>
      <c r="AB133" s="153"/>
      <c r="AC133" s="153"/>
      <c r="AD133" s="153"/>
      <c r="AE133" s="153"/>
      <c r="AF133" s="153"/>
      <c r="AG133" s="153"/>
      <c r="AH133" s="153"/>
      <c r="AI133" s="153"/>
      <c r="AJ133" s="153"/>
      <c r="AK133"/>
      <c r="AL133"/>
      <c r="AM133"/>
      <c r="AN133"/>
    </row>
    <row r="134" spans="1:40" x14ac:dyDescent="0.35">
      <c r="A134" s="153" t="s">
        <v>1194</v>
      </c>
      <c r="B134" s="153" t="s">
        <v>181</v>
      </c>
      <c r="C134" s="153" t="s">
        <v>725</v>
      </c>
      <c r="D134" s="153" t="s">
        <v>35</v>
      </c>
      <c r="E134" s="161">
        <v>1</v>
      </c>
      <c r="F134" s="153">
        <v>0</v>
      </c>
      <c r="G134" s="153">
        <v>0</v>
      </c>
      <c r="H134" s="153">
        <v>0</v>
      </c>
      <c r="I134" s="153">
        <v>0</v>
      </c>
      <c r="J134" s="153">
        <v>0</v>
      </c>
      <c r="K134" s="153">
        <v>0</v>
      </c>
      <c r="L134" s="153">
        <v>0</v>
      </c>
      <c r="M134" s="153">
        <v>0</v>
      </c>
      <c r="N134" s="153">
        <v>0</v>
      </c>
      <c r="O134" s="153">
        <v>0</v>
      </c>
      <c r="P134" s="153">
        <v>0</v>
      </c>
      <c r="Q134" s="153">
        <v>0</v>
      </c>
      <c r="R134" s="153">
        <v>0</v>
      </c>
      <c r="S134" s="153">
        <v>0</v>
      </c>
      <c r="T134" s="153"/>
      <c r="U134" s="153"/>
      <c r="V134" s="153"/>
      <c r="W134" s="153"/>
      <c r="X134" s="153"/>
      <c r="Y134" s="153"/>
      <c r="Z134" s="153"/>
      <c r="AA134" s="153"/>
      <c r="AB134" s="153"/>
      <c r="AC134" s="153"/>
      <c r="AD134" s="153"/>
      <c r="AE134" s="153"/>
      <c r="AF134" s="153"/>
      <c r="AG134" s="153"/>
      <c r="AH134" s="153"/>
      <c r="AI134" s="153"/>
      <c r="AJ134" s="153"/>
      <c r="AK134"/>
      <c r="AL134"/>
      <c r="AM134"/>
      <c r="AN134"/>
    </row>
    <row r="135" spans="1:40" x14ac:dyDescent="0.35">
      <c r="A135" s="153" t="s">
        <v>1194</v>
      </c>
      <c r="B135" s="153" t="s">
        <v>182</v>
      </c>
      <c r="C135" s="153" t="s">
        <v>726</v>
      </c>
      <c r="D135" s="153" t="s">
        <v>35</v>
      </c>
      <c r="E135" s="161">
        <v>1</v>
      </c>
      <c r="F135" s="153">
        <v>0</v>
      </c>
      <c r="G135" s="153">
        <v>0</v>
      </c>
      <c r="H135" s="153">
        <v>0</v>
      </c>
      <c r="I135" s="153">
        <v>0</v>
      </c>
      <c r="J135" s="153">
        <v>0</v>
      </c>
      <c r="K135" s="153">
        <v>0</v>
      </c>
      <c r="L135" s="153">
        <v>0</v>
      </c>
      <c r="M135" s="153">
        <v>0</v>
      </c>
      <c r="N135" s="153">
        <v>0</v>
      </c>
      <c r="O135" s="153">
        <v>0</v>
      </c>
      <c r="P135" s="153">
        <v>0</v>
      </c>
      <c r="Q135" s="153">
        <v>0</v>
      </c>
      <c r="R135" s="153">
        <v>0</v>
      </c>
      <c r="S135" s="153">
        <v>0</v>
      </c>
      <c r="T135" s="153"/>
      <c r="U135" s="153"/>
      <c r="V135" s="153"/>
      <c r="W135" s="153"/>
      <c r="X135" s="153"/>
      <c r="Y135" s="153"/>
      <c r="Z135" s="153"/>
      <c r="AA135" s="153"/>
      <c r="AB135" s="153"/>
      <c r="AC135" s="153"/>
      <c r="AD135" s="153"/>
      <c r="AE135" s="153"/>
      <c r="AF135" s="153"/>
      <c r="AG135" s="153"/>
      <c r="AH135" s="153"/>
      <c r="AI135" s="153"/>
      <c r="AJ135" s="153"/>
      <c r="AK135"/>
      <c r="AL135"/>
      <c r="AM135"/>
      <c r="AN135"/>
    </row>
    <row r="136" spans="1:40" x14ac:dyDescent="0.35">
      <c r="A136" s="153"/>
      <c r="B136" s="153"/>
      <c r="C136" s="153"/>
      <c r="D136" s="153"/>
      <c r="E136" s="161"/>
      <c r="F136" s="153">
        <v>0</v>
      </c>
      <c r="G136" s="153"/>
      <c r="H136" s="153"/>
      <c r="I136" s="153"/>
      <c r="J136" s="153"/>
      <c r="K136" s="153"/>
      <c r="L136" s="153"/>
      <c r="M136" s="153"/>
      <c r="N136" s="153"/>
      <c r="O136" s="153"/>
      <c r="P136" s="153"/>
      <c r="Q136" s="153"/>
      <c r="R136" s="153"/>
      <c r="S136" s="153"/>
      <c r="T136" s="153"/>
      <c r="U136" s="153"/>
      <c r="V136" s="153"/>
      <c r="W136" s="153"/>
      <c r="X136" s="153"/>
      <c r="Y136" s="153"/>
      <c r="Z136" s="153"/>
      <c r="AA136" s="153"/>
      <c r="AB136" s="153"/>
      <c r="AC136" s="153"/>
      <c r="AD136" s="153"/>
      <c r="AE136" s="153"/>
      <c r="AF136" s="153"/>
      <c r="AG136" s="153"/>
      <c r="AH136" s="153"/>
      <c r="AI136" s="153"/>
      <c r="AJ136" s="153"/>
      <c r="AK136"/>
      <c r="AL136"/>
      <c r="AM136"/>
      <c r="AN136"/>
    </row>
    <row r="137" spans="1:40" x14ac:dyDescent="0.35">
      <c r="A137" s="153" t="s">
        <v>2</v>
      </c>
      <c r="B137" s="153" t="s">
        <v>179</v>
      </c>
      <c r="C137" s="153" t="s">
        <v>184</v>
      </c>
      <c r="D137" s="153" t="s">
        <v>35</v>
      </c>
      <c r="E137" s="161">
        <v>1</v>
      </c>
      <c r="F137" s="153">
        <v>0</v>
      </c>
      <c r="G137" s="153">
        <v>0</v>
      </c>
      <c r="H137" s="153">
        <v>0</v>
      </c>
      <c r="I137" s="153">
        <v>0</v>
      </c>
      <c r="J137" s="153">
        <v>0</v>
      </c>
      <c r="K137" s="153">
        <v>0</v>
      </c>
      <c r="L137" s="153">
        <v>0</v>
      </c>
      <c r="M137" s="153">
        <v>0</v>
      </c>
      <c r="N137" s="153">
        <v>0</v>
      </c>
      <c r="O137" s="153">
        <v>0</v>
      </c>
      <c r="P137" s="153">
        <v>0</v>
      </c>
      <c r="Q137" s="153">
        <v>0</v>
      </c>
      <c r="R137" s="153">
        <v>0</v>
      </c>
      <c r="S137" s="153">
        <v>0</v>
      </c>
      <c r="T137" s="153"/>
      <c r="U137" s="153"/>
      <c r="V137" s="153"/>
      <c r="W137" s="153"/>
      <c r="X137" s="153"/>
      <c r="Y137" s="153"/>
      <c r="Z137" s="153"/>
      <c r="AA137" s="153"/>
      <c r="AB137" s="153"/>
      <c r="AC137" s="153"/>
      <c r="AD137" s="153"/>
      <c r="AE137" s="153"/>
      <c r="AF137" s="153"/>
      <c r="AG137" s="153"/>
      <c r="AH137" s="153"/>
      <c r="AI137" s="153"/>
      <c r="AJ137" s="153"/>
      <c r="AK137"/>
      <c r="AL137"/>
      <c r="AM137"/>
      <c r="AN137"/>
    </row>
    <row r="138" spans="1:40" x14ac:dyDescent="0.35">
      <c r="A138" s="153" t="s">
        <v>2</v>
      </c>
      <c r="B138" s="153" t="s">
        <v>180</v>
      </c>
      <c r="C138" s="153" t="s">
        <v>185</v>
      </c>
      <c r="D138" s="153" t="s">
        <v>35</v>
      </c>
      <c r="E138" s="161">
        <v>1</v>
      </c>
      <c r="F138" s="153">
        <v>0</v>
      </c>
      <c r="G138" s="153">
        <v>0</v>
      </c>
      <c r="H138" s="153">
        <v>0</v>
      </c>
      <c r="I138" s="153">
        <v>0</v>
      </c>
      <c r="J138" s="153">
        <v>0</v>
      </c>
      <c r="K138" s="153">
        <v>0</v>
      </c>
      <c r="L138" s="153">
        <v>0</v>
      </c>
      <c r="M138" s="153">
        <v>0</v>
      </c>
      <c r="N138" s="153">
        <v>0</v>
      </c>
      <c r="O138" s="153">
        <v>0</v>
      </c>
      <c r="P138" s="153">
        <v>0</v>
      </c>
      <c r="Q138" s="153">
        <v>0</v>
      </c>
      <c r="R138" s="153">
        <v>0</v>
      </c>
      <c r="S138" s="153">
        <v>0</v>
      </c>
      <c r="T138" s="153"/>
      <c r="U138" s="153"/>
      <c r="V138" s="153"/>
      <c r="W138" s="153"/>
      <c r="X138" s="153"/>
      <c r="Y138" s="153"/>
      <c r="Z138" s="153"/>
      <c r="AA138" s="153"/>
      <c r="AB138" s="153"/>
      <c r="AC138" s="153"/>
      <c r="AD138" s="153"/>
      <c r="AE138" s="153"/>
      <c r="AF138" s="153"/>
      <c r="AG138" s="153"/>
      <c r="AH138" s="153"/>
      <c r="AI138" s="153"/>
      <c r="AJ138" s="153"/>
      <c r="AK138"/>
      <c r="AL138"/>
      <c r="AM138"/>
      <c r="AN138"/>
    </row>
    <row r="139" spans="1:40" x14ac:dyDescent="0.35">
      <c r="A139" s="153" t="s">
        <v>2</v>
      </c>
      <c r="B139" s="153" t="s">
        <v>183</v>
      </c>
      <c r="C139" s="153" t="s">
        <v>186</v>
      </c>
      <c r="D139" s="153" t="s">
        <v>35</v>
      </c>
      <c r="E139" s="161">
        <v>1</v>
      </c>
      <c r="F139" s="153">
        <v>0</v>
      </c>
      <c r="G139" s="153">
        <v>0</v>
      </c>
      <c r="H139" s="153">
        <v>0</v>
      </c>
      <c r="I139" s="153">
        <v>0</v>
      </c>
      <c r="J139" s="153">
        <v>0</v>
      </c>
      <c r="K139" s="153">
        <v>0</v>
      </c>
      <c r="L139" s="153">
        <v>0</v>
      </c>
      <c r="M139" s="153">
        <v>0</v>
      </c>
      <c r="N139" s="153">
        <v>0</v>
      </c>
      <c r="O139" s="153">
        <v>0</v>
      </c>
      <c r="P139" s="153">
        <v>0</v>
      </c>
      <c r="Q139" s="153">
        <v>0</v>
      </c>
      <c r="R139" s="153">
        <v>0</v>
      </c>
      <c r="S139" s="153">
        <v>0</v>
      </c>
      <c r="T139" s="153"/>
      <c r="U139" s="153"/>
      <c r="V139" s="153"/>
      <c r="W139" s="153"/>
      <c r="X139" s="153"/>
      <c r="Y139" s="153"/>
      <c r="Z139" s="153"/>
      <c r="AA139" s="153"/>
      <c r="AB139" s="153"/>
      <c r="AC139" s="153"/>
      <c r="AD139" s="153"/>
      <c r="AE139" s="153"/>
      <c r="AF139" s="153"/>
      <c r="AG139" s="153"/>
      <c r="AH139" s="153"/>
      <c r="AI139" s="153"/>
      <c r="AJ139" s="153"/>
      <c r="AK139"/>
      <c r="AL139"/>
      <c r="AM139"/>
      <c r="AN139"/>
    </row>
    <row r="140" spans="1:40" x14ac:dyDescent="0.35">
      <c r="A140" s="153" t="s">
        <v>2</v>
      </c>
      <c r="B140" s="153" t="s">
        <v>182</v>
      </c>
      <c r="C140" s="153" t="s">
        <v>187</v>
      </c>
      <c r="D140" s="153" t="s">
        <v>35</v>
      </c>
      <c r="E140" s="161">
        <v>1</v>
      </c>
      <c r="F140" s="153">
        <v>0</v>
      </c>
      <c r="G140" s="153">
        <v>0</v>
      </c>
      <c r="H140" s="153">
        <v>0</v>
      </c>
      <c r="I140" s="153">
        <v>0</v>
      </c>
      <c r="J140" s="153">
        <v>0</v>
      </c>
      <c r="K140" s="153">
        <v>0</v>
      </c>
      <c r="L140" s="153">
        <v>0</v>
      </c>
      <c r="M140" s="153">
        <v>0</v>
      </c>
      <c r="N140" s="153">
        <v>0</v>
      </c>
      <c r="O140" s="153">
        <v>0</v>
      </c>
      <c r="P140" s="153">
        <v>0</v>
      </c>
      <c r="Q140" s="153">
        <v>0</v>
      </c>
      <c r="R140" s="153">
        <v>0</v>
      </c>
      <c r="S140" s="153">
        <v>0</v>
      </c>
      <c r="T140" s="153"/>
      <c r="U140" s="153"/>
      <c r="V140" s="153"/>
      <c r="W140" s="153"/>
      <c r="X140" s="153"/>
      <c r="Y140" s="153"/>
      <c r="Z140" s="153"/>
      <c r="AA140" s="153"/>
      <c r="AB140" s="153"/>
      <c r="AC140" s="153"/>
      <c r="AD140" s="153"/>
      <c r="AE140" s="153"/>
      <c r="AF140" s="153"/>
      <c r="AG140" s="153"/>
      <c r="AH140" s="153"/>
      <c r="AI140" s="153"/>
      <c r="AJ140" s="153"/>
      <c r="AK140"/>
      <c r="AL140"/>
      <c r="AM140"/>
      <c r="AN140"/>
    </row>
    <row r="141" spans="1:40" x14ac:dyDescent="0.35">
      <c r="A141" s="153"/>
      <c r="B141" s="153"/>
      <c r="C141" s="153"/>
      <c r="D141" s="153"/>
      <c r="E141" s="161"/>
      <c r="F141" s="153">
        <v>0</v>
      </c>
      <c r="G141" s="153"/>
      <c r="H141" s="153"/>
      <c r="I141" s="153"/>
      <c r="J141" s="153"/>
      <c r="K141" s="153"/>
      <c r="L141" s="153"/>
      <c r="M141" s="153"/>
      <c r="N141" s="153"/>
      <c r="O141" s="153"/>
      <c r="P141" s="153"/>
      <c r="Q141" s="153"/>
      <c r="R141" s="153"/>
      <c r="S141" s="153"/>
      <c r="T141" s="153"/>
      <c r="U141" s="153"/>
      <c r="V141" s="153"/>
      <c r="W141" s="153"/>
      <c r="X141" s="153"/>
      <c r="Y141" s="153"/>
      <c r="Z141" s="153"/>
      <c r="AA141" s="153"/>
      <c r="AB141" s="153"/>
      <c r="AC141" s="153"/>
      <c r="AD141" s="153"/>
      <c r="AE141" s="153"/>
      <c r="AF141" s="153"/>
      <c r="AG141" s="153"/>
      <c r="AH141" s="153"/>
      <c r="AI141" s="153"/>
      <c r="AJ141" s="153"/>
      <c r="AK141"/>
      <c r="AL141"/>
      <c r="AM141"/>
      <c r="AN141"/>
    </row>
    <row r="142" spans="1:40" x14ac:dyDescent="0.35">
      <c r="A142" s="153" t="s">
        <v>2</v>
      </c>
      <c r="B142" s="153" t="s">
        <v>179</v>
      </c>
      <c r="C142" s="153" t="s">
        <v>862</v>
      </c>
      <c r="D142" s="153" t="s">
        <v>35</v>
      </c>
      <c r="E142" s="161">
        <v>1</v>
      </c>
      <c r="F142" s="153">
        <v>0</v>
      </c>
      <c r="G142" s="153">
        <v>0</v>
      </c>
      <c r="H142" s="153">
        <v>0</v>
      </c>
      <c r="I142" s="153">
        <v>0</v>
      </c>
      <c r="J142" s="153">
        <v>0</v>
      </c>
      <c r="K142" s="153">
        <v>0</v>
      </c>
      <c r="L142" s="153">
        <v>0</v>
      </c>
      <c r="M142" s="153">
        <v>0</v>
      </c>
      <c r="N142" s="153">
        <v>0</v>
      </c>
      <c r="O142" s="153">
        <v>0</v>
      </c>
      <c r="P142" s="153">
        <v>0</v>
      </c>
      <c r="Q142" s="153">
        <v>0</v>
      </c>
      <c r="R142" s="153">
        <v>0</v>
      </c>
      <c r="S142" s="153">
        <v>0</v>
      </c>
      <c r="T142" s="153"/>
      <c r="U142" s="153"/>
      <c r="V142" s="153"/>
      <c r="W142" s="153"/>
      <c r="X142" s="153"/>
      <c r="Y142" s="153"/>
      <c r="Z142" s="153"/>
      <c r="AA142" s="153"/>
      <c r="AB142" s="153"/>
      <c r="AC142" s="153"/>
      <c r="AD142" s="153"/>
      <c r="AE142" s="153"/>
      <c r="AF142" s="153"/>
      <c r="AG142" s="153"/>
      <c r="AH142" s="153"/>
      <c r="AI142" s="153"/>
      <c r="AJ142" s="153"/>
      <c r="AK142"/>
      <c r="AL142"/>
      <c r="AM142"/>
      <c r="AN142"/>
    </row>
    <row r="143" spans="1:40" x14ac:dyDescent="0.35">
      <c r="A143" s="153" t="s">
        <v>2</v>
      </c>
      <c r="B143" s="153" t="s">
        <v>180</v>
      </c>
      <c r="C143" s="153" t="s">
        <v>863</v>
      </c>
      <c r="D143" s="153" t="s">
        <v>35</v>
      </c>
      <c r="E143" s="161">
        <v>1</v>
      </c>
      <c r="F143" s="153">
        <v>0</v>
      </c>
      <c r="G143" s="153">
        <v>0</v>
      </c>
      <c r="H143" s="153">
        <v>0</v>
      </c>
      <c r="I143" s="153">
        <v>0</v>
      </c>
      <c r="J143" s="153">
        <v>0</v>
      </c>
      <c r="K143" s="153">
        <v>0</v>
      </c>
      <c r="L143" s="153">
        <v>0</v>
      </c>
      <c r="M143" s="153">
        <v>0</v>
      </c>
      <c r="N143" s="153">
        <v>0</v>
      </c>
      <c r="O143" s="153">
        <v>0</v>
      </c>
      <c r="P143" s="153">
        <v>0</v>
      </c>
      <c r="Q143" s="153">
        <v>0</v>
      </c>
      <c r="R143" s="153">
        <v>0</v>
      </c>
      <c r="S143" s="153">
        <v>0</v>
      </c>
      <c r="T143" s="153"/>
      <c r="U143" s="153"/>
      <c r="V143" s="153"/>
      <c r="W143" s="153"/>
      <c r="X143" s="153"/>
      <c r="Y143" s="153"/>
      <c r="Z143" s="153"/>
      <c r="AA143" s="153"/>
      <c r="AB143" s="153"/>
      <c r="AC143" s="153"/>
      <c r="AD143" s="153"/>
      <c r="AE143" s="153"/>
      <c r="AF143" s="153"/>
      <c r="AG143" s="153"/>
      <c r="AH143" s="153"/>
      <c r="AI143" s="153"/>
      <c r="AJ143" s="153"/>
      <c r="AK143"/>
      <c r="AL143"/>
      <c r="AM143"/>
      <c r="AN143"/>
    </row>
    <row r="144" spans="1:40" x14ac:dyDescent="0.35">
      <c r="A144" s="153" t="s">
        <v>2</v>
      </c>
      <c r="B144" s="153" t="s">
        <v>183</v>
      </c>
      <c r="C144" s="153" t="s">
        <v>864</v>
      </c>
      <c r="D144" s="153" t="s">
        <v>35</v>
      </c>
      <c r="E144" s="161">
        <v>1</v>
      </c>
      <c r="F144" s="153">
        <v>0</v>
      </c>
      <c r="G144" s="153">
        <v>0</v>
      </c>
      <c r="H144" s="153">
        <v>0</v>
      </c>
      <c r="I144" s="153">
        <v>0</v>
      </c>
      <c r="J144" s="153">
        <v>0</v>
      </c>
      <c r="K144" s="153">
        <v>0</v>
      </c>
      <c r="L144" s="153">
        <v>0</v>
      </c>
      <c r="M144" s="153">
        <v>0</v>
      </c>
      <c r="N144" s="153">
        <v>0</v>
      </c>
      <c r="O144" s="153">
        <v>0</v>
      </c>
      <c r="P144" s="153">
        <v>0</v>
      </c>
      <c r="Q144" s="153">
        <v>0</v>
      </c>
      <c r="R144" s="153">
        <v>0</v>
      </c>
      <c r="S144" s="153">
        <v>0</v>
      </c>
      <c r="T144" s="153"/>
      <c r="U144" s="153"/>
      <c r="V144" s="153"/>
      <c r="W144" s="153"/>
      <c r="X144" s="153"/>
      <c r="Y144" s="153"/>
      <c r="Z144" s="153"/>
      <c r="AA144" s="153"/>
      <c r="AB144" s="153"/>
      <c r="AC144" s="153"/>
      <c r="AD144" s="153"/>
      <c r="AE144" s="153"/>
      <c r="AF144" s="153"/>
      <c r="AG144" s="153"/>
      <c r="AH144" s="153"/>
      <c r="AI144" s="153"/>
      <c r="AJ144" s="153"/>
      <c r="AK144"/>
      <c r="AL144"/>
      <c r="AM144"/>
      <c r="AN144"/>
    </row>
    <row r="145" spans="1:40" x14ac:dyDescent="0.35">
      <c r="A145" s="153" t="s">
        <v>2</v>
      </c>
      <c r="B145" s="153" t="s">
        <v>182</v>
      </c>
      <c r="C145" s="153" t="s">
        <v>865</v>
      </c>
      <c r="D145" s="153" t="s">
        <v>35</v>
      </c>
      <c r="E145" s="161">
        <v>1</v>
      </c>
      <c r="F145" s="153">
        <v>0</v>
      </c>
      <c r="G145" s="153">
        <v>0</v>
      </c>
      <c r="H145" s="153">
        <v>0</v>
      </c>
      <c r="I145" s="153">
        <v>0</v>
      </c>
      <c r="J145" s="153">
        <v>0</v>
      </c>
      <c r="K145" s="153">
        <v>0</v>
      </c>
      <c r="L145" s="153">
        <v>0</v>
      </c>
      <c r="M145" s="153">
        <v>0</v>
      </c>
      <c r="N145" s="153">
        <v>0</v>
      </c>
      <c r="O145" s="153">
        <v>0</v>
      </c>
      <c r="P145" s="153">
        <v>0</v>
      </c>
      <c r="Q145" s="153">
        <v>0</v>
      </c>
      <c r="R145" s="153">
        <v>0</v>
      </c>
      <c r="S145" s="153">
        <v>0</v>
      </c>
      <c r="T145" s="153"/>
      <c r="U145" s="153"/>
      <c r="V145" s="153"/>
      <c r="W145" s="153"/>
      <c r="X145" s="153"/>
      <c r="Y145" s="153"/>
      <c r="Z145" s="153"/>
      <c r="AA145" s="153"/>
      <c r="AB145" s="153"/>
      <c r="AC145" s="153"/>
      <c r="AD145" s="153"/>
      <c r="AE145" s="153"/>
      <c r="AF145" s="153"/>
      <c r="AG145" s="153"/>
      <c r="AH145" s="153"/>
      <c r="AI145" s="153"/>
      <c r="AJ145" s="153"/>
      <c r="AK145"/>
      <c r="AL145"/>
      <c r="AM145"/>
      <c r="AN145"/>
    </row>
    <row r="146" spans="1:40" x14ac:dyDescent="0.35">
      <c r="A146" s="153"/>
      <c r="B146" s="153"/>
      <c r="C146" s="153"/>
      <c r="D146" s="153"/>
      <c r="E146" s="161"/>
      <c r="F146" s="153">
        <v>0</v>
      </c>
      <c r="G146" s="153"/>
      <c r="H146" s="153"/>
      <c r="I146" s="153"/>
      <c r="J146" s="153"/>
      <c r="K146" s="153"/>
      <c r="L146" s="153"/>
      <c r="M146" s="153"/>
      <c r="N146" s="153"/>
      <c r="O146" s="153"/>
      <c r="P146" s="153"/>
      <c r="Q146" s="153"/>
      <c r="R146" s="153"/>
      <c r="S146" s="153"/>
      <c r="T146" s="153"/>
      <c r="U146" s="153"/>
      <c r="V146" s="153"/>
      <c r="W146" s="153"/>
      <c r="X146" s="153"/>
      <c r="Y146" s="153"/>
      <c r="Z146" s="153"/>
      <c r="AA146" s="153"/>
      <c r="AB146" s="153"/>
      <c r="AC146" s="153"/>
      <c r="AD146" s="153"/>
      <c r="AE146" s="153"/>
      <c r="AF146" s="153"/>
      <c r="AG146" s="153"/>
      <c r="AH146" s="153"/>
      <c r="AI146" s="153"/>
      <c r="AJ146" s="153"/>
      <c r="AK146"/>
      <c r="AL146"/>
      <c r="AM146"/>
      <c r="AN146"/>
    </row>
    <row r="147" spans="1:40" x14ac:dyDescent="0.35">
      <c r="A147" s="153" t="s">
        <v>353</v>
      </c>
      <c r="B147" s="153" t="s">
        <v>179</v>
      </c>
      <c r="C147" s="153" t="s">
        <v>429</v>
      </c>
      <c r="D147" s="153" t="s">
        <v>35</v>
      </c>
      <c r="E147" s="161">
        <v>1</v>
      </c>
      <c r="F147" s="153">
        <v>0</v>
      </c>
      <c r="G147" s="153">
        <v>0</v>
      </c>
      <c r="H147" s="153">
        <v>0</v>
      </c>
      <c r="I147" s="153">
        <v>0</v>
      </c>
      <c r="J147" s="153">
        <v>0</v>
      </c>
      <c r="K147" s="153">
        <v>0</v>
      </c>
      <c r="L147" s="153">
        <v>0</v>
      </c>
      <c r="M147" s="153">
        <v>0</v>
      </c>
      <c r="N147" s="153">
        <v>0</v>
      </c>
      <c r="O147" s="153">
        <v>0</v>
      </c>
      <c r="P147" s="153">
        <v>0</v>
      </c>
      <c r="Q147" s="153">
        <v>0</v>
      </c>
      <c r="R147" s="153">
        <v>0</v>
      </c>
      <c r="S147" s="153">
        <v>0</v>
      </c>
      <c r="T147" s="153"/>
      <c r="U147" s="153"/>
      <c r="V147" s="153"/>
      <c r="W147" s="153"/>
      <c r="X147" s="153"/>
      <c r="Y147" s="153"/>
      <c r="Z147" s="153"/>
      <c r="AA147" s="153"/>
      <c r="AB147" s="153"/>
      <c r="AC147" s="153"/>
      <c r="AD147" s="153"/>
      <c r="AE147" s="153"/>
      <c r="AF147" s="153"/>
      <c r="AG147" s="153"/>
      <c r="AH147" s="153"/>
      <c r="AI147" s="153"/>
      <c r="AJ147" s="153"/>
      <c r="AK147"/>
      <c r="AL147"/>
      <c r="AM147"/>
      <c r="AN147"/>
    </row>
    <row r="148" spans="1:40" x14ac:dyDescent="0.35">
      <c r="A148" s="153" t="s">
        <v>353</v>
      </c>
      <c r="B148" s="153" t="s">
        <v>180</v>
      </c>
      <c r="C148" s="153" t="s">
        <v>430</v>
      </c>
      <c r="D148" s="153" t="s">
        <v>35</v>
      </c>
      <c r="E148" s="161">
        <v>1</v>
      </c>
      <c r="F148" s="153">
        <v>0</v>
      </c>
      <c r="G148" s="153">
        <v>0</v>
      </c>
      <c r="H148" s="153">
        <v>0</v>
      </c>
      <c r="I148" s="153">
        <v>0</v>
      </c>
      <c r="J148" s="153">
        <v>0</v>
      </c>
      <c r="K148" s="153">
        <v>0</v>
      </c>
      <c r="L148" s="153">
        <v>0</v>
      </c>
      <c r="M148" s="153">
        <v>0</v>
      </c>
      <c r="N148" s="153">
        <v>0</v>
      </c>
      <c r="O148" s="153">
        <v>0</v>
      </c>
      <c r="P148" s="153">
        <v>0</v>
      </c>
      <c r="Q148" s="153">
        <v>0</v>
      </c>
      <c r="R148" s="153">
        <v>0</v>
      </c>
      <c r="S148" s="153">
        <v>0</v>
      </c>
      <c r="T148" s="153"/>
      <c r="U148" s="153"/>
      <c r="V148" s="153"/>
      <c r="W148" s="153"/>
      <c r="X148" s="153"/>
      <c r="Y148" s="153"/>
      <c r="Z148" s="153"/>
      <c r="AA148" s="153"/>
      <c r="AB148" s="153"/>
      <c r="AC148" s="153"/>
      <c r="AD148" s="153"/>
      <c r="AE148" s="153"/>
      <c r="AF148" s="153"/>
      <c r="AG148" s="153"/>
      <c r="AH148" s="153"/>
      <c r="AI148" s="153"/>
      <c r="AJ148" s="153"/>
      <c r="AK148"/>
      <c r="AL148"/>
      <c r="AM148"/>
      <c r="AN148"/>
    </row>
    <row r="149" spans="1:40" x14ac:dyDescent="0.35">
      <c r="A149" s="153" t="s">
        <v>353</v>
      </c>
      <c r="B149" s="153" t="s">
        <v>181</v>
      </c>
      <c r="C149" s="153" t="s">
        <v>431</v>
      </c>
      <c r="D149" s="153" t="s">
        <v>35</v>
      </c>
      <c r="E149" s="161">
        <v>1</v>
      </c>
      <c r="F149" s="153">
        <v>0</v>
      </c>
      <c r="G149" s="153">
        <v>0</v>
      </c>
      <c r="H149" s="153">
        <v>0</v>
      </c>
      <c r="I149" s="153">
        <v>0</v>
      </c>
      <c r="J149" s="153">
        <v>0</v>
      </c>
      <c r="K149" s="153">
        <v>0</v>
      </c>
      <c r="L149" s="153">
        <v>0</v>
      </c>
      <c r="M149" s="153">
        <v>0</v>
      </c>
      <c r="N149" s="153">
        <v>0</v>
      </c>
      <c r="O149" s="153">
        <v>0</v>
      </c>
      <c r="P149" s="153">
        <v>0</v>
      </c>
      <c r="Q149" s="153">
        <v>0</v>
      </c>
      <c r="R149" s="153">
        <v>0</v>
      </c>
      <c r="S149" s="153">
        <v>0</v>
      </c>
      <c r="T149" s="153"/>
      <c r="U149" s="153"/>
      <c r="V149" s="153"/>
      <c r="W149" s="153"/>
      <c r="X149" s="153"/>
      <c r="Y149" s="153"/>
      <c r="Z149" s="153"/>
      <c r="AA149" s="153"/>
      <c r="AB149" s="153"/>
      <c r="AC149" s="153"/>
      <c r="AD149" s="153"/>
      <c r="AE149" s="153"/>
      <c r="AF149" s="153"/>
      <c r="AG149" s="153"/>
      <c r="AH149" s="153"/>
      <c r="AI149" s="153"/>
      <c r="AJ149" s="153"/>
      <c r="AK149"/>
      <c r="AL149"/>
      <c r="AM149"/>
      <c r="AN149"/>
    </row>
    <row r="150" spans="1:40" x14ac:dyDescent="0.35">
      <c r="A150" s="153" t="s">
        <v>353</v>
      </c>
      <c r="B150" s="153" t="s">
        <v>182</v>
      </c>
      <c r="C150" s="153" t="s">
        <v>432</v>
      </c>
      <c r="D150" s="153" t="s">
        <v>35</v>
      </c>
      <c r="E150" s="161">
        <v>1</v>
      </c>
      <c r="F150" s="153">
        <v>0</v>
      </c>
      <c r="G150" s="153">
        <v>0</v>
      </c>
      <c r="H150" s="153">
        <v>0</v>
      </c>
      <c r="I150" s="153">
        <v>0</v>
      </c>
      <c r="J150" s="153">
        <v>0</v>
      </c>
      <c r="K150" s="153">
        <v>0</v>
      </c>
      <c r="L150" s="153">
        <v>0</v>
      </c>
      <c r="M150" s="153">
        <v>0</v>
      </c>
      <c r="N150" s="153">
        <v>0</v>
      </c>
      <c r="O150" s="153">
        <v>0</v>
      </c>
      <c r="P150" s="153">
        <v>0</v>
      </c>
      <c r="Q150" s="153">
        <v>0</v>
      </c>
      <c r="R150" s="153">
        <v>0</v>
      </c>
      <c r="S150" s="153">
        <v>0</v>
      </c>
      <c r="T150" s="153"/>
      <c r="U150" s="153"/>
      <c r="V150" s="153"/>
      <c r="W150" s="153"/>
      <c r="X150" s="153"/>
      <c r="Y150" s="153"/>
      <c r="Z150" s="153"/>
      <c r="AA150" s="153"/>
      <c r="AB150" s="153"/>
      <c r="AC150" s="153"/>
      <c r="AD150" s="153"/>
      <c r="AE150" s="153"/>
      <c r="AF150" s="153"/>
      <c r="AG150" s="153"/>
      <c r="AH150" s="153"/>
      <c r="AI150" s="153"/>
      <c r="AJ150" s="153"/>
      <c r="AK150"/>
      <c r="AL150"/>
      <c r="AM150"/>
      <c r="AN150"/>
    </row>
    <row r="151" spans="1:40" x14ac:dyDescent="0.35">
      <c r="A151" s="153"/>
      <c r="B151" s="153"/>
      <c r="C151" s="153"/>
      <c r="D151" s="153"/>
      <c r="E151" s="161"/>
      <c r="F151" s="153">
        <v>0</v>
      </c>
      <c r="G151" s="153"/>
      <c r="H151" s="153"/>
      <c r="I151" s="153"/>
      <c r="J151" s="153"/>
      <c r="K151" s="153"/>
      <c r="L151" s="153"/>
      <c r="M151" s="153"/>
      <c r="N151" s="153"/>
      <c r="O151" s="153"/>
      <c r="P151" s="153"/>
      <c r="Q151" s="153"/>
      <c r="R151" s="153"/>
      <c r="S151" s="153"/>
      <c r="T151" s="153"/>
      <c r="U151" s="153"/>
      <c r="V151" s="153"/>
      <c r="W151" s="153"/>
      <c r="X151" s="153"/>
      <c r="Y151" s="153"/>
      <c r="Z151" s="153"/>
      <c r="AA151" s="153"/>
      <c r="AB151" s="153"/>
      <c r="AC151" s="153"/>
      <c r="AD151" s="153"/>
      <c r="AE151" s="153"/>
      <c r="AF151" s="153"/>
      <c r="AG151" s="153"/>
      <c r="AH151" s="153"/>
      <c r="AI151" s="153"/>
      <c r="AJ151" s="153"/>
      <c r="AK151"/>
      <c r="AL151"/>
      <c r="AM151"/>
      <c r="AN151"/>
    </row>
    <row r="152" spans="1:40" x14ac:dyDescent="0.35">
      <c r="A152" s="153" t="s">
        <v>352</v>
      </c>
      <c r="B152" s="153" t="s">
        <v>179</v>
      </c>
      <c r="C152" s="153" t="s">
        <v>433</v>
      </c>
      <c r="D152" s="153" t="s">
        <v>35</v>
      </c>
      <c r="E152" s="161">
        <v>1</v>
      </c>
      <c r="F152" s="153">
        <v>0</v>
      </c>
      <c r="G152" s="153">
        <v>0</v>
      </c>
      <c r="H152" s="153">
        <v>0</v>
      </c>
      <c r="I152" s="153">
        <v>0</v>
      </c>
      <c r="J152" s="153">
        <v>0</v>
      </c>
      <c r="K152" s="153">
        <v>0</v>
      </c>
      <c r="L152" s="153">
        <v>0</v>
      </c>
      <c r="M152" s="153">
        <v>0</v>
      </c>
      <c r="N152" s="153">
        <v>0</v>
      </c>
      <c r="O152" s="153">
        <v>0</v>
      </c>
      <c r="P152" s="153">
        <v>0</v>
      </c>
      <c r="Q152" s="153">
        <v>0</v>
      </c>
      <c r="R152" s="153">
        <v>0</v>
      </c>
      <c r="S152" s="153">
        <v>0</v>
      </c>
      <c r="T152" s="153"/>
      <c r="U152" s="153"/>
      <c r="V152" s="153"/>
      <c r="W152" s="153"/>
      <c r="X152" s="153"/>
      <c r="Y152" s="153"/>
      <c r="Z152" s="153"/>
      <c r="AA152" s="153"/>
      <c r="AB152" s="153"/>
      <c r="AC152" s="153"/>
      <c r="AD152" s="153"/>
      <c r="AE152" s="153"/>
      <c r="AF152" s="153"/>
      <c r="AG152" s="153"/>
      <c r="AH152" s="153"/>
      <c r="AI152" s="153"/>
      <c r="AJ152" s="153"/>
      <c r="AK152"/>
      <c r="AL152"/>
      <c r="AM152"/>
      <c r="AN152"/>
    </row>
    <row r="153" spans="1:40" x14ac:dyDescent="0.35">
      <c r="A153" s="153" t="s">
        <v>352</v>
      </c>
      <c r="B153" s="153" t="s">
        <v>180</v>
      </c>
      <c r="C153" s="153" t="s">
        <v>434</v>
      </c>
      <c r="D153" s="153" t="s">
        <v>35</v>
      </c>
      <c r="E153" s="161">
        <v>1</v>
      </c>
      <c r="F153" s="153">
        <v>0</v>
      </c>
      <c r="G153" s="153">
        <v>0</v>
      </c>
      <c r="H153" s="153">
        <v>0</v>
      </c>
      <c r="I153" s="153">
        <v>0</v>
      </c>
      <c r="J153" s="153">
        <v>0</v>
      </c>
      <c r="K153" s="153">
        <v>0</v>
      </c>
      <c r="L153" s="153">
        <v>0</v>
      </c>
      <c r="M153" s="153">
        <v>0</v>
      </c>
      <c r="N153" s="153">
        <v>0</v>
      </c>
      <c r="O153" s="153">
        <v>0</v>
      </c>
      <c r="P153" s="153">
        <v>0</v>
      </c>
      <c r="Q153" s="153">
        <v>0</v>
      </c>
      <c r="R153" s="153">
        <v>0</v>
      </c>
      <c r="S153" s="153">
        <v>0</v>
      </c>
      <c r="T153" s="153"/>
      <c r="U153" s="153"/>
      <c r="V153" s="153"/>
      <c r="W153" s="153"/>
      <c r="X153" s="153"/>
      <c r="Y153" s="153"/>
      <c r="Z153" s="153"/>
      <c r="AA153" s="153"/>
      <c r="AB153" s="153"/>
      <c r="AC153" s="153"/>
      <c r="AD153" s="153"/>
      <c r="AE153" s="153"/>
      <c r="AF153" s="153"/>
      <c r="AG153" s="153"/>
      <c r="AH153" s="153"/>
      <c r="AI153" s="153"/>
      <c r="AJ153" s="153"/>
      <c r="AK153"/>
      <c r="AL153"/>
      <c r="AM153"/>
      <c r="AN153"/>
    </row>
    <row r="154" spans="1:40" x14ac:dyDescent="0.35">
      <c r="A154" s="153" t="s">
        <v>352</v>
      </c>
      <c r="B154" s="153" t="s">
        <v>181</v>
      </c>
      <c r="C154" s="153" t="s">
        <v>435</v>
      </c>
      <c r="D154" s="153" t="s">
        <v>35</v>
      </c>
      <c r="E154" s="161">
        <v>1</v>
      </c>
      <c r="F154" s="153">
        <v>0</v>
      </c>
      <c r="G154" s="153">
        <v>0</v>
      </c>
      <c r="H154" s="153">
        <v>0</v>
      </c>
      <c r="I154" s="153">
        <v>0</v>
      </c>
      <c r="J154" s="153">
        <v>0</v>
      </c>
      <c r="K154" s="153">
        <v>0</v>
      </c>
      <c r="L154" s="153">
        <v>0</v>
      </c>
      <c r="M154" s="153">
        <v>0</v>
      </c>
      <c r="N154" s="153">
        <v>0</v>
      </c>
      <c r="O154" s="153">
        <v>0</v>
      </c>
      <c r="P154" s="153">
        <v>0</v>
      </c>
      <c r="Q154" s="153">
        <v>0</v>
      </c>
      <c r="R154" s="153">
        <v>0</v>
      </c>
      <c r="S154" s="153">
        <v>0</v>
      </c>
      <c r="T154" s="153"/>
      <c r="U154" s="153"/>
      <c r="V154" s="153"/>
      <c r="W154" s="153"/>
      <c r="X154" s="153"/>
      <c r="Y154" s="153"/>
      <c r="Z154" s="153"/>
      <c r="AA154" s="153"/>
      <c r="AB154" s="153"/>
      <c r="AC154" s="153"/>
      <c r="AD154" s="153"/>
      <c r="AE154" s="153"/>
      <c r="AF154" s="153"/>
      <c r="AG154" s="153"/>
      <c r="AH154" s="153"/>
      <c r="AI154" s="153"/>
      <c r="AJ154" s="153"/>
      <c r="AK154"/>
      <c r="AL154"/>
      <c r="AM154"/>
      <c r="AN154"/>
    </row>
    <row r="155" spans="1:40" x14ac:dyDescent="0.35">
      <c r="A155" s="153" t="s">
        <v>352</v>
      </c>
      <c r="B155" s="153" t="s">
        <v>182</v>
      </c>
      <c r="C155" s="153" t="s">
        <v>436</v>
      </c>
      <c r="D155" s="153" t="s">
        <v>35</v>
      </c>
      <c r="E155" s="161">
        <v>1</v>
      </c>
      <c r="F155" s="153">
        <v>0</v>
      </c>
      <c r="G155" s="153">
        <v>0</v>
      </c>
      <c r="H155" s="153">
        <v>0</v>
      </c>
      <c r="I155" s="153">
        <v>0</v>
      </c>
      <c r="J155" s="153">
        <v>0</v>
      </c>
      <c r="K155" s="153">
        <v>0</v>
      </c>
      <c r="L155" s="153">
        <v>0</v>
      </c>
      <c r="M155" s="153">
        <v>0</v>
      </c>
      <c r="N155" s="153">
        <v>0</v>
      </c>
      <c r="O155" s="153">
        <v>0</v>
      </c>
      <c r="P155" s="153">
        <v>0</v>
      </c>
      <c r="Q155" s="153">
        <v>0</v>
      </c>
      <c r="R155" s="153">
        <v>0</v>
      </c>
      <c r="S155" s="153">
        <v>0</v>
      </c>
      <c r="T155" s="153"/>
      <c r="U155" s="153"/>
      <c r="V155" s="153"/>
      <c r="W155" s="153"/>
      <c r="X155" s="153"/>
      <c r="Y155" s="153"/>
      <c r="Z155" s="153"/>
      <c r="AA155" s="153"/>
      <c r="AB155" s="153"/>
      <c r="AC155" s="153"/>
      <c r="AD155" s="153"/>
      <c r="AE155" s="153"/>
      <c r="AF155" s="153"/>
      <c r="AG155" s="153"/>
      <c r="AH155" s="153"/>
      <c r="AI155" s="153"/>
      <c r="AJ155" s="153"/>
      <c r="AK155"/>
      <c r="AL155"/>
      <c r="AM155"/>
      <c r="AN155"/>
    </row>
    <row r="156" spans="1:40" x14ac:dyDescent="0.35">
      <c r="A156" s="153"/>
      <c r="B156" s="153"/>
      <c r="C156" s="153"/>
      <c r="D156" s="153"/>
      <c r="E156" s="161"/>
      <c r="F156" s="153">
        <v>0</v>
      </c>
      <c r="G156" s="153"/>
      <c r="H156" s="153"/>
      <c r="I156" s="153"/>
      <c r="J156" s="153"/>
      <c r="K156" s="153"/>
      <c r="L156" s="153"/>
      <c r="M156" s="153"/>
      <c r="N156" s="153"/>
      <c r="O156" s="153"/>
      <c r="P156" s="153"/>
      <c r="Q156" s="153"/>
      <c r="R156" s="153"/>
      <c r="S156" s="153"/>
      <c r="T156" s="153"/>
      <c r="U156" s="153"/>
      <c r="V156" s="153"/>
      <c r="W156" s="153"/>
      <c r="X156" s="153"/>
      <c r="Y156" s="153"/>
      <c r="Z156" s="153"/>
      <c r="AA156" s="153"/>
      <c r="AB156" s="153"/>
      <c r="AC156" s="153"/>
      <c r="AD156" s="153"/>
      <c r="AE156" s="153"/>
      <c r="AF156" s="153"/>
      <c r="AG156" s="153"/>
      <c r="AH156" s="153"/>
      <c r="AI156" s="153"/>
      <c r="AJ156" s="153"/>
      <c r="AK156"/>
      <c r="AL156"/>
      <c r="AM156"/>
      <c r="AN156"/>
    </row>
    <row r="157" spans="1:40" x14ac:dyDescent="0.35">
      <c r="A157" s="153" t="s">
        <v>1346</v>
      </c>
      <c r="B157" s="153" t="s">
        <v>179</v>
      </c>
      <c r="C157" s="153" t="s">
        <v>1364</v>
      </c>
      <c r="D157" s="153" t="s">
        <v>35</v>
      </c>
      <c r="E157" s="161">
        <v>1</v>
      </c>
      <c r="F157" s="153">
        <v>0</v>
      </c>
      <c r="G157" s="153">
        <v>0</v>
      </c>
      <c r="H157" s="153">
        <v>0</v>
      </c>
      <c r="I157" s="153">
        <v>0</v>
      </c>
      <c r="J157" s="153">
        <v>0</v>
      </c>
      <c r="K157" s="153">
        <v>0</v>
      </c>
      <c r="L157" s="153">
        <v>0</v>
      </c>
      <c r="M157" s="153">
        <v>0</v>
      </c>
      <c r="N157" s="153">
        <v>0</v>
      </c>
      <c r="O157" s="153">
        <v>0</v>
      </c>
      <c r="P157" s="153">
        <v>0</v>
      </c>
      <c r="Q157" s="153">
        <v>0</v>
      </c>
      <c r="R157" s="153">
        <v>0</v>
      </c>
      <c r="S157" s="153">
        <v>0</v>
      </c>
      <c r="T157" s="153"/>
      <c r="U157" s="153"/>
      <c r="V157" s="153"/>
      <c r="W157" s="153"/>
      <c r="X157" s="153"/>
      <c r="Y157" s="153"/>
      <c r="Z157" s="153"/>
      <c r="AA157" s="153"/>
      <c r="AB157" s="153"/>
      <c r="AC157" s="153"/>
      <c r="AD157" s="153"/>
      <c r="AE157" s="153"/>
      <c r="AF157" s="153"/>
      <c r="AG157" s="153"/>
      <c r="AH157" s="153"/>
      <c r="AI157" s="153"/>
      <c r="AJ157" s="153"/>
      <c r="AK157"/>
      <c r="AL157"/>
      <c r="AM157"/>
      <c r="AN157"/>
    </row>
    <row r="158" spans="1:40" x14ac:dyDescent="0.35">
      <c r="A158" s="153" t="s">
        <v>1346</v>
      </c>
      <c r="B158" s="153" t="s">
        <v>180</v>
      </c>
      <c r="C158" s="153" t="s">
        <v>1365</v>
      </c>
      <c r="D158" s="153" t="s">
        <v>35</v>
      </c>
      <c r="E158" s="161">
        <v>1</v>
      </c>
      <c r="F158" s="153">
        <v>0</v>
      </c>
      <c r="G158" s="153">
        <v>0</v>
      </c>
      <c r="H158" s="153">
        <v>0</v>
      </c>
      <c r="I158" s="153">
        <v>19</v>
      </c>
      <c r="J158" s="153">
        <v>0</v>
      </c>
      <c r="K158" s="153">
        <v>0</v>
      </c>
      <c r="L158" s="153">
        <v>0</v>
      </c>
      <c r="M158" s="153">
        <v>0</v>
      </c>
      <c r="N158" s="153">
        <v>0</v>
      </c>
      <c r="O158" s="153">
        <v>0</v>
      </c>
      <c r="P158" s="153">
        <v>0</v>
      </c>
      <c r="Q158" s="153">
        <v>0</v>
      </c>
      <c r="R158" s="153">
        <v>0</v>
      </c>
      <c r="S158" s="153">
        <v>0</v>
      </c>
      <c r="T158" s="153"/>
      <c r="U158" s="153"/>
      <c r="V158" s="153"/>
      <c r="W158" s="153"/>
      <c r="X158" s="153"/>
      <c r="Y158" s="153"/>
      <c r="Z158" s="153"/>
      <c r="AA158" s="153"/>
      <c r="AB158" s="153"/>
      <c r="AC158" s="153"/>
      <c r="AD158" s="153"/>
      <c r="AE158" s="153"/>
      <c r="AF158" s="153"/>
      <c r="AG158" s="153"/>
      <c r="AH158" s="153"/>
      <c r="AI158" s="153"/>
      <c r="AJ158" s="153"/>
      <c r="AK158"/>
      <c r="AL158"/>
      <c r="AM158"/>
      <c r="AN158"/>
    </row>
    <row r="159" spans="1:40" x14ac:dyDescent="0.35">
      <c r="A159" s="153" t="s">
        <v>1346</v>
      </c>
      <c r="B159" s="153" t="s">
        <v>181</v>
      </c>
      <c r="C159" s="153" t="s">
        <v>1366</v>
      </c>
      <c r="D159" s="153" t="s">
        <v>35</v>
      </c>
      <c r="E159" s="161">
        <v>1</v>
      </c>
      <c r="F159" s="153">
        <v>0</v>
      </c>
      <c r="G159" s="153">
        <v>0</v>
      </c>
      <c r="H159" s="153">
        <v>0</v>
      </c>
      <c r="I159" s="153">
        <v>0</v>
      </c>
      <c r="J159" s="153">
        <v>0</v>
      </c>
      <c r="K159" s="153">
        <v>0</v>
      </c>
      <c r="L159" s="153">
        <v>0</v>
      </c>
      <c r="M159" s="153">
        <v>0</v>
      </c>
      <c r="N159" s="153">
        <v>0</v>
      </c>
      <c r="O159" s="153">
        <v>0</v>
      </c>
      <c r="P159" s="153">
        <v>0</v>
      </c>
      <c r="Q159" s="153">
        <v>0</v>
      </c>
      <c r="R159" s="153">
        <v>0</v>
      </c>
      <c r="S159" s="153">
        <v>0</v>
      </c>
      <c r="T159" s="153"/>
      <c r="U159" s="153"/>
      <c r="V159" s="153"/>
      <c r="W159" s="153"/>
      <c r="X159" s="153"/>
      <c r="Y159" s="153"/>
      <c r="Z159" s="153"/>
      <c r="AA159" s="153"/>
      <c r="AB159" s="153"/>
      <c r="AC159" s="153"/>
      <c r="AD159" s="153"/>
      <c r="AE159" s="153"/>
      <c r="AF159" s="153"/>
      <c r="AG159" s="153"/>
      <c r="AH159" s="153"/>
      <c r="AI159" s="153"/>
      <c r="AJ159" s="153"/>
      <c r="AK159"/>
      <c r="AL159"/>
      <c r="AM159"/>
      <c r="AN159"/>
    </row>
    <row r="160" spans="1:40" x14ac:dyDescent="0.35">
      <c r="A160" s="153" t="s">
        <v>1346</v>
      </c>
      <c r="B160" s="153" t="s">
        <v>182</v>
      </c>
      <c r="C160" s="153" t="s">
        <v>1367</v>
      </c>
      <c r="D160" s="153" t="s">
        <v>35</v>
      </c>
      <c r="E160" s="161">
        <v>1</v>
      </c>
      <c r="F160" s="153">
        <v>0</v>
      </c>
      <c r="G160" s="153">
        <v>0</v>
      </c>
      <c r="H160" s="153">
        <v>0</v>
      </c>
      <c r="I160" s="153">
        <v>0</v>
      </c>
      <c r="J160" s="153">
        <v>0</v>
      </c>
      <c r="K160" s="153">
        <v>0</v>
      </c>
      <c r="L160" s="153">
        <v>0</v>
      </c>
      <c r="M160" s="153">
        <v>0</v>
      </c>
      <c r="N160" s="153">
        <v>0</v>
      </c>
      <c r="O160" s="153">
        <v>0</v>
      </c>
      <c r="P160" s="153">
        <v>0</v>
      </c>
      <c r="Q160" s="153">
        <v>0</v>
      </c>
      <c r="R160" s="153">
        <v>0</v>
      </c>
      <c r="S160" s="153">
        <v>0</v>
      </c>
      <c r="T160" s="153"/>
      <c r="U160" s="153"/>
      <c r="V160" s="153"/>
      <c r="W160" s="153"/>
      <c r="X160" s="153"/>
      <c r="Y160" s="153"/>
      <c r="Z160" s="153"/>
      <c r="AA160" s="153"/>
      <c r="AB160" s="153"/>
      <c r="AC160" s="153"/>
      <c r="AD160" s="153"/>
      <c r="AE160" s="153"/>
      <c r="AF160" s="153"/>
      <c r="AG160" s="153"/>
      <c r="AH160" s="153"/>
      <c r="AI160" s="153"/>
      <c r="AJ160" s="153"/>
      <c r="AK160"/>
      <c r="AL160"/>
      <c r="AM160"/>
      <c r="AN160"/>
    </row>
    <row r="161" spans="1:40" x14ac:dyDescent="0.35">
      <c r="A161" s="153"/>
      <c r="B161" s="153"/>
      <c r="C161" s="153"/>
      <c r="D161" s="153"/>
      <c r="E161" s="161"/>
      <c r="F161" s="153">
        <v>0</v>
      </c>
      <c r="G161" s="153"/>
      <c r="H161" s="153"/>
      <c r="I161" s="153"/>
      <c r="J161" s="153"/>
      <c r="K161" s="153"/>
      <c r="L161" s="153"/>
      <c r="M161" s="153"/>
      <c r="N161" s="153"/>
      <c r="O161" s="153"/>
      <c r="P161" s="153"/>
      <c r="Q161" s="153"/>
      <c r="R161" s="153"/>
      <c r="S161" s="153"/>
      <c r="T161" s="153"/>
      <c r="U161" s="153"/>
      <c r="V161" s="153"/>
      <c r="W161" s="153"/>
      <c r="X161" s="153"/>
      <c r="Y161" s="153"/>
      <c r="Z161" s="153"/>
      <c r="AA161" s="153"/>
      <c r="AB161" s="153"/>
      <c r="AC161" s="153"/>
      <c r="AD161" s="153"/>
      <c r="AE161" s="153"/>
      <c r="AF161" s="153"/>
      <c r="AG161" s="153"/>
      <c r="AH161" s="153"/>
      <c r="AI161" s="153"/>
      <c r="AJ161" s="153"/>
      <c r="AK161"/>
      <c r="AL161"/>
      <c r="AM161"/>
      <c r="AN161"/>
    </row>
    <row r="162" spans="1:40" x14ac:dyDescent="0.35">
      <c r="A162" s="153" t="s">
        <v>922</v>
      </c>
      <c r="B162" s="153" t="s">
        <v>179</v>
      </c>
      <c r="C162" s="153" t="s">
        <v>956</v>
      </c>
      <c r="D162" s="153" t="s">
        <v>67</v>
      </c>
      <c r="E162" s="161">
        <v>1</v>
      </c>
      <c r="F162" s="153">
        <v>0</v>
      </c>
      <c r="G162" s="153">
        <v>0</v>
      </c>
      <c r="H162" s="153">
        <v>0</v>
      </c>
      <c r="I162" s="153">
        <v>0</v>
      </c>
      <c r="J162" s="153">
        <v>0</v>
      </c>
      <c r="K162" s="153">
        <v>0</v>
      </c>
      <c r="L162" s="153">
        <v>0</v>
      </c>
      <c r="M162" s="153">
        <v>0</v>
      </c>
      <c r="N162" s="153">
        <v>0</v>
      </c>
      <c r="O162" s="153">
        <v>0</v>
      </c>
      <c r="P162" s="153">
        <v>0</v>
      </c>
      <c r="Q162" s="153">
        <v>0</v>
      </c>
      <c r="R162" s="153">
        <v>0</v>
      </c>
      <c r="S162" s="153">
        <v>0</v>
      </c>
      <c r="T162" s="153"/>
      <c r="U162" s="153"/>
      <c r="V162" s="153"/>
      <c r="W162" s="153"/>
      <c r="X162" s="153"/>
      <c r="Y162" s="153"/>
      <c r="Z162" s="153"/>
      <c r="AA162" s="153"/>
      <c r="AB162" s="153"/>
      <c r="AC162" s="153"/>
      <c r="AD162" s="153"/>
      <c r="AE162" s="153"/>
      <c r="AF162" s="153"/>
      <c r="AG162" s="153"/>
      <c r="AH162" s="153"/>
      <c r="AI162" s="153"/>
      <c r="AJ162" s="153"/>
      <c r="AK162"/>
      <c r="AL162"/>
      <c r="AM162"/>
      <c r="AN162"/>
    </row>
    <row r="163" spans="1:40" x14ac:dyDescent="0.35">
      <c r="A163" s="153" t="s">
        <v>922</v>
      </c>
      <c r="B163" s="153" t="s">
        <v>180</v>
      </c>
      <c r="C163" s="153" t="s">
        <v>957</v>
      </c>
      <c r="D163" s="153" t="s">
        <v>67</v>
      </c>
      <c r="E163" s="161">
        <v>1</v>
      </c>
      <c r="F163" s="153">
        <v>0</v>
      </c>
      <c r="G163" s="153">
        <v>0</v>
      </c>
      <c r="H163" s="153">
        <v>0</v>
      </c>
      <c r="I163" s="153">
        <v>0</v>
      </c>
      <c r="J163" s="153">
        <v>0</v>
      </c>
      <c r="K163" s="153">
        <v>0</v>
      </c>
      <c r="L163" s="153">
        <v>0</v>
      </c>
      <c r="M163" s="153">
        <v>0</v>
      </c>
      <c r="N163" s="153">
        <v>0</v>
      </c>
      <c r="O163" s="153">
        <v>0</v>
      </c>
      <c r="P163" s="153">
        <v>0</v>
      </c>
      <c r="Q163" s="153">
        <v>0</v>
      </c>
      <c r="R163" s="153">
        <v>0</v>
      </c>
      <c r="S163" s="153">
        <v>0</v>
      </c>
      <c r="T163" s="153"/>
      <c r="U163" s="153"/>
      <c r="V163" s="153"/>
      <c r="W163" s="153"/>
      <c r="X163" s="153"/>
      <c r="Y163" s="153"/>
      <c r="Z163" s="153"/>
      <c r="AA163" s="153"/>
      <c r="AB163" s="153"/>
      <c r="AC163" s="153"/>
      <c r="AD163" s="153"/>
      <c r="AE163" s="153"/>
      <c r="AF163" s="153"/>
      <c r="AG163" s="153"/>
      <c r="AH163" s="153"/>
      <c r="AI163" s="153"/>
      <c r="AJ163" s="153"/>
      <c r="AK163"/>
      <c r="AL163"/>
      <c r="AM163"/>
      <c r="AN163"/>
    </row>
    <row r="164" spans="1:40" x14ac:dyDescent="0.35">
      <c r="A164" s="153" t="s">
        <v>922</v>
      </c>
      <c r="B164" s="153" t="s">
        <v>181</v>
      </c>
      <c r="C164" s="153" t="s">
        <v>958</v>
      </c>
      <c r="D164" s="153" t="s">
        <v>67</v>
      </c>
      <c r="E164" s="161">
        <v>1</v>
      </c>
      <c r="F164" s="153">
        <v>0</v>
      </c>
      <c r="G164" s="153">
        <v>0</v>
      </c>
      <c r="H164" s="153">
        <v>0</v>
      </c>
      <c r="I164" s="153">
        <v>0</v>
      </c>
      <c r="J164" s="153">
        <v>0</v>
      </c>
      <c r="K164" s="153">
        <v>0</v>
      </c>
      <c r="L164" s="153">
        <v>0</v>
      </c>
      <c r="M164" s="153">
        <v>0</v>
      </c>
      <c r="N164" s="153">
        <v>0</v>
      </c>
      <c r="O164" s="153">
        <v>0</v>
      </c>
      <c r="P164" s="153">
        <v>0</v>
      </c>
      <c r="Q164" s="153">
        <v>0</v>
      </c>
      <c r="R164" s="153">
        <v>0</v>
      </c>
      <c r="S164" s="153">
        <v>0</v>
      </c>
      <c r="T164" s="153"/>
      <c r="U164" s="153"/>
      <c r="V164" s="153"/>
      <c r="W164" s="153"/>
      <c r="X164" s="153"/>
      <c r="Y164" s="153"/>
      <c r="Z164" s="153"/>
      <c r="AA164" s="153"/>
      <c r="AB164" s="153"/>
      <c r="AC164" s="153"/>
      <c r="AD164" s="153"/>
      <c r="AE164" s="153"/>
      <c r="AF164" s="153"/>
      <c r="AG164" s="153"/>
      <c r="AH164" s="153"/>
      <c r="AI164" s="153"/>
      <c r="AJ164" s="153"/>
      <c r="AK164"/>
      <c r="AL164"/>
      <c r="AM164"/>
      <c r="AN164"/>
    </row>
    <row r="165" spans="1:40" x14ac:dyDescent="0.35">
      <c r="A165" s="153" t="s">
        <v>922</v>
      </c>
      <c r="B165" s="153" t="s">
        <v>182</v>
      </c>
      <c r="C165" s="153" t="s">
        <v>959</v>
      </c>
      <c r="D165" s="153" t="s">
        <v>67</v>
      </c>
      <c r="E165" s="161">
        <v>1</v>
      </c>
      <c r="F165" s="153">
        <v>0</v>
      </c>
      <c r="G165" s="153">
        <v>0</v>
      </c>
      <c r="H165" s="153">
        <v>0</v>
      </c>
      <c r="I165" s="153">
        <v>0</v>
      </c>
      <c r="J165" s="153">
        <v>0</v>
      </c>
      <c r="K165" s="153">
        <v>0</v>
      </c>
      <c r="L165" s="153">
        <v>0</v>
      </c>
      <c r="M165" s="153">
        <v>0</v>
      </c>
      <c r="N165" s="153">
        <v>0</v>
      </c>
      <c r="O165" s="153">
        <v>0</v>
      </c>
      <c r="P165" s="153">
        <v>0</v>
      </c>
      <c r="Q165" s="153">
        <v>0</v>
      </c>
      <c r="R165" s="153">
        <v>0</v>
      </c>
      <c r="S165" s="153">
        <v>0</v>
      </c>
      <c r="T165" s="153"/>
      <c r="U165" s="153"/>
      <c r="V165" s="153"/>
      <c r="W165" s="153"/>
      <c r="X165" s="153"/>
      <c r="Y165" s="153"/>
      <c r="Z165" s="153"/>
      <c r="AA165" s="153"/>
      <c r="AB165" s="153"/>
      <c r="AC165" s="153"/>
      <c r="AD165" s="153"/>
      <c r="AE165" s="153"/>
      <c r="AF165" s="153"/>
      <c r="AG165" s="153"/>
      <c r="AH165" s="153"/>
      <c r="AI165" s="153"/>
      <c r="AJ165" s="153"/>
      <c r="AK165"/>
      <c r="AL165"/>
      <c r="AM165"/>
      <c r="AN165"/>
    </row>
    <row r="166" spans="1:40" x14ac:dyDescent="0.35">
      <c r="A166" s="153"/>
      <c r="B166" s="153"/>
      <c r="C166" s="153"/>
      <c r="D166" s="153"/>
      <c r="E166" s="161"/>
      <c r="F166" s="153">
        <v>0</v>
      </c>
      <c r="G166" s="153"/>
      <c r="H166" s="153"/>
      <c r="I166" s="153"/>
      <c r="J166" s="153"/>
      <c r="K166" s="153"/>
      <c r="L166" s="153"/>
      <c r="M166" s="153"/>
      <c r="N166" s="153"/>
      <c r="O166" s="153"/>
      <c r="P166" s="153"/>
      <c r="Q166" s="153"/>
      <c r="R166" s="153"/>
      <c r="S166" s="153"/>
      <c r="T166" s="153"/>
      <c r="U166" s="153"/>
      <c r="V166" s="153"/>
      <c r="W166" s="153"/>
      <c r="X166" s="153"/>
      <c r="Y166" s="153"/>
      <c r="Z166" s="153"/>
      <c r="AA166" s="153"/>
      <c r="AB166" s="153"/>
      <c r="AC166" s="153"/>
      <c r="AD166" s="153"/>
      <c r="AE166" s="153"/>
      <c r="AF166" s="153"/>
      <c r="AG166" s="153"/>
      <c r="AH166" s="153"/>
      <c r="AI166" s="153"/>
      <c r="AJ166" s="153"/>
      <c r="AK166"/>
      <c r="AL166"/>
      <c r="AM166"/>
      <c r="AN166"/>
    </row>
    <row r="167" spans="1:40" x14ac:dyDescent="0.35">
      <c r="A167" s="153" t="s">
        <v>923</v>
      </c>
      <c r="B167" s="153" t="s">
        <v>179</v>
      </c>
      <c r="C167" s="153" t="s">
        <v>960</v>
      </c>
      <c r="D167" s="153" t="s">
        <v>67</v>
      </c>
      <c r="E167" s="161">
        <v>1</v>
      </c>
      <c r="F167" s="153">
        <v>0</v>
      </c>
      <c r="G167" s="153">
        <v>0</v>
      </c>
      <c r="H167" s="153">
        <v>0</v>
      </c>
      <c r="I167" s="153">
        <v>0</v>
      </c>
      <c r="J167" s="153">
        <v>0</v>
      </c>
      <c r="K167" s="153">
        <v>0</v>
      </c>
      <c r="L167" s="153">
        <v>0</v>
      </c>
      <c r="M167" s="153">
        <v>0</v>
      </c>
      <c r="N167" s="153">
        <v>0</v>
      </c>
      <c r="O167" s="153">
        <v>0</v>
      </c>
      <c r="P167" s="153">
        <v>0</v>
      </c>
      <c r="Q167" s="153">
        <v>0</v>
      </c>
      <c r="R167" s="153">
        <v>0</v>
      </c>
      <c r="S167" s="153">
        <v>0</v>
      </c>
      <c r="T167" s="153"/>
      <c r="U167" s="153"/>
      <c r="V167" s="153"/>
      <c r="W167" s="153"/>
      <c r="X167" s="153"/>
      <c r="Y167" s="153"/>
      <c r="Z167" s="153"/>
      <c r="AA167" s="153"/>
      <c r="AB167" s="153"/>
      <c r="AC167" s="153"/>
      <c r="AD167" s="153"/>
      <c r="AE167" s="153"/>
      <c r="AF167" s="153"/>
      <c r="AG167" s="153"/>
      <c r="AH167" s="153"/>
      <c r="AI167" s="153"/>
      <c r="AJ167" s="153"/>
      <c r="AK167"/>
      <c r="AL167"/>
      <c r="AM167"/>
      <c r="AN167"/>
    </row>
    <row r="168" spans="1:40" x14ac:dyDescent="0.35">
      <c r="A168" s="153" t="s">
        <v>923</v>
      </c>
      <c r="B168" s="153" t="s">
        <v>180</v>
      </c>
      <c r="C168" s="153" t="s">
        <v>961</v>
      </c>
      <c r="D168" s="153" t="s">
        <v>67</v>
      </c>
      <c r="E168" s="161">
        <v>1</v>
      </c>
      <c r="F168" s="153">
        <v>0</v>
      </c>
      <c r="G168" s="153">
        <v>0</v>
      </c>
      <c r="H168" s="153">
        <v>0</v>
      </c>
      <c r="I168" s="153">
        <v>0</v>
      </c>
      <c r="J168" s="153">
        <v>0</v>
      </c>
      <c r="K168" s="153">
        <v>0</v>
      </c>
      <c r="L168" s="153">
        <v>0</v>
      </c>
      <c r="M168" s="153">
        <v>0</v>
      </c>
      <c r="N168" s="153">
        <v>0</v>
      </c>
      <c r="O168" s="153">
        <v>0</v>
      </c>
      <c r="P168" s="153">
        <v>0</v>
      </c>
      <c r="Q168" s="153">
        <v>0</v>
      </c>
      <c r="R168" s="153">
        <v>0</v>
      </c>
      <c r="S168" s="153">
        <v>0</v>
      </c>
      <c r="T168" s="153"/>
      <c r="U168" s="153"/>
      <c r="V168" s="153"/>
      <c r="W168" s="153"/>
      <c r="X168" s="153"/>
      <c r="Y168" s="153"/>
      <c r="Z168" s="153"/>
      <c r="AA168" s="153"/>
      <c r="AB168" s="153"/>
      <c r="AC168" s="153"/>
      <c r="AD168" s="153"/>
      <c r="AE168" s="153"/>
      <c r="AF168" s="153"/>
      <c r="AG168" s="153"/>
      <c r="AH168" s="153"/>
      <c r="AI168" s="153"/>
      <c r="AJ168" s="153"/>
      <c r="AK168"/>
      <c r="AL168"/>
      <c r="AM168"/>
      <c r="AN168"/>
    </row>
    <row r="169" spans="1:40" x14ac:dyDescent="0.35">
      <c r="A169" s="153" t="s">
        <v>923</v>
      </c>
      <c r="B169" s="153" t="s">
        <v>181</v>
      </c>
      <c r="C169" s="153" t="s">
        <v>962</v>
      </c>
      <c r="D169" s="153" t="s">
        <v>67</v>
      </c>
      <c r="E169" s="161">
        <v>1</v>
      </c>
      <c r="F169" s="153">
        <v>0</v>
      </c>
      <c r="G169" s="153">
        <v>0</v>
      </c>
      <c r="H169" s="153">
        <v>0</v>
      </c>
      <c r="I169" s="153">
        <v>0</v>
      </c>
      <c r="J169" s="153">
        <v>0</v>
      </c>
      <c r="K169" s="153">
        <v>0</v>
      </c>
      <c r="L169" s="153">
        <v>0</v>
      </c>
      <c r="M169" s="153">
        <v>0</v>
      </c>
      <c r="N169" s="153">
        <v>0</v>
      </c>
      <c r="O169" s="153">
        <v>0</v>
      </c>
      <c r="P169" s="153">
        <v>0</v>
      </c>
      <c r="Q169" s="153">
        <v>0</v>
      </c>
      <c r="R169" s="153">
        <v>0</v>
      </c>
      <c r="S169" s="153">
        <v>0</v>
      </c>
      <c r="T169" s="153"/>
      <c r="U169" s="153"/>
      <c r="V169" s="153"/>
      <c r="W169" s="153"/>
      <c r="X169" s="153"/>
      <c r="Y169" s="153"/>
      <c r="Z169" s="153"/>
      <c r="AA169" s="153"/>
      <c r="AB169" s="153"/>
      <c r="AC169" s="153"/>
      <c r="AD169" s="153"/>
      <c r="AE169" s="153"/>
      <c r="AF169" s="153"/>
      <c r="AG169" s="153"/>
      <c r="AH169" s="153"/>
      <c r="AI169" s="153"/>
      <c r="AJ169" s="153"/>
      <c r="AK169"/>
      <c r="AL169"/>
      <c r="AM169"/>
      <c r="AN169"/>
    </row>
    <row r="170" spans="1:40" x14ac:dyDescent="0.35">
      <c r="A170" s="153" t="s">
        <v>923</v>
      </c>
      <c r="B170" s="153" t="s">
        <v>182</v>
      </c>
      <c r="C170" s="153" t="s">
        <v>963</v>
      </c>
      <c r="D170" s="153" t="s">
        <v>67</v>
      </c>
      <c r="E170" s="161">
        <v>1</v>
      </c>
      <c r="F170" s="153">
        <v>0</v>
      </c>
      <c r="G170" s="153">
        <v>0</v>
      </c>
      <c r="H170" s="153">
        <v>0</v>
      </c>
      <c r="I170" s="153">
        <v>0</v>
      </c>
      <c r="J170" s="153">
        <v>0</v>
      </c>
      <c r="K170" s="153">
        <v>0</v>
      </c>
      <c r="L170" s="153">
        <v>0</v>
      </c>
      <c r="M170" s="153">
        <v>0</v>
      </c>
      <c r="N170" s="153">
        <v>0</v>
      </c>
      <c r="O170" s="153">
        <v>0</v>
      </c>
      <c r="P170" s="153">
        <v>0</v>
      </c>
      <c r="Q170" s="153">
        <v>0</v>
      </c>
      <c r="R170" s="153">
        <v>0</v>
      </c>
      <c r="S170" s="153">
        <v>0</v>
      </c>
      <c r="T170" s="153"/>
      <c r="U170" s="153"/>
      <c r="V170" s="153"/>
      <c r="W170" s="153"/>
      <c r="X170" s="153"/>
      <c r="Y170" s="153"/>
      <c r="Z170" s="153"/>
      <c r="AA170" s="153"/>
      <c r="AB170" s="153"/>
      <c r="AC170" s="153"/>
      <c r="AD170" s="153"/>
      <c r="AE170" s="153"/>
      <c r="AF170" s="153"/>
      <c r="AG170" s="153"/>
      <c r="AH170" s="153"/>
      <c r="AI170" s="153"/>
      <c r="AJ170" s="153"/>
      <c r="AK170"/>
      <c r="AL170"/>
      <c r="AM170"/>
      <c r="AN170"/>
    </row>
    <row r="171" spans="1:40" x14ac:dyDescent="0.35">
      <c r="A171" s="153"/>
      <c r="B171" s="153"/>
      <c r="C171" s="153"/>
      <c r="D171" s="153"/>
      <c r="E171" s="161"/>
      <c r="F171" s="153">
        <v>0</v>
      </c>
      <c r="G171" s="153"/>
      <c r="H171" s="153"/>
      <c r="I171" s="153"/>
      <c r="J171" s="153"/>
      <c r="K171" s="153"/>
      <c r="L171" s="153"/>
      <c r="M171" s="153"/>
      <c r="N171" s="153"/>
      <c r="O171" s="153"/>
      <c r="P171" s="153"/>
      <c r="Q171" s="153"/>
      <c r="R171" s="153"/>
      <c r="S171" s="153"/>
      <c r="T171" s="153"/>
      <c r="U171" s="153"/>
      <c r="V171" s="153"/>
      <c r="W171" s="153"/>
      <c r="X171" s="153"/>
      <c r="Y171" s="153"/>
      <c r="Z171" s="153"/>
      <c r="AA171" s="153"/>
      <c r="AB171" s="153"/>
      <c r="AC171" s="153"/>
      <c r="AD171" s="153"/>
      <c r="AE171" s="153"/>
      <c r="AF171" s="153"/>
      <c r="AG171" s="153"/>
      <c r="AH171" s="153"/>
      <c r="AI171" s="153"/>
      <c r="AJ171" s="153"/>
      <c r="AK171"/>
      <c r="AL171"/>
      <c r="AM171"/>
      <c r="AN171"/>
    </row>
    <row r="172" spans="1:40" x14ac:dyDescent="0.35">
      <c r="A172" s="153" t="s">
        <v>606</v>
      </c>
      <c r="B172" s="153" t="s">
        <v>179</v>
      </c>
      <c r="C172" s="153" t="s">
        <v>1128</v>
      </c>
      <c r="D172" s="153" t="s">
        <v>67</v>
      </c>
      <c r="E172" s="161">
        <v>1</v>
      </c>
      <c r="F172" s="153">
        <v>0</v>
      </c>
      <c r="G172" s="153">
        <v>0</v>
      </c>
      <c r="H172" s="153">
        <v>0</v>
      </c>
      <c r="I172" s="153">
        <v>0</v>
      </c>
      <c r="J172" s="153">
        <v>0</v>
      </c>
      <c r="K172" s="153">
        <v>0</v>
      </c>
      <c r="L172" s="153">
        <v>0</v>
      </c>
      <c r="M172" s="153">
        <v>0</v>
      </c>
      <c r="N172" s="153">
        <v>0</v>
      </c>
      <c r="O172" s="153">
        <v>0</v>
      </c>
      <c r="P172" s="153">
        <v>0</v>
      </c>
      <c r="Q172" s="153">
        <v>0</v>
      </c>
      <c r="R172" s="153">
        <v>0</v>
      </c>
      <c r="S172" s="153">
        <v>0</v>
      </c>
      <c r="T172" s="153"/>
      <c r="U172" s="153"/>
      <c r="V172" s="153"/>
      <c r="W172" s="153"/>
      <c r="X172" s="153"/>
      <c r="Y172" s="153"/>
      <c r="Z172" s="153"/>
      <c r="AA172" s="153"/>
      <c r="AB172" s="153"/>
      <c r="AC172" s="153"/>
      <c r="AD172" s="153"/>
      <c r="AE172" s="153"/>
      <c r="AF172" s="153"/>
      <c r="AG172" s="153"/>
      <c r="AH172" s="153"/>
      <c r="AI172" s="153"/>
      <c r="AJ172" s="153"/>
      <c r="AK172"/>
      <c r="AL172"/>
      <c r="AM172"/>
      <c r="AN172"/>
    </row>
    <row r="173" spans="1:40" x14ac:dyDescent="0.35">
      <c r="A173" s="153" t="s">
        <v>606</v>
      </c>
      <c r="B173" s="153" t="s">
        <v>180</v>
      </c>
      <c r="C173" s="153" t="s">
        <v>1129</v>
      </c>
      <c r="D173" s="153" t="s">
        <v>67</v>
      </c>
      <c r="E173" s="161">
        <v>1</v>
      </c>
      <c r="F173" s="153">
        <v>0</v>
      </c>
      <c r="G173" s="153">
        <v>0</v>
      </c>
      <c r="H173" s="153">
        <v>0</v>
      </c>
      <c r="I173" s="153">
        <v>0</v>
      </c>
      <c r="J173" s="153">
        <v>0</v>
      </c>
      <c r="K173" s="153">
        <v>0</v>
      </c>
      <c r="L173" s="153">
        <v>0</v>
      </c>
      <c r="M173" s="153">
        <v>0</v>
      </c>
      <c r="N173" s="153">
        <v>0</v>
      </c>
      <c r="O173" s="153">
        <v>0</v>
      </c>
      <c r="P173" s="153">
        <v>0</v>
      </c>
      <c r="Q173" s="153">
        <v>0</v>
      </c>
      <c r="R173" s="153">
        <v>0</v>
      </c>
      <c r="S173" s="153">
        <v>0</v>
      </c>
      <c r="T173" s="153"/>
      <c r="U173" s="153"/>
      <c r="V173" s="153"/>
      <c r="W173" s="153"/>
      <c r="X173" s="153"/>
      <c r="Y173" s="153"/>
      <c r="Z173" s="153"/>
      <c r="AA173" s="153"/>
      <c r="AB173" s="153"/>
      <c r="AC173" s="153"/>
      <c r="AD173" s="153"/>
      <c r="AE173" s="153"/>
      <c r="AF173" s="153"/>
      <c r="AG173" s="153"/>
      <c r="AH173" s="153"/>
      <c r="AI173" s="153"/>
      <c r="AJ173" s="153"/>
      <c r="AK173"/>
      <c r="AL173"/>
      <c r="AM173"/>
      <c r="AN173"/>
    </row>
    <row r="174" spans="1:40" x14ac:dyDescent="0.35">
      <c r="A174" s="153" t="s">
        <v>606</v>
      </c>
      <c r="B174" s="153" t="s">
        <v>181</v>
      </c>
      <c r="C174" s="153" t="s">
        <v>1130</v>
      </c>
      <c r="D174" s="153" t="s">
        <v>67</v>
      </c>
      <c r="E174" s="161">
        <v>1</v>
      </c>
      <c r="F174" s="153">
        <v>0</v>
      </c>
      <c r="G174" s="153">
        <v>0</v>
      </c>
      <c r="H174" s="153">
        <v>0</v>
      </c>
      <c r="I174" s="153">
        <v>0</v>
      </c>
      <c r="J174" s="153">
        <v>0</v>
      </c>
      <c r="K174" s="153">
        <v>0</v>
      </c>
      <c r="L174" s="153">
        <v>0</v>
      </c>
      <c r="M174" s="153">
        <v>0</v>
      </c>
      <c r="N174" s="153">
        <v>0</v>
      </c>
      <c r="O174" s="153">
        <v>0</v>
      </c>
      <c r="P174" s="153">
        <v>0</v>
      </c>
      <c r="Q174" s="153">
        <v>0</v>
      </c>
      <c r="R174" s="153">
        <v>0</v>
      </c>
      <c r="S174" s="153">
        <v>0</v>
      </c>
      <c r="T174" s="153"/>
      <c r="U174" s="153"/>
      <c r="V174" s="153"/>
      <c r="W174" s="153"/>
      <c r="X174" s="153"/>
      <c r="Y174" s="153"/>
      <c r="Z174" s="153"/>
      <c r="AA174" s="153"/>
      <c r="AB174" s="153"/>
      <c r="AC174" s="153"/>
      <c r="AD174" s="153"/>
      <c r="AE174" s="153"/>
      <c r="AF174" s="153"/>
      <c r="AG174" s="153"/>
      <c r="AH174" s="153"/>
      <c r="AI174" s="153"/>
      <c r="AJ174" s="153"/>
      <c r="AK174"/>
      <c r="AL174"/>
      <c r="AM174"/>
      <c r="AN174"/>
    </row>
    <row r="175" spans="1:40" x14ac:dyDescent="0.35">
      <c r="A175" s="153" t="s">
        <v>606</v>
      </c>
      <c r="B175" s="153" t="s">
        <v>182</v>
      </c>
      <c r="C175" s="153" t="s">
        <v>1131</v>
      </c>
      <c r="D175" s="153" t="s">
        <v>67</v>
      </c>
      <c r="E175" s="161">
        <v>1</v>
      </c>
      <c r="F175" s="153">
        <v>0</v>
      </c>
      <c r="G175" s="153">
        <v>0</v>
      </c>
      <c r="H175" s="153">
        <v>0</v>
      </c>
      <c r="I175" s="153">
        <v>0</v>
      </c>
      <c r="J175" s="153">
        <v>0</v>
      </c>
      <c r="K175" s="153">
        <v>0</v>
      </c>
      <c r="L175" s="153">
        <v>0</v>
      </c>
      <c r="M175" s="153">
        <v>0</v>
      </c>
      <c r="N175" s="153">
        <v>0</v>
      </c>
      <c r="O175" s="153">
        <v>0</v>
      </c>
      <c r="P175" s="153">
        <v>0</v>
      </c>
      <c r="Q175" s="153">
        <v>0</v>
      </c>
      <c r="R175" s="153">
        <v>0</v>
      </c>
      <c r="S175" s="153">
        <v>0</v>
      </c>
      <c r="T175" s="153"/>
      <c r="U175" s="153"/>
      <c r="V175" s="153"/>
      <c r="W175" s="153"/>
      <c r="X175" s="153"/>
      <c r="Y175" s="153"/>
      <c r="Z175" s="153"/>
      <c r="AA175" s="153"/>
      <c r="AB175" s="153"/>
      <c r="AC175" s="153"/>
      <c r="AD175" s="153"/>
      <c r="AE175" s="153"/>
      <c r="AF175" s="153"/>
      <c r="AG175" s="153"/>
      <c r="AH175" s="153"/>
      <c r="AI175" s="153"/>
      <c r="AJ175" s="153"/>
      <c r="AK175"/>
      <c r="AL175"/>
      <c r="AM175"/>
      <c r="AN175"/>
    </row>
    <row r="176" spans="1:40" x14ac:dyDescent="0.35">
      <c r="A176" s="153"/>
      <c r="B176" s="153"/>
      <c r="C176" s="153"/>
      <c r="D176" s="153"/>
      <c r="E176" s="161"/>
      <c r="F176" s="153">
        <v>0</v>
      </c>
      <c r="G176" s="153"/>
      <c r="H176" s="153"/>
      <c r="I176" s="153"/>
      <c r="J176" s="153"/>
      <c r="K176" s="153"/>
      <c r="L176" s="153"/>
      <c r="M176" s="153"/>
      <c r="N176" s="153"/>
      <c r="O176" s="153"/>
      <c r="P176" s="153"/>
      <c r="Q176" s="153"/>
      <c r="R176" s="153"/>
      <c r="S176" s="153"/>
      <c r="T176" s="153"/>
      <c r="U176" s="153"/>
      <c r="V176" s="153"/>
      <c r="W176" s="153"/>
      <c r="X176" s="153"/>
      <c r="Y176" s="153"/>
      <c r="Z176" s="153"/>
      <c r="AA176" s="153"/>
      <c r="AB176" s="153"/>
      <c r="AC176" s="153"/>
      <c r="AD176" s="153"/>
      <c r="AE176" s="153"/>
      <c r="AF176" s="153"/>
      <c r="AG176" s="153"/>
      <c r="AH176" s="153"/>
      <c r="AI176" s="153"/>
      <c r="AJ176" s="153"/>
      <c r="AK176"/>
      <c r="AL176"/>
      <c r="AM176"/>
      <c r="AN176"/>
    </row>
    <row r="177" spans="1:40" x14ac:dyDescent="0.35">
      <c r="A177" s="153" t="s">
        <v>919</v>
      </c>
      <c r="B177" s="153" t="s">
        <v>179</v>
      </c>
      <c r="C177" s="153" t="s">
        <v>948</v>
      </c>
      <c r="D177" s="153" t="s">
        <v>67</v>
      </c>
      <c r="E177" s="161">
        <v>1</v>
      </c>
      <c r="F177" s="153">
        <v>0</v>
      </c>
      <c r="G177" s="153">
        <v>0</v>
      </c>
      <c r="H177" s="153">
        <v>0</v>
      </c>
      <c r="I177" s="153">
        <v>0</v>
      </c>
      <c r="J177" s="153">
        <v>0</v>
      </c>
      <c r="K177" s="153">
        <v>0</v>
      </c>
      <c r="L177" s="153">
        <v>0</v>
      </c>
      <c r="M177" s="153">
        <v>0</v>
      </c>
      <c r="N177" s="153">
        <v>0</v>
      </c>
      <c r="O177" s="153">
        <v>0</v>
      </c>
      <c r="P177" s="153">
        <v>0</v>
      </c>
      <c r="Q177" s="153">
        <v>0</v>
      </c>
      <c r="R177" s="153">
        <v>0</v>
      </c>
      <c r="S177" s="153">
        <v>0</v>
      </c>
      <c r="T177" s="153"/>
      <c r="U177" s="153"/>
      <c r="V177" s="153"/>
      <c r="W177" s="153"/>
      <c r="X177" s="153"/>
      <c r="Y177" s="153"/>
      <c r="Z177" s="153"/>
      <c r="AA177" s="153"/>
      <c r="AB177" s="153"/>
      <c r="AC177" s="153"/>
      <c r="AD177" s="153"/>
      <c r="AE177" s="153"/>
      <c r="AF177" s="153"/>
      <c r="AG177" s="153"/>
      <c r="AH177" s="153"/>
      <c r="AI177" s="153"/>
      <c r="AJ177" s="153"/>
      <c r="AK177"/>
      <c r="AL177"/>
      <c r="AM177"/>
      <c r="AN177"/>
    </row>
    <row r="178" spans="1:40" x14ac:dyDescent="0.35">
      <c r="A178" s="153" t="s">
        <v>919</v>
      </c>
      <c r="B178" s="153" t="s">
        <v>180</v>
      </c>
      <c r="C178" s="153" t="s">
        <v>949</v>
      </c>
      <c r="D178" s="153" t="s">
        <v>67</v>
      </c>
      <c r="E178" s="161">
        <v>1</v>
      </c>
      <c r="F178" s="153">
        <v>0</v>
      </c>
      <c r="G178" s="153">
        <v>0</v>
      </c>
      <c r="H178" s="153">
        <v>0</v>
      </c>
      <c r="I178" s="153">
        <v>0</v>
      </c>
      <c r="J178" s="153">
        <v>0</v>
      </c>
      <c r="K178" s="153">
        <v>0</v>
      </c>
      <c r="L178" s="153">
        <v>0</v>
      </c>
      <c r="M178" s="153">
        <v>0</v>
      </c>
      <c r="N178" s="153">
        <v>0</v>
      </c>
      <c r="O178" s="153">
        <v>0</v>
      </c>
      <c r="P178" s="153">
        <v>0</v>
      </c>
      <c r="Q178" s="153">
        <v>0</v>
      </c>
      <c r="R178" s="153">
        <v>0</v>
      </c>
      <c r="S178" s="153">
        <v>0</v>
      </c>
      <c r="T178" s="153"/>
      <c r="U178" s="153"/>
      <c r="V178" s="153"/>
      <c r="W178" s="153"/>
      <c r="X178" s="153"/>
      <c r="Y178" s="153"/>
      <c r="Z178" s="153"/>
      <c r="AA178" s="153"/>
      <c r="AB178" s="153"/>
      <c r="AC178" s="153"/>
      <c r="AD178" s="153"/>
      <c r="AE178" s="153"/>
      <c r="AF178" s="153"/>
      <c r="AG178" s="153"/>
      <c r="AH178" s="153"/>
      <c r="AI178" s="153"/>
      <c r="AJ178" s="153"/>
      <c r="AK178"/>
      <c r="AL178"/>
      <c r="AM178"/>
      <c r="AN178"/>
    </row>
    <row r="179" spans="1:40" x14ac:dyDescent="0.35">
      <c r="A179" s="153" t="s">
        <v>919</v>
      </c>
      <c r="B179" s="153" t="s">
        <v>181</v>
      </c>
      <c r="C179" s="153" t="s">
        <v>950</v>
      </c>
      <c r="D179" s="153" t="s">
        <v>67</v>
      </c>
      <c r="E179" s="161">
        <v>1</v>
      </c>
      <c r="F179" s="153">
        <v>0</v>
      </c>
      <c r="G179" s="153">
        <v>0</v>
      </c>
      <c r="H179" s="153">
        <v>0</v>
      </c>
      <c r="I179" s="153">
        <v>0</v>
      </c>
      <c r="J179" s="153">
        <v>0</v>
      </c>
      <c r="K179" s="153">
        <v>0</v>
      </c>
      <c r="L179" s="153">
        <v>0</v>
      </c>
      <c r="M179" s="153">
        <v>0</v>
      </c>
      <c r="N179" s="153">
        <v>0</v>
      </c>
      <c r="O179" s="153">
        <v>0</v>
      </c>
      <c r="P179" s="153">
        <v>0</v>
      </c>
      <c r="Q179" s="153">
        <v>0</v>
      </c>
      <c r="R179" s="153">
        <v>0</v>
      </c>
      <c r="S179" s="153">
        <v>0</v>
      </c>
      <c r="T179" s="153"/>
      <c r="U179" s="153"/>
      <c r="V179" s="153"/>
      <c r="W179" s="153"/>
      <c r="X179" s="153"/>
      <c r="Y179" s="153"/>
      <c r="Z179" s="153"/>
      <c r="AA179" s="153"/>
      <c r="AB179" s="153"/>
      <c r="AC179" s="153"/>
      <c r="AD179" s="153"/>
      <c r="AE179" s="153"/>
      <c r="AF179" s="153"/>
      <c r="AG179" s="153"/>
      <c r="AH179" s="153"/>
      <c r="AI179" s="153"/>
      <c r="AJ179" s="153"/>
      <c r="AK179"/>
      <c r="AL179"/>
      <c r="AM179"/>
      <c r="AN179"/>
    </row>
    <row r="180" spans="1:40" x14ac:dyDescent="0.35">
      <c r="A180" s="153" t="s">
        <v>919</v>
      </c>
      <c r="B180" s="153" t="s">
        <v>182</v>
      </c>
      <c r="C180" s="153" t="s">
        <v>951</v>
      </c>
      <c r="D180" s="153" t="s">
        <v>67</v>
      </c>
      <c r="E180" s="161">
        <v>1</v>
      </c>
      <c r="F180" s="153">
        <v>0</v>
      </c>
      <c r="G180" s="153">
        <v>0</v>
      </c>
      <c r="H180" s="153">
        <v>0</v>
      </c>
      <c r="I180" s="153">
        <v>0</v>
      </c>
      <c r="J180" s="153">
        <v>0</v>
      </c>
      <c r="K180" s="153">
        <v>0</v>
      </c>
      <c r="L180" s="153">
        <v>0</v>
      </c>
      <c r="M180" s="153">
        <v>0</v>
      </c>
      <c r="N180" s="153">
        <v>0</v>
      </c>
      <c r="O180" s="153">
        <v>0</v>
      </c>
      <c r="P180" s="153">
        <v>0</v>
      </c>
      <c r="Q180" s="153">
        <v>0</v>
      </c>
      <c r="R180" s="153">
        <v>0</v>
      </c>
      <c r="S180" s="153">
        <v>0</v>
      </c>
      <c r="T180" s="153"/>
      <c r="U180" s="153"/>
      <c r="V180" s="153"/>
      <c r="W180" s="153"/>
      <c r="X180" s="153"/>
      <c r="Y180" s="153"/>
      <c r="Z180" s="153"/>
      <c r="AA180" s="153"/>
      <c r="AB180" s="153"/>
      <c r="AC180" s="153"/>
      <c r="AD180" s="153"/>
      <c r="AE180" s="153"/>
      <c r="AF180" s="153"/>
      <c r="AG180" s="153"/>
      <c r="AH180" s="153"/>
      <c r="AI180" s="153"/>
      <c r="AJ180" s="153"/>
      <c r="AK180"/>
      <c r="AL180"/>
      <c r="AM180"/>
      <c r="AN180"/>
    </row>
    <row r="181" spans="1:40" x14ac:dyDescent="0.35">
      <c r="A181" s="153"/>
      <c r="B181" s="153"/>
      <c r="C181" s="153"/>
      <c r="D181" s="153"/>
      <c r="E181" s="161"/>
      <c r="F181" s="153">
        <v>0</v>
      </c>
      <c r="G181" s="153"/>
      <c r="H181" s="153"/>
      <c r="I181" s="153"/>
      <c r="J181" s="153"/>
      <c r="K181" s="153"/>
      <c r="L181" s="153"/>
      <c r="M181" s="153"/>
      <c r="N181" s="153"/>
      <c r="O181" s="153"/>
      <c r="P181" s="153"/>
      <c r="Q181" s="153"/>
      <c r="R181" s="153"/>
      <c r="S181" s="153"/>
      <c r="T181" s="153"/>
      <c r="U181" s="153"/>
      <c r="V181" s="153"/>
      <c r="W181" s="153"/>
      <c r="X181" s="153"/>
      <c r="Y181" s="153"/>
      <c r="Z181" s="153"/>
      <c r="AA181" s="153"/>
      <c r="AB181" s="153"/>
      <c r="AC181" s="153"/>
      <c r="AD181" s="153"/>
      <c r="AE181" s="153"/>
      <c r="AF181" s="153"/>
      <c r="AG181" s="153"/>
      <c r="AH181" s="153"/>
      <c r="AI181" s="153"/>
      <c r="AJ181" s="153"/>
      <c r="AK181"/>
      <c r="AL181"/>
      <c r="AM181"/>
      <c r="AN181"/>
    </row>
    <row r="182" spans="1:40" x14ac:dyDescent="0.35">
      <c r="A182" s="153" t="s">
        <v>497</v>
      </c>
      <c r="B182" s="153" t="s">
        <v>179</v>
      </c>
      <c r="C182" s="153" t="s">
        <v>657</v>
      </c>
      <c r="D182" s="153" t="s">
        <v>35</v>
      </c>
      <c r="E182" s="161">
        <v>1</v>
      </c>
      <c r="F182" s="153">
        <v>0</v>
      </c>
      <c r="G182" s="153">
        <v>0</v>
      </c>
      <c r="H182" s="153">
        <v>0</v>
      </c>
      <c r="I182" s="153">
        <v>0</v>
      </c>
      <c r="J182" s="153">
        <v>0</v>
      </c>
      <c r="K182" s="153">
        <v>0</v>
      </c>
      <c r="L182" s="153">
        <v>0</v>
      </c>
      <c r="M182" s="153">
        <v>0</v>
      </c>
      <c r="N182" s="153">
        <v>0</v>
      </c>
      <c r="O182" s="153">
        <v>0</v>
      </c>
      <c r="P182" s="153">
        <v>0</v>
      </c>
      <c r="Q182" s="153">
        <v>0</v>
      </c>
      <c r="R182" s="153">
        <v>0</v>
      </c>
      <c r="S182" s="153">
        <v>0</v>
      </c>
      <c r="T182" s="153"/>
      <c r="U182" s="153"/>
      <c r="V182" s="153"/>
      <c r="W182" s="153"/>
      <c r="X182" s="153"/>
      <c r="Y182" s="153"/>
      <c r="Z182" s="153"/>
      <c r="AA182" s="153"/>
      <c r="AB182" s="153"/>
      <c r="AC182" s="153"/>
      <c r="AD182" s="153"/>
      <c r="AE182" s="153"/>
      <c r="AF182" s="153"/>
      <c r="AG182" s="153"/>
      <c r="AH182" s="153"/>
      <c r="AI182" s="153"/>
      <c r="AJ182" s="153"/>
      <c r="AK182"/>
      <c r="AL182"/>
      <c r="AM182"/>
      <c r="AN182"/>
    </row>
    <row r="183" spans="1:40" x14ac:dyDescent="0.35">
      <c r="A183" s="153" t="s">
        <v>497</v>
      </c>
      <c r="B183" s="153" t="s">
        <v>180</v>
      </c>
      <c r="C183" s="153" t="s">
        <v>658</v>
      </c>
      <c r="D183" s="153" t="s">
        <v>35</v>
      </c>
      <c r="E183" s="161">
        <v>1</v>
      </c>
      <c r="F183" s="153">
        <v>13</v>
      </c>
      <c r="G183" s="153">
        <v>17</v>
      </c>
      <c r="H183" s="153">
        <v>0</v>
      </c>
      <c r="I183" s="153">
        <v>345</v>
      </c>
      <c r="J183" s="153">
        <v>0</v>
      </c>
      <c r="K183" s="153">
        <v>114</v>
      </c>
      <c r="L183" s="153">
        <v>129</v>
      </c>
      <c r="M183" s="153">
        <v>0</v>
      </c>
      <c r="N183" s="153">
        <v>0</v>
      </c>
      <c r="O183" s="153">
        <v>0</v>
      </c>
      <c r="P183" s="153">
        <v>239</v>
      </c>
      <c r="Q183" s="153">
        <v>0</v>
      </c>
      <c r="R183" s="153">
        <v>75</v>
      </c>
      <c r="S183" s="153">
        <v>0</v>
      </c>
      <c r="T183" s="153"/>
      <c r="U183" s="153"/>
      <c r="V183" s="153"/>
      <c r="W183" s="153"/>
      <c r="X183" s="153"/>
      <c r="Y183" s="153"/>
      <c r="Z183" s="153"/>
      <c r="AA183" s="153"/>
      <c r="AB183" s="153"/>
      <c r="AC183" s="153"/>
      <c r="AD183" s="153"/>
      <c r="AE183" s="153"/>
      <c r="AF183" s="153"/>
      <c r="AG183" s="153"/>
      <c r="AH183" s="153"/>
      <c r="AI183" s="153"/>
      <c r="AJ183" s="153"/>
      <c r="AK183"/>
      <c r="AL183"/>
      <c r="AM183"/>
      <c r="AN183"/>
    </row>
    <row r="184" spans="1:40" x14ac:dyDescent="0.35">
      <c r="A184" s="153" t="s">
        <v>497</v>
      </c>
      <c r="B184" s="153" t="s">
        <v>181</v>
      </c>
      <c r="C184" s="153" t="s">
        <v>659</v>
      </c>
      <c r="D184" s="153" t="s">
        <v>35</v>
      </c>
      <c r="E184" s="161">
        <v>1</v>
      </c>
      <c r="F184" s="153">
        <v>0</v>
      </c>
      <c r="G184" s="153">
        <v>0</v>
      </c>
      <c r="H184" s="153">
        <v>0</v>
      </c>
      <c r="I184" s="153">
        <v>0</v>
      </c>
      <c r="J184" s="153">
        <v>0</v>
      </c>
      <c r="K184" s="153">
        <v>0</v>
      </c>
      <c r="L184" s="153">
        <v>82</v>
      </c>
      <c r="M184" s="153">
        <v>0</v>
      </c>
      <c r="N184" s="153">
        <v>0</v>
      </c>
      <c r="O184" s="153">
        <v>0</v>
      </c>
      <c r="P184" s="153">
        <v>0</v>
      </c>
      <c r="Q184" s="153">
        <v>64</v>
      </c>
      <c r="R184" s="153">
        <v>0</v>
      </c>
      <c r="S184" s="153">
        <v>0</v>
      </c>
      <c r="T184" s="153"/>
      <c r="U184" s="153"/>
      <c r="V184" s="153"/>
      <c r="W184" s="153"/>
      <c r="X184" s="153"/>
      <c r="Y184" s="153"/>
      <c r="Z184" s="153"/>
      <c r="AA184" s="153"/>
      <c r="AB184" s="153"/>
      <c r="AC184" s="153"/>
      <c r="AD184" s="153"/>
      <c r="AE184" s="153"/>
      <c r="AF184" s="153"/>
      <c r="AG184" s="153"/>
      <c r="AH184" s="153"/>
      <c r="AI184" s="153"/>
      <c r="AJ184" s="153"/>
      <c r="AK184"/>
      <c r="AL184"/>
      <c r="AM184"/>
      <c r="AN184"/>
    </row>
    <row r="185" spans="1:40" x14ac:dyDescent="0.35">
      <c r="A185" s="153" t="s">
        <v>497</v>
      </c>
      <c r="B185" s="153" t="s">
        <v>182</v>
      </c>
      <c r="C185" s="153" t="s">
        <v>660</v>
      </c>
      <c r="D185" s="153" t="s">
        <v>35</v>
      </c>
      <c r="E185" s="161">
        <v>1</v>
      </c>
      <c r="F185" s="153">
        <v>0</v>
      </c>
      <c r="G185" s="153">
        <v>0</v>
      </c>
      <c r="H185" s="153">
        <v>0</v>
      </c>
      <c r="I185" s="153">
        <v>0</v>
      </c>
      <c r="J185" s="153">
        <v>0</v>
      </c>
      <c r="K185" s="153">
        <v>0</v>
      </c>
      <c r="L185" s="153">
        <v>0</v>
      </c>
      <c r="M185" s="153">
        <v>0</v>
      </c>
      <c r="N185" s="153">
        <v>0</v>
      </c>
      <c r="O185" s="153">
        <v>0</v>
      </c>
      <c r="P185" s="153">
        <v>0</v>
      </c>
      <c r="Q185" s="153">
        <v>0</v>
      </c>
      <c r="R185" s="153">
        <v>0</v>
      </c>
      <c r="S185" s="153">
        <v>0</v>
      </c>
      <c r="T185" s="153"/>
      <c r="U185" s="153"/>
      <c r="V185" s="153"/>
      <c r="W185" s="153"/>
      <c r="X185" s="153"/>
      <c r="Y185" s="153"/>
      <c r="Z185" s="153"/>
      <c r="AA185" s="153"/>
      <c r="AB185" s="153"/>
      <c r="AC185" s="153"/>
      <c r="AD185" s="153"/>
      <c r="AE185" s="153"/>
      <c r="AF185" s="153"/>
      <c r="AG185" s="153"/>
      <c r="AH185" s="153"/>
      <c r="AI185" s="153"/>
      <c r="AJ185" s="153"/>
      <c r="AK185"/>
      <c r="AL185"/>
      <c r="AM185"/>
      <c r="AN185"/>
    </row>
    <row r="186" spans="1:40" x14ac:dyDescent="0.35">
      <c r="A186" s="153"/>
      <c r="B186" s="153"/>
      <c r="C186" s="153"/>
      <c r="D186" s="153"/>
      <c r="E186" s="161"/>
      <c r="F186" s="153">
        <v>0</v>
      </c>
      <c r="G186" s="153"/>
      <c r="H186" s="153"/>
      <c r="I186" s="153"/>
      <c r="J186" s="153"/>
      <c r="K186" s="153"/>
      <c r="L186" s="153"/>
      <c r="M186" s="153"/>
      <c r="N186" s="153"/>
      <c r="O186" s="153"/>
      <c r="P186" s="153"/>
      <c r="Q186" s="153"/>
      <c r="R186" s="153"/>
      <c r="S186" s="153"/>
      <c r="T186" s="153"/>
      <c r="U186" s="153"/>
      <c r="V186" s="153"/>
      <c r="W186" s="153"/>
      <c r="X186" s="153"/>
      <c r="Y186" s="153"/>
      <c r="Z186" s="153"/>
      <c r="AA186" s="153"/>
      <c r="AB186" s="153"/>
      <c r="AC186" s="153"/>
      <c r="AD186" s="153"/>
      <c r="AE186" s="153"/>
      <c r="AF186" s="153"/>
      <c r="AG186" s="153"/>
      <c r="AH186" s="153"/>
      <c r="AI186" s="153"/>
      <c r="AJ186" s="153"/>
      <c r="AK186"/>
      <c r="AL186"/>
      <c r="AM186"/>
      <c r="AN186"/>
    </row>
    <row r="187" spans="1:40" x14ac:dyDescent="0.35">
      <c r="A187" s="153" t="s">
        <v>1306</v>
      </c>
      <c r="B187" s="153" t="s">
        <v>179</v>
      </c>
      <c r="C187" s="153" t="s">
        <v>1159</v>
      </c>
      <c r="D187" s="153" t="s">
        <v>35</v>
      </c>
      <c r="E187" s="161">
        <v>0.5</v>
      </c>
      <c r="F187" s="153">
        <v>0</v>
      </c>
      <c r="G187" s="153">
        <v>0</v>
      </c>
      <c r="H187" s="153">
        <v>0</v>
      </c>
      <c r="I187" s="153">
        <v>0</v>
      </c>
      <c r="J187" s="153">
        <v>0</v>
      </c>
      <c r="K187" s="153">
        <v>0</v>
      </c>
      <c r="L187" s="153">
        <v>0</v>
      </c>
      <c r="M187" s="153">
        <v>0</v>
      </c>
      <c r="N187" s="153">
        <v>0</v>
      </c>
      <c r="O187" s="153">
        <v>0</v>
      </c>
      <c r="P187" s="153">
        <v>0</v>
      </c>
      <c r="Q187" s="153">
        <v>0</v>
      </c>
      <c r="R187" s="153">
        <v>0</v>
      </c>
      <c r="S187" s="153">
        <v>0</v>
      </c>
      <c r="T187" s="153"/>
      <c r="U187" s="153"/>
      <c r="V187" s="153"/>
      <c r="W187" s="153"/>
      <c r="X187" s="153"/>
      <c r="Y187" s="153"/>
      <c r="Z187" s="153"/>
      <c r="AA187" s="153"/>
      <c r="AB187" s="153"/>
      <c r="AC187" s="153"/>
      <c r="AD187" s="153"/>
      <c r="AE187" s="153"/>
      <c r="AF187" s="153"/>
      <c r="AG187" s="153"/>
      <c r="AH187" s="153"/>
      <c r="AI187" s="153"/>
      <c r="AJ187" s="153"/>
      <c r="AK187"/>
      <c r="AL187"/>
      <c r="AM187"/>
      <c r="AN187"/>
    </row>
    <row r="188" spans="1:40" x14ac:dyDescent="0.35">
      <c r="A188" s="153" t="s">
        <v>1306</v>
      </c>
      <c r="B188" s="153" t="s">
        <v>180</v>
      </c>
      <c r="C188" s="153" t="s">
        <v>1160</v>
      </c>
      <c r="D188" s="153" t="s">
        <v>35</v>
      </c>
      <c r="E188" s="161">
        <v>0.5</v>
      </c>
      <c r="F188" s="153">
        <v>0</v>
      </c>
      <c r="G188" s="153">
        <v>0</v>
      </c>
      <c r="H188" s="153">
        <v>0</v>
      </c>
      <c r="I188" s="153">
        <v>0</v>
      </c>
      <c r="J188" s="153">
        <v>0</v>
      </c>
      <c r="K188" s="153">
        <v>0</v>
      </c>
      <c r="L188" s="153">
        <v>0</v>
      </c>
      <c r="M188" s="153">
        <v>0</v>
      </c>
      <c r="N188" s="153">
        <v>0</v>
      </c>
      <c r="O188" s="153">
        <v>5</v>
      </c>
      <c r="P188" s="153">
        <v>0</v>
      </c>
      <c r="Q188" s="153">
        <v>0</v>
      </c>
      <c r="R188" s="153">
        <v>0</v>
      </c>
      <c r="S188" s="153">
        <v>0</v>
      </c>
      <c r="T188" s="153"/>
      <c r="U188" s="153"/>
      <c r="V188" s="153"/>
      <c r="W188" s="153"/>
      <c r="X188" s="153"/>
      <c r="Y188" s="153"/>
      <c r="Z188" s="153"/>
      <c r="AA188" s="153"/>
      <c r="AB188" s="153"/>
      <c r="AC188" s="153"/>
      <c r="AD188" s="153"/>
      <c r="AE188" s="153"/>
      <c r="AF188" s="153"/>
      <c r="AG188" s="153"/>
      <c r="AH188" s="153"/>
      <c r="AI188" s="153"/>
      <c r="AJ188" s="153"/>
      <c r="AK188"/>
      <c r="AL188"/>
      <c r="AM188"/>
      <c r="AN188"/>
    </row>
    <row r="189" spans="1:40" x14ac:dyDescent="0.35">
      <c r="A189" s="153" t="s">
        <v>1306</v>
      </c>
      <c r="B189" s="153" t="s">
        <v>181</v>
      </c>
      <c r="C189" s="153" t="s">
        <v>1161</v>
      </c>
      <c r="D189" s="153" t="s">
        <v>35</v>
      </c>
      <c r="E189" s="161">
        <v>0.5</v>
      </c>
      <c r="F189" s="153">
        <v>0</v>
      </c>
      <c r="G189" s="153">
        <v>0</v>
      </c>
      <c r="H189" s="153">
        <v>0</v>
      </c>
      <c r="I189" s="153">
        <v>0</v>
      </c>
      <c r="J189" s="153">
        <v>0</v>
      </c>
      <c r="K189" s="153">
        <v>0</v>
      </c>
      <c r="L189" s="153">
        <v>0</v>
      </c>
      <c r="M189" s="153">
        <v>0</v>
      </c>
      <c r="N189" s="153">
        <v>0</v>
      </c>
      <c r="O189" s="153">
        <v>0</v>
      </c>
      <c r="P189" s="153">
        <v>0</v>
      </c>
      <c r="Q189" s="153">
        <v>0</v>
      </c>
      <c r="R189" s="153">
        <v>0</v>
      </c>
      <c r="S189" s="153">
        <v>0</v>
      </c>
      <c r="T189" s="153"/>
      <c r="U189" s="153"/>
      <c r="V189" s="153"/>
      <c r="W189" s="153"/>
      <c r="X189" s="153"/>
      <c r="Y189" s="153"/>
      <c r="Z189" s="153"/>
      <c r="AA189" s="153"/>
      <c r="AB189" s="153"/>
      <c r="AC189" s="153"/>
      <c r="AD189" s="153"/>
      <c r="AE189" s="153"/>
      <c r="AF189" s="153"/>
      <c r="AG189" s="153"/>
      <c r="AH189" s="153"/>
      <c r="AI189" s="153"/>
      <c r="AJ189" s="153"/>
      <c r="AK189"/>
      <c r="AL189"/>
      <c r="AM189"/>
      <c r="AN189"/>
    </row>
    <row r="190" spans="1:40" x14ac:dyDescent="0.35">
      <c r="A190" s="153" t="s">
        <v>1306</v>
      </c>
      <c r="B190" s="153" t="s">
        <v>182</v>
      </c>
      <c r="C190" s="153" t="s">
        <v>1162</v>
      </c>
      <c r="D190" s="153" t="s">
        <v>35</v>
      </c>
      <c r="E190" s="161">
        <v>0.5</v>
      </c>
      <c r="F190" s="153">
        <v>0</v>
      </c>
      <c r="G190" s="153">
        <v>0</v>
      </c>
      <c r="H190" s="153">
        <v>0</v>
      </c>
      <c r="I190" s="153">
        <v>0</v>
      </c>
      <c r="J190" s="153">
        <v>0</v>
      </c>
      <c r="K190" s="153">
        <v>0</v>
      </c>
      <c r="L190" s="153">
        <v>0</v>
      </c>
      <c r="M190" s="153">
        <v>0</v>
      </c>
      <c r="N190" s="153">
        <v>0</v>
      </c>
      <c r="O190" s="153">
        <v>0</v>
      </c>
      <c r="P190" s="153">
        <v>0</v>
      </c>
      <c r="Q190" s="153">
        <v>0</v>
      </c>
      <c r="R190" s="153">
        <v>0</v>
      </c>
      <c r="S190" s="153">
        <v>0</v>
      </c>
      <c r="T190" s="153"/>
      <c r="U190" s="153"/>
      <c r="V190" s="153"/>
      <c r="W190" s="153"/>
      <c r="X190" s="153"/>
      <c r="Y190" s="153"/>
      <c r="Z190" s="153"/>
      <c r="AA190" s="153"/>
      <c r="AB190" s="153"/>
      <c r="AC190" s="153"/>
      <c r="AD190" s="153"/>
      <c r="AE190" s="153"/>
      <c r="AF190" s="153"/>
      <c r="AG190" s="153"/>
      <c r="AH190" s="153"/>
      <c r="AI190" s="153"/>
      <c r="AJ190" s="153"/>
      <c r="AK190"/>
      <c r="AL190"/>
      <c r="AM190"/>
      <c r="AN190"/>
    </row>
    <row r="191" spans="1:40" x14ac:dyDescent="0.35">
      <c r="A191" s="153"/>
      <c r="B191" s="153"/>
      <c r="C191" s="153"/>
      <c r="D191" s="153"/>
      <c r="E191" s="161"/>
      <c r="F191" s="153">
        <v>0</v>
      </c>
      <c r="G191" s="153"/>
      <c r="H191" s="153"/>
      <c r="I191" s="153"/>
      <c r="J191" s="153"/>
      <c r="K191" s="153"/>
      <c r="L191" s="153"/>
      <c r="M191" s="153"/>
      <c r="N191" s="153"/>
      <c r="O191" s="153"/>
      <c r="P191" s="153"/>
      <c r="Q191" s="153"/>
      <c r="R191" s="153"/>
      <c r="S191" s="153"/>
      <c r="T191" s="153"/>
      <c r="U191" s="153"/>
      <c r="V191" s="153"/>
      <c r="W191" s="153"/>
      <c r="X191" s="153"/>
      <c r="Y191" s="153"/>
      <c r="Z191" s="153"/>
      <c r="AA191" s="153"/>
      <c r="AB191" s="153"/>
      <c r="AC191" s="153"/>
      <c r="AD191" s="153"/>
      <c r="AE191" s="153"/>
      <c r="AF191" s="153"/>
      <c r="AG191" s="153"/>
      <c r="AH191" s="153"/>
      <c r="AI191" s="153"/>
      <c r="AJ191" s="153"/>
      <c r="AK191"/>
      <c r="AL191"/>
      <c r="AM191"/>
      <c r="AN191"/>
    </row>
    <row r="192" spans="1:40" x14ac:dyDescent="0.35">
      <c r="A192" s="153" t="s">
        <v>1306</v>
      </c>
      <c r="B192" s="153" t="s">
        <v>179</v>
      </c>
      <c r="C192" s="153" t="s">
        <v>945</v>
      </c>
      <c r="D192" s="153" t="s">
        <v>35</v>
      </c>
      <c r="E192" s="161">
        <v>1</v>
      </c>
      <c r="F192" s="153">
        <v>0</v>
      </c>
      <c r="G192" s="153">
        <v>0</v>
      </c>
      <c r="H192" s="153">
        <v>0</v>
      </c>
      <c r="I192" s="153">
        <v>0</v>
      </c>
      <c r="J192" s="153">
        <v>0</v>
      </c>
      <c r="K192" s="153">
        <v>0</v>
      </c>
      <c r="L192" s="153">
        <v>0</v>
      </c>
      <c r="M192" s="153">
        <v>0</v>
      </c>
      <c r="N192" s="153">
        <v>0</v>
      </c>
      <c r="O192" s="153">
        <v>0</v>
      </c>
      <c r="P192" s="153">
        <v>0</v>
      </c>
      <c r="Q192" s="153">
        <v>0</v>
      </c>
      <c r="R192" s="153">
        <v>0</v>
      </c>
      <c r="S192" s="153">
        <v>0</v>
      </c>
      <c r="T192" s="153"/>
      <c r="U192" s="153"/>
      <c r="V192" s="153"/>
      <c r="W192" s="153"/>
      <c r="X192" s="153"/>
      <c r="Y192" s="153"/>
      <c r="Z192" s="153"/>
      <c r="AA192" s="153"/>
      <c r="AB192" s="153"/>
      <c r="AC192" s="153"/>
      <c r="AD192" s="153"/>
      <c r="AE192" s="153"/>
      <c r="AF192" s="153"/>
      <c r="AG192" s="153"/>
      <c r="AH192" s="153"/>
      <c r="AI192" s="153"/>
      <c r="AJ192" s="153"/>
      <c r="AK192"/>
      <c r="AL192"/>
      <c r="AM192"/>
      <c r="AN192"/>
    </row>
    <row r="193" spans="1:40" x14ac:dyDescent="0.35">
      <c r="A193" s="153" t="s">
        <v>1306</v>
      </c>
      <c r="B193" s="153" t="s">
        <v>180</v>
      </c>
      <c r="C193" s="153" t="s">
        <v>946</v>
      </c>
      <c r="D193" s="153" t="s">
        <v>35</v>
      </c>
      <c r="E193" s="161">
        <v>1</v>
      </c>
      <c r="F193" s="153">
        <v>0</v>
      </c>
      <c r="G193" s="153">
        <v>0</v>
      </c>
      <c r="H193" s="153">
        <v>0</v>
      </c>
      <c r="I193" s="153">
        <v>0</v>
      </c>
      <c r="J193" s="153">
        <v>0</v>
      </c>
      <c r="K193" s="153">
        <v>0</v>
      </c>
      <c r="L193" s="153">
        <v>0</v>
      </c>
      <c r="M193" s="153">
        <v>0</v>
      </c>
      <c r="N193" s="153">
        <v>0</v>
      </c>
      <c r="O193" s="153">
        <v>0</v>
      </c>
      <c r="P193" s="153">
        <v>0</v>
      </c>
      <c r="Q193" s="153">
        <v>0</v>
      </c>
      <c r="R193" s="153">
        <v>0</v>
      </c>
      <c r="S193" s="153">
        <v>0</v>
      </c>
      <c r="T193" s="153"/>
      <c r="U193" s="153"/>
      <c r="V193" s="153"/>
      <c r="W193" s="153"/>
      <c r="X193" s="153"/>
      <c r="Y193" s="153"/>
      <c r="Z193" s="153"/>
      <c r="AA193" s="153"/>
      <c r="AB193" s="153"/>
      <c r="AC193" s="153"/>
      <c r="AD193" s="153"/>
      <c r="AE193" s="153"/>
      <c r="AF193" s="153"/>
      <c r="AG193" s="153"/>
      <c r="AH193" s="153"/>
      <c r="AI193" s="153"/>
      <c r="AJ193" s="153"/>
      <c r="AK193"/>
      <c r="AL193"/>
      <c r="AM193"/>
      <c r="AN193"/>
    </row>
    <row r="194" spans="1:40" x14ac:dyDescent="0.35">
      <c r="A194" s="153" t="s">
        <v>1306</v>
      </c>
      <c r="B194" s="153" t="s">
        <v>183</v>
      </c>
      <c r="C194" s="153" t="s">
        <v>1163</v>
      </c>
      <c r="D194" s="153" t="s">
        <v>35</v>
      </c>
      <c r="E194" s="161">
        <v>1</v>
      </c>
      <c r="F194" s="153">
        <v>0</v>
      </c>
      <c r="G194" s="153">
        <v>0</v>
      </c>
      <c r="H194" s="153">
        <v>0</v>
      </c>
      <c r="I194" s="153">
        <v>0</v>
      </c>
      <c r="J194" s="153">
        <v>0</v>
      </c>
      <c r="K194" s="153">
        <v>0</v>
      </c>
      <c r="L194" s="153">
        <v>0</v>
      </c>
      <c r="M194" s="153">
        <v>0</v>
      </c>
      <c r="N194" s="153">
        <v>0</v>
      </c>
      <c r="O194" s="153">
        <v>0</v>
      </c>
      <c r="P194" s="153">
        <v>0</v>
      </c>
      <c r="Q194" s="153">
        <v>0</v>
      </c>
      <c r="R194" s="153">
        <v>0</v>
      </c>
      <c r="S194" s="153">
        <v>0</v>
      </c>
      <c r="T194" s="153"/>
      <c r="U194" s="153"/>
      <c r="V194" s="153"/>
      <c r="W194" s="153"/>
      <c r="X194" s="153"/>
      <c r="Y194" s="153"/>
      <c r="Z194" s="153"/>
      <c r="AA194" s="153"/>
      <c r="AB194" s="153"/>
      <c r="AC194" s="153"/>
      <c r="AD194" s="153"/>
      <c r="AE194" s="153"/>
      <c r="AF194" s="153"/>
      <c r="AG194" s="153"/>
      <c r="AH194" s="153"/>
      <c r="AI194" s="153"/>
      <c r="AJ194" s="153"/>
      <c r="AK194"/>
      <c r="AL194"/>
      <c r="AM194"/>
      <c r="AN194"/>
    </row>
    <row r="195" spans="1:40" x14ac:dyDescent="0.35">
      <c r="A195" s="153" t="s">
        <v>1306</v>
      </c>
      <c r="B195" s="153" t="s">
        <v>182</v>
      </c>
      <c r="C195" s="153" t="s">
        <v>947</v>
      </c>
      <c r="D195" s="153" t="s">
        <v>35</v>
      </c>
      <c r="E195" s="161">
        <v>1</v>
      </c>
      <c r="F195" s="153">
        <v>0</v>
      </c>
      <c r="G195" s="153">
        <v>0</v>
      </c>
      <c r="H195" s="153">
        <v>0</v>
      </c>
      <c r="I195" s="153">
        <v>0</v>
      </c>
      <c r="J195" s="153">
        <v>0</v>
      </c>
      <c r="K195" s="153">
        <v>0</v>
      </c>
      <c r="L195" s="153">
        <v>0</v>
      </c>
      <c r="M195" s="153">
        <v>0</v>
      </c>
      <c r="N195" s="153">
        <v>0</v>
      </c>
      <c r="O195" s="153">
        <v>0</v>
      </c>
      <c r="P195" s="153">
        <v>0</v>
      </c>
      <c r="Q195" s="153">
        <v>0</v>
      </c>
      <c r="R195" s="153">
        <v>0</v>
      </c>
      <c r="S195" s="153">
        <v>0</v>
      </c>
      <c r="T195" s="153"/>
      <c r="U195" s="153"/>
      <c r="V195" s="153"/>
      <c r="W195" s="153"/>
      <c r="X195" s="153"/>
      <c r="Y195" s="153"/>
      <c r="Z195" s="153"/>
      <c r="AA195" s="153"/>
      <c r="AB195" s="153"/>
      <c r="AC195" s="153"/>
      <c r="AD195" s="153"/>
      <c r="AE195" s="153"/>
      <c r="AF195" s="153"/>
      <c r="AG195" s="153"/>
      <c r="AH195" s="153"/>
      <c r="AI195" s="153"/>
      <c r="AJ195" s="153"/>
      <c r="AK195"/>
      <c r="AL195"/>
      <c r="AM195"/>
      <c r="AN195"/>
    </row>
    <row r="196" spans="1:40" x14ac:dyDescent="0.35">
      <c r="A196" s="153"/>
      <c r="B196" s="153"/>
      <c r="C196" s="153"/>
      <c r="D196" s="153"/>
      <c r="E196" s="161"/>
      <c r="F196" s="153">
        <v>0</v>
      </c>
      <c r="G196" s="153"/>
      <c r="H196" s="153"/>
      <c r="I196" s="153"/>
      <c r="J196" s="153"/>
      <c r="K196" s="153"/>
      <c r="L196" s="153"/>
      <c r="M196" s="153"/>
      <c r="N196" s="153"/>
      <c r="O196" s="153"/>
      <c r="P196" s="153"/>
      <c r="Q196" s="153"/>
      <c r="R196" s="153"/>
      <c r="S196" s="153"/>
      <c r="T196" s="153"/>
      <c r="U196" s="153"/>
      <c r="V196" s="153"/>
      <c r="W196" s="153"/>
      <c r="X196" s="153"/>
      <c r="Y196" s="153"/>
      <c r="Z196" s="153"/>
      <c r="AA196" s="153"/>
      <c r="AB196" s="153"/>
      <c r="AC196" s="153"/>
      <c r="AD196" s="153"/>
      <c r="AE196" s="153"/>
      <c r="AF196" s="153"/>
      <c r="AG196" s="153"/>
      <c r="AH196" s="153"/>
      <c r="AI196" s="153"/>
      <c r="AJ196" s="153"/>
      <c r="AK196"/>
      <c r="AL196"/>
      <c r="AM196"/>
      <c r="AN196"/>
    </row>
    <row r="197" spans="1:40" x14ac:dyDescent="0.35">
      <c r="A197" s="153" t="s">
        <v>1342</v>
      </c>
      <c r="B197" s="153" t="s">
        <v>179</v>
      </c>
      <c r="C197" s="153" t="s">
        <v>1445</v>
      </c>
      <c r="D197" s="153" t="s">
        <v>67</v>
      </c>
      <c r="E197" s="161">
        <v>1</v>
      </c>
      <c r="F197" s="153">
        <v>0</v>
      </c>
      <c r="G197" s="153">
        <v>0</v>
      </c>
      <c r="H197" s="153">
        <v>0</v>
      </c>
      <c r="I197" s="153">
        <v>0</v>
      </c>
      <c r="J197" s="153">
        <v>0</v>
      </c>
      <c r="K197" s="153">
        <v>0</v>
      </c>
      <c r="L197" s="153">
        <v>0</v>
      </c>
      <c r="M197" s="153">
        <v>0</v>
      </c>
      <c r="N197" s="153">
        <v>0</v>
      </c>
      <c r="O197" s="153">
        <v>0</v>
      </c>
      <c r="P197" s="153">
        <v>0</v>
      </c>
      <c r="Q197" s="153">
        <v>0</v>
      </c>
      <c r="R197" s="153">
        <v>0</v>
      </c>
      <c r="S197" s="153">
        <v>0</v>
      </c>
      <c r="T197" s="153"/>
      <c r="U197" s="153"/>
      <c r="V197" s="153"/>
      <c r="W197" s="153"/>
      <c r="X197" s="153"/>
      <c r="Y197" s="153"/>
      <c r="Z197" s="153"/>
      <c r="AA197" s="153"/>
      <c r="AB197" s="153"/>
      <c r="AC197" s="153"/>
      <c r="AD197" s="153"/>
      <c r="AE197" s="153"/>
      <c r="AF197" s="153"/>
      <c r="AG197" s="153"/>
      <c r="AH197" s="153"/>
      <c r="AI197" s="153"/>
      <c r="AJ197" s="153"/>
      <c r="AK197"/>
      <c r="AL197"/>
      <c r="AM197"/>
      <c r="AN197"/>
    </row>
    <row r="198" spans="1:40" x14ac:dyDescent="0.35">
      <c r="A198" s="153" t="s">
        <v>1342</v>
      </c>
      <c r="B198" s="153" t="s">
        <v>180</v>
      </c>
      <c r="C198" s="153" t="s">
        <v>1429</v>
      </c>
      <c r="D198" s="153" t="s">
        <v>67</v>
      </c>
      <c r="E198" s="161">
        <v>1</v>
      </c>
      <c r="F198" s="153">
        <v>0</v>
      </c>
      <c r="G198" s="153">
        <v>0</v>
      </c>
      <c r="H198" s="153">
        <v>0</v>
      </c>
      <c r="I198" s="153">
        <v>0</v>
      </c>
      <c r="J198" s="153">
        <v>0</v>
      </c>
      <c r="K198" s="153">
        <v>0</v>
      </c>
      <c r="L198" s="153">
        <v>0</v>
      </c>
      <c r="M198" s="153">
        <v>0</v>
      </c>
      <c r="N198" s="153">
        <v>0</v>
      </c>
      <c r="O198" s="153">
        <v>0</v>
      </c>
      <c r="P198" s="153">
        <v>0</v>
      </c>
      <c r="Q198" s="153">
        <v>0</v>
      </c>
      <c r="R198" s="153">
        <v>0</v>
      </c>
      <c r="S198" s="153">
        <v>0</v>
      </c>
      <c r="T198" s="153"/>
      <c r="U198" s="153"/>
      <c r="V198" s="153"/>
      <c r="W198" s="153"/>
      <c r="X198" s="153"/>
      <c r="Y198" s="153"/>
      <c r="Z198" s="153"/>
      <c r="AA198" s="153"/>
      <c r="AB198" s="153"/>
      <c r="AC198" s="153"/>
      <c r="AD198" s="153"/>
      <c r="AE198" s="153"/>
      <c r="AF198" s="153"/>
      <c r="AG198" s="153"/>
      <c r="AH198" s="153"/>
      <c r="AI198" s="153"/>
      <c r="AJ198" s="153"/>
      <c r="AK198"/>
      <c r="AL198"/>
      <c r="AM198"/>
      <c r="AN198"/>
    </row>
    <row r="199" spans="1:40" x14ac:dyDescent="0.35">
      <c r="A199" s="153" t="s">
        <v>1342</v>
      </c>
      <c r="B199" s="153" t="s">
        <v>181</v>
      </c>
      <c r="C199" s="153" t="s">
        <v>1446</v>
      </c>
      <c r="D199" s="153" t="s">
        <v>67</v>
      </c>
      <c r="E199" s="161">
        <v>1</v>
      </c>
      <c r="F199" s="153">
        <v>0</v>
      </c>
      <c r="G199" s="153">
        <v>0</v>
      </c>
      <c r="H199" s="153">
        <v>0</v>
      </c>
      <c r="I199" s="153">
        <v>0</v>
      </c>
      <c r="J199" s="153">
        <v>0</v>
      </c>
      <c r="K199" s="153">
        <v>0</v>
      </c>
      <c r="L199" s="153">
        <v>0</v>
      </c>
      <c r="M199" s="153">
        <v>0</v>
      </c>
      <c r="N199" s="153">
        <v>0</v>
      </c>
      <c r="O199" s="153">
        <v>0</v>
      </c>
      <c r="P199" s="153">
        <v>0</v>
      </c>
      <c r="Q199" s="153">
        <v>0</v>
      </c>
      <c r="R199" s="153">
        <v>0</v>
      </c>
      <c r="S199" s="153">
        <v>0</v>
      </c>
      <c r="T199" s="153"/>
      <c r="U199" s="153"/>
      <c r="V199" s="153"/>
      <c r="W199" s="153"/>
      <c r="X199" s="153"/>
      <c r="Y199" s="153"/>
      <c r="Z199" s="153"/>
      <c r="AA199" s="153"/>
      <c r="AB199" s="153"/>
      <c r="AC199" s="153"/>
      <c r="AD199" s="153"/>
      <c r="AE199" s="153"/>
      <c r="AF199" s="153"/>
      <c r="AG199" s="153"/>
      <c r="AH199" s="153"/>
      <c r="AI199" s="153"/>
      <c r="AJ199" s="153"/>
      <c r="AK199"/>
      <c r="AL199"/>
      <c r="AM199"/>
      <c r="AN199"/>
    </row>
    <row r="200" spans="1:40" x14ac:dyDescent="0.35">
      <c r="A200" s="153" t="s">
        <v>1342</v>
      </c>
      <c r="B200" s="153" t="s">
        <v>182</v>
      </c>
      <c r="C200" s="153" t="s">
        <v>1447</v>
      </c>
      <c r="D200" s="153" t="s">
        <v>67</v>
      </c>
      <c r="E200" s="161">
        <v>1</v>
      </c>
      <c r="F200" s="153">
        <v>0</v>
      </c>
      <c r="G200" s="153">
        <v>0</v>
      </c>
      <c r="H200" s="153">
        <v>0</v>
      </c>
      <c r="I200" s="153">
        <v>0</v>
      </c>
      <c r="J200" s="153">
        <v>0</v>
      </c>
      <c r="K200" s="153">
        <v>0</v>
      </c>
      <c r="L200" s="153">
        <v>0</v>
      </c>
      <c r="M200" s="153">
        <v>0</v>
      </c>
      <c r="N200" s="153">
        <v>0</v>
      </c>
      <c r="O200" s="153">
        <v>0</v>
      </c>
      <c r="P200" s="153">
        <v>0</v>
      </c>
      <c r="Q200" s="153">
        <v>0</v>
      </c>
      <c r="R200" s="153">
        <v>0</v>
      </c>
      <c r="S200" s="153">
        <v>0</v>
      </c>
      <c r="T200" s="153"/>
      <c r="U200" s="153"/>
      <c r="V200" s="153"/>
      <c r="W200" s="153"/>
      <c r="X200" s="153"/>
      <c r="Y200" s="153"/>
      <c r="Z200" s="153"/>
      <c r="AA200" s="153"/>
      <c r="AB200" s="153"/>
      <c r="AC200" s="153"/>
      <c r="AD200" s="153"/>
      <c r="AE200" s="153"/>
      <c r="AF200" s="153"/>
      <c r="AG200" s="153"/>
      <c r="AH200" s="153"/>
      <c r="AI200" s="153"/>
      <c r="AJ200" s="153"/>
      <c r="AK200"/>
      <c r="AL200"/>
      <c r="AM200"/>
      <c r="AN200"/>
    </row>
    <row r="201" spans="1:40" x14ac:dyDescent="0.35">
      <c r="A201" s="153"/>
      <c r="B201" s="153"/>
      <c r="C201" s="153"/>
      <c r="D201" s="153"/>
      <c r="E201" s="161"/>
      <c r="F201" s="153">
        <v>0</v>
      </c>
      <c r="G201" s="153"/>
      <c r="H201" s="153"/>
      <c r="I201" s="153"/>
      <c r="J201" s="153"/>
      <c r="K201" s="153"/>
      <c r="L201" s="153"/>
      <c r="M201" s="153"/>
      <c r="N201" s="153"/>
      <c r="O201" s="153"/>
      <c r="P201" s="153"/>
      <c r="Q201" s="153"/>
      <c r="R201" s="153"/>
      <c r="S201" s="153"/>
      <c r="T201" s="153"/>
      <c r="U201" s="153"/>
      <c r="V201" s="153"/>
      <c r="W201" s="153"/>
      <c r="X201" s="153"/>
      <c r="Y201" s="153"/>
      <c r="Z201" s="153"/>
      <c r="AA201" s="153"/>
      <c r="AB201" s="153"/>
      <c r="AC201" s="153"/>
      <c r="AD201" s="153"/>
      <c r="AE201" s="153"/>
      <c r="AF201" s="153"/>
      <c r="AG201" s="153"/>
      <c r="AH201" s="153"/>
      <c r="AI201" s="153"/>
      <c r="AJ201" s="153"/>
      <c r="AK201"/>
      <c r="AL201"/>
      <c r="AM201"/>
      <c r="AN201"/>
    </row>
    <row r="202" spans="1:40" x14ac:dyDescent="0.35">
      <c r="A202" s="153" t="s">
        <v>1416</v>
      </c>
      <c r="B202" s="153" t="s">
        <v>179</v>
      </c>
      <c r="C202" s="153" t="s">
        <v>1434</v>
      </c>
      <c r="D202" s="153" t="s">
        <v>67</v>
      </c>
      <c r="E202" s="161">
        <v>1</v>
      </c>
      <c r="F202" s="153">
        <v>0</v>
      </c>
      <c r="G202" s="153">
        <v>0</v>
      </c>
      <c r="H202" s="153">
        <v>0</v>
      </c>
      <c r="I202" s="153">
        <v>0</v>
      </c>
      <c r="J202" s="153">
        <v>0</v>
      </c>
      <c r="K202" s="153">
        <v>0</v>
      </c>
      <c r="L202" s="153">
        <v>0</v>
      </c>
      <c r="M202" s="153">
        <v>0</v>
      </c>
      <c r="N202" s="153">
        <v>0</v>
      </c>
      <c r="O202" s="153">
        <v>0</v>
      </c>
      <c r="P202" s="153">
        <v>0</v>
      </c>
      <c r="Q202" s="153">
        <v>0</v>
      </c>
      <c r="R202" s="153">
        <v>0</v>
      </c>
      <c r="S202" s="153">
        <v>0</v>
      </c>
      <c r="T202" s="153"/>
      <c r="U202" s="153"/>
      <c r="V202" s="153"/>
      <c r="W202" s="153"/>
      <c r="X202" s="153"/>
      <c r="Y202" s="153"/>
      <c r="Z202" s="153"/>
      <c r="AA202" s="153"/>
      <c r="AB202" s="153"/>
      <c r="AC202" s="153"/>
      <c r="AD202" s="153"/>
      <c r="AE202" s="153"/>
      <c r="AF202" s="153"/>
      <c r="AG202" s="153"/>
      <c r="AH202" s="153"/>
      <c r="AI202" s="153"/>
      <c r="AJ202" s="153"/>
      <c r="AK202"/>
      <c r="AL202"/>
      <c r="AM202"/>
      <c r="AN202"/>
    </row>
    <row r="203" spans="1:40" x14ac:dyDescent="0.35">
      <c r="A203" s="153" t="s">
        <v>1416</v>
      </c>
      <c r="B203" s="153" t="s">
        <v>180</v>
      </c>
      <c r="C203" s="153" t="s">
        <v>1435</v>
      </c>
      <c r="D203" s="153" t="s">
        <v>67</v>
      </c>
      <c r="E203" s="161">
        <v>1</v>
      </c>
      <c r="F203" s="153">
        <v>112</v>
      </c>
      <c r="G203" s="153">
        <v>107</v>
      </c>
      <c r="H203" s="153">
        <v>121</v>
      </c>
      <c r="I203" s="153">
        <v>104</v>
      </c>
      <c r="J203" s="153">
        <v>122</v>
      </c>
      <c r="K203" s="153">
        <v>64</v>
      </c>
      <c r="L203" s="153">
        <v>169</v>
      </c>
      <c r="M203" s="153">
        <v>106</v>
      </c>
      <c r="N203" s="153">
        <v>113</v>
      </c>
      <c r="O203" s="153">
        <v>0</v>
      </c>
      <c r="P203" s="153">
        <v>120</v>
      </c>
      <c r="Q203" s="153">
        <v>142</v>
      </c>
      <c r="R203" s="153">
        <v>137</v>
      </c>
      <c r="S203" s="153">
        <v>62</v>
      </c>
      <c r="T203" s="153"/>
      <c r="U203" s="153"/>
      <c r="V203" s="153"/>
      <c r="W203" s="153"/>
      <c r="X203" s="153"/>
      <c r="Y203" s="153"/>
      <c r="Z203" s="153"/>
      <c r="AA203" s="153"/>
      <c r="AB203" s="153"/>
      <c r="AC203" s="153"/>
      <c r="AD203" s="153"/>
      <c r="AE203" s="153"/>
      <c r="AF203" s="153"/>
      <c r="AG203" s="153"/>
      <c r="AH203" s="153"/>
      <c r="AI203" s="153"/>
      <c r="AJ203" s="153"/>
      <c r="AK203"/>
      <c r="AL203"/>
      <c r="AM203"/>
      <c r="AN203"/>
    </row>
    <row r="204" spans="1:40" x14ac:dyDescent="0.35">
      <c r="A204" s="153" t="s">
        <v>1416</v>
      </c>
      <c r="B204" s="153" t="s">
        <v>181</v>
      </c>
      <c r="C204" s="153" t="s">
        <v>1436</v>
      </c>
      <c r="D204" s="153" t="s">
        <v>67</v>
      </c>
      <c r="E204" s="161">
        <v>1</v>
      </c>
      <c r="F204" s="153">
        <v>0</v>
      </c>
      <c r="G204" s="153">
        <v>0</v>
      </c>
      <c r="H204" s="153">
        <v>0</v>
      </c>
      <c r="I204" s="153">
        <v>0</v>
      </c>
      <c r="J204" s="153">
        <v>0</v>
      </c>
      <c r="K204" s="153">
        <v>12</v>
      </c>
      <c r="L204" s="153">
        <v>0</v>
      </c>
      <c r="M204" s="153">
        <v>0</v>
      </c>
      <c r="N204" s="153">
        <v>0</v>
      </c>
      <c r="O204" s="153">
        <v>0</v>
      </c>
      <c r="P204" s="153">
        <v>0</v>
      </c>
      <c r="Q204" s="153">
        <v>0</v>
      </c>
      <c r="R204" s="153">
        <v>0</v>
      </c>
      <c r="S204" s="153">
        <v>12</v>
      </c>
      <c r="T204" s="153"/>
      <c r="U204" s="153"/>
      <c r="V204" s="153"/>
      <c r="W204" s="153"/>
      <c r="X204" s="153"/>
      <c r="Y204" s="153"/>
      <c r="Z204" s="153"/>
      <c r="AA204" s="153"/>
      <c r="AB204" s="153"/>
      <c r="AC204" s="153"/>
      <c r="AD204" s="153"/>
      <c r="AE204" s="153"/>
      <c r="AF204" s="153"/>
      <c r="AG204" s="153"/>
      <c r="AH204" s="153"/>
      <c r="AI204" s="153"/>
      <c r="AJ204" s="153"/>
      <c r="AK204"/>
      <c r="AL204"/>
      <c r="AM204"/>
      <c r="AN204"/>
    </row>
    <row r="205" spans="1:40" x14ac:dyDescent="0.35">
      <c r="A205" s="153" t="s">
        <v>1416</v>
      </c>
      <c r="B205" s="153" t="s">
        <v>182</v>
      </c>
      <c r="C205" s="153" t="s">
        <v>1437</v>
      </c>
      <c r="D205" s="153" t="s">
        <v>67</v>
      </c>
      <c r="E205" s="161">
        <v>1</v>
      </c>
      <c r="F205" s="153">
        <v>0</v>
      </c>
      <c r="G205" s="153">
        <v>0</v>
      </c>
      <c r="H205" s="153">
        <v>0</v>
      </c>
      <c r="I205" s="153">
        <v>0</v>
      </c>
      <c r="J205" s="153">
        <v>0</v>
      </c>
      <c r="K205" s="153">
        <v>0</v>
      </c>
      <c r="L205" s="153">
        <v>0</v>
      </c>
      <c r="M205" s="153">
        <v>0</v>
      </c>
      <c r="N205" s="153">
        <v>0</v>
      </c>
      <c r="O205" s="153">
        <v>0</v>
      </c>
      <c r="P205" s="153">
        <v>0</v>
      </c>
      <c r="Q205" s="153">
        <v>18</v>
      </c>
      <c r="R205" s="153">
        <v>0</v>
      </c>
      <c r="S205" s="153">
        <v>0</v>
      </c>
      <c r="T205" s="153"/>
      <c r="U205" s="153"/>
      <c r="V205" s="153"/>
      <c r="W205" s="153"/>
      <c r="X205" s="153"/>
      <c r="Y205" s="153"/>
      <c r="Z205" s="153"/>
      <c r="AA205" s="153"/>
      <c r="AB205" s="153"/>
      <c r="AC205" s="153"/>
      <c r="AD205" s="153"/>
      <c r="AE205" s="153"/>
      <c r="AF205" s="153"/>
      <c r="AG205" s="153"/>
      <c r="AH205" s="153"/>
      <c r="AI205" s="153"/>
      <c r="AJ205" s="153"/>
      <c r="AK205"/>
      <c r="AL205"/>
      <c r="AM205"/>
      <c r="AN205"/>
    </row>
    <row r="206" spans="1:40" x14ac:dyDescent="0.35">
      <c r="A206" s="153"/>
      <c r="B206" s="153"/>
      <c r="C206" s="153"/>
      <c r="D206" s="153"/>
      <c r="E206" s="161"/>
      <c r="F206" s="153">
        <v>0</v>
      </c>
      <c r="G206" s="153"/>
      <c r="H206" s="153"/>
      <c r="I206" s="153"/>
      <c r="J206" s="153"/>
      <c r="K206" s="153"/>
      <c r="L206" s="153"/>
      <c r="M206" s="153"/>
      <c r="N206" s="153"/>
      <c r="O206" s="153"/>
      <c r="P206" s="153"/>
      <c r="Q206" s="153"/>
      <c r="R206" s="153"/>
      <c r="S206" s="153"/>
      <c r="T206" s="153"/>
      <c r="U206" s="153"/>
      <c r="V206" s="153"/>
      <c r="W206" s="153"/>
      <c r="X206" s="153"/>
      <c r="Y206" s="153"/>
      <c r="Z206" s="153"/>
      <c r="AA206" s="153"/>
      <c r="AB206" s="153"/>
      <c r="AC206" s="153"/>
      <c r="AD206" s="153"/>
      <c r="AE206" s="153"/>
      <c r="AF206" s="153"/>
      <c r="AG206" s="153"/>
      <c r="AH206" s="153"/>
      <c r="AI206" s="153"/>
      <c r="AJ206" s="153"/>
      <c r="AK206"/>
      <c r="AL206"/>
      <c r="AM206"/>
      <c r="AN206"/>
    </row>
    <row r="207" spans="1:40" x14ac:dyDescent="0.35">
      <c r="A207" s="153" t="s">
        <v>349</v>
      </c>
      <c r="B207" s="153" t="s">
        <v>179</v>
      </c>
      <c r="C207" s="153" t="s">
        <v>437</v>
      </c>
      <c r="D207" s="153" t="s">
        <v>35</v>
      </c>
      <c r="E207" s="161">
        <v>1</v>
      </c>
      <c r="F207" s="153">
        <v>0</v>
      </c>
      <c r="G207" s="153">
        <v>0</v>
      </c>
      <c r="H207" s="153">
        <v>0</v>
      </c>
      <c r="I207" s="153">
        <v>0</v>
      </c>
      <c r="J207" s="153">
        <v>0</v>
      </c>
      <c r="K207" s="153">
        <v>0</v>
      </c>
      <c r="L207" s="153">
        <v>0</v>
      </c>
      <c r="M207" s="153">
        <v>0</v>
      </c>
      <c r="N207" s="153">
        <v>0</v>
      </c>
      <c r="O207" s="153">
        <v>0</v>
      </c>
      <c r="P207" s="153">
        <v>0</v>
      </c>
      <c r="Q207" s="153">
        <v>0</v>
      </c>
      <c r="R207" s="153">
        <v>0</v>
      </c>
      <c r="S207" s="153">
        <v>0</v>
      </c>
      <c r="T207" s="153"/>
      <c r="U207" s="153"/>
      <c r="V207" s="153"/>
      <c r="W207" s="153"/>
      <c r="X207" s="153"/>
      <c r="Y207" s="153"/>
      <c r="Z207" s="153"/>
      <c r="AA207" s="153"/>
      <c r="AB207" s="153"/>
      <c r="AC207" s="153"/>
      <c r="AD207" s="153"/>
      <c r="AE207" s="153"/>
      <c r="AF207" s="153"/>
      <c r="AG207" s="153"/>
      <c r="AH207" s="153"/>
      <c r="AI207" s="153"/>
      <c r="AJ207" s="153"/>
      <c r="AK207"/>
      <c r="AL207"/>
      <c r="AM207"/>
      <c r="AN207"/>
    </row>
    <row r="208" spans="1:40" x14ac:dyDescent="0.35">
      <c r="A208" s="153" t="s">
        <v>349</v>
      </c>
      <c r="B208" s="153" t="s">
        <v>180</v>
      </c>
      <c r="C208" s="153" t="s">
        <v>438</v>
      </c>
      <c r="D208" s="153" t="s">
        <v>35</v>
      </c>
      <c r="E208" s="161">
        <v>1</v>
      </c>
      <c r="F208" s="153">
        <v>0</v>
      </c>
      <c r="G208" s="153">
        <v>0</v>
      </c>
      <c r="H208" s="153">
        <v>0</v>
      </c>
      <c r="I208" s="153">
        <v>0</v>
      </c>
      <c r="J208" s="153">
        <v>0</v>
      </c>
      <c r="K208" s="153">
        <v>0</v>
      </c>
      <c r="L208" s="153">
        <v>0</v>
      </c>
      <c r="M208" s="153">
        <v>0</v>
      </c>
      <c r="N208" s="153">
        <v>14</v>
      </c>
      <c r="O208" s="153">
        <v>115</v>
      </c>
      <c r="P208" s="153">
        <v>0</v>
      </c>
      <c r="Q208" s="153">
        <v>0</v>
      </c>
      <c r="R208" s="153">
        <v>0</v>
      </c>
      <c r="S208" s="153">
        <v>0</v>
      </c>
      <c r="T208" s="153"/>
      <c r="U208" s="153"/>
      <c r="V208" s="153"/>
      <c r="W208" s="153"/>
      <c r="X208" s="153"/>
      <c r="Y208" s="153"/>
      <c r="Z208" s="153"/>
      <c r="AA208" s="153"/>
      <c r="AB208" s="153"/>
      <c r="AC208" s="153"/>
      <c r="AD208" s="153"/>
      <c r="AE208" s="153"/>
      <c r="AF208" s="153"/>
      <c r="AG208" s="153"/>
      <c r="AH208" s="153"/>
      <c r="AI208" s="153"/>
      <c r="AJ208" s="153"/>
      <c r="AK208"/>
      <c r="AL208"/>
      <c r="AM208"/>
      <c r="AN208"/>
    </row>
    <row r="209" spans="1:40" x14ac:dyDescent="0.35">
      <c r="A209" s="153" t="s">
        <v>349</v>
      </c>
      <c r="B209" s="153" t="s">
        <v>181</v>
      </c>
      <c r="C209" s="153" t="s">
        <v>439</v>
      </c>
      <c r="D209" s="153" t="s">
        <v>35</v>
      </c>
      <c r="E209" s="161">
        <v>1</v>
      </c>
      <c r="F209" s="153">
        <v>0</v>
      </c>
      <c r="G209" s="153">
        <v>0</v>
      </c>
      <c r="H209" s="153">
        <v>0</v>
      </c>
      <c r="I209" s="153">
        <v>0</v>
      </c>
      <c r="J209" s="153">
        <v>0</v>
      </c>
      <c r="K209" s="153">
        <v>0</v>
      </c>
      <c r="L209" s="153">
        <v>0</v>
      </c>
      <c r="M209" s="153">
        <v>0</v>
      </c>
      <c r="N209" s="153">
        <v>0</v>
      </c>
      <c r="O209" s="153">
        <v>0</v>
      </c>
      <c r="P209" s="153">
        <v>0</v>
      </c>
      <c r="Q209" s="153">
        <v>0</v>
      </c>
      <c r="R209" s="153">
        <v>0</v>
      </c>
      <c r="S209" s="153">
        <v>0</v>
      </c>
      <c r="T209" s="153"/>
      <c r="U209" s="153"/>
      <c r="V209" s="153"/>
      <c r="W209" s="153"/>
      <c r="X209" s="153"/>
      <c r="Y209" s="153"/>
      <c r="Z209" s="153"/>
      <c r="AA209" s="153"/>
      <c r="AB209" s="153"/>
      <c r="AC209" s="153"/>
      <c r="AD209" s="153"/>
      <c r="AE209" s="153"/>
      <c r="AF209" s="153"/>
      <c r="AG209" s="153"/>
      <c r="AH209" s="153"/>
      <c r="AI209" s="153"/>
      <c r="AJ209" s="153"/>
      <c r="AK209"/>
      <c r="AL209"/>
      <c r="AM209"/>
      <c r="AN209"/>
    </row>
    <row r="210" spans="1:40" x14ac:dyDescent="0.35">
      <c r="A210" s="153" t="s">
        <v>349</v>
      </c>
      <c r="B210" s="153" t="s">
        <v>182</v>
      </c>
      <c r="C210" s="153" t="s">
        <v>440</v>
      </c>
      <c r="D210" s="153" t="s">
        <v>35</v>
      </c>
      <c r="E210" s="161">
        <v>1</v>
      </c>
      <c r="F210" s="153">
        <v>0</v>
      </c>
      <c r="G210" s="153">
        <v>0</v>
      </c>
      <c r="H210" s="153">
        <v>0</v>
      </c>
      <c r="I210" s="153">
        <v>0</v>
      </c>
      <c r="J210" s="153">
        <v>0</v>
      </c>
      <c r="K210" s="153">
        <v>0</v>
      </c>
      <c r="L210" s="153">
        <v>0</v>
      </c>
      <c r="M210" s="153">
        <v>0</v>
      </c>
      <c r="N210" s="153">
        <v>0</v>
      </c>
      <c r="O210" s="153">
        <v>0</v>
      </c>
      <c r="P210" s="153">
        <v>0</v>
      </c>
      <c r="Q210" s="153">
        <v>0</v>
      </c>
      <c r="R210" s="153">
        <v>0</v>
      </c>
      <c r="S210" s="153">
        <v>0</v>
      </c>
      <c r="T210" s="153"/>
      <c r="U210" s="153"/>
      <c r="V210" s="153"/>
      <c r="W210" s="153"/>
      <c r="X210" s="153"/>
      <c r="Y210" s="153"/>
      <c r="Z210" s="153"/>
      <c r="AA210" s="153"/>
      <c r="AB210" s="153"/>
      <c r="AC210" s="153"/>
      <c r="AD210" s="153"/>
      <c r="AE210" s="153"/>
      <c r="AF210" s="153"/>
      <c r="AG210" s="153"/>
      <c r="AH210" s="153"/>
      <c r="AI210" s="153"/>
      <c r="AJ210" s="153"/>
      <c r="AK210"/>
      <c r="AL210"/>
      <c r="AM210"/>
      <c r="AN210"/>
    </row>
    <row r="211" spans="1:40" x14ac:dyDescent="0.35">
      <c r="A211" s="153"/>
      <c r="B211" s="153"/>
      <c r="C211" s="153"/>
      <c r="D211" s="153"/>
      <c r="E211" s="161"/>
      <c r="F211" s="153">
        <v>0</v>
      </c>
      <c r="G211" s="153"/>
      <c r="H211" s="153"/>
      <c r="I211" s="153"/>
      <c r="J211" s="153"/>
      <c r="K211" s="153"/>
      <c r="L211" s="153"/>
      <c r="M211" s="153"/>
      <c r="N211" s="153"/>
      <c r="O211" s="153"/>
      <c r="P211" s="153"/>
      <c r="Q211" s="153"/>
      <c r="R211" s="153"/>
      <c r="S211" s="153"/>
      <c r="T211" s="153"/>
      <c r="U211" s="153"/>
      <c r="V211" s="153"/>
      <c r="W211" s="153"/>
      <c r="X211" s="153"/>
      <c r="Y211" s="153"/>
      <c r="Z211" s="153"/>
      <c r="AA211" s="153"/>
      <c r="AB211" s="153"/>
      <c r="AC211" s="153"/>
      <c r="AD211" s="153"/>
      <c r="AE211" s="153"/>
      <c r="AF211" s="153"/>
      <c r="AG211" s="153"/>
      <c r="AH211" s="153"/>
      <c r="AI211" s="153"/>
      <c r="AJ211" s="153"/>
      <c r="AK211"/>
      <c r="AL211"/>
      <c r="AM211"/>
      <c r="AN211"/>
    </row>
    <row r="212" spans="1:40" s="129" customFormat="1" x14ac:dyDescent="0.35">
      <c r="A212" s="153" t="s">
        <v>985</v>
      </c>
      <c r="B212" s="153" t="s">
        <v>179</v>
      </c>
      <c r="C212" s="153" t="s">
        <v>1140</v>
      </c>
      <c r="D212" s="153" t="s">
        <v>35</v>
      </c>
      <c r="E212" s="161">
        <v>1</v>
      </c>
      <c r="F212" s="153">
        <v>0</v>
      </c>
      <c r="G212" s="153">
        <v>0</v>
      </c>
      <c r="H212" s="153">
        <v>0</v>
      </c>
      <c r="I212" s="153">
        <v>0</v>
      </c>
      <c r="J212" s="153">
        <v>0</v>
      </c>
      <c r="K212" s="153">
        <v>0</v>
      </c>
      <c r="L212" s="153">
        <v>0</v>
      </c>
      <c r="M212" s="153">
        <v>0</v>
      </c>
      <c r="N212" s="153">
        <v>0</v>
      </c>
      <c r="O212" s="153">
        <v>0</v>
      </c>
      <c r="P212" s="153">
        <v>0</v>
      </c>
      <c r="Q212" s="153">
        <v>0</v>
      </c>
      <c r="R212" s="153">
        <v>0</v>
      </c>
      <c r="S212" s="153">
        <v>0</v>
      </c>
      <c r="T212" s="153"/>
      <c r="U212" s="153"/>
      <c r="V212" s="153"/>
      <c r="W212" s="153"/>
      <c r="X212" s="153"/>
      <c r="Y212" s="153"/>
      <c r="Z212" s="153"/>
      <c r="AA212" s="153"/>
      <c r="AB212" s="153"/>
      <c r="AC212" s="153"/>
      <c r="AD212" s="153"/>
      <c r="AE212" s="153"/>
      <c r="AF212" s="153"/>
      <c r="AG212" s="153"/>
      <c r="AH212" s="153"/>
      <c r="AI212" s="153"/>
      <c r="AJ212" s="153"/>
      <c r="AK212"/>
      <c r="AL212"/>
      <c r="AM212"/>
      <c r="AN212"/>
    </row>
    <row r="213" spans="1:40" x14ac:dyDescent="0.35">
      <c r="A213" s="153" t="s">
        <v>985</v>
      </c>
      <c r="B213" s="153" t="s">
        <v>180</v>
      </c>
      <c r="C213" s="153" t="s">
        <v>1141</v>
      </c>
      <c r="D213" s="153" t="s">
        <v>35</v>
      </c>
      <c r="E213" s="161">
        <v>1</v>
      </c>
      <c r="F213" s="153">
        <v>0</v>
      </c>
      <c r="G213" s="153">
        <v>0</v>
      </c>
      <c r="H213" s="153">
        <v>0</v>
      </c>
      <c r="I213" s="153">
        <v>0</v>
      </c>
      <c r="J213" s="153">
        <v>0</v>
      </c>
      <c r="K213" s="153">
        <v>0</v>
      </c>
      <c r="L213" s="153">
        <v>0</v>
      </c>
      <c r="M213" s="153">
        <v>0</v>
      </c>
      <c r="N213" s="153">
        <v>0</v>
      </c>
      <c r="O213" s="153">
        <v>0</v>
      </c>
      <c r="P213" s="153">
        <v>0</v>
      </c>
      <c r="Q213" s="153">
        <v>0</v>
      </c>
      <c r="R213" s="153">
        <v>0</v>
      </c>
      <c r="S213" s="153">
        <v>0</v>
      </c>
      <c r="T213" s="153"/>
      <c r="U213" s="153"/>
      <c r="V213" s="153"/>
      <c r="W213" s="153"/>
      <c r="X213" s="153"/>
      <c r="Y213" s="153"/>
      <c r="Z213" s="153"/>
      <c r="AA213" s="153"/>
      <c r="AB213" s="153"/>
      <c r="AC213" s="153"/>
      <c r="AD213" s="153"/>
      <c r="AE213" s="153"/>
      <c r="AF213" s="153"/>
      <c r="AG213" s="153"/>
      <c r="AH213" s="153"/>
      <c r="AI213" s="153"/>
      <c r="AJ213" s="153"/>
      <c r="AK213"/>
      <c r="AL213"/>
      <c r="AM213"/>
      <c r="AN213"/>
    </row>
    <row r="214" spans="1:40" x14ac:dyDescent="0.35">
      <c r="A214" s="153" t="s">
        <v>985</v>
      </c>
      <c r="B214" s="153" t="s">
        <v>181</v>
      </c>
      <c r="C214" s="153" t="s">
        <v>1142</v>
      </c>
      <c r="D214" s="153" t="s">
        <v>35</v>
      </c>
      <c r="E214" s="161">
        <v>1</v>
      </c>
      <c r="F214" s="153">
        <v>0</v>
      </c>
      <c r="G214" s="153">
        <v>0</v>
      </c>
      <c r="H214" s="153">
        <v>0</v>
      </c>
      <c r="I214" s="153">
        <v>0</v>
      </c>
      <c r="J214" s="153">
        <v>0</v>
      </c>
      <c r="K214" s="153">
        <v>0</v>
      </c>
      <c r="L214" s="153">
        <v>0</v>
      </c>
      <c r="M214" s="153">
        <v>0</v>
      </c>
      <c r="N214" s="153">
        <v>0</v>
      </c>
      <c r="O214" s="153">
        <v>0</v>
      </c>
      <c r="P214" s="153">
        <v>0</v>
      </c>
      <c r="Q214" s="153">
        <v>0</v>
      </c>
      <c r="R214" s="153">
        <v>0</v>
      </c>
      <c r="S214" s="153">
        <v>0</v>
      </c>
      <c r="T214" s="153"/>
      <c r="U214" s="153"/>
      <c r="V214" s="153"/>
      <c r="W214" s="153"/>
      <c r="X214" s="153"/>
      <c r="Y214" s="153"/>
      <c r="Z214" s="153"/>
      <c r="AA214" s="153"/>
      <c r="AB214" s="153"/>
      <c r="AC214" s="153"/>
      <c r="AD214" s="153"/>
      <c r="AE214" s="153"/>
      <c r="AF214" s="153"/>
      <c r="AG214" s="153"/>
      <c r="AH214" s="153"/>
      <c r="AI214" s="153"/>
      <c r="AJ214" s="153"/>
      <c r="AK214"/>
      <c r="AL214"/>
      <c r="AM214"/>
      <c r="AN214"/>
    </row>
    <row r="215" spans="1:40" x14ac:dyDescent="0.35">
      <c r="A215" s="153" t="s">
        <v>985</v>
      </c>
      <c r="B215" s="153" t="s">
        <v>182</v>
      </c>
      <c r="C215" s="153" t="s">
        <v>1143</v>
      </c>
      <c r="D215" s="153" t="s">
        <v>35</v>
      </c>
      <c r="E215" s="161">
        <v>1</v>
      </c>
      <c r="F215" s="153">
        <v>0</v>
      </c>
      <c r="G215" s="153">
        <v>0</v>
      </c>
      <c r="H215" s="153">
        <v>0</v>
      </c>
      <c r="I215" s="153">
        <v>0</v>
      </c>
      <c r="J215" s="153">
        <v>0</v>
      </c>
      <c r="K215" s="153">
        <v>0</v>
      </c>
      <c r="L215" s="153">
        <v>0</v>
      </c>
      <c r="M215" s="153">
        <v>0</v>
      </c>
      <c r="N215" s="153">
        <v>0</v>
      </c>
      <c r="O215" s="153">
        <v>0</v>
      </c>
      <c r="P215" s="153">
        <v>0</v>
      </c>
      <c r="Q215" s="153">
        <v>0</v>
      </c>
      <c r="R215" s="153">
        <v>0</v>
      </c>
      <c r="S215" s="153">
        <v>0</v>
      </c>
      <c r="T215" s="153"/>
      <c r="U215" s="153"/>
      <c r="V215" s="153"/>
      <c r="W215" s="153"/>
      <c r="X215" s="153"/>
      <c r="Y215" s="153"/>
      <c r="Z215" s="153"/>
      <c r="AA215" s="153"/>
      <c r="AB215" s="153"/>
      <c r="AC215" s="153"/>
      <c r="AD215" s="153"/>
      <c r="AE215" s="153"/>
      <c r="AF215" s="153"/>
      <c r="AG215" s="153"/>
      <c r="AH215" s="153"/>
      <c r="AI215" s="153"/>
      <c r="AJ215" s="153"/>
      <c r="AK215"/>
      <c r="AL215"/>
      <c r="AM215"/>
      <c r="AN215"/>
    </row>
    <row r="216" spans="1:40" x14ac:dyDescent="0.35">
      <c r="A216" s="153"/>
      <c r="B216" s="153"/>
      <c r="C216" s="153"/>
      <c r="D216" s="153"/>
      <c r="E216" s="161"/>
      <c r="F216" s="153">
        <v>0</v>
      </c>
      <c r="G216" s="153"/>
      <c r="H216" s="153"/>
      <c r="I216" s="153"/>
      <c r="J216" s="153"/>
      <c r="K216" s="153"/>
      <c r="L216" s="153"/>
      <c r="M216" s="153"/>
      <c r="N216" s="153"/>
      <c r="O216" s="153"/>
      <c r="P216" s="153"/>
      <c r="Q216" s="153"/>
      <c r="R216" s="153"/>
      <c r="S216" s="153"/>
      <c r="T216" s="153"/>
      <c r="U216" s="153"/>
      <c r="V216" s="153"/>
      <c r="W216" s="153"/>
      <c r="X216" s="153"/>
      <c r="Y216" s="153"/>
      <c r="Z216" s="153"/>
      <c r="AA216" s="153"/>
      <c r="AB216" s="153"/>
      <c r="AC216" s="153"/>
      <c r="AD216" s="153"/>
      <c r="AE216" s="153"/>
      <c r="AF216" s="153"/>
      <c r="AG216" s="153"/>
      <c r="AH216" s="153"/>
      <c r="AI216" s="153"/>
      <c r="AJ216" s="153"/>
      <c r="AK216"/>
      <c r="AL216"/>
      <c r="AM216"/>
      <c r="AN216"/>
    </row>
    <row r="217" spans="1:40" x14ac:dyDescent="0.35">
      <c r="A217" s="153" t="s">
        <v>355</v>
      </c>
      <c r="B217" s="153" t="s">
        <v>179</v>
      </c>
      <c r="C217" s="153" t="s">
        <v>441</v>
      </c>
      <c r="D217" s="153" t="s">
        <v>35</v>
      </c>
      <c r="E217" s="161">
        <v>1</v>
      </c>
      <c r="F217" s="153">
        <v>0</v>
      </c>
      <c r="G217" s="153">
        <v>0</v>
      </c>
      <c r="H217" s="153">
        <v>0</v>
      </c>
      <c r="I217" s="153">
        <v>0</v>
      </c>
      <c r="J217" s="153">
        <v>0</v>
      </c>
      <c r="K217" s="153">
        <v>0</v>
      </c>
      <c r="L217" s="153">
        <v>0</v>
      </c>
      <c r="M217" s="153">
        <v>0</v>
      </c>
      <c r="N217" s="153">
        <v>0</v>
      </c>
      <c r="O217" s="153">
        <v>0</v>
      </c>
      <c r="P217" s="153">
        <v>0</v>
      </c>
      <c r="Q217" s="153">
        <v>0</v>
      </c>
      <c r="R217" s="153">
        <v>0</v>
      </c>
      <c r="S217" s="153">
        <v>0</v>
      </c>
      <c r="T217" s="153"/>
      <c r="U217" s="153"/>
      <c r="V217" s="153"/>
      <c r="W217" s="153"/>
      <c r="X217" s="153"/>
      <c r="Y217" s="153"/>
      <c r="Z217" s="153"/>
      <c r="AA217" s="153"/>
      <c r="AB217" s="153"/>
      <c r="AC217" s="153"/>
      <c r="AD217" s="153"/>
      <c r="AE217" s="153"/>
      <c r="AF217" s="153"/>
      <c r="AG217" s="153"/>
      <c r="AH217" s="153"/>
      <c r="AI217" s="153"/>
      <c r="AJ217" s="153"/>
      <c r="AK217"/>
      <c r="AL217"/>
      <c r="AM217"/>
      <c r="AN217"/>
    </row>
    <row r="218" spans="1:40" x14ac:dyDescent="0.35">
      <c r="A218" s="153" t="s">
        <v>355</v>
      </c>
      <c r="B218" s="153" t="s">
        <v>180</v>
      </c>
      <c r="C218" s="153" t="s">
        <v>442</v>
      </c>
      <c r="D218" s="153" t="s">
        <v>35</v>
      </c>
      <c r="E218" s="161">
        <v>1</v>
      </c>
      <c r="F218" s="153">
        <v>0</v>
      </c>
      <c r="G218" s="153">
        <v>0</v>
      </c>
      <c r="H218" s="153">
        <v>0</v>
      </c>
      <c r="I218" s="153">
        <v>0</v>
      </c>
      <c r="J218" s="153">
        <v>0</v>
      </c>
      <c r="K218" s="153">
        <v>0</v>
      </c>
      <c r="L218" s="153">
        <v>0</v>
      </c>
      <c r="M218" s="153">
        <v>0</v>
      </c>
      <c r="N218" s="153">
        <v>0</v>
      </c>
      <c r="O218" s="153">
        <v>0</v>
      </c>
      <c r="P218" s="153">
        <v>0</v>
      </c>
      <c r="Q218" s="153">
        <v>0</v>
      </c>
      <c r="R218" s="153">
        <v>0</v>
      </c>
      <c r="S218" s="153">
        <v>0</v>
      </c>
      <c r="T218" s="153"/>
      <c r="U218" s="153"/>
      <c r="V218" s="153"/>
      <c r="W218" s="153"/>
      <c r="X218" s="153"/>
      <c r="Y218" s="153"/>
      <c r="Z218" s="153"/>
      <c r="AA218" s="153"/>
      <c r="AB218" s="153"/>
      <c r="AC218" s="153"/>
      <c r="AD218" s="153"/>
      <c r="AE218" s="153"/>
      <c r="AF218" s="153"/>
      <c r="AG218" s="153"/>
      <c r="AH218" s="153"/>
      <c r="AI218" s="153"/>
      <c r="AJ218" s="153"/>
      <c r="AK218"/>
      <c r="AL218"/>
      <c r="AM218"/>
      <c r="AN218"/>
    </row>
    <row r="219" spans="1:40" x14ac:dyDescent="0.35">
      <c r="A219" s="153" t="s">
        <v>355</v>
      </c>
      <c r="B219" s="153" t="s">
        <v>181</v>
      </c>
      <c r="C219" s="153" t="s">
        <v>443</v>
      </c>
      <c r="D219" s="153" t="s">
        <v>35</v>
      </c>
      <c r="E219" s="161">
        <v>1</v>
      </c>
      <c r="F219" s="153">
        <v>0</v>
      </c>
      <c r="G219" s="153">
        <v>0</v>
      </c>
      <c r="H219" s="153">
        <v>0</v>
      </c>
      <c r="I219" s="153">
        <v>0</v>
      </c>
      <c r="J219" s="153">
        <v>0</v>
      </c>
      <c r="K219" s="153">
        <v>0</v>
      </c>
      <c r="L219" s="153">
        <v>0</v>
      </c>
      <c r="M219" s="153">
        <v>0</v>
      </c>
      <c r="N219" s="153">
        <v>0</v>
      </c>
      <c r="O219" s="153">
        <v>0</v>
      </c>
      <c r="P219" s="153">
        <v>0</v>
      </c>
      <c r="Q219" s="153">
        <v>0</v>
      </c>
      <c r="R219" s="153">
        <v>0</v>
      </c>
      <c r="S219" s="153">
        <v>0</v>
      </c>
      <c r="T219" s="153"/>
      <c r="U219" s="153"/>
      <c r="V219" s="153"/>
      <c r="W219" s="153"/>
      <c r="X219" s="153"/>
      <c r="Y219" s="153"/>
      <c r="Z219" s="153"/>
      <c r="AA219" s="153"/>
      <c r="AB219" s="153"/>
      <c r="AC219" s="153"/>
      <c r="AD219" s="153"/>
      <c r="AE219" s="153"/>
      <c r="AF219" s="153"/>
      <c r="AG219" s="153"/>
      <c r="AH219" s="153"/>
      <c r="AI219" s="153"/>
      <c r="AJ219" s="153"/>
      <c r="AK219"/>
      <c r="AL219"/>
      <c r="AM219"/>
      <c r="AN219"/>
    </row>
    <row r="220" spans="1:40" x14ac:dyDescent="0.35">
      <c r="A220" s="153" t="s">
        <v>355</v>
      </c>
      <c r="B220" s="153" t="s">
        <v>182</v>
      </c>
      <c r="C220" s="153" t="s">
        <v>444</v>
      </c>
      <c r="D220" s="153" t="s">
        <v>35</v>
      </c>
      <c r="E220" s="161">
        <v>1</v>
      </c>
      <c r="F220" s="153">
        <v>0</v>
      </c>
      <c r="G220" s="153">
        <v>0</v>
      </c>
      <c r="H220" s="153">
        <v>0</v>
      </c>
      <c r="I220" s="153">
        <v>0</v>
      </c>
      <c r="J220" s="153">
        <v>0</v>
      </c>
      <c r="K220" s="153">
        <v>0</v>
      </c>
      <c r="L220" s="153">
        <v>0</v>
      </c>
      <c r="M220" s="153">
        <v>0</v>
      </c>
      <c r="N220" s="153">
        <v>0</v>
      </c>
      <c r="O220" s="153">
        <v>0</v>
      </c>
      <c r="P220" s="153">
        <v>0</v>
      </c>
      <c r="Q220" s="153">
        <v>0</v>
      </c>
      <c r="R220" s="153">
        <v>0</v>
      </c>
      <c r="S220" s="153">
        <v>0</v>
      </c>
      <c r="T220" s="153"/>
      <c r="U220" s="153"/>
      <c r="V220" s="153"/>
      <c r="W220" s="153"/>
      <c r="X220" s="153"/>
      <c r="Y220" s="153"/>
      <c r="Z220" s="153"/>
      <c r="AA220" s="153"/>
      <c r="AB220" s="153"/>
      <c r="AC220" s="153"/>
      <c r="AD220" s="153"/>
      <c r="AE220" s="153"/>
      <c r="AF220" s="153"/>
      <c r="AG220" s="153"/>
      <c r="AH220" s="153"/>
      <c r="AI220" s="153"/>
      <c r="AJ220" s="153"/>
      <c r="AK220"/>
      <c r="AL220"/>
      <c r="AM220"/>
      <c r="AN220"/>
    </row>
    <row r="221" spans="1:40" x14ac:dyDescent="0.35">
      <c r="A221" s="153"/>
      <c r="B221" s="153"/>
      <c r="C221" s="153"/>
      <c r="D221" s="153"/>
      <c r="E221" s="161"/>
      <c r="F221" s="153">
        <v>0</v>
      </c>
      <c r="G221" s="153"/>
      <c r="H221" s="153"/>
      <c r="I221" s="153"/>
      <c r="J221" s="153"/>
      <c r="K221" s="153"/>
      <c r="L221" s="153"/>
      <c r="M221" s="153"/>
      <c r="N221" s="153"/>
      <c r="O221" s="153"/>
      <c r="P221" s="153"/>
      <c r="Q221" s="153"/>
      <c r="R221" s="153"/>
      <c r="S221" s="153"/>
      <c r="T221" s="153"/>
      <c r="U221" s="153"/>
      <c r="V221" s="153"/>
      <c r="W221" s="153"/>
      <c r="X221" s="153"/>
      <c r="Y221" s="153"/>
      <c r="Z221" s="153"/>
      <c r="AA221" s="153"/>
      <c r="AB221" s="153"/>
      <c r="AC221" s="153"/>
      <c r="AD221" s="153"/>
      <c r="AE221" s="153"/>
      <c r="AF221" s="153"/>
      <c r="AG221" s="153"/>
      <c r="AH221" s="153"/>
      <c r="AI221" s="153"/>
      <c r="AJ221" s="153"/>
      <c r="AK221"/>
      <c r="AL221"/>
      <c r="AM221"/>
      <c r="AN221"/>
    </row>
    <row r="222" spans="1:40" x14ac:dyDescent="0.35">
      <c r="A222" s="153" t="s">
        <v>554</v>
      </c>
      <c r="B222" s="153" t="s">
        <v>179</v>
      </c>
      <c r="C222" s="153" t="s">
        <v>735</v>
      </c>
      <c r="D222" s="153" t="s">
        <v>67</v>
      </c>
      <c r="E222" s="161">
        <v>1</v>
      </c>
      <c r="F222" s="153">
        <v>0</v>
      </c>
      <c r="G222" s="153">
        <v>0</v>
      </c>
      <c r="H222" s="153">
        <v>0</v>
      </c>
      <c r="I222" s="153">
        <v>0</v>
      </c>
      <c r="J222" s="153">
        <v>0</v>
      </c>
      <c r="K222" s="153">
        <v>0</v>
      </c>
      <c r="L222" s="153">
        <v>0</v>
      </c>
      <c r="M222" s="153">
        <v>0</v>
      </c>
      <c r="N222" s="153">
        <v>0</v>
      </c>
      <c r="O222" s="153">
        <v>0</v>
      </c>
      <c r="P222" s="153">
        <v>0</v>
      </c>
      <c r="Q222" s="153">
        <v>0</v>
      </c>
      <c r="R222" s="153">
        <v>0</v>
      </c>
      <c r="S222" s="153">
        <v>0</v>
      </c>
      <c r="T222" s="153"/>
      <c r="U222" s="153"/>
      <c r="V222" s="153"/>
      <c r="W222" s="153"/>
      <c r="X222" s="153"/>
      <c r="Y222" s="153"/>
      <c r="Z222" s="153"/>
      <c r="AA222" s="153"/>
      <c r="AB222" s="153"/>
      <c r="AC222" s="153"/>
      <c r="AD222" s="153"/>
      <c r="AE222" s="153"/>
      <c r="AF222" s="153"/>
      <c r="AG222" s="153"/>
      <c r="AH222" s="153"/>
      <c r="AI222" s="153"/>
      <c r="AJ222" s="153"/>
      <c r="AK222"/>
      <c r="AL222"/>
      <c r="AM222"/>
      <c r="AN222"/>
    </row>
    <row r="223" spans="1:40" x14ac:dyDescent="0.35">
      <c r="A223" s="153" t="s">
        <v>554</v>
      </c>
      <c r="B223" s="153" t="s">
        <v>180</v>
      </c>
      <c r="C223" s="153" t="s">
        <v>736</v>
      </c>
      <c r="D223" s="153" t="s">
        <v>67</v>
      </c>
      <c r="E223" s="161">
        <v>1</v>
      </c>
      <c r="F223" s="153">
        <v>0</v>
      </c>
      <c r="G223" s="153">
        <v>0</v>
      </c>
      <c r="H223" s="153">
        <v>0</v>
      </c>
      <c r="I223" s="153">
        <v>0</v>
      </c>
      <c r="J223" s="153">
        <v>0</v>
      </c>
      <c r="K223" s="153">
        <v>0</v>
      </c>
      <c r="L223" s="153">
        <v>0</v>
      </c>
      <c r="M223" s="153">
        <v>0</v>
      </c>
      <c r="N223" s="153">
        <v>0</v>
      </c>
      <c r="O223" s="153">
        <v>0</v>
      </c>
      <c r="P223" s="153">
        <v>0</v>
      </c>
      <c r="Q223" s="153">
        <v>0</v>
      </c>
      <c r="R223" s="153">
        <v>0</v>
      </c>
      <c r="S223" s="153">
        <v>0</v>
      </c>
      <c r="T223" s="153"/>
      <c r="U223" s="153"/>
      <c r="V223" s="153"/>
      <c r="W223" s="153"/>
      <c r="X223" s="153"/>
      <c r="Y223" s="153"/>
      <c r="Z223" s="153"/>
      <c r="AA223" s="153"/>
      <c r="AB223" s="153"/>
      <c r="AC223" s="153"/>
      <c r="AD223" s="153"/>
      <c r="AE223" s="153"/>
      <c r="AF223" s="153"/>
      <c r="AG223" s="153"/>
      <c r="AH223" s="153"/>
      <c r="AI223" s="153"/>
      <c r="AJ223" s="153"/>
      <c r="AK223"/>
      <c r="AL223"/>
      <c r="AM223"/>
      <c r="AN223"/>
    </row>
    <row r="224" spans="1:40" x14ac:dyDescent="0.35">
      <c r="A224" s="153" t="s">
        <v>554</v>
      </c>
      <c r="B224" s="153" t="s">
        <v>181</v>
      </c>
      <c r="C224" s="153" t="s">
        <v>737</v>
      </c>
      <c r="D224" s="153" t="s">
        <v>67</v>
      </c>
      <c r="E224" s="161">
        <v>1</v>
      </c>
      <c r="F224" s="153">
        <v>0</v>
      </c>
      <c r="G224" s="153">
        <v>0</v>
      </c>
      <c r="H224" s="153">
        <v>0</v>
      </c>
      <c r="I224" s="153">
        <v>0</v>
      </c>
      <c r="J224" s="153">
        <v>0</v>
      </c>
      <c r="K224" s="153">
        <v>0</v>
      </c>
      <c r="L224" s="153">
        <v>0</v>
      </c>
      <c r="M224" s="153">
        <v>0</v>
      </c>
      <c r="N224" s="153">
        <v>0</v>
      </c>
      <c r="O224" s="153">
        <v>0</v>
      </c>
      <c r="P224" s="153">
        <v>0</v>
      </c>
      <c r="Q224" s="153">
        <v>0</v>
      </c>
      <c r="R224" s="153">
        <v>0</v>
      </c>
      <c r="S224" s="153">
        <v>0</v>
      </c>
      <c r="T224" s="153"/>
      <c r="U224" s="153"/>
      <c r="V224" s="153"/>
      <c r="W224" s="153"/>
      <c r="X224" s="153"/>
      <c r="Y224" s="153"/>
      <c r="Z224" s="153"/>
      <c r="AA224" s="153"/>
      <c r="AB224" s="153"/>
      <c r="AC224" s="153"/>
      <c r="AD224" s="153"/>
      <c r="AE224" s="153"/>
      <c r="AF224" s="153"/>
      <c r="AG224" s="153"/>
      <c r="AH224" s="153"/>
      <c r="AI224" s="153"/>
      <c r="AJ224" s="153"/>
      <c r="AK224"/>
      <c r="AL224"/>
      <c r="AM224"/>
      <c r="AN224"/>
    </row>
    <row r="225" spans="1:40" x14ac:dyDescent="0.35">
      <c r="A225" s="153" t="s">
        <v>554</v>
      </c>
      <c r="B225" s="153" t="s">
        <v>182</v>
      </c>
      <c r="C225" s="153" t="s">
        <v>738</v>
      </c>
      <c r="D225" s="153" t="s">
        <v>67</v>
      </c>
      <c r="E225" s="161">
        <v>1</v>
      </c>
      <c r="F225" s="153">
        <v>0</v>
      </c>
      <c r="G225" s="153">
        <v>0</v>
      </c>
      <c r="H225" s="153">
        <v>0</v>
      </c>
      <c r="I225" s="153">
        <v>0</v>
      </c>
      <c r="J225" s="153">
        <v>0</v>
      </c>
      <c r="K225" s="153">
        <v>0</v>
      </c>
      <c r="L225" s="153">
        <v>0</v>
      </c>
      <c r="M225" s="153">
        <v>0</v>
      </c>
      <c r="N225" s="153">
        <v>0</v>
      </c>
      <c r="O225" s="153">
        <v>0</v>
      </c>
      <c r="P225" s="153">
        <v>0</v>
      </c>
      <c r="Q225" s="153">
        <v>0</v>
      </c>
      <c r="R225" s="153">
        <v>0</v>
      </c>
      <c r="S225" s="153">
        <v>0</v>
      </c>
      <c r="T225" s="153"/>
      <c r="U225" s="153"/>
      <c r="V225" s="153"/>
      <c r="W225" s="153"/>
      <c r="X225" s="153"/>
      <c r="Y225" s="153"/>
      <c r="Z225" s="153"/>
      <c r="AA225" s="153"/>
      <c r="AB225" s="153"/>
      <c r="AC225" s="153"/>
      <c r="AD225" s="153"/>
      <c r="AE225" s="153"/>
      <c r="AF225" s="153"/>
      <c r="AG225" s="153"/>
      <c r="AH225" s="153"/>
      <c r="AI225" s="153"/>
      <c r="AJ225" s="153"/>
      <c r="AK225"/>
      <c r="AL225"/>
      <c r="AM225"/>
      <c r="AN225"/>
    </row>
    <row r="226" spans="1:40" x14ac:dyDescent="0.35">
      <c r="A226" s="153"/>
      <c r="B226" s="153"/>
      <c r="C226" s="153"/>
      <c r="D226" s="153"/>
      <c r="E226" s="161"/>
      <c r="F226" s="153">
        <v>0</v>
      </c>
      <c r="G226" s="153"/>
      <c r="H226" s="153"/>
      <c r="I226" s="153"/>
      <c r="J226" s="153"/>
      <c r="K226" s="153"/>
      <c r="L226" s="153"/>
      <c r="M226" s="153"/>
      <c r="N226" s="153"/>
      <c r="O226" s="153"/>
      <c r="P226" s="153"/>
      <c r="Q226" s="153"/>
      <c r="R226" s="153"/>
      <c r="S226" s="153"/>
      <c r="T226" s="153"/>
      <c r="U226" s="153"/>
      <c r="V226" s="153"/>
      <c r="W226" s="153"/>
      <c r="X226" s="153"/>
      <c r="Y226" s="153"/>
      <c r="Z226" s="153"/>
      <c r="AA226" s="153"/>
      <c r="AB226" s="153"/>
      <c r="AC226" s="153"/>
      <c r="AD226" s="153"/>
      <c r="AE226" s="153"/>
      <c r="AF226" s="153"/>
      <c r="AG226" s="153"/>
      <c r="AH226" s="153"/>
      <c r="AI226" s="153"/>
      <c r="AJ226" s="153"/>
      <c r="AK226"/>
      <c r="AL226"/>
      <c r="AM226"/>
      <c r="AN226"/>
    </row>
    <row r="227" spans="1:40" x14ac:dyDescent="0.35">
      <c r="A227" s="153" t="s">
        <v>10</v>
      </c>
      <c r="B227" s="153" t="s">
        <v>179</v>
      </c>
      <c r="C227" s="153" t="s">
        <v>687</v>
      </c>
      <c r="D227" s="153" t="s">
        <v>556</v>
      </c>
      <c r="E227" s="161">
        <v>1</v>
      </c>
      <c r="F227" s="153">
        <v>0</v>
      </c>
      <c r="G227" s="153">
        <v>0</v>
      </c>
      <c r="H227" s="153">
        <v>0</v>
      </c>
      <c r="I227" s="153">
        <v>0</v>
      </c>
      <c r="J227" s="153">
        <v>0</v>
      </c>
      <c r="K227" s="153">
        <v>0</v>
      </c>
      <c r="L227" s="153">
        <v>0</v>
      </c>
      <c r="M227" s="153">
        <v>0</v>
      </c>
      <c r="N227" s="153">
        <v>0</v>
      </c>
      <c r="O227" s="153">
        <v>0</v>
      </c>
      <c r="P227" s="153">
        <v>0</v>
      </c>
      <c r="Q227" s="153">
        <v>0</v>
      </c>
      <c r="R227" s="153">
        <v>0</v>
      </c>
      <c r="S227" s="153">
        <v>0</v>
      </c>
      <c r="T227" s="153"/>
      <c r="U227" s="153"/>
      <c r="V227" s="153"/>
      <c r="W227" s="153"/>
      <c r="X227" s="153"/>
      <c r="Y227" s="153"/>
      <c r="Z227" s="153"/>
      <c r="AA227" s="153"/>
      <c r="AB227" s="153"/>
      <c r="AC227" s="153"/>
      <c r="AD227" s="153"/>
      <c r="AE227" s="153"/>
      <c r="AF227" s="153"/>
      <c r="AG227" s="153"/>
      <c r="AH227" s="153"/>
      <c r="AI227" s="153"/>
      <c r="AJ227" s="153"/>
      <c r="AK227"/>
      <c r="AL227"/>
      <c r="AM227"/>
      <c r="AN227"/>
    </row>
    <row r="228" spans="1:40" x14ac:dyDescent="0.35">
      <c r="A228" s="153" t="s">
        <v>10</v>
      </c>
      <c r="B228" s="153" t="s">
        <v>180</v>
      </c>
      <c r="C228" s="153" t="s">
        <v>688</v>
      </c>
      <c r="D228" s="153" t="s">
        <v>556</v>
      </c>
      <c r="E228" s="161">
        <v>1</v>
      </c>
      <c r="F228" s="153">
        <v>0</v>
      </c>
      <c r="G228" s="153">
        <v>0</v>
      </c>
      <c r="H228" s="153">
        <v>0</v>
      </c>
      <c r="I228" s="153">
        <v>0</v>
      </c>
      <c r="J228" s="153">
        <v>0</v>
      </c>
      <c r="K228" s="153">
        <v>0</v>
      </c>
      <c r="L228" s="153">
        <v>0</v>
      </c>
      <c r="M228" s="153">
        <v>0</v>
      </c>
      <c r="N228" s="153">
        <v>0</v>
      </c>
      <c r="O228" s="153">
        <v>0</v>
      </c>
      <c r="P228" s="153">
        <v>0</v>
      </c>
      <c r="Q228" s="153">
        <v>0</v>
      </c>
      <c r="R228" s="153">
        <v>0</v>
      </c>
      <c r="S228" s="153">
        <v>0</v>
      </c>
      <c r="T228" s="153"/>
      <c r="U228" s="153"/>
      <c r="V228" s="153"/>
      <c r="W228" s="153"/>
      <c r="X228" s="153"/>
      <c r="Y228" s="153"/>
      <c r="Z228" s="153"/>
      <c r="AA228" s="153"/>
      <c r="AB228" s="153"/>
      <c r="AC228" s="153"/>
      <c r="AD228" s="153"/>
      <c r="AE228" s="153"/>
      <c r="AF228" s="153"/>
      <c r="AG228" s="153"/>
      <c r="AH228" s="153"/>
      <c r="AI228" s="153"/>
      <c r="AJ228" s="153"/>
      <c r="AK228"/>
      <c r="AL228"/>
      <c r="AM228"/>
      <c r="AN228"/>
    </row>
    <row r="229" spans="1:40" x14ac:dyDescent="0.35">
      <c r="A229" s="153" t="s">
        <v>10</v>
      </c>
      <c r="B229" s="153" t="s">
        <v>181</v>
      </c>
      <c r="C229" s="153" t="s">
        <v>689</v>
      </c>
      <c r="D229" s="153" t="s">
        <v>556</v>
      </c>
      <c r="E229" s="161">
        <v>1</v>
      </c>
      <c r="F229" s="153">
        <v>0</v>
      </c>
      <c r="G229" s="153">
        <v>0</v>
      </c>
      <c r="H229" s="153">
        <v>0</v>
      </c>
      <c r="I229" s="153">
        <v>0</v>
      </c>
      <c r="J229" s="153">
        <v>0</v>
      </c>
      <c r="K229" s="153">
        <v>0</v>
      </c>
      <c r="L229" s="153">
        <v>0</v>
      </c>
      <c r="M229" s="153">
        <v>0</v>
      </c>
      <c r="N229" s="153">
        <v>0</v>
      </c>
      <c r="O229" s="153">
        <v>0</v>
      </c>
      <c r="P229" s="153">
        <v>0</v>
      </c>
      <c r="Q229" s="153">
        <v>0</v>
      </c>
      <c r="R229" s="153">
        <v>0</v>
      </c>
      <c r="S229" s="153">
        <v>0</v>
      </c>
      <c r="T229" s="153"/>
      <c r="U229" s="153"/>
      <c r="V229" s="153"/>
      <c r="W229" s="153"/>
      <c r="X229" s="153"/>
      <c r="Y229" s="153"/>
      <c r="Z229" s="153"/>
      <c r="AA229" s="153"/>
      <c r="AB229" s="153"/>
      <c r="AC229" s="153"/>
      <c r="AD229" s="153"/>
      <c r="AE229" s="153"/>
      <c r="AF229" s="153"/>
      <c r="AG229" s="153"/>
      <c r="AH229" s="153"/>
      <c r="AI229" s="153"/>
      <c r="AJ229" s="153"/>
      <c r="AK229"/>
      <c r="AL229"/>
      <c r="AM229"/>
      <c r="AN229"/>
    </row>
    <row r="230" spans="1:40" x14ac:dyDescent="0.35">
      <c r="A230" s="153" t="s">
        <v>10</v>
      </c>
      <c r="B230" s="153" t="s">
        <v>182</v>
      </c>
      <c r="C230" s="153" t="s">
        <v>690</v>
      </c>
      <c r="D230" s="153" t="s">
        <v>556</v>
      </c>
      <c r="E230" s="161">
        <v>1</v>
      </c>
      <c r="F230" s="153">
        <v>0</v>
      </c>
      <c r="G230" s="153">
        <v>0</v>
      </c>
      <c r="H230" s="153">
        <v>0</v>
      </c>
      <c r="I230" s="153">
        <v>0</v>
      </c>
      <c r="J230" s="153">
        <v>0</v>
      </c>
      <c r="K230" s="153">
        <v>0</v>
      </c>
      <c r="L230" s="153">
        <v>0</v>
      </c>
      <c r="M230" s="153">
        <v>0</v>
      </c>
      <c r="N230" s="153">
        <v>0</v>
      </c>
      <c r="O230" s="153">
        <v>0</v>
      </c>
      <c r="P230" s="153">
        <v>0</v>
      </c>
      <c r="Q230" s="153">
        <v>0</v>
      </c>
      <c r="R230" s="153">
        <v>0</v>
      </c>
      <c r="S230" s="153">
        <v>0</v>
      </c>
      <c r="T230" s="153"/>
      <c r="U230" s="153"/>
      <c r="V230" s="153"/>
      <c r="W230" s="153"/>
      <c r="X230" s="153"/>
      <c r="Y230" s="153"/>
      <c r="Z230" s="153"/>
      <c r="AA230" s="153"/>
      <c r="AB230" s="153"/>
      <c r="AC230" s="153"/>
      <c r="AD230" s="153"/>
      <c r="AE230" s="153"/>
      <c r="AF230" s="153"/>
      <c r="AG230" s="153"/>
      <c r="AH230" s="153"/>
      <c r="AI230" s="153"/>
      <c r="AJ230" s="153"/>
      <c r="AK230"/>
      <c r="AL230"/>
      <c r="AM230"/>
      <c r="AN230"/>
    </row>
    <row r="231" spans="1:40" x14ac:dyDescent="0.35">
      <c r="A231" s="153"/>
      <c r="B231" s="153"/>
      <c r="C231" s="153"/>
      <c r="D231" s="153"/>
      <c r="E231" s="161"/>
      <c r="F231" s="153">
        <v>0</v>
      </c>
      <c r="G231" s="153"/>
      <c r="H231" s="153"/>
      <c r="I231" s="153"/>
      <c r="J231" s="153"/>
      <c r="K231" s="153"/>
      <c r="L231" s="153"/>
      <c r="M231" s="153"/>
      <c r="N231" s="153"/>
      <c r="O231" s="153"/>
      <c r="P231" s="153"/>
      <c r="Q231" s="153"/>
      <c r="R231" s="153"/>
      <c r="S231" s="153"/>
      <c r="T231" s="153"/>
      <c r="U231" s="153"/>
      <c r="V231" s="153"/>
      <c r="W231" s="153"/>
      <c r="X231" s="153"/>
      <c r="Y231" s="153"/>
      <c r="Z231" s="153"/>
      <c r="AA231" s="153"/>
      <c r="AB231" s="153"/>
      <c r="AC231" s="153"/>
      <c r="AD231" s="153"/>
      <c r="AE231" s="153"/>
      <c r="AF231" s="153"/>
      <c r="AG231" s="153"/>
      <c r="AH231" s="153"/>
      <c r="AI231" s="153"/>
      <c r="AJ231" s="153"/>
      <c r="AK231"/>
      <c r="AL231"/>
      <c r="AM231"/>
      <c r="AN231"/>
    </row>
    <row r="232" spans="1:40" x14ac:dyDescent="0.35">
      <c r="A232" s="153" t="s">
        <v>503</v>
      </c>
      <c r="B232" s="153" t="s">
        <v>179</v>
      </c>
      <c r="C232" s="153" t="s">
        <v>1132</v>
      </c>
      <c r="D232" s="153" t="s">
        <v>67</v>
      </c>
      <c r="E232" s="161">
        <v>1</v>
      </c>
      <c r="F232" s="153">
        <v>0</v>
      </c>
      <c r="G232" s="153">
        <v>0</v>
      </c>
      <c r="H232" s="153">
        <v>0</v>
      </c>
      <c r="I232" s="153">
        <v>0</v>
      </c>
      <c r="J232" s="153">
        <v>0</v>
      </c>
      <c r="K232" s="153">
        <v>0</v>
      </c>
      <c r="L232" s="153">
        <v>0</v>
      </c>
      <c r="M232" s="153">
        <v>0</v>
      </c>
      <c r="N232" s="153">
        <v>0</v>
      </c>
      <c r="O232" s="153">
        <v>0</v>
      </c>
      <c r="P232" s="153">
        <v>0</v>
      </c>
      <c r="Q232" s="153">
        <v>0</v>
      </c>
      <c r="R232" s="153">
        <v>0</v>
      </c>
      <c r="S232" s="153">
        <v>0</v>
      </c>
      <c r="T232" s="153"/>
      <c r="U232" s="153"/>
      <c r="V232" s="153"/>
      <c r="W232" s="153"/>
      <c r="X232" s="153"/>
      <c r="Y232" s="153"/>
      <c r="Z232" s="153"/>
      <c r="AA232" s="153"/>
      <c r="AB232" s="153"/>
      <c r="AC232" s="153"/>
      <c r="AD232" s="153"/>
      <c r="AE232" s="153"/>
      <c r="AF232" s="153"/>
      <c r="AG232" s="153"/>
      <c r="AH232" s="153"/>
      <c r="AI232" s="153"/>
      <c r="AJ232" s="153"/>
      <c r="AK232"/>
      <c r="AL232"/>
      <c r="AM232"/>
      <c r="AN232"/>
    </row>
    <row r="233" spans="1:40" x14ac:dyDescent="0.35">
      <c r="A233" s="153" t="s">
        <v>503</v>
      </c>
      <c r="B233" s="153" t="s">
        <v>180</v>
      </c>
      <c r="C233" s="153" t="s">
        <v>1133</v>
      </c>
      <c r="D233" s="153" t="s">
        <v>67</v>
      </c>
      <c r="E233" s="161">
        <v>1</v>
      </c>
      <c r="F233" s="153">
        <v>0</v>
      </c>
      <c r="G233" s="153">
        <v>0</v>
      </c>
      <c r="H233" s="153">
        <v>0</v>
      </c>
      <c r="I233" s="153">
        <v>0</v>
      </c>
      <c r="J233" s="153">
        <v>0</v>
      </c>
      <c r="K233" s="153">
        <v>0</v>
      </c>
      <c r="L233" s="153">
        <v>0</v>
      </c>
      <c r="M233" s="153">
        <v>0</v>
      </c>
      <c r="N233" s="153">
        <v>0</v>
      </c>
      <c r="O233" s="153">
        <v>0</v>
      </c>
      <c r="P233" s="153">
        <v>0</v>
      </c>
      <c r="Q233" s="153">
        <v>0</v>
      </c>
      <c r="R233" s="153">
        <v>0</v>
      </c>
      <c r="S233" s="153">
        <v>0</v>
      </c>
      <c r="T233" s="153"/>
      <c r="U233" s="153"/>
      <c r="V233" s="153"/>
      <c r="W233" s="153"/>
      <c r="X233" s="153"/>
      <c r="Y233" s="153"/>
      <c r="Z233" s="153"/>
      <c r="AA233" s="153"/>
      <c r="AB233" s="153"/>
      <c r="AC233" s="153"/>
      <c r="AD233" s="153"/>
      <c r="AE233" s="153"/>
      <c r="AF233" s="153"/>
      <c r="AG233" s="153"/>
      <c r="AH233" s="153"/>
      <c r="AI233" s="153"/>
      <c r="AJ233" s="153"/>
      <c r="AK233"/>
      <c r="AL233"/>
      <c r="AM233"/>
      <c r="AN233"/>
    </row>
    <row r="234" spans="1:40" x14ac:dyDescent="0.35">
      <c r="A234" s="153" t="s">
        <v>503</v>
      </c>
      <c r="B234" s="153" t="s">
        <v>181</v>
      </c>
      <c r="C234" s="153" t="s">
        <v>1134</v>
      </c>
      <c r="D234" s="153" t="s">
        <v>67</v>
      </c>
      <c r="E234" s="161">
        <v>1</v>
      </c>
      <c r="F234" s="153">
        <v>0</v>
      </c>
      <c r="G234" s="153">
        <v>0</v>
      </c>
      <c r="H234" s="153">
        <v>0</v>
      </c>
      <c r="I234" s="153">
        <v>0</v>
      </c>
      <c r="J234" s="153">
        <v>0</v>
      </c>
      <c r="K234" s="153">
        <v>0</v>
      </c>
      <c r="L234" s="153">
        <v>0</v>
      </c>
      <c r="M234" s="153">
        <v>0</v>
      </c>
      <c r="N234" s="153">
        <v>0</v>
      </c>
      <c r="O234" s="153">
        <v>0</v>
      </c>
      <c r="P234" s="153">
        <v>0</v>
      </c>
      <c r="Q234" s="153">
        <v>0</v>
      </c>
      <c r="R234" s="153">
        <v>0</v>
      </c>
      <c r="S234" s="153">
        <v>0</v>
      </c>
      <c r="T234" s="153"/>
      <c r="U234" s="153"/>
      <c r="V234" s="153"/>
      <c r="W234" s="153"/>
      <c r="X234" s="153"/>
      <c r="Y234" s="153"/>
      <c r="Z234" s="153"/>
      <c r="AA234" s="153"/>
      <c r="AB234" s="153"/>
      <c r="AC234" s="153"/>
      <c r="AD234" s="153"/>
      <c r="AE234" s="153"/>
      <c r="AF234" s="153"/>
      <c r="AG234" s="153"/>
      <c r="AH234" s="153"/>
      <c r="AI234" s="153"/>
      <c r="AJ234" s="153"/>
      <c r="AK234"/>
      <c r="AL234"/>
      <c r="AM234"/>
      <c r="AN234"/>
    </row>
    <row r="235" spans="1:40" x14ac:dyDescent="0.35">
      <c r="A235" s="153" t="s">
        <v>503</v>
      </c>
      <c r="B235" s="153" t="s">
        <v>182</v>
      </c>
      <c r="C235" s="153" t="s">
        <v>1135</v>
      </c>
      <c r="D235" s="153" t="s">
        <v>67</v>
      </c>
      <c r="E235" s="161">
        <v>1</v>
      </c>
      <c r="F235" s="153">
        <v>0</v>
      </c>
      <c r="G235" s="153">
        <v>0</v>
      </c>
      <c r="H235" s="153">
        <v>0</v>
      </c>
      <c r="I235" s="153">
        <v>0</v>
      </c>
      <c r="J235" s="153">
        <v>0</v>
      </c>
      <c r="K235" s="153">
        <v>0</v>
      </c>
      <c r="L235" s="153">
        <v>0</v>
      </c>
      <c r="M235" s="153">
        <v>0</v>
      </c>
      <c r="N235" s="153">
        <v>0</v>
      </c>
      <c r="O235" s="153">
        <v>0</v>
      </c>
      <c r="P235" s="153">
        <v>0</v>
      </c>
      <c r="Q235" s="153">
        <v>0</v>
      </c>
      <c r="R235" s="153">
        <v>0</v>
      </c>
      <c r="S235" s="153">
        <v>0</v>
      </c>
      <c r="T235" s="153"/>
      <c r="U235" s="153"/>
      <c r="V235" s="153"/>
      <c r="W235" s="153"/>
      <c r="X235" s="153"/>
      <c r="Y235" s="153"/>
      <c r="Z235" s="153"/>
      <c r="AA235" s="153"/>
      <c r="AB235" s="153"/>
      <c r="AC235" s="153"/>
      <c r="AD235" s="153"/>
      <c r="AE235" s="153"/>
      <c r="AF235" s="153"/>
      <c r="AG235" s="153"/>
      <c r="AH235" s="153"/>
      <c r="AI235" s="153"/>
      <c r="AJ235" s="153"/>
      <c r="AK235"/>
      <c r="AL235"/>
      <c r="AM235"/>
      <c r="AN235"/>
    </row>
    <row r="236" spans="1:40" x14ac:dyDescent="0.35">
      <c r="A236" s="153"/>
      <c r="B236" s="153"/>
      <c r="C236" s="153"/>
      <c r="D236" s="153"/>
      <c r="E236" s="161"/>
      <c r="F236" s="153">
        <v>0</v>
      </c>
      <c r="G236" s="153"/>
      <c r="H236" s="153"/>
      <c r="I236" s="153"/>
      <c r="J236" s="153"/>
      <c r="K236" s="153"/>
      <c r="L236" s="153"/>
      <c r="M236" s="153"/>
      <c r="N236" s="153"/>
      <c r="O236" s="153"/>
      <c r="P236" s="153"/>
      <c r="Q236" s="153"/>
      <c r="R236" s="153"/>
      <c r="S236" s="153"/>
      <c r="T236" s="153"/>
      <c r="U236" s="153"/>
      <c r="V236" s="153"/>
      <c r="W236" s="153"/>
      <c r="X236" s="153"/>
      <c r="Y236" s="153"/>
      <c r="Z236" s="153"/>
      <c r="AA236" s="153"/>
      <c r="AB236" s="153"/>
      <c r="AC236" s="153"/>
      <c r="AD236" s="153"/>
      <c r="AE236" s="153"/>
      <c r="AF236" s="153"/>
      <c r="AG236" s="153"/>
      <c r="AH236" s="153"/>
      <c r="AI236" s="153"/>
      <c r="AJ236" s="153"/>
      <c r="AK236"/>
      <c r="AL236"/>
      <c r="AM236"/>
      <c r="AN236"/>
    </row>
    <row r="237" spans="1:40" x14ac:dyDescent="0.35">
      <c r="A237" s="153" t="s">
        <v>498</v>
      </c>
      <c r="B237" s="153" t="s">
        <v>179</v>
      </c>
      <c r="C237" s="153" t="s">
        <v>707</v>
      </c>
      <c r="D237" s="153" t="s">
        <v>35</v>
      </c>
      <c r="E237" s="161">
        <v>1</v>
      </c>
      <c r="F237" s="153">
        <v>0</v>
      </c>
      <c r="G237" s="153">
        <v>0</v>
      </c>
      <c r="H237" s="153">
        <v>0</v>
      </c>
      <c r="I237" s="153">
        <v>0</v>
      </c>
      <c r="J237" s="153">
        <v>0</v>
      </c>
      <c r="K237" s="153">
        <v>0</v>
      </c>
      <c r="L237" s="153">
        <v>0</v>
      </c>
      <c r="M237" s="153">
        <v>0</v>
      </c>
      <c r="N237" s="153">
        <v>0</v>
      </c>
      <c r="O237" s="153">
        <v>0</v>
      </c>
      <c r="P237" s="153">
        <v>0</v>
      </c>
      <c r="Q237" s="153">
        <v>0</v>
      </c>
      <c r="R237" s="153">
        <v>0</v>
      </c>
      <c r="S237" s="153">
        <v>0</v>
      </c>
      <c r="T237" s="153"/>
      <c r="U237" s="153"/>
      <c r="V237" s="153"/>
      <c r="W237" s="153"/>
      <c r="X237" s="153"/>
      <c r="Y237" s="153"/>
      <c r="Z237" s="153"/>
      <c r="AA237" s="153"/>
      <c r="AB237" s="153"/>
      <c r="AC237" s="153"/>
      <c r="AD237" s="153"/>
      <c r="AE237" s="153"/>
      <c r="AF237" s="153"/>
      <c r="AG237" s="153"/>
      <c r="AH237" s="153"/>
      <c r="AI237" s="153"/>
      <c r="AJ237" s="153"/>
      <c r="AK237"/>
      <c r="AL237"/>
      <c r="AM237"/>
      <c r="AN237"/>
    </row>
    <row r="238" spans="1:40" x14ac:dyDescent="0.35">
      <c r="A238" s="153" t="s">
        <v>498</v>
      </c>
      <c r="B238" s="153" t="s">
        <v>180</v>
      </c>
      <c r="C238" s="153" t="s">
        <v>708</v>
      </c>
      <c r="D238" s="153" t="s">
        <v>35</v>
      </c>
      <c r="E238" s="161">
        <v>1</v>
      </c>
      <c r="F238" s="153">
        <v>172</v>
      </c>
      <c r="G238" s="153">
        <v>170</v>
      </c>
      <c r="H238" s="153">
        <v>511</v>
      </c>
      <c r="I238" s="153">
        <v>33</v>
      </c>
      <c r="J238" s="153">
        <v>0</v>
      </c>
      <c r="K238" s="153">
        <v>163</v>
      </c>
      <c r="L238" s="153">
        <v>29411</v>
      </c>
      <c r="M238" s="153">
        <v>0</v>
      </c>
      <c r="N238" s="153">
        <v>0</v>
      </c>
      <c r="O238" s="153">
        <v>0</v>
      </c>
      <c r="P238" s="153">
        <v>0</v>
      </c>
      <c r="Q238" s="153">
        <v>170</v>
      </c>
      <c r="R238" s="153">
        <v>680</v>
      </c>
      <c r="S238" s="153">
        <v>157</v>
      </c>
      <c r="T238" s="153"/>
      <c r="U238" s="153"/>
      <c r="V238" s="153"/>
      <c r="W238" s="153"/>
      <c r="X238" s="153"/>
      <c r="Y238" s="153"/>
      <c r="Z238" s="153"/>
      <c r="AA238" s="153"/>
      <c r="AB238" s="153"/>
      <c r="AC238" s="153"/>
      <c r="AD238" s="153"/>
      <c r="AE238" s="153"/>
      <c r="AF238" s="153"/>
      <c r="AG238" s="153"/>
      <c r="AH238" s="153"/>
      <c r="AI238" s="153"/>
      <c r="AJ238" s="153"/>
      <c r="AK238"/>
      <c r="AL238"/>
      <c r="AM238"/>
      <c r="AN238"/>
    </row>
    <row r="239" spans="1:40" x14ac:dyDescent="0.35">
      <c r="A239" s="153" t="s">
        <v>498</v>
      </c>
      <c r="B239" s="153" t="s">
        <v>181</v>
      </c>
      <c r="C239" s="153" t="s">
        <v>709</v>
      </c>
      <c r="D239" s="153" t="s">
        <v>35</v>
      </c>
      <c r="E239" s="161">
        <v>1</v>
      </c>
      <c r="F239" s="153">
        <v>0</v>
      </c>
      <c r="G239" s="153">
        <v>0</v>
      </c>
      <c r="H239" s="153">
        <v>0</v>
      </c>
      <c r="I239" s="153">
        <v>0</v>
      </c>
      <c r="J239" s="153">
        <v>0</v>
      </c>
      <c r="K239" s="153">
        <v>0</v>
      </c>
      <c r="L239" s="153">
        <v>0</v>
      </c>
      <c r="M239" s="153"/>
      <c r="N239" s="153">
        <v>0</v>
      </c>
      <c r="O239" s="153">
        <v>0</v>
      </c>
      <c r="P239" s="153">
        <v>0</v>
      </c>
      <c r="Q239" s="153">
        <v>0</v>
      </c>
      <c r="R239" s="153">
        <v>0</v>
      </c>
      <c r="S239" s="153">
        <v>0</v>
      </c>
      <c r="T239" s="153"/>
      <c r="U239" s="153"/>
      <c r="V239" s="153"/>
      <c r="W239" s="153"/>
      <c r="X239" s="153"/>
      <c r="Y239" s="153"/>
      <c r="Z239" s="153"/>
      <c r="AA239" s="153"/>
      <c r="AB239" s="153"/>
      <c r="AC239" s="153"/>
      <c r="AD239" s="153"/>
      <c r="AE239" s="153"/>
      <c r="AF239" s="153"/>
      <c r="AG239" s="153"/>
      <c r="AH239" s="153"/>
      <c r="AI239" s="153"/>
      <c r="AJ239" s="153"/>
      <c r="AK239"/>
      <c r="AL239"/>
      <c r="AM239"/>
      <c r="AN239"/>
    </row>
    <row r="240" spans="1:40" x14ac:dyDescent="0.35">
      <c r="A240" s="153" t="s">
        <v>498</v>
      </c>
      <c r="B240" s="153" t="s">
        <v>182</v>
      </c>
      <c r="C240" s="153" t="s">
        <v>710</v>
      </c>
      <c r="D240" s="153" t="s">
        <v>35</v>
      </c>
      <c r="E240" s="161">
        <v>1</v>
      </c>
      <c r="F240" s="153">
        <v>0</v>
      </c>
      <c r="G240" s="153">
        <v>0</v>
      </c>
      <c r="H240" s="153">
        <v>0</v>
      </c>
      <c r="I240" s="153">
        <v>0</v>
      </c>
      <c r="J240" s="153">
        <v>0</v>
      </c>
      <c r="K240" s="153">
        <v>0</v>
      </c>
      <c r="L240" s="153">
        <v>0</v>
      </c>
      <c r="M240" s="153">
        <v>0</v>
      </c>
      <c r="N240" s="153">
        <v>0</v>
      </c>
      <c r="O240" s="153">
        <v>0</v>
      </c>
      <c r="P240" s="153">
        <v>0</v>
      </c>
      <c r="Q240" s="153">
        <v>0</v>
      </c>
      <c r="R240" s="153">
        <v>0</v>
      </c>
      <c r="S240" s="153">
        <v>0</v>
      </c>
      <c r="T240" s="153"/>
      <c r="U240" s="153"/>
      <c r="V240" s="153"/>
      <c r="W240" s="153"/>
      <c r="X240" s="153"/>
      <c r="Y240" s="153"/>
      <c r="Z240" s="153"/>
      <c r="AA240" s="153"/>
      <c r="AB240" s="153"/>
      <c r="AC240" s="153"/>
      <c r="AD240" s="153"/>
      <c r="AE240" s="153"/>
      <c r="AF240" s="153"/>
      <c r="AG240" s="153"/>
      <c r="AH240" s="153"/>
      <c r="AI240" s="153"/>
      <c r="AJ240" s="153"/>
      <c r="AK240"/>
      <c r="AL240"/>
      <c r="AM240"/>
      <c r="AN240"/>
    </row>
    <row r="241" spans="1:40" x14ac:dyDescent="0.35">
      <c r="A241" s="153"/>
      <c r="B241" s="153"/>
      <c r="C241" s="153"/>
      <c r="D241" s="153"/>
      <c r="E241" s="161"/>
      <c r="F241" s="153">
        <v>0</v>
      </c>
      <c r="G241" s="153"/>
      <c r="H241" s="153"/>
      <c r="I241" s="153"/>
      <c r="J241" s="153"/>
      <c r="K241" s="153"/>
      <c r="L241" s="153"/>
      <c r="M241" s="153"/>
      <c r="N241" s="153"/>
      <c r="O241" s="153"/>
      <c r="P241" s="153"/>
      <c r="Q241" s="153"/>
      <c r="R241" s="153"/>
      <c r="S241" s="153"/>
      <c r="T241" s="153"/>
      <c r="U241" s="153"/>
      <c r="V241" s="153"/>
      <c r="W241" s="153"/>
      <c r="X241" s="153"/>
      <c r="Y241" s="153"/>
      <c r="Z241" s="153"/>
      <c r="AA241" s="153"/>
      <c r="AB241" s="153"/>
      <c r="AC241" s="153"/>
      <c r="AD241" s="153"/>
      <c r="AE241" s="153"/>
      <c r="AF241" s="153"/>
      <c r="AG241" s="153"/>
      <c r="AH241" s="153"/>
      <c r="AI241" s="153"/>
      <c r="AJ241" s="153"/>
      <c r="AK241"/>
      <c r="AL241"/>
      <c r="AM241"/>
      <c r="AN241"/>
    </row>
    <row r="242" spans="1:40" x14ac:dyDescent="0.35">
      <c r="A242" s="153" t="s">
        <v>1339</v>
      </c>
      <c r="B242" s="153" t="s">
        <v>179</v>
      </c>
      <c r="C242" s="153" t="s">
        <v>1400</v>
      </c>
      <c r="D242" s="153" t="s">
        <v>35</v>
      </c>
      <c r="E242" s="161">
        <v>1</v>
      </c>
      <c r="F242" s="153">
        <v>0</v>
      </c>
      <c r="G242" s="153">
        <v>0</v>
      </c>
      <c r="H242" s="153">
        <v>0</v>
      </c>
      <c r="I242" s="153">
        <v>0</v>
      </c>
      <c r="J242" s="153">
        <v>0</v>
      </c>
      <c r="K242" s="153">
        <v>0</v>
      </c>
      <c r="L242" s="153">
        <v>0</v>
      </c>
      <c r="M242" s="153">
        <v>0</v>
      </c>
      <c r="N242" s="153">
        <v>0</v>
      </c>
      <c r="O242" s="153">
        <v>0</v>
      </c>
      <c r="P242" s="153">
        <v>0</v>
      </c>
      <c r="Q242" s="153">
        <v>0</v>
      </c>
      <c r="R242" s="153">
        <v>0</v>
      </c>
      <c r="S242" s="153">
        <v>0</v>
      </c>
      <c r="T242" s="153"/>
      <c r="U242" s="153"/>
      <c r="V242" s="153"/>
      <c r="W242" s="153"/>
      <c r="X242" s="153"/>
      <c r="Y242" s="153"/>
      <c r="Z242" s="153"/>
      <c r="AA242" s="153"/>
      <c r="AB242" s="153"/>
      <c r="AC242" s="153"/>
      <c r="AD242" s="153"/>
      <c r="AE242" s="153"/>
      <c r="AF242" s="153"/>
      <c r="AG242" s="153"/>
      <c r="AH242" s="153"/>
      <c r="AI242" s="153"/>
      <c r="AJ242" s="153"/>
      <c r="AK242"/>
      <c r="AL242"/>
      <c r="AM242"/>
      <c r="AN242"/>
    </row>
    <row r="243" spans="1:40" x14ac:dyDescent="0.35">
      <c r="A243" s="153" t="s">
        <v>1339</v>
      </c>
      <c r="B243" s="153" t="s">
        <v>180</v>
      </c>
      <c r="C243" s="153" t="s">
        <v>1401</v>
      </c>
      <c r="D243" s="153" t="s">
        <v>35</v>
      </c>
      <c r="E243" s="161">
        <v>1</v>
      </c>
      <c r="F243" s="153">
        <v>0</v>
      </c>
      <c r="G243" s="153">
        <v>1885</v>
      </c>
      <c r="H243" s="153">
        <v>0</v>
      </c>
      <c r="I243" s="153">
        <v>0</v>
      </c>
      <c r="J243" s="153">
        <v>0</v>
      </c>
      <c r="K243" s="153">
        <v>0</v>
      </c>
      <c r="L243" s="153">
        <v>0</v>
      </c>
      <c r="M243" s="153">
        <v>0</v>
      </c>
      <c r="N243" s="153">
        <v>0</v>
      </c>
      <c r="O243" s="153">
        <v>5</v>
      </c>
      <c r="P243" s="153">
        <v>0</v>
      </c>
      <c r="Q243" s="153">
        <v>0</v>
      </c>
      <c r="R243" s="153">
        <v>0</v>
      </c>
      <c r="S243" s="153">
        <v>0</v>
      </c>
      <c r="T243" s="153"/>
      <c r="U243" s="153"/>
      <c r="V243" s="153"/>
      <c r="W243" s="153"/>
      <c r="X243" s="153"/>
      <c r="Y243" s="153"/>
      <c r="Z243" s="153"/>
      <c r="AA243" s="153"/>
      <c r="AB243" s="153"/>
      <c r="AC243" s="153"/>
      <c r="AD243" s="153"/>
      <c r="AE243" s="153"/>
      <c r="AF243" s="153"/>
      <c r="AG243" s="153"/>
      <c r="AH243" s="153"/>
      <c r="AI243" s="153"/>
      <c r="AJ243" s="153"/>
      <c r="AK243"/>
      <c r="AL243"/>
      <c r="AM243"/>
      <c r="AN243"/>
    </row>
    <row r="244" spans="1:40" x14ac:dyDescent="0.35">
      <c r="A244" s="153" t="s">
        <v>1339</v>
      </c>
      <c r="B244" s="153" t="s">
        <v>181</v>
      </c>
      <c r="C244" s="153" t="s">
        <v>1402</v>
      </c>
      <c r="D244" s="153" t="s">
        <v>35</v>
      </c>
      <c r="E244" s="161">
        <v>1</v>
      </c>
      <c r="F244" s="153">
        <v>9958</v>
      </c>
      <c r="G244" s="153">
        <v>6712</v>
      </c>
      <c r="H244" s="153">
        <v>9450</v>
      </c>
      <c r="I244" s="153">
        <v>4306</v>
      </c>
      <c r="J244" s="153">
        <v>7744</v>
      </c>
      <c r="K244" s="153">
        <v>6097</v>
      </c>
      <c r="L244" s="153">
        <v>7313</v>
      </c>
      <c r="M244" s="153">
        <v>5706</v>
      </c>
      <c r="N244" s="153">
        <v>6471</v>
      </c>
      <c r="O244" s="153">
        <v>8842</v>
      </c>
      <c r="P244" s="153">
        <v>7235</v>
      </c>
      <c r="Q244" s="153">
        <v>9455</v>
      </c>
      <c r="R244" s="153">
        <v>9419</v>
      </c>
      <c r="S244" s="153">
        <v>12235</v>
      </c>
      <c r="T244" s="153"/>
      <c r="U244" s="153"/>
      <c r="V244" s="153"/>
      <c r="W244" s="153"/>
      <c r="X244" s="153"/>
      <c r="Y244" s="153"/>
      <c r="Z244" s="153"/>
      <c r="AA244" s="153"/>
      <c r="AB244" s="153"/>
      <c r="AC244" s="153"/>
      <c r="AD244" s="153"/>
      <c r="AE244" s="153"/>
      <c r="AF244" s="153"/>
      <c r="AG244" s="153"/>
      <c r="AH244" s="153"/>
      <c r="AI244" s="153"/>
      <c r="AJ244" s="153"/>
      <c r="AK244"/>
      <c r="AL244"/>
      <c r="AM244"/>
      <c r="AN244"/>
    </row>
    <row r="245" spans="1:40" x14ac:dyDescent="0.35">
      <c r="A245" s="153" t="s">
        <v>1339</v>
      </c>
      <c r="B245" s="153" t="s">
        <v>182</v>
      </c>
      <c r="C245" s="153" t="s">
        <v>1403</v>
      </c>
      <c r="D245" s="153" t="s">
        <v>35</v>
      </c>
      <c r="E245" s="161">
        <v>1</v>
      </c>
      <c r="F245" s="153">
        <v>0</v>
      </c>
      <c r="G245" s="153"/>
      <c r="H245" s="153"/>
      <c r="I245" s="153"/>
      <c r="J245" s="153"/>
      <c r="K245" s="153"/>
      <c r="L245" s="153"/>
      <c r="M245" s="153"/>
      <c r="N245" s="153"/>
      <c r="O245" s="153">
        <v>0</v>
      </c>
      <c r="P245" s="153"/>
      <c r="Q245" s="153"/>
      <c r="R245" s="153"/>
      <c r="S245" s="153"/>
      <c r="T245" s="153"/>
      <c r="U245" s="153"/>
      <c r="V245" s="153"/>
      <c r="W245" s="153"/>
      <c r="X245" s="153"/>
      <c r="Y245" s="153"/>
      <c r="Z245" s="153"/>
      <c r="AA245" s="153"/>
      <c r="AB245" s="153"/>
      <c r="AC245" s="153"/>
      <c r="AD245" s="153"/>
      <c r="AE245" s="153"/>
      <c r="AF245" s="153"/>
      <c r="AG245" s="153"/>
      <c r="AH245" s="153"/>
      <c r="AI245" s="153"/>
      <c r="AJ245" s="153"/>
      <c r="AK245"/>
      <c r="AL245"/>
      <c r="AM245"/>
      <c r="AN245"/>
    </row>
    <row r="246" spans="1:40" x14ac:dyDescent="0.35">
      <c r="A246" s="153"/>
      <c r="B246" s="153"/>
      <c r="C246" s="153"/>
      <c r="D246" s="153"/>
      <c r="E246" s="161"/>
      <c r="F246" s="153">
        <v>0</v>
      </c>
      <c r="G246" s="153"/>
      <c r="H246" s="153"/>
      <c r="I246" s="153"/>
      <c r="J246" s="153"/>
      <c r="K246" s="153"/>
      <c r="L246" s="153"/>
      <c r="M246" s="153"/>
      <c r="N246" s="153"/>
      <c r="O246" s="153"/>
      <c r="P246" s="153"/>
      <c r="Q246" s="153"/>
      <c r="R246" s="153"/>
      <c r="S246" s="153"/>
      <c r="T246" s="153"/>
      <c r="U246" s="153"/>
      <c r="V246" s="153"/>
      <c r="W246" s="153"/>
      <c r="X246" s="153"/>
      <c r="Y246" s="153"/>
      <c r="Z246" s="153"/>
      <c r="AA246" s="153"/>
      <c r="AB246" s="153"/>
      <c r="AC246" s="153"/>
      <c r="AD246" s="153"/>
      <c r="AE246" s="153"/>
      <c r="AF246" s="153"/>
      <c r="AG246" s="153"/>
      <c r="AH246" s="153"/>
      <c r="AI246" s="153"/>
      <c r="AJ246" s="153"/>
      <c r="AK246"/>
      <c r="AL246"/>
      <c r="AM246"/>
      <c r="AN246"/>
    </row>
    <row r="247" spans="1:40" x14ac:dyDescent="0.35">
      <c r="A247" s="153" t="s">
        <v>1348</v>
      </c>
      <c r="B247" s="153" t="s">
        <v>179</v>
      </c>
      <c r="C247" s="153" t="s">
        <v>1372</v>
      </c>
      <c r="D247" s="153" t="s">
        <v>35</v>
      </c>
      <c r="E247" s="161">
        <v>1</v>
      </c>
      <c r="F247" s="153">
        <v>0</v>
      </c>
      <c r="G247" s="153">
        <v>0</v>
      </c>
      <c r="H247" s="153">
        <v>0</v>
      </c>
      <c r="I247" s="153">
        <v>0</v>
      </c>
      <c r="J247" s="153">
        <v>0</v>
      </c>
      <c r="K247" s="153">
        <v>0</v>
      </c>
      <c r="L247" s="153">
        <v>0</v>
      </c>
      <c r="M247" s="153">
        <v>0</v>
      </c>
      <c r="N247" s="153">
        <v>0</v>
      </c>
      <c r="O247" s="153">
        <v>0</v>
      </c>
      <c r="P247" s="153">
        <v>0</v>
      </c>
      <c r="Q247" s="153">
        <v>0</v>
      </c>
      <c r="R247" s="153">
        <v>0</v>
      </c>
      <c r="S247" s="153">
        <v>0</v>
      </c>
      <c r="T247" s="153"/>
      <c r="U247" s="153"/>
      <c r="V247" s="153"/>
      <c r="W247" s="153"/>
      <c r="X247" s="153"/>
      <c r="Y247" s="153"/>
      <c r="Z247" s="153"/>
      <c r="AA247" s="153"/>
      <c r="AB247" s="153"/>
      <c r="AC247" s="153"/>
      <c r="AD247" s="153"/>
      <c r="AE247" s="153"/>
      <c r="AF247" s="153"/>
      <c r="AG247" s="153"/>
      <c r="AH247" s="153"/>
      <c r="AI247" s="153"/>
      <c r="AJ247" s="153"/>
      <c r="AK247"/>
      <c r="AL247"/>
      <c r="AM247"/>
      <c r="AN247"/>
    </row>
    <row r="248" spans="1:40" x14ac:dyDescent="0.35">
      <c r="A248" s="153" t="s">
        <v>1348</v>
      </c>
      <c r="B248" s="153" t="s">
        <v>180</v>
      </c>
      <c r="C248" s="153" t="s">
        <v>1373</v>
      </c>
      <c r="D248" s="153" t="s">
        <v>35</v>
      </c>
      <c r="E248" s="161">
        <v>1</v>
      </c>
      <c r="F248" s="153">
        <v>0</v>
      </c>
      <c r="G248" s="153">
        <v>0</v>
      </c>
      <c r="H248" s="153">
        <v>0</v>
      </c>
      <c r="I248" s="153">
        <v>0</v>
      </c>
      <c r="J248" s="153">
        <v>0</v>
      </c>
      <c r="K248" s="153">
        <v>0</v>
      </c>
      <c r="L248" s="153">
        <v>0</v>
      </c>
      <c r="M248" s="153">
        <v>0</v>
      </c>
      <c r="N248" s="153">
        <v>0</v>
      </c>
      <c r="O248" s="153">
        <v>0</v>
      </c>
      <c r="P248" s="153">
        <v>0</v>
      </c>
      <c r="Q248" s="153">
        <v>0</v>
      </c>
      <c r="R248" s="153">
        <v>0</v>
      </c>
      <c r="S248" s="153">
        <v>0</v>
      </c>
      <c r="T248" s="153"/>
      <c r="U248" s="153"/>
      <c r="V248" s="153"/>
      <c r="W248" s="153"/>
      <c r="X248" s="153"/>
      <c r="Y248" s="153"/>
      <c r="Z248" s="153"/>
      <c r="AA248" s="153"/>
      <c r="AB248" s="153"/>
      <c r="AC248" s="153"/>
      <c r="AD248" s="153"/>
      <c r="AE248" s="153"/>
      <c r="AF248" s="153"/>
      <c r="AG248" s="153"/>
      <c r="AH248" s="153"/>
      <c r="AI248" s="153"/>
      <c r="AJ248" s="153"/>
      <c r="AK248"/>
      <c r="AL248"/>
      <c r="AM248"/>
      <c r="AN248"/>
    </row>
    <row r="249" spans="1:40" x14ac:dyDescent="0.35">
      <c r="A249" s="153" t="s">
        <v>1348</v>
      </c>
      <c r="B249" s="153" t="s">
        <v>181</v>
      </c>
      <c r="C249" s="153" t="s">
        <v>1374</v>
      </c>
      <c r="D249" s="153" t="s">
        <v>35</v>
      </c>
      <c r="E249" s="161">
        <v>1</v>
      </c>
      <c r="F249" s="153">
        <v>0</v>
      </c>
      <c r="G249" s="153">
        <v>0</v>
      </c>
      <c r="H249" s="153">
        <v>0</v>
      </c>
      <c r="I249" s="153">
        <v>0</v>
      </c>
      <c r="J249" s="153">
        <v>0</v>
      </c>
      <c r="K249" s="153">
        <v>0</v>
      </c>
      <c r="L249" s="153">
        <v>0</v>
      </c>
      <c r="M249" s="153">
        <v>0</v>
      </c>
      <c r="N249" s="153">
        <v>0</v>
      </c>
      <c r="P249" s="153">
        <v>0</v>
      </c>
      <c r="Q249" s="153">
        <v>0</v>
      </c>
      <c r="R249" s="153">
        <v>0</v>
      </c>
      <c r="S249" s="153">
        <v>0</v>
      </c>
      <c r="T249" s="153"/>
      <c r="U249" s="153"/>
      <c r="V249" s="153"/>
      <c r="W249" s="153"/>
      <c r="X249" s="153"/>
      <c r="Y249" s="153"/>
      <c r="Z249" s="153"/>
      <c r="AA249" s="153"/>
      <c r="AB249" s="153"/>
      <c r="AC249" s="153"/>
      <c r="AD249" s="153"/>
      <c r="AE249" s="153"/>
      <c r="AF249" s="153"/>
      <c r="AG249" s="153"/>
      <c r="AH249" s="153"/>
      <c r="AI249" s="153"/>
      <c r="AJ249" s="153"/>
      <c r="AK249"/>
      <c r="AL249"/>
      <c r="AM249"/>
      <c r="AN249"/>
    </row>
    <row r="250" spans="1:40" x14ac:dyDescent="0.35">
      <c r="A250" s="153" t="s">
        <v>1348</v>
      </c>
      <c r="B250" s="153" t="s">
        <v>182</v>
      </c>
      <c r="C250" s="153" t="s">
        <v>1375</v>
      </c>
      <c r="D250" s="153" t="s">
        <v>35</v>
      </c>
      <c r="E250" s="161">
        <v>1</v>
      </c>
      <c r="F250" s="153">
        <v>0</v>
      </c>
      <c r="G250" s="153">
        <v>0</v>
      </c>
      <c r="H250" s="153">
        <v>0</v>
      </c>
      <c r="I250" s="153">
        <v>0</v>
      </c>
      <c r="J250" s="153">
        <v>0</v>
      </c>
      <c r="K250" s="153">
        <v>0</v>
      </c>
      <c r="L250" s="153">
        <v>0</v>
      </c>
      <c r="M250" s="153">
        <v>0</v>
      </c>
      <c r="N250" s="153">
        <v>0</v>
      </c>
      <c r="O250" s="153"/>
      <c r="P250" s="153">
        <v>0</v>
      </c>
      <c r="Q250" s="153">
        <v>0</v>
      </c>
      <c r="R250" s="153">
        <v>0</v>
      </c>
      <c r="S250" s="153">
        <v>0</v>
      </c>
      <c r="T250" s="153"/>
      <c r="U250" s="153"/>
      <c r="V250" s="153"/>
      <c r="W250" s="153"/>
      <c r="X250" s="153"/>
      <c r="Y250" s="153"/>
      <c r="Z250" s="153"/>
      <c r="AA250" s="153"/>
      <c r="AB250" s="153"/>
      <c r="AC250" s="153"/>
      <c r="AD250" s="153"/>
      <c r="AE250" s="153"/>
      <c r="AF250" s="153"/>
      <c r="AG250" s="153"/>
      <c r="AH250" s="153"/>
      <c r="AI250" s="153"/>
      <c r="AJ250" s="153"/>
      <c r="AK250"/>
      <c r="AL250"/>
      <c r="AM250"/>
      <c r="AN250"/>
    </row>
    <row r="251" spans="1:40" x14ac:dyDescent="0.35">
      <c r="A251" s="153"/>
      <c r="B251" s="153"/>
      <c r="C251" s="153"/>
      <c r="D251" s="153"/>
      <c r="E251" s="161"/>
      <c r="F251" s="153">
        <v>0</v>
      </c>
      <c r="G251" s="153"/>
      <c r="H251" s="153"/>
      <c r="I251" s="153"/>
      <c r="J251" s="153"/>
      <c r="K251" s="153"/>
      <c r="L251" s="153"/>
      <c r="M251" s="153"/>
      <c r="N251" s="153"/>
      <c r="O251" s="153"/>
      <c r="P251" s="153"/>
      <c r="Q251" s="153"/>
      <c r="R251" s="153"/>
      <c r="S251" s="153"/>
      <c r="T251" s="153"/>
      <c r="U251" s="153"/>
      <c r="V251" s="153"/>
      <c r="W251" s="153"/>
      <c r="X251" s="153"/>
      <c r="Y251" s="153"/>
      <c r="Z251" s="153"/>
      <c r="AA251" s="153"/>
      <c r="AB251" s="153"/>
      <c r="AC251" s="153"/>
      <c r="AD251" s="153"/>
      <c r="AE251" s="153"/>
      <c r="AF251" s="153"/>
      <c r="AG251" s="153"/>
      <c r="AH251" s="153"/>
      <c r="AI251" s="153"/>
      <c r="AJ251" s="153"/>
      <c r="AK251"/>
      <c r="AL251"/>
      <c r="AM251"/>
      <c r="AN251"/>
    </row>
    <row r="252" spans="1:40" x14ac:dyDescent="0.35">
      <c r="A252" s="153" t="s">
        <v>354</v>
      </c>
      <c r="B252" s="153" t="s">
        <v>179</v>
      </c>
      <c r="C252" s="153" t="s">
        <v>445</v>
      </c>
      <c r="D252" s="153" t="s">
        <v>35</v>
      </c>
      <c r="E252" s="161">
        <v>1</v>
      </c>
      <c r="F252" s="153">
        <v>0</v>
      </c>
      <c r="G252" s="153">
        <v>0</v>
      </c>
      <c r="H252" s="153">
        <v>0</v>
      </c>
      <c r="I252" s="153">
        <v>0</v>
      </c>
      <c r="J252" s="153">
        <v>0</v>
      </c>
      <c r="K252" s="153">
        <v>0</v>
      </c>
      <c r="L252" s="153">
        <v>0</v>
      </c>
      <c r="M252" s="153">
        <v>0</v>
      </c>
      <c r="N252" s="153">
        <v>0</v>
      </c>
      <c r="O252" s="153">
        <v>0</v>
      </c>
      <c r="P252" s="153">
        <v>0</v>
      </c>
      <c r="Q252" s="153">
        <v>0</v>
      </c>
      <c r="R252" s="153">
        <v>0</v>
      </c>
      <c r="S252" s="153">
        <v>0</v>
      </c>
      <c r="T252" s="153"/>
      <c r="U252" s="153"/>
      <c r="V252" s="153"/>
      <c r="W252" s="153"/>
      <c r="X252" s="153"/>
      <c r="Y252" s="153"/>
      <c r="Z252" s="153"/>
      <c r="AA252" s="153"/>
      <c r="AB252" s="153"/>
      <c r="AC252" s="153"/>
      <c r="AD252" s="153"/>
      <c r="AE252" s="153"/>
      <c r="AF252" s="153"/>
      <c r="AG252" s="153"/>
      <c r="AH252" s="153"/>
      <c r="AI252" s="153"/>
      <c r="AJ252" s="153"/>
      <c r="AK252"/>
      <c r="AL252"/>
      <c r="AM252"/>
      <c r="AN252"/>
    </row>
    <row r="253" spans="1:40" x14ac:dyDescent="0.35">
      <c r="A253" s="153" t="s">
        <v>354</v>
      </c>
      <c r="B253" s="153" t="s">
        <v>180</v>
      </c>
      <c r="C253" s="153" t="s">
        <v>446</v>
      </c>
      <c r="D253" s="153" t="s">
        <v>35</v>
      </c>
      <c r="E253" s="161">
        <v>1</v>
      </c>
      <c r="F253" s="153">
        <v>0</v>
      </c>
      <c r="G253" s="153">
        <v>0</v>
      </c>
      <c r="H253" s="153">
        <v>0</v>
      </c>
      <c r="I253" s="153">
        <v>0</v>
      </c>
      <c r="J253" s="153">
        <v>0</v>
      </c>
      <c r="K253" s="153">
        <v>0</v>
      </c>
      <c r="L253" s="153">
        <v>0</v>
      </c>
      <c r="M253" s="153">
        <v>0</v>
      </c>
      <c r="N253" s="153">
        <v>40</v>
      </c>
      <c r="O253" s="153">
        <v>151</v>
      </c>
      <c r="P253" s="153">
        <v>0</v>
      </c>
      <c r="Q253" s="153">
        <v>0</v>
      </c>
      <c r="R253" s="153">
        <v>0</v>
      </c>
      <c r="S253" s="153">
        <v>0</v>
      </c>
      <c r="T253" s="153"/>
      <c r="U253" s="153"/>
      <c r="V253" s="153"/>
      <c r="W253" s="153"/>
      <c r="X253" s="153"/>
      <c r="Y253" s="153"/>
      <c r="Z253" s="153"/>
      <c r="AA253" s="153"/>
      <c r="AB253" s="153"/>
      <c r="AC253" s="153"/>
      <c r="AD253" s="153"/>
      <c r="AE253" s="153"/>
      <c r="AF253" s="153"/>
      <c r="AG253" s="153"/>
      <c r="AH253" s="153"/>
      <c r="AI253" s="153"/>
      <c r="AJ253" s="153"/>
      <c r="AK253"/>
      <c r="AL253"/>
      <c r="AM253"/>
      <c r="AN253"/>
    </row>
    <row r="254" spans="1:40" x14ac:dyDescent="0.35">
      <c r="A254" s="153" t="s">
        <v>354</v>
      </c>
      <c r="B254" s="153" t="s">
        <v>181</v>
      </c>
      <c r="C254" s="153" t="s">
        <v>447</v>
      </c>
      <c r="D254" s="153" t="s">
        <v>35</v>
      </c>
      <c r="E254" s="161">
        <v>1</v>
      </c>
      <c r="F254" s="153">
        <v>0</v>
      </c>
      <c r="G254" s="153">
        <v>0</v>
      </c>
      <c r="H254" s="153">
        <v>0</v>
      </c>
      <c r="I254" s="153">
        <v>0</v>
      </c>
      <c r="J254" s="153">
        <v>0</v>
      </c>
      <c r="K254" s="153">
        <v>0</v>
      </c>
      <c r="L254" s="153">
        <v>0</v>
      </c>
      <c r="M254" s="153">
        <v>0</v>
      </c>
      <c r="N254" s="153">
        <v>0</v>
      </c>
      <c r="O254" s="153">
        <v>0</v>
      </c>
      <c r="P254" s="153">
        <v>0</v>
      </c>
      <c r="Q254" s="153">
        <v>0</v>
      </c>
      <c r="R254" s="153">
        <v>0</v>
      </c>
      <c r="S254" s="153">
        <v>0</v>
      </c>
      <c r="T254" s="153"/>
      <c r="U254" s="153"/>
      <c r="V254" s="153"/>
      <c r="W254" s="153"/>
      <c r="X254" s="153"/>
      <c r="Y254" s="153"/>
      <c r="Z254" s="153"/>
      <c r="AA254" s="153"/>
      <c r="AB254" s="153"/>
      <c r="AC254" s="153"/>
      <c r="AD254" s="153"/>
      <c r="AE254" s="153"/>
      <c r="AF254" s="153"/>
      <c r="AG254" s="153"/>
      <c r="AH254" s="153"/>
      <c r="AI254" s="153"/>
      <c r="AJ254" s="153"/>
      <c r="AK254"/>
      <c r="AL254"/>
      <c r="AM254"/>
      <c r="AN254"/>
    </row>
    <row r="255" spans="1:40" x14ac:dyDescent="0.35">
      <c r="A255" s="153" t="s">
        <v>354</v>
      </c>
      <c r="B255" s="153" t="s">
        <v>182</v>
      </c>
      <c r="C255" s="153" t="s">
        <v>448</v>
      </c>
      <c r="D255" s="153" t="s">
        <v>35</v>
      </c>
      <c r="E255" s="161">
        <v>1</v>
      </c>
      <c r="F255" s="153">
        <v>0</v>
      </c>
      <c r="G255" s="153"/>
      <c r="H255" s="153"/>
      <c r="I255" s="153"/>
      <c r="J255" s="153"/>
      <c r="K255" s="153"/>
      <c r="L255" s="153"/>
      <c r="M255" s="153"/>
      <c r="N255" s="153"/>
      <c r="O255" s="153">
        <v>0</v>
      </c>
      <c r="P255" s="153"/>
      <c r="Q255" s="153"/>
      <c r="R255" s="153"/>
      <c r="S255" s="153"/>
      <c r="T255" s="153"/>
      <c r="U255" s="153"/>
      <c r="V255" s="153"/>
      <c r="W255" s="153"/>
      <c r="X255" s="153"/>
      <c r="Y255" s="153"/>
      <c r="Z255" s="153"/>
      <c r="AA255" s="153"/>
      <c r="AB255" s="153"/>
      <c r="AC255" s="153"/>
      <c r="AD255" s="153"/>
      <c r="AE255" s="153"/>
      <c r="AF255" s="153"/>
      <c r="AG255" s="153"/>
      <c r="AH255" s="153"/>
      <c r="AI255" s="153"/>
      <c r="AJ255" s="153"/>
      <c r="AK255"/>
      <c r="AL255"/>
      <c r="AM255"/>
      <c r="AN255"/>
    </row>
    <row r="256" spans="1:40" x14ac:dyDescent="0.35">
      <c r="A256" s="153"/>
      <c r="B256" s="153"/>
      <c r="C256" s="153"/>
      <c r="D256" s="153"/>
      <c r="E256" s="161"/>
      <c r="F256" s="153">
        <v>0</v>
      </c>
      <c r="G256" s="153"/>
      <c r="H256" s="153"/>
      <c r="I256" s="153"/>
      <c r="J256" s="153"/>
      <c r="K256" s="153"/>
      <c r="L256" s="153"/>
      <c r="M256" s="153"/>
      <c r="N256" s="153"/>
      <c r="O256" s="153"/>
      <c r="P256" s="153"/>
      <c r="Q256" s="153"/>
      <c r="R256" s="153"/>
      <c r="S256" s="153"/>
      <c r="T256" s="153"/>
      <c r="U256" s="153"/>
      <c r="V256" s="153"/>
      <c r="W256" s="153"/>
      <c r="X256" s="153"/>
      <c r="Y256" s="153"/>
      <c r="Z256" s="153"/>
      <c r="AA256" s="153"/>
      <c r="AB256" s="153"/>
      <c r="AC256" s="153"/>
      <c r="AD256" s="153"/>
      <c r="AE256" s="153"/>
      <c r="AF256" s="153"/>
      <c r="AG256" s="153"/>
      <c r="AH256" s="153"/>
      <c r="AI256" s="153"/>
      <c r="AJ256" s="153"/>
      <c r="AK256"/>
      <c r="AL256"/>
      <c r="AM256"/>
      <c r="AN256"/>
    </row>
    <row r="257" spans="1:40" x14ac:dyDescent="0.35">
      <c r="A257" s="153" t="s">
        <v>918</v>
      </c>
      <c r="B257" s="153" t="s">
        <v>179</v>
      </c>
      <c r="C257" s="153" t="s">
        <v>964</v>
      </c>
      <c r="D257" s="153" t="s">
        <v>67</v>
      </c>
      <c r="E257" s="161">
        <v>1</v>
      </c>
      <c r="F257" s="153">
        <v>0</v>
      </c>
      <c r="G257" s="153">
        <v>0</v>
      </c>
      <c r="H257" s="153">
        <v>0</v>
      </c>
      <c r="I257" s="153">
        <v>0</v>
      </c>
      <c r="J257" s="153">
        <v>0</v>
      </c>
      <c r="K257" s="153">
        <v>0</v>
      </c>
      <c r="L257" s="153">
        <v>0</v>
      </c>
      <c r="M257" s="153">
        <v>0</v>
      </c>
      <c r="N257" s="153">
        <v>0</v>
      </c>
      <c r="O257" s="153">
        <v>0</v>
      </c>
      <c r="P257" s="153">
        <v>0</v>
      </c>
      <c r="Q257" s="153">
        <v>0</v>
      </c>
      <c r="R257" s="153">
        <v>0</v>
      </c>
      <c r="S257" s="153">
        <v>0</v>
      </c>
      <c r="T257" s="153"/>
      <c r="U257" s="153"/>
      <c r="V257" s="153"/>
      <c r="W257" s="153"/>
      <c r="X257" s="153"/>
      <c r="Y257" s="153"/>
      <c r="Z257" s="153"/>
      <c r="AA257" s="153"/>
      <c r="AB257" s="153"/>
      <c r="AC257" s="153"/>
      <c r="AD257" s="153"/>
      <c r="AE257" s="153"/>
      <c r="AF257" s="153"/>
      <c r="AG257" s="153"/>
      <c r="AH257" s="153"/>
      <c r="AI257" s="153"/>
      <c r="AJ257" s="153"/>
      <c r="AK257"/>
      <c r="AL257"/>
      <c r="AM257"/>
      <c r="AN257"/>
    </row>
    <row r="258" spans="1:40" x14ac:dyDescent="0.35">
      <c r="A258" s="153" t="s">
        <v>918</v>
      </c>
      <c r="B258" s="153" t="s">
        <v>180</v>
      </c>
      <c r="C258" s="153" t="s">
        <v>965</v>
      </c>
      <c r="D258" s="153" t="s">
        <v>67</v>
      </c>
      <c r="E258" s="161">
        <v>1</v>
      </c>
      <c r="F258" s="153">
        <v>0</v>
      </c>
      <c r="G258" s="153">
        <v>0</v>
      </c>
      <c r="H258" s="153">
        <v>0</v>
      </c>
      <c r="I258" s="153">
        <v>0</v>
      </c>
      <c r="J258" s="153">
        <v>0</v>
      </c>
      <c r="K258" s="153">
        <v>0</v>
      </c>
      <c r="L258" s="153">
        <v>0</v>
      </c>
      <c r="M258" s="153">
        <v>0</v>
      </c>
      <c r="N258" s="153">
        <v>0</v>
      </c>
      <c r="O258" s="153"/>
      <c r="P258" s="153">
        <v>0</v>
      </c>
      <c r="Q258" s="153">
        <v>0</v>
      </c>
      <c r="R258" s="153">
        <v>0</v>
      </c>
      <c r="S258" s="153">
        <v>0</v>
      </c>
      <c r="T258" s="153"/>
      <c r="U258" s="153"/>
      <c r="V258" s="153"/>
      <c r="W258" s="153"/>
      <c r="X258" s="153"/>
      <c r="Y258" s="153"/>
      <c r="Z258" s="153"/>
      <c r="AA258" s="153"/>
      <c r="AB258" s="153"/>
      <c r="AC258" s="153"/>
      <c r="AD258" s="153"/>
      <c r="AE258" s="153"/>
      <c r="AF258" s="153"/>
      <c r="AG258" s="153"/>
      <c r="AH258" s="153"/>
      <c r="AI258" s="153"/>
      <c r="AJ258" s="153"/>
      <c r="AK258"/>
      <c r="AL258"/>
      <c r="AM258"/>
      <c r="AN258"/>
    </row>
    <row r="259" spans="1:40" x14ac:dyDescent="0.35">
      <c r="A259" s="153" t="s">
        <v>918</v>
      </c>
      <c r="B259" s="153" t="s">
        <v>183</v>
      </c>
      <c r="C259" s="153" t="s">
        <v>1111</v>
      </c>
      <c r="D259" s="153" t="s">
        <v>67</v>
      </c>
      <c r="E259" s="161">
        <v>1</v>
      </c>
      <c r="F259" s="153">
        <v>0</v>
      </c>
      <c r="G259" s="153">
        <v>0</v>
      </c>
      <c r="H259" s="153">
        <v>0</v>
      </c>
      <c r="I259" s="153">
        <v>0</v>
      </c>
      <c r="J259" s="153">
        <v>0</v>
      </c>
      <c r="K259" s="153">
        <v>0</v>
      </c>
      <c r="L259" s="153">
        <v>0</v>
      </c>
      <c r="M259" s="153">
        <v>0</v>
      </c>
      <c r="N259" s="153">
        <v>0</v>
      </c>
      <c r="O259" s="153">
        <v>0</v>
      </c>
      <c r="P259" s="153">
        <v>0</v>
      </c>
      <c r="Q259" s="153">
        <v>0</v>
      </c>
      <c r="R259" s="153">
        <v>0</v>
      </c>
      <c r="S259" s="153">
        <v>0</v>
      </c>
      <c r="T259" s="153"/>
      <c r="U259" s="153"/>
      <c r="V259" s="153"/>
      <c r="W259" s="153"/>
      <c r="X259" s="153"/>
      <c r="Y259" s="153"/>
      <c r="Z259" s="153"/>
      <c r="AA259" s="153"/>
      <c r="AB259" s="153"/>
      <c r="AC259" s="153"/>
      <c r="AD259" s="153"/>
      <c r="AE259" s="153"/>
      <c r="AF259" s="153"/>
      <c r="AG259" s="153"/>
      <c r="AH259" s="153"/>
      <c r="AI259" s="153"/>
      <c r="AJ259" s="153"/>
      <c r="AK259"/>
      <c r="AL259"/>
      <c r="AM259"/>
      <c r="AN259"/>
    </row>
    <row r="260" spans="1:40" x14ac:dyDescent="0.35">
      <c r="A260" s="153" t="s">
        <v>918</v>
      </c>
      <c r="B260" s="153" t="s">
        <v>182</v>
      </c>
      <c r="C260" s="153" t="s">
        <v>966</v>
      </c>
      <c r="D260" s="153" t="s">
        <v>67</v>
      </c>
      <c r="E260" s="161">
        <v>1</v>
      </c>
      <c r="F260" s="153">
        <v>0</v>
      </c>
      <c r="G260" s="153">
        <v>0</v>
      </c>
      <c r="H260" s="153">
        <v>0</v>
      </c>
      <c r="I260" s="153">
        <v>0</v>
      </c>
      <c r="J260" s="153">
        <v>0</v>
      </c>
      <c r="K260" s="153">
        <v>0</v>
      </c>
      <c r="L260" s="153">
        <v>0</v>
      </c>
      <c r="M260" s="153">
        <v>0</v>
      </c>
      <c r="N260" s="153">
        <v>0</v>
      </c>
      <c r="O260" s="153"/>
      <c r="P260" s="153">
        <v>0</v>
      </c>
      <c r="Q260" s="153">
        <v>0</v>
      </c>
      <c r="R260" s="153">
        <v>0</v>
      </c>
      <c r="S260" s="153">
        <v>0</v>
      </c>
      <c r="T260" s="153"/>
      <c r="U260" s="153"/>
      <c r="V260" s="153"/>
      <c r="W260" s="153"/>
      <c r="X260" s="153"/>
      <c r="Y260" s="153"/>
      <c r="Z260" s="153"/>
      <c r="AA260" s="153"/>
      <c r="AB260" s="153"/>
      <c r="AC260" s="153"/>
      <c r="AD260" s="153"/>
      <c r="AE260" s="153"/>
      <c r="AF260" s="153"/>
      <c r="AG260" s="153"/>
      <c r="AH260" s="153"/>
      <c r="AI260" s="153"/>
      <c r="AJ260" s="153"/>
      <c r="AK260"/>
      <c r="AL260"/>
      <c r="AM260"/>
      <c r="AN260"/>
    </row>
    <row r="261" spans="1:40" x14ac:dyDescent="0.35">
      <c r="A261" s="153"/>
      <c r="B261" s="153"/>
      <c r="C261" s="153"/>
      <c r="D261" s="153"/>
      <c r="E261" s="161"/>
      <c r="F261" s="153">
        <v>0</v>
      </c>
      <c r="G261" s="153">
        <v>0</v>
      </c>
      <c r="H261" s="153">
        <v>0</v>
      </c>
      <c r="I261" s="153">
        <v>0</v>
      </c>
      <c r="J261" s="153">
        <v>0</v>
      </c>
      <c r="K261" s="153">
        <v>0</v>
      </c>
      <c r="L261" s="153">
        <v>0</v>
      </c>
      <c r="M261" s="153">
        <v>0</v>
      </c>
      <c r="N261" s="153">
        <v>0</v>
      </c>
      <c r="O261" s="153"/>
      <c r="P261" s="153">
        <v>0</v>
      </c>
      <c r="Q261" s="153">
        <v>0</v>
      </c>
      <c r="R261" s="153">
        <v>0</v>
      </c>
      <c r="S261" s="153">
        <v>0</v>
      </c>
      <c r="T261" s="153"/>
      <c r="U261" s="153"/>
      <c r="V261" s="153"/>
      <c r="W261" s="153"/>
      <c r="X261" s="153"/>
      <c r="Y261" s="153"/>
      <c r="Z261" s="153"/>
      <c r="AA261" s="153"/>
      <c r="AB261" s="153"/>
      <c r="AC261" s="153"/>
      <c r="AD261" s="153"/>
      <c r="AE261" s="153"/>
      <c r="AF261" s="153"/>
      <c r="AG261" s="153"/>
      <c r="AH261" s="153"/>
      <c r="AI261" s="153"/>
      <c r="AJ261" s="153"/>
      <c r="AK261"/>
      <c r="AL261"/>
      <c r="AM261"/>
      <c r="AN261"/>
    </row>
    <row r="262" spans="1:40" x14ac:dyDescent="0.35">
      <c r="A262" s="153" t="s">
        <v>743</v>
      </c>
      <c r="B262" s="153" t="s">
        <v>179</v>
      </c>
      <c r="C262" s="153" t="s">
        <v>745</v>
      </c>
      <c r="D262" s="153" t="s">
        <v>35</v>
      </c>
      <c r="E262" s="161">
        <v>1</v>
      </c>
      <c r="F262" s="153">
        <v>0</v>
      </c>
      <c r="G262" s="153">
        <v>0</v>
      </c>
      <c r="H262" s="153">
        <v>0</v>
      </c>
      <c r="I262" s="153">
        <v>0</v>
      </c>
      <c r="J262" s="153">
        <v>0</v>
      </c>
      <c r="K262" s="153">
        <v>0</v>
      </c>
      <c r="L262" s="153">
        <v>0</v>
      </c>
      <c r="M262" s="153">
        <v>0</v>
      </c>
      <c r="N262" s="153">
        <v>0</v>
      </c>
      <c r="O262" s="153">
        <v>0</v>
      </c>
      <c r="P262" s="153">
        <v>0</v>
      </c>
      <c r="Q262" s="153">
        <v>0</v>
      </c>
      <c r="R262" s="153">
        <v>0</v>
      </c>
      <c r="S262" s="153">
        <v>0</v>
      </c>
      <c r="T262" s="153"/>
      <c r="U262" s="153"/>
      <c r="V262" s="153"/>
      <c r="W262" s="153"/>
      <c r="X262" s="153"/>
      <c r="Y262" s="153"/>
      <c r="Z262" s="153"/>
      <c r="AA262" s="153"/>
      <c r="AB262" s="153"/>
      <c r="AC262" s="153"/>
      <c r="AD262" s="153"/>
      <c r="AE262" s="153"/>
      <c r="AF262" s="153"/>
      <c r="AG262" s="153"/>
      <c r="AH262" s="153"/>
      <c r="AI262" s="153"/>
      <c r="AJ262" s="153"/>
      <c r="AK262"/>
      <c r="AL262"/>
      <c r="AM262"/>
      <c r="AN262"/>
    </row>
    <row r="263" spans="1:40" x14ac:dyDescent="0.35">
      <c r="A263" s="153" t="s">
        <v>743</v>
      </c>
      <c r="B263" s="153" t="s">
        <v>180</v>
      </c>
      <c r="C263" s="153" t="s">
        <v>746</v>
      </c>
      <c r="D263" s="153" t="s">
        <v>35</v>
      </c>
      <c r="E263" s="161">
        <v>1</v>
      </c>
      <c r="F263" s="153">
        <v>0</v>
      </c>
      <c r="G263" s="153">
        <v>0</v>
      </c>
      <c r="H263" s="153">
        <v>0</v>
      </c>
      <c r="I263" s="153">
        <v>0</v>
      </c>
      <c r="J263" s="153">
        <v>0</v>
      </c>
      <c r="K263" s="153">
        <v>0</v>
      </c>
      <c r="L263" s="153">
        <v>0</v>
      </c>
      <c r="M263" s="153">
        <v>0</v>
      </c>
      <c r="N263" s="153">
        <v>0</v>
      </c>
      <c r="O263" s="153">
        <v>0</v>
      </c>
      <c r="P263" s="153">
        <v>0</v>
      </c>
      <c r="Q263" s="153">
        <v>0</v>
      </c>
      <c r="R263" s="153">
        <v>0</v>
      </c>
      <c r="S263" s="153">
        <v>0</v>
      </c>
      <c r="T263" s="153"/>
      <c r="U263" s="153"/>
      <c r="V263" s="153"/>
      <c r="W263" s="153"/>
      <c r="X263" s="153"/>
      <c r="Y263" s="153"/>
      <c r="Z263" s="153"/>
      <c r="AA263" s="153"/>
      <c r="AB263" s="153"/>
      <c r="AC263" s="153"/>
      <c r="AD263" s="153"/>
      <c r="AE263" s="153"/>
      <c r="AF263" s="153"/>
      <c r="AG263" s="153"/>
      <c r="AH263" s="153"/>
      <c r="AI263" s="153"/>
      <c r="AJ263" s="153"/>
      <c r="AK263"/>
      <c r="AL263"/>
      <c r="AM263"/>
      <c r="AN263"/>
    </row>
    <row r="264" spans="1:40" x14ac:dyDescent="0.35">
      <c r="A264" s="153" t="s">
        <v>743</v>
      </c>
      <c r="B264" s="153" t="s">
        <v>181</v>
      </c>
      <c r="C264" s="153" t="s">
        <v>747</v>
      </c>
      <c r="D264" s="153" t="s">
        <v>35</v>
      </c>
      <c r="E264" s="161">
        <v>1</v>
      </c>
      <c r="F264" s="153">
        <v>0</v>
      </c>
      <c r="G264" s="153"/>
      <c r="H264" s="153"/>
      <c r="I264" s="153"/>
      <c r="J264" s="153"/>
      <c r="K264" s="153"/>
      <c r="L264" s="153"/>
      <c r="M264" s="153"/>
      <c r="N264" s="153"/>
      <c r="O264" s="153">
        <v>0</v>
      </c>
      <c r="P264" s="153"/>
      <c r="Q264" s="153"/>
      <c r="R264" s="153"/>
      <c r="S264" s="153"/>
      <c r="T264" s="153"/>
      <c r="U264" s="153"/>
      <c r="V264" s="153"/>
      <c r="W264" s="153"/>
      <c r="X264" s="153"/>
      <c r="Y264" s="153"/>
      <c r="Z264" s="153"/>
      <c r="AA264" s="153"/>
      <c r="AB264" s="153"/>
      <c r="AC264" s="153"/>
      <c r="AD264" s="153"/>
      <c r="AE264" s="153"/>
      <c r="AF264" s="153"/>
      <c r="AG264" s="153"/>
      <c r="AH264" s="153"/>
      <c r="AI264" s="153"/>
      <c r="AJ264" s="153"/>
      <c r="AK264"/>
      <c r="AL264"/>
      <c r="AM264"/>
      <c r="AN264"/>
    </row>
    <row r="265" spans="1:40" x14ac:dyDescent="0.35">
      <c r="A265" s="153" t="s">
        <v>743</v>
      </c>
      <c r="B265" s="153" t="s">
        <v>182</v>
      </c>
      <c r="C265" s="153" t="s">
        <v>748</v>
      </c>
      <c r="D265" s="153" t="s">
        <v>35</v>
      </c>
      <c r="E265" s="161">
        <v>1</v>
      </c>
      <c r="F265" s="153">
        <v>0</v>
      </c>
      <c r="G265" s="153">
        <v>0</v>
      </c>
      <c r="H265" s="153">
        <v>0</v>
      </c>
      <c r="I265" s="153">
        <v>0</v>
      </c>
      <c r="J265" s="153">
        <v>0</v>
      </c>
      <c r="K265" s="153">
        <v>0</v>
      </c>
      <c r="L265" s="153">
        <v>0</v>
      </c>
      <c r="M265" s="153">
        <v>0</v>
      </c>
      <c r="N265" s="153">
        <v>0</v>
      </c>
      <c r="O265" s="153">
        <v>0</v>
      </c>
      <c r="P265" s="153">
        <v>0</v>
      </c>
      <c r="Q265" s="153">
        <v>0</v>
      </c>
      <c r="R265" s="153">
        <v>0</v>
      </c>
      <c r="S265" s="153">
        <v>0</v>
      </c>
      <c r="T265" s="153"/>
      <c r="U265" s="153"/>
      <c r="V265" s="153"/>
      <c r="W265" s="153"/>
      <c r="X265" s="153"/>
      <c r="Y265" s="153"/>
      <c r="Z265" s="153"/>
      <c r="AA265" s="153"/>
      <c r="AB265" s="153"/>
      <c r="AC265" s="153"/>
      <c r="AD265" s="153"/>
      <c r="AE265" s="153"/>
      <c r="AF265" s="153"/>
      <c r="AG265" s="153"/>
      <c r="AH265" s="153"/>
      <c r="AI265" s="153"/>
      <c r="AJ265" s="153"/>
      <c r="AK265"/>
      <c r="AL265"/>
      <c r="AM265"/>
      <c r="AN265"/>
    </row>
    <row r="266" spans="1:40" x14ac:dyDescent="0.35">
      <c r="A266" s="153"/>
      <c r="B266" s="153"/>
      <c r="C266" s="153"/>
      <c r="D266" s="153"/>
      <c r="E266" s="161"/>
      <c r="F266" s="153">
        <v>0</v>
      </c>
      <c r="G266" s="153">
        <v>0</v>
      </c>
      <c r="H266" s="153">
        <v>0</v>
      </c>
      <c r="I266" s="153">
        <v>0</v>
      </c>
      <c r="J266" s="153">
        <v>0</v>
      </c>
      <c r="K266" s="153">
        <v>0</v>
      </c>
      <c r="L266" s="153">
        <v>0</v>
      </c>
      <c r="M266" s="153">
        <v>0</v>
      </c>
      <c r="N266" s="153">
        <v>0</v>
      </c>
      <c r="O266" s="153">
        <v>0</v>
      </c>
      <c r="P266" s="153">
        <v>0</v>
      </c>
      <c r="Q266" s="153">
        <v>0</v>
      </c>
      <c r="R266" s="153">
        <v>0</v>
      </c>
      <c r="S266" s="153">
        <v>0</v>
      </c>
      <c r="T266" s="153"/>
      <c r="U266" s="153"/>
      <c r="V266" s="153"/>
      <c r="W266" s="153"/>
      <c r="X266" s="153"/>
      <c r="Y266" s="153"/>
      <c r="Z266" s="153"/>
      <c r="AA266" s="153"/>
      <c r="AB266" s="153"/>
      <c r="AC266" s="153"/>
      <c r="AD266" s="153"/>
      <c r="AE266" s="153"/>
      <c r="AF266" s="153"/>
      <c r="AG266" s="153"/>
      <c r="AH266" s="153"/>
      <c r="AI266" s="153"/>
      <c r="AJ266" s="153"/>
      <c r="AK266"/>
      <c r="AL266"/>
      <c r="AM266"/>
      <c r="AN266"/>
    </row>
    <row r="267" spans="1:40" x14ac:dyDescent="0.35">
      <c r="A267" s="153" t="s">
        <v>917</v>
      </c>
      <c r="B267" s="153" t="s">
        <v>179</v>
      </c>
      <c r="C267" s="153" t="s">
        <v>941</v>
      </c>
      <c r="D267" s="153" t="s">
        <v>35</v>
      </c>
      <c r="E267" s="161">
        <v>1</v>
      </c>
      <c r="F267" s="153">
        <v>0</v>
      </c>
      <c r="G267" s="153">
        <v>0</v>
      </c>
      <c r="H267" s="153">
        <v>0</v>
      </c>
      <c r="I267" s="153">
        <v>0</v>
      </c>
      <c r="J267" s="153">
        <v>0</v>
      </c>
      <c r="K267" s="153">
        <v>0</v>
      </c>
      <c r="L267" s="153">
        <v>0</v>
      </c>
      <c r="M267" s="153">
        <v>0</v>
      </c>
      <c r="N267" s="153">
        <v>0</v>
      </c>
      <c r="O267" s="153">
        <v>0</v>
      </c>
      <c r="P267" s="153">
        <v>0</v>
      </c>
      <c r="Q267" s="153">
        <v>0</v>
      </c>
      <c r="R267" s="153">
        <v>0</v>
      </c>
      <c r="S267" s="153">
        <v>0</v>
      </c>
      <c r="T267" s="153"/>
      <c r="U267" s="153"/>
      <c r="V267" s="153"/>
      <c r="W267" s="153"/>
      <c r="X267" s="153"/>
      <c r="Y267" s="153"/>
      <c r="Z267" s="153"/>
      <c r="AA267" s="153"/>
      <c r="AB267" s="153"/>
      <c r="AC267" s="153"/>
      <c r="AD267" s="153"/>
      <c r="AE267" s="153"/>
      <c r="AF267" s="153"/>
      <c r="AG267" s="153"/>
      <c r="AH267" s="153"/>
      <c r="AI267" s="153"/>
      <c r="AJ267" s="153"/>
      <c r="AK267"/>
      <c r="AL267"/>
      <c r="AM267"/>
      <c r="AN267"/>
    </row>
    <row r="268" spans="1:40" x14ac:dyDescent="0.35">
      <c r="A268" s="153" t="s">
        <v>917</v>
      </c>
      <c r="B268" s="153" t="s">
        <v>180</v>
      </c>
      <c r="C268" s="153" t="s">
        <v>942</v>
      </c>
      <c r="D268" s="153" t="s">
        <v>35</v>
      </c>
      <c r="E268" s="161">
        <v>1</v>
      </c>
      <c r="F268" s="153">
        <v>0</v>
      </c>
      <c r="G268" s="153">
        <v>0</v>
      </c>
      <c r="H268" s="153">
        <v>0</v>
      </c>
      <c r="I268" s="153">
        <v>0</v>
      </c>
      <c r="J268" s="153">
        <v>0</v>
      </c>
      <c r="K268" s="153">
        <v>0</v>
      </c>
      <c r="L268" s="153">
        <v>0</v>
      </c>
      <c r="M268" s="153">
        <v>0</v>
      </c>
      <c r="N268" s="153">
        <v>0</v>
      </c>
      <c r="O268" s="153">
        <v>0</v>
      </c>
      <c r="P268" s="153">
        <v>0</v>
      </c>
      <c r="Q268" s="153">
        <v>0</v>
      </c>
      <c r="R268" s="153">
        <v>0</v>
      </c>
      <c r="S268" s="153">
        <v>0</v>
      </c>
      <c r="T268" s="153"/>
      <c r="U268" s="153"/>
      <c r="V268" s="153"/>
      <c r="W268" s="153"/>
      <c r="X268" s="153"/>
      <c r="Y268" s="153"/>
      <c r="Z268" s="153"/>
      <c r="AA268" s="153"/>
      <c r="AB268" s="153"/>
      <c r="AC268" s="153"/>
      <c r="AD268" s="153"/>
      <c r="AE268" s="153"/>
      <c r="AF268" s="153"/>
      <c r="AG268" s="153"/>
      <c r="AH268" s="153"/>
      <c r="AI268" s="153"/>
      <c r="AJ268" s="153"/>
      <c r="AK268"/>
      <c r="AL268"/>
      <c r="AM268"/>
      <c r="AN268"/>
    </row>
    <row r="269" spans="1:40" x14ac:dyDescent="0.35">
      <c r="A269" s="153" t="s">
        <v>917</v>
      </c>
      <c r="B269" s="153" t="s">
        <v>181</v>
      </c>
      <c r="C269" s="153" t="s">
        <v>943</v>
      </c>
      <c r="D269" s="153" t="s">
        <v>35</v>
      </c>
      <c r="E269" s="161">
        <v>1</v>
      </c>
      <c r="F269" s="153">
        <v>0</v>
      </c>
      <c r="G269" s="153"/>
      <c r="H269" s="153"/>
      <c r="I269" s="153"/>
      <c r="J269" s="153"/>
      <c r="K269" s="153"/>
      <c r="L269" s="153"/>
      <c r="M269" s="153"/>
      <c r="N269" s="153"/>
      <c r="O269" s="153"/>
      <c r="P269" s="153"/>
      <c r="Q269" s="153"/>
      <c r="R269" s="153"/>
      <c r="S269" s="153"/>
      <c r="T269" s="153"/>
      <c r="U269" s="153"/>
      <c r="V269" s="153"/>
      <c r="W269" s="153"/>
      <c r="X269" s="153"/>
      <c r="Y269" s="153"/>
      <c r="Z269" s="153"/>
      <c r="AA269" s="153"/>
      <c r="AB269" s="153"/>
      <c r="AC269" s="153"/>
      <c r="AD269" s="153"/>
      <c r="AE269" s="153"/>
      <c r="AF269" s="153"/>
      <c r="AG269" s="153"/>
      <c r="AH269" s="153"/>
      <c r="AI269" s="153"/>
      <c r="AJ269" s="153"/>
      <c r="AK269"/>
      <c r="AL269"/>
      <c r="AM269"/>
      <c r="AN269"/>
    </row>
    <row r="270" spans="1:40" x14ac:dyDescent="0.35">
      <c r="A270" s="153" t="s">
        <v>917</v>
      </c>
      <c r="B270" s="153" t="s">
        <v>182</v>
      </c>
      <c r="C270" s="153" t="s">
        <v>944</v>
      </c>
      <c r="D270" s="153" t="s">
        <v>35</v>
      </c>
      <c r="E270" s="161">
        <v>1</v>
      </c>
      <c r="F270" s="153">
        <v>0</v>
      </c>
      <c r="G270" s="153">
        <v>0</v>
      </c>
      <c r="H270" s="153">
        <v>0</v>
      </c>
      <c r="I270" s="153">
        <v>0</v>
      </c>
      <c r="J270" s="153">
        <v>0</v>
      </c>
      <c r="K270" s="153">
        <v>0</v>
      </c>
      <c r="L270" s="153">
        <v>0</v>
      </c>
      <c r="M270" s="153">
        <v>0</v>
      </c>
      <c r="N270" s="153">
        <v>0</v>
      </c>
      <c r="O270" s="153">
        <v>0</v>
      </c>
      <c r="P270" s="153">
        <v>0</v>
      </c>
      <c r="Q270" s="153">
        <v>0</v>
      </c>
      <c r="R270" s="153">
        <v>0</v>
      </c>
      <c r="S270" s="153">
        <v>0</v>
      </c>
      <c r="T270" s="153"/>
      <c r="U270" s="153"/>
      <c r="V270" s="153"/>
      <c r="W270" s="153"/>
      <c r="X270" s="153"/>
      <c r="Y270" s="153"/>
      <c r="Z270" s="153"/>
      <c r="AA270" s="153"/>
      <c r="AB270" s="153"/>
      <c r="AC270" s="153"/>
      <c r="AD270" s="153"/>
      <c r="AE270" s="153"/>
      <c r="AF270" s="153"/>
      <c r="AG270" s="153"/>
      <c r="AH270" s="153"/>
      <c r="AI270" s="153"/>
      <c r="AJ270" s="153"/>
      <c r="AK270"/>
      <c r="AL270"/>
      <c r="AM270"/>
      <c r="AN270"/>
    </row>
    <row r="271" spans="1:40" x14ac:dyDescent="0.35">
      <c r="A271" s="153"/>
      <c r="B271" s="153"/>
      <c r="C271" s="153"/>
      <c r="D271" s="153"/>
      <c r="E271" s="161"/>
      <c r="F271" s="153">
        <v>0</v>
      </c>
      <c r="G271" s="153">
        <v>0</v>
      </c>
      <c r="H271" s="153">
        <v>0</v>
      </c>
      <c r="I271" s="153">
        <v>0</v>
      </c>
      <c r="J271" s="153">
        <v>0</v>
      </c>
      <c r="K271" s="153">
        <v>0</v>
      </c>
      <c r="L271" s="153">
        <v>0</v>
      </c>
      <c r="M271" s="153">
        <v>0</v>
      </c>
      <c r="N271" s="153">
        <v>0</v>
      </c>
      <c r="O271" s="153">
        <v>0</v>
      </c>
      <c r="P271" s="153">
        <v>0</v>
      </c>
      <c r="Q271" s="153">
        <v>0</v>
      </c>
      <c r="R271" s="153">
        <v>0</v>
      </c>
      <c r="S271" s="153">
        <v>0</v>
      </c>
      <c r="T271" s="153"/>
      <c r="U271" s="153"/>
      <c r="V271" s="153"/>
      <c r="W271" s="153"/>
      <c r="X271" s="153"/>
      <c r="Y271" s="153"/>
      <c r="Z271" s="153"/>
      <c r="AA271" s="153"/>
      <c r="AB271" s="153"/>
      <c r="AC271" s="153"/>
      <c r="AD271" s="153"/>
      <c r="AE271" s="153"/>
      <c r="AF271" s="153"/>
      <c r="AG271" s="153"/>
      <c r="AH271" s="153"/>
      <c r="AI271" s="153"/>
      <c r="AJ271" s="153"/>
      <c r="AK271"/>
      <c r="AL271"/>
      <c r="AM271"/>
      <c r="AN271"/>
    </row>
    <row r="272" spans="1:40" x14ac:dyDescent="0.35">
      <c r="A272" s="153" t="s">
        <v>19</v>
      </c>
      <c r="B272" s="153" t="s">
        <v>179</v>
      </c>
      <c r="C272" s="153" t="s">
        <v>195</v>
      </c>
      <c r="D272" s="153" t="s">
        <v>35</v>
      </c>
      <c r="E272" s="161">
        <v>9.5000000000000001E-2</v>
      </c>
      <c r="F272" s="153">
        <v>0</v>
      </c>
      <c r="G272" s="153">
        <v>0</v>
      </c>
      <c r="H272" s="153">
        <v>0</v>
      </c>
      <c r="I272" s="153">
        <v>0</v>
      </c>
      <c r="J272" s="153">
        <v>0</v>
      </c>
      <c r="K272" s="153">
        <v>0</v>
      </c>
      <c r="L272" s="153">
        <v>0</v>
      </c>
      <c r="M272" s="153">
        <v>0</v>
      </c>
      <c r="N272" s="153">
        <v>0</v>
      </c>
      <c r="O272" s="153">
        <v>0</v>
      </c>
      <c r="P272" s="153">
        <v>0</v>
      </c>
      <c r="Q272" s="153">
        <v>0</v>
      </c>
      <c r="R272" s="153">
        <v>0</v>
      </c>
      <c r="S272" s="153">
        <v>4406</v>
      </c>
      <c r="T272" s="153"/>
      <c r="U272" s="153"/>
      <c r="V272" s="153"/>
      <c r="W272" s="153"/>
      <c r="X272" s="153"/>
      <c r="Y272" s="153"/>
      <c r="Z272" s="153"/>
      <c r="AA272" s="153"/>
      <c r="AB272" s="153"/>
      <c r="AC272" s="153"/>
      <c r="AD272" s="153"/>
      <c r="AE272" s="153"/>
      <c r="AF272" s="153"/>
      <c r="AG272" s="153"/>
      <c r="AH272" s="153"/>
      <c r="AI272" s="153"/>
      <c r="AJ272" s="153"/>
      <c r="AK272"/>
      <c r="AL272"/>
      <c r="AM272"/>
      <c r="AN272"/>
    </row>
    <row r="273" spans="1:40" x14ac:dyDescent="0.35">
      <c r="A273" s="153" t="s">
        <v>19</v>
      </c>
      <c r="B273" s="153" t="s">
        <v>180</v>
      </c>
      <c r="C273" s="153" t="s">
        <v>196</v>
      </c>
      <c r="D273" s="153" t="s">
        <v>35</v>
      </c>
      <c r="E273" s="161">
        <v>9.5000000000000001E-2</v>
      </c>
      <c r="F273" s="153">
        <v>0</v>
      </c>
      <c r="G273" s="153">
        <v>0</v>
      </c>
      <c r="H273" s="153">
        <v>0</v>
      </c>
      <c r="I273" s="153">
        <v>0</v>
      </c>
      <c r="J273" s="153">
        <v>0</v>
      </c>
      <c r="K273" s="153">
        <v>0</v>
      </c>
      <c r="L273" s="153">
        <v>0</v>
      </c>
      <c r="M273" s="153">
        <v>0</v>
      </c>
      <c r="N273" s="153">
        <v>0</v>
      </c>
      <c r="O273" s="153">
        <v>0</v>
      </c>
      <c r="P273" s="153">
        <v>0</v>
      </c>
      <c r="Q273" s="153">
        <v>1352</v>
      </c>
      <c r="R273" s="153">
        <v>201</v>
      </c>
      <c r="S273" s="153">
        <v>0</v>
      </c>
      <c r="T273" s="153"/>
      <c r="U273" s="153"/>
      <c r="V273" s="153"/>
      <c r="W273" s="153"/>
      <c r="X273" s="153"/>
      <c r="Y273" s="153"/>
      <c r="Z273" s="153"/>
      <c r="AA273" s="153"/>
      <c r="AB273" s="153"/>
      <c r="AC273" s="153"/>
      <c r="AD273" s="153"/>
      <c r="AE273" s="153"/>
      <c r="AF273" s="153"/>
      <c r="AG273" s="153"/>
      <c r="AH273" s="153"/>
      <c r="AI273" s="153"/>
      <c r="AJ273" s="153"/>
      <c r="AK273"/>
      <c r="AL273"/>
      <c r="AM273"/>
      <c r="AN273"/>
    </row>
    <row r="274" spans="1:40" x14ac:dyDescent="0.35">
      <c r="A274" s="153" t="s">
        <v>19</v>
      </c>
      <c r="B274" s="153" t="s">
        <v>181</v>
      </c>
      <c r="C274" s="153" t="s">
        <v>197</v>
      </c>
      <c r="D274" s="153" t="s">
        <v>35</v>
      </c>
      <c r="E274" s="161">
        <v>9.5000000000000001E-2</v>
      </c>
      <c r="F274" s="153">
        <v>0</v>
      </c>
      <c r="G274" s="153"/>
      <c r="H274" s="153"/>
      <c r="I274" s="153"/>
      <c r="J274" s="153"/>
      <c r="K274" s="153"/>
      <c r="L274" s="153"/>
      <c r="M274" s="153"/>
      <c r="N274" s="153"/>
      <c r="O274" s="153"/>
      <c r="P274" s="153"/>
      <c r="Q274" s="153"/>
      <c r="R274" s="153"/>
      <c r="S274" s="153"/>
      <c r="T274" s="153"/>
      <c r="U274" s="153"/>
      <c r="V274" s="153"/>
      <c r="W274" s="153"/>
      <c r="X274" s="153"/>
      <c r="Y274" s="153"/>
      <c r="Z274" s="153"/>
      <c r="AA274" s="153"/>
      <c r="AB274" s="153"/>
      <c r="AC274" s="153"/>
      <c r="AD274" s="153"/>
      <c r="AE274" s="153"/>
      <c r="AF274" s="153"/>
      <c r="AG274" s="153"/>
      <c r="AH274" s="153"/>
      <c r="AI274" s="153"/>
      <c r="AJ274" s="153"/>
      <c r="AK274"/>
      <c r="AL274"/>
      <c r="AM274"/>
      <c r="AN274"/>
    </row>
    <row r="275" spans="1:40" x14ac:dyDescent="0.35">
      <c r="A275" s="153" t="s">
        <v>19</v>
      </c>
      <c r="B275" s="153" t="s">
        <v>182</v>
      </c>
      <c r="C275" s="153" t="s">
        <v>198</v>
      </c>
      <c r="D275" s="153" t="s">
        <v>35</v>
      </c>
      <c r="E275" s="161">
        <v>9.5000000000000001E-2</v>
      </c>
      <c r="F275" s="153">
        <v>0</v>
      </c>
      <c r="G275" s="153">
        <v>0</v>
      </c>
      <c r="H275" s="153">
        <v>0</v>
      </c>
      <c r="I275" s="153">
        <v>0</v>
      </c>
      <c r="J275" s="153">
        <v>0</v>
      </c>
      <c r="K275" s="153">
        <v>0</v>
      </c>
      <c r="L275" s="153">
        <v>0</v>
      </c>
      <c r="M275" s="153">
        <v>0</v>
      </c>
      <c r="N275" s="153">
        <v>0</v>
      </c>
      <c r="O275" s="153">
        <v>0</v>
      </c>
      <c r="P275" s="153">
        <v>0</v>
      </c>
      <c r="Q275" s="153">
        <v>0</v>
      </c>
      <c r="R275" s="153">
        <v>0</v>
      </c>
      <c r="S275" s="153">
        <v>0</v>
      </c>
      <c r="T275" s="153"/>
      <c r="U275" s="153"/>
      <c r="V275" s="153"/>
      <c r="W275" s="153"/>
      <c r="X275" s="153"/>
      <c r="Y275" s="153"/>
      <c r="Z275" s="153"/>
      <c r="AA275" s="153"/>
      <c r="AB275" s="153"/>
      <c r="AC275" s="153"/>
      <c r="AD275" s="153"/>
      <c r="AE275" s="153"/>
      <c r="AF275" s="153"/>
      <c r="AG275" s="153"/>
      <c r="AH275" s="153"/>
      <c r="AI275" s="153"/>
      <c r="AJ275" s="153"/>
      <c r="AK275"/>
      <c r="AL275"/>
      <c r="AM275"/>
      <c r="AN275"/>
    </row>
    <row r="276" spans="1:40" x14ac:dyDescent="0.35">
      <c r="A276" s="153"/>
      <c r="B276" s="153"/>
      <c r="C276" s="153"/>
      <c r="D276" s="153"/>
      <c r="E276" s="161"/>
      <c r="F276" s="153">
        <v>0</v>
      </c>
      <c r="G276" s="153"/>
      <c r="H276" s="153"/>
      <c r="I276" s="153"/>
      <c r="J276" s="153"/>
      <c r="K276" s="153"/>
      <c r="L276" s="153"/>
      <c r="M276" s="153"/>
      <c r="N276" s="153"/>
      <c r="O276" s="153">
        <v>0</v>
      </c>
      <c r="P276" s="153"/>
      <c r="Q276" s="153"/>
      <c r="R276" s="153"/>
      <c r="S276" s="153"/>
      <c r="T276" s="153"/>
      <c r="U276" s="153"/>
      <c r="V276" s="153"/>
      <c r="W276" s="153"/>
      <c r="X276" s="153"/>
      <c r="Y276" s="153"/>
      <c r="Z276" s="153"/>
      <c r="AA276" s="153"/>
      <c r="AB276" s="153"/>
      <c r="AC276" s="153"/>
      <c r="AD276" s="153"/>
      <c r="AE276" s="153"/>
      <c r="AF276" s="153"/>
      <c r="AG276" s="153"/>
      <c r="AH276" s="153"/>
      <c r="AI276" s="153"/>
      <c r="AJ276" s="153"/>
      <c r="AK276"/>
      <c r="AL276"/>
      <c r="AM276"/>
      <c r="AN276"/>
    </row>
    <row r="277" spans="1:40" x14ac:dyDescent="0.35">
      <c r="A277" s="153" t="s">
        <v>19</v>
      </c>
      <c r="B277" s="153" t="s">
        <v>179</v>
      </c>
      <c r="C277" s="153" t="s">
        <v>199</v>
      </c>
      <c r="D277" s="153" t="s">
        <v>35</v>
      </c>
      <c r="E277" s="161">
        <v>1</v>
      </c>
      <c r="F277" s="153">
        <v>0</v>
      </c>
      <c r="G277" s="153">
        <v>0</v>
      </c>
      <c r="H277" s="153">
        <v>0</v>
      </c>
      <c r="I277" s="153">
        <v>0</v>
      </c>
      <c r="J277" s="153">
        <v>0</v>
      </c>
      <c r="K277" s="153">
        <v>0</v>
      </c>
      <c r="L277" s="153">
        <v>0</v>
      </c>
      <c r="M277" s="153">
        <v>0</v>
      </c>
      <c r="N277" s="153">
        <v>0</v>
      </c>
      <c r="O277" s="153">
        <v>0</v>
      </c>
      <c r="P277" s="153">
        <v>0</v>
      </c>
      <c r="Q277" s="153">
        <v>0</v>
      </c>
      <c r="R277" s="153">
        <v>0</v>
      </c>
      <c r="S277" s="153">
        <v>0</v>
      </c>
      <c r="T277" s="153"/>
      <c r="U277" s="153"/>
      <c r="V277" s="153"/>
      <c r="W277" s="153"/>
      <c r="X277" s="153"/>
      <c r="Y277" s="153"/>
      <c r="Z277" s="153"/>
      <c r="AA277" s="153"/>
      <c r="AB277" s="153"/>
      <c r="AC277" s="153"/>
      <c r="AD277" s="153"/>
      <c r="AE277" s="153"/>
      <c r="AF277" s="153"/>
      <c r="AG277" s="153"/>
      <c r="AH277" s="153"/>
      <c r="AI277" s="153"/>
      <c r="AJ277" s="153"/>
      <c r="AK277"/>
      <c r="AL277" s="66"/>
      <c r="AM277"/>
      <c r="AN277"/>
    </row>
    <row r="278" spans="1:40" x14ac:dyDescent="0.35">
      <c r="A278" s="153" t="s">
        <v>19</v>
      </c>
      <c r="B278" s="153" t="s">
        <v>180</v>
      </c>
      <c r="C278" s="153" t="s">
        <v>200</v>
      </c>
      <c r="D278" s="153" t="s">
        <v>35</v>
      </c>
      <c r="E278" s="161">
        <v>1</v>
      </c>
      <c r="F278" s="153">
        <v>0</v>
      </c>
      <c r="G278" s="153">
        <v>0</v>
      </c>
      <c r="H278" s="153">
        <v>0</v>
      </c>
      <c r="I278" s="153">
        <v>0</v>
      </c>
      <c r="J278" s="153">
        <v>0</v>
      </c>
      <c r="K278" s="153">
        <v>0</v>
      </c>
      <c r="L278" s="153">
        <v>0</v>
      </c>
      <c r="M278" s="153">
        <v>0</v>
      </c>
      <c r="N278" s="153">
        <v>0</v>
      </c>
      <c r="O278" s="153">
        <v>0</v>
      </c>
      <c r="P278" s="153">
        <v>0</v>
      </c>
      <c r="Q278" s="153">
        <v>0</v>
      </c>
      <c r="R278" s="153">
        <v>0</v>
      </c>
      <c r="S278" s="153">
        <v>0</v>
      </c>
      <c r="T278" s="153"/>
      <c r="U278" s="153"/>
      <c r="V278" s="153"/>
      <c r="W278" s="153"/>
      <c r="X278" s="153"/>
      <c r="Y278" s="153"/>
      <c r="Z278" s="153"/>
      <c r="AA278" s="153"/>
      <c r="AB278" s="153"/>
      <c r="AC278" s="153"/>
      <c r="AD278" s="153"/>
      <c r="AE278" s="153"/>
      <c r="AF278" s="153"/>
      <c r="AG278" s="153"/>
      <c r="AH278" s="153"/>
      <c r="AI278" s="153"/>
      <c r="AJ278" s="153"/>
      <c r="AK278"/>
      <c r="AL278" s="66"/>
      <c r="AM278"/>
      <c r="AN278"/>
    </row>
    <row r="279" spans="1:40" x14ac:dyDescent="0.35">
      <c r="A279" s="153" t="s">
        <v>19</v>
      </c>
      <c r="B279" s="153" t="s">
        <v>181</v>
      </c>
      <c r="C279" s="153" t="s">
        <v>201</v>
      </c>
      <c r="D279" s="153" t="s">
        <v>35</v>
      </c>
      <c r="E279" s="161">
        <v>1</v>
      </c>
      <c r="F279" s="153">
        <v>0</v>
      </c>
      <c r="G279" s="153">
        <v>0</v>
      </c>
      <c r="H279" s="153">
        <v>0</v>
      </c>
      <c r="I279" s="153">
        <v>0</v>
      </c>
      <c r="J279" s="153">
        <v>0</v>
      </c>
      <c r="K279" s="153">
        <v>0</v>
      </c>
      <c r="L279" s="153">
        <v>0</v>
      </c>
      <c r="M279" s="153">
        <v>0</v>
      </c>
      <c r="N279" s="153">
        <v>0</v>
      </c>
      <c r="O279" s="153"/>
      <c r="P279" s="153">
        <v>0</v>
      </c>
      <c r="Q279" s="153">
        <v>0</v>
      </c>
      <c r="R279" s="153">
        <v>0</v>
      </c>
      <c r="S279" s="153">
        <v>0</v>
      </c>
      <c r="T279" s="153"/>
      <c r="U279" s="153"/>
      <c r="V279" s="153"/>
      <c r="W279" s="153"/>
      <c r="X279" s="153"/>
      <c r="Y279" s="153"/>
      <c r="Z279" s="153"/>
      <c r="AA279" s="153"/>
      <c r="AB279" s="153"/>
      <c r="AC279" s="153"/>
      <c r="AD279" s="153"/>
      <c r="AE279" s="153"/>
      <c r="AF279" s="153"/>
      <c r="AG279" s="153"/>
      <c r="AH279" s="153"/>
      <c r="AI279" s="153"/>
      <c r="AJ279" s="153"/>
      <c r="AK279"/>
      <c r="AL279" s="66"/>
      <c r="AM279"/>
      <c r="AN279"/>
    </row>
    <row r="280" spans="1:40" x14ac:dyDescent="0.35">
      <c r="A280" s="153" t="s">
        <v>20</v>
      </c>
      <c r="B280" s="153" t="s">
        <v>179</v>
      </c>
      <c r="C280" s="153" t="s">
        <v>220</v>
      </c>
      <c r="D280" s="153" t="s">
        <v>35</v>
      </c>
      <c r="E280" s="161">
        <v>1</v>
      </c>
      <c r="F280" s="153">
        <v>0</v>
      </c>
      <c r="G280" s="153">
        <v>0</v>
      </c>
      <c r="H280" s="153">
        <v>0</v>
      </c>
      <c r="I280" s="153">
        <v>0</v>
      </c>
      <c r="J280" s="153">
        <v>0</v>
      </c>
      <c r="K280" s="153">
        <v>0</v>
      </c>
      <c r="L280" s="153">
        <v>0</v>
      </c>
      <c r="M280" s="153">
        <v>0</v>
      </c>
      <c r="N280" s="153">
        <v>0</v>
      </c>
      <c r="O280" s="153">
        <v>0</v>
      </c>
      <c r="P280" s="153">
        <v>0</v>
      </c>
      <c r="Q280" s="153">
        <v>0</v>
      </c>
      <c r="R280" s="153">
        <v>0</v>
      </c>
      <c r="S280" s="153">
        <v>0</v>
      </c>
      <c r="T280" s="153"/>
      <c r="U280" s="153"/>
      <c r="V280" s="153"/>
      <c r="W280" s="153"/>
      <c r="X280" s="153"/>
      <c r="Y280" s="153"/>
      <c r="Z280" s="153"/>
      <c r="AA280" s="153"/>
      <c r="AB280" s="153"/>
      <c r="AC280" s="153"/>
      <c r="AD280" s="153"/>
      <c r="AE280" s="153"/>
      <c r="AF280" s="153"/>
      <c r="AG280" s="153"/>
      <c r="AH280" s="153"/>
      <c r="AI280" s="153"/>
      <c r="AJ280" s="153"/>
      <c r="AK280"/>
      <c r="AL280" s="66"/>
      <c r="AM280"/>
      <c r="AN280"/>
    </row>
    <row r="281" spans="1:40" x14ac:dyDescent="0.35">
      <c r="A281" s="153" t="s">
        <v>20</v>
      </c>
      <c r="B281" s="153" t="s">
        <v>180</v>
      </c>
      <c r="C281" s="153" t="s">
        <v>221</v>
      </c>
      <c r="D281" s="153" t="s">
        <v>35</v>
      </c>
      <c r="E281" s="161">
        <v>1</v>
      </c>
      <c r="F281" s="153">
        <v>0</v>
      </c>
      <c r="G281" s="153">
        <v>0</v>
      </c>
      <c r="H281" s="153">
        <v>0</v>
      </c>
      <c r="I281" s="153">
        <v>31</v>
      </c>
      <c r="J281" s="153">
        <v>0</v>
      </c>
      <c r="K281" s="153">
        <v>0</v>
      </c>
      <c r="L281" s="153">
        <v>0</v>
      </c>
      <c r="M281" s="153">
        <v>0</v>
      </c>
      <c r="N281" s="153">
        <v>0</v>
      </c>
      <c r="O281" s="153"/>
      <c r="P281" s="153">
        <v>0</v>
      </c>
      <c r="Q281" s="153">
        <v>0</v>
      </c>
      <c r="R281" s="153">
        <v>0</v>
      </c>
      <c r="S281" s="153">
        <v>0</v>
      </c>
      <c r="T281" s="153"/>
      <c r="U281" s="153"/>
      <c r="V281" s="153"/>
      <c r="W281" s="153"/>
      <c r="X281" s="153"/>
      <c r="Y281" s="153"/>
      <c r="Z281" s="153"/>
      <c r="AA281" s="153"/>
      <c r="AB281" s="153"/>
      <c r="AC281" s="153"/>
      <c r="AD281" s="153"/>
      <c r="AE281" s="153"/>
      <c r="AF281" s="153"/>
      <c r="AG281" s="153"/>
      <c r="AH281" s="153"/>
      <c r="AI281" s="153"/>
      <c r="AJ281" s="153"/>
      <c r="AK281"/>
      <c r="AL281"/>
      <c r="AM281"/>
      <c r="AN281"/>
    </row>
    <row r="282" spans="1:40" x14ac:dyDescent="0.35">
      <c r="A282" s="153" t="s">
        <v>20</v>
      </c>
      <c r="B282" s="153" t="s">
        <v>181</v>
      </c>
      <c r="C282" s="153" t="s">
        <v>222</v>
      </c>
      <c r="D282" s="153" t="s">
        <v>35</v>
      </c>
      <c r="E282" s="161">
        <v>1</v>
      </c>
      <c r="F282" s="153">
        <v>0</v>
      </c>
      <c r="G282" s="153">
        <v>0</v>
      </c>
      <c r="H282" s="153">
        <v>0</v>
      </c>
      <c r="I282" s="153">
        <v>0</v>
      </c>
      <c r="J282" s="153">
        <v>0</v>
      </c>
      <c r="K282" s="153">
        <v>0</v>
      </c>
      <c r="L282" s="153">
        <v>0</v>
      </c>
      <c r="M282" s="153">
        <v>0</v>
      </c>
      <c r="N282" s="153">
        <v>0</v>
      </c>
      <c r="O282" s="153">
        <v>0</v>
      </c>
      <c r="P282" s="153">
        <v>0</v>
      </c>
      <c r="Q282" s="153">
        <v>0</v>
      </c>
      <c r="R282" s="153">
        <v>0</v>
      </c>
      <c r="S282" s="153">
        <v>0</v>
      </c>
      <c r="T282" s="153"/>
      <c r="U282" s="153"/>
      <c r="V282" s="153"/>
      <c r="W282" s="153"/>
      <c r="X282" s="153"/>
      <c r="Y282" s="153"/>
      <c r="Z282" s="153"/>
      <c r="AA282" s="153"/>
      <c r="AB282" s="153"/>
      <c r="AC282" s="153"/>
      <c r="AD282" s="153"/>
      <c r="AE282" s="153"/>
      <c r="AF282" s="153"/>
      <c r="AG282" s="153"/>
      <c r="AH282" s="153"/>
      <c r="AI282" s="153"/>
      <c r="AJ282" s="153"/>
      <c r="AK282"/>
      <c r="AL282"/>
      <c r="AM282"/>
      <c r="AN282"/>
    </row>
    <row r="283" spans="1:40" x14ac:dyDescent="0.35">
      <c r="A283" s="153" t="s">
        <v>20</v>
      </c>
      <c r="B283" s="153" t="s">
        <v>182</v>
      </c>
      <c r="C283" s="153" t="s">
        <v>223</v>
      </c>
      <c r="D283" s="153" t="s">
        <v>35</v>
      </c>
      <c r="E283" s="161">
        <v>1</v>
      </c>
      <c r="F283" s="153">
        <v>0</v>
      </c>
      <c r="G283" s="153">
        <v>0</v>
      </c>
      <c r="H283" s="153">
        <v>0</v>
      </c>
      <c r="I283" s="153">
        <v>0</v>
      </c>
      <c r="J283" s="153">
        <v>0</v>
      </c>
      <c r="K283" s="153">
        <v>0</v>
      </c>
      <c r="L283" s="153">
        <v>0</v>
      </c>
      <c r="M283" s="153">
        <v>0</v>
      </c>
      <c r="N283" s="153">
        <v>0</v>
      </c>
      <c r="O283" s="153">
        <v>0</v>
      </c>
      <c r="P283" s="153">
        <v>0</v>
      </c>
      <c r="Q283" s="153">
        <v>0</v>
      </c>
      <c r="R283" s="153">
        <v>0</v>
      </c>
      <c r="S283" s="153">
        <v>0</v>
      </c>
      <c r="T283" s="153"/>
      <c r="U283" s="153"/>
      <c r="V283" s="153"/>
      <c r="W283" s="153"/>
      <c r="X283" s="153"/>
      <c r="Y283" s="153"/>
      <c r="Z283" s="153"/>
      <c r="AA283" s="153"/>
      <c r="AB283" s="153"/>
      <c r="AC283" s="153"/>
      <c r="AD283" s="153"/>
      <c r="AE283" s="153"/>
      <c r="AF283" s="153"/>
      <c r="AG283" s="153"/>
      <c r="AH283" s="153"/>
      <c r="AI283" s="153"/>
      <c r="AJ283" s="153"/>
      <c r="AK283"/>
      <c r="AL283"/>
      <c r="AM283"/>
      <c r="AN283"/>
    </row>
    <row r="284" spans="1:40" x14ac:dyDescent="0.35">
      <c r="A284" s="153"/>
      <c r="B284" s="153"/>
      <c r="C284" s="153"/>
      <c r="D284" s="153"/>
      <c r="E284" s="161"/>
      <c r="F284" s="153">
        <v>0</v>
      </c>
      <c r="G284" s="153"/>
      <c r="H284" s="153"/>
      <c r="I284" s="153"/>
      <c r="J284" s="153"/>
      <c r="K284" s="153"/>
      <c r="L284" s="153"/>
      <c r="M284" s="153"/>
      <c r="N284" s="153"/>
      <c r="O284" s="153">
        <v>0</v>
      </c>
      <c r="P284" s="153"/>
      <c r="Q284" s="153"/>
      <c r="R284" s="153"/>
      <c r="S284" s="153"/>
      <c r="T284" s="153"/>
      <c r="U284" s="153"/>
      <c r="V284" s="153"/>
      <c r="W284" s="153"/>
      <c r="X284" s="153"/>
      <c r="Y284" s="153"/>
      <c r="Z284" s="153"/>
      <c r="AA284" s="153"/>
      <c r="AB284" s="153"/>
      <c r="AC284" s="153"/>
      <c r="AD284" s="153"/>
      <c r="AE284" s="153"/>
      <c r="AF284" s="153"/>
      <c r="AG284" s="153"/>
      <c r="AH284" s="153"/>
      <c r="AI284" s="153"/>
      <c r="AJ284" s="153"/>
      <c r="AK284"/>
      <c r="AL284"/>
      <c r="AM284"/>
      <c r="AN284"/>
    </row>
    <row r="285" spans="1:40" s="129" customFormat="1" x14ac:dyDescent="0.35">
      <c r="A285" s="153" t="s">
        <v>499</v>
      </c>
      <c r="B285" s="153" t="s">
        <v>179</v>
      </c>
      <c r="C285" s="153" t="s">
        <v>661</v>
      </c>
      <c r="D285" s="153" t="s">
        <v>67</v>
      </c>
      <c r="E285" s="161">
        <v>1</v>
      </c>
      <c r="F285" s="153">
        <v>0</v>
      </c>
      <c r="G285" s="153">
        <v>0</v>
      </c>
      <c r="H285" s="153">
        <v>0</v>
      </c>
      <c r="I285" s="153">
        <v>0</v>
      </c>
      <c r="J285" s="153">
        <v>0</v>
      </c>
      <c r="K285" s="153">
        <v>0</v>
      </c>
      <c r="L285" s="153">
        <v>0</v>
      </c>
      <c r="M285" s="153">
        <v>0</v>
      </c>
      <c r="N285" s="153">
        <v>0</v>
      </c>
      <c r="O285" s="153">
        <v>0</v>
      </c>
      <c r="P285" s="153">
        <v>0</v>
      </c>
      <c r="Q285" s="153">
        <v>0</v>
      </c>
      <c r="R285" s="153">
        <v>0</v>
      </c>
      <c r="S285" s="153">
        <v>0</v>
      </c>
      <c r="T285" s="153"/>
      <c r="U285" s="153"/>
      <c r="V285" s="153"/>
      <c r="W285" s="153"/>
      <c r="X285" s="153"/>
      <c r="Y285" s="153"/>
      <c r="Z285" s="153"/>
      <c r="AA285" s="153"/>
      <c r="AB285" s="153"/>
      <c r="AC285" s="153"/>
      <c r="AD285" s="153"/>
      <c r="AE285" s="153"/>
      <c r="AF285" s="153"/>
      <c r="AG285" s="153"/>
      <c r="AH285" s="153"/>
      <c r="AI285" s="153"/>
      <c r="AJ285" s="153"/>
      <c r="AK285"/>
      <c r="AL285"/>
      <c r="AM285"/>
      <c r="AN285"/>
    </row>
    <row r="286" spans="1:40" x14ac:dyDescent="0.35">
      <c r="A286" s="153" t="s">
        <v>499</v>
      </c>
      <c r="B286" s="153" t="s">
        <v>180</v>
      </c>
      <c r="C286" s="153" t="s">
        <v>662</v>
      </c>
      <c r="D286" s="153" t="s">
        <v>67</v>
      </c>
      <c r="E286" s="161">
        <v>1</v>
      </c>
      <c r="F286" s="153">
        <v>2</v>
      </c>
      <c r="G286" s="153">
        <v>18</v>
      </c>
      <c r="H286" s="153">
        <v>10</v>
      </c>
      <c r="I286" s="153">
        <v>5</v>
      </c>
      <c r="J286" s="153">
        <v>9</v>
      </c>
      <c r="K286" s="153">
        <v>8</v>
      </c>
      <c r="L286" s="153">
        <v>0</v>
      </c>
      <c r="M286" s="153">
        <v>2</v>
      </c>
      <c r="N286" s="153">
        <v>9</v>
      </c>
      <c r="O286" s="153">
        <v>0</v>
      </c>
      <c r="P286" s="153">
        <v>0</v>
      </c>
      <c r="Q286" s="153">
        <v>0</v>
      </c>
      <c r="R286" s="153">
        <v>0</v>
      </c>
      <c r="S286" s="153">
        <v>2</v>
      </c>
      <c r="T286" s="153"/>
      <c r="U286" s="153"/>
      <c r="V286" s="153"/>
      <c r="W286" s="153"/>
      <c r="X286" s="153"/>
      <c r="Y286" s="153"/>
      <c r="Z286" s="153"/>
      <c r="AA286" s="153"/>
      <c r="AB286" s="153"/>
      <c r="AC286" s="153"/>
      <c r="AD286" s="153"/>
      <c r="AE286" s="153"/>
      <c r="AF286" s="153"/>
      <c r="AG286" s="153"/>
      <c r="AH286" s="153"/>
      <c r="AI286" s="153"/>
      <c r="AJ286" s="153"/>
      <c r="AK286"/>
      <c r="AL286"/>
      <c r="AM286"/>
      <c r="AN286"/>
    </row>
    <row r="287" spans="1:40" x14ac:dyDescent="0.35">
      <c r="A287" s="153" t="s">
        <v>499</v>
      </c>
      <c r="B287" s="153" t="s">
        <v>181</v>
      </c>
      <c r="C287" s="153" t="s">
        <v>663</v>
      </c>
      <c r="D287" s="153" t="s">
        <v>67</v>
      </c>
      <c r="E287" s="161">
        <v>1</v>
      </c>
      <c r="F287" s="153">
        <v>0</v>
      </c>
      <c r="G287" s="153">
        <v>0</v>
      </c>
      <c r="H287" s="153">
        <v>0</v>
      </c>
      <c r="I287" s="153">
        <v>0</v>
      </c>
      <c r="J287" s="153">
        <v>0</v>
      </c>
      <c r="K287" s="153">
        <v>0</v>
      </c>
      <c r="L287" s="153">
        <v>0</v>
      </c>
      <c r="M287" s="153">
        <v>0</v>
      </c>
      <c r="N287" s="153">
        <v>0</v>
      </c>
      <c r="O287" s="153">
        <v>0</v>
      </c>
      <c r="P287" s="153">
        <v>0</v>
      </c>
      <c r="Q287" s="153">
        <v>0</v>
      </c>
      <c r="R287" s="153">
        <v>0</v>
      </c>
      <c r="S287" s="153">
        <v>0</v>
      </c>
      <c r="T287" s="153"/>
      <c r="U287" s="153"/>
      <c r="V287" s="153"/>
      <c r="W287" s="153"/>
      <c r="X287" s="153"/>
      <c r="Y287" s="153"/>
      <c r="Z287" s="153"/>
      <c r="AA287" s="153"/>
      <c r="AB287" s="153"/>
      <c r="AC287" s="153"/>
      <c r="AD287" s="153"/>
      <c r="AE287" s="153"/>
      <c r="AF287" s="153"/>
      <c r="AG287" s="153"/>
      <c r="AH287" s="153"/>
      <c r="AI287" s="153"/>
      <c r="AJ287" s="153"/>
      <c r="AK287"/>
      <c r="AL287"/>
      <c r="AM287"/>
      <c r="AN287"/>
    </row>
    <row r="288" spans="1:40" x14ac:dyDescent="0.35">
      <c r="A288" s="153" t="s">
        <v>499</v>
      </c>
      <c r="B288" s="153" t="s">
        <v>182</v>
      </c>
      <c r="C288" s="153" t="s">
        <v>664</v>
      </c>
      <c r="D288" s="153" t="s">
        <v>67</v>
      </c>
      <c r="E288" s="161">
        <v>1</v>
      </c>
      <c r="F288" s="153">
        <v>0</v>
      </c>
      <c r="G288" s="153">
        <v>0</v>
      </c>
      <c r="H288" s="153">
        <v>0</v>
      </c>
      <c r="I288" s="153">
        <v>0</v>
      </c>
      <c r="J288" s="153">
        <v>0</v>
      </c>
      <c r="K288" s="153">
        <v>0</v>
      </c>
      <c r="L288" s="153">
        <v>0</v>
      </c>
      <c r="M288" s="153">
        <v>0</v>
      </c>
      <c r="N288" s="153">
        <v>0</v>
      </c>
      <c r="O288" s="153">
        <v>0</v>
      </c>
      <c r="P288" s="153">
        <v>0</v>
      </c>
      <c r="Q288" s="153">
        <v>0</v>
      </c>
      <c r="R288" s="153">
        <v>0</v>
      </c>
      <c r="S288" s="153">
        <v>0</v>
      </c>
      <c r="T288" s="153"/>
      <c r="U288" s="153"/>
      <c r="V288" s="153"/>
      <c r="W288" s="153"/>
      <c r="X288" s="153"/>
      <c r="Y288" s="153"/>
      <c r="Z288" s="153"/>
      <c r="AA288" s="153"/>
      <c r="AB288" s="153"/>
      <c r="AC288" s="153"/>
      <c r="AD288" s="153"/>
      <c r="AE288" s="153"/>
      <c r="AF288" s="153"/>
      <c r="AG288" s="153"/>
      <c r="AH288" s="153"/>
      <c r="AI288" s="153"/>
      <c r="AJ288" s="153"/>
      <c r="AK288"/>
      <c r="AL288"/>
      <c r="AM288"/>
      <c r="AN288"/>
    </row>
    <row r="289" spans="1:40" x14ac:dyDescent="0.35">
      <c r="A289" s="153"/>
      <c r="B289" s="153"/>
      <c r="C289" s="153"/>
      <c r="D289" s="153"/>
      <c r="E289" s="161"/>
      <c r="F289" s="153">
        <v>0</v>
      </c>
      <c r="G289" s="153"/>
      <c r="H289" s="153"/>
      <c r="I289" s="153"/>
      <c r="J289" s="153"/>
      <c r="K289" s="153"/>
      <c r="L289" s="153"/>
      <c r="M289" s="153"/>
      <c r="N289" s="153"/>
      <c r="O289" s="153"/>
      <c r="P289" s="153"/>
      <c r="Q289" s="153"/>
      <c r="R289" s="153"/>
      <c r="S289" s="153"/>
      <c r="T289" s="153"/>
      <c r="U289" s="153"/>
      <c r="V289" s="153"/>
      <c r="W289" s="153"/>
      <c r="X289" s="153"/>
      <c r="Y289" s="153"/>
      <c r="Z289" s="153"/>
      <c r="AA289" s="153"/>
      <c r="AB289" s="153"/>
      <c r="AC289" s="153"/>
      <c r="AD289" s="153"/>
      <c r="AE289" s="153"/>
      <c r="AF289" s="153"/>
      <c r="AG289" s="153"/>
      <c r="AH289" s="153"/>
      <c r="AI289" s="153"/>
      <c r="AJ289" s="153"/>
      <c r="AK289"/>
      <c r="AL289"/>
      <c r="AM289"/>
      <c r="AN289"/>
    </row>
    <row r="290" spans="1:40" x14ac:dyDescent="0.35">
      <c r="A290" s="153" t="s">
        <v>488</v>
      </c>
      <c r="B290" s="153" t="s">
        <v>179</v>
      </c>
      <c r="C290" s="153" t="s">
        <v>653</v>
      </c>
      <c r="D290" s="153" t="s">
        <v>67</v>
      </c>
      <c r="E290" s="161">
        <v>1</v>
      </c>
      <c r="F290" s="153">
        <v>0</v>
      </c>
      <c r="G290" s="153">
        <v>0</v>
      </c>
      <c r="H290" s="153">
        <v>0</v>
      </c>
      <c r="I290" s="153">
        <v>0</v>
      </c>
      <c r="J290" s="153">
        <v>0</v>
      </c>
      <c r="K290" s="153">
        <v>0</v>
      </c>
      <c r="L290" s="153">
        <v>0</v>
      </c>
      <c r="M290" s="153">
        <v>0</v>
      </c>
      <c r="N290" s="153">
        <v>0</v>
      </c>
      <c r="O290" s="153">
        <v>0</v>
      </c>
      <c r="P290" s="153">
        <v>0</v>
      </c>
      <c r="Q290" s="153">
        <v>0</v>
      </c>
      <c r="R290" s="153">
        <v>0</v>
      </c>
      <c r="S290" s="153">
        <v>0</v>
      </c>
      <c r="T290" s="153"/>
      <c r="U290" s="153"/>
      <c r="V290" s="153"/>
      <c r="W290" s="153"/>
      <c r="X290" s="153"/>
      <c r="Y290" s="153"/>
      <c r="Z290" s="153"/>
      <c r="AA290" s="153"/>
      <c r="AB290" s="153"/>
      <c r="AC290" s="153"/>
      <c r="AD290" s="153"/>
      <c r="AE290" s="153"/>
      <c r="AF290" s="153"/>
      <c r="AG290" s="153"/>
      <c r="AH290" s="153"/>
      <c r="AI290" s="153"/>
      <c r="AJ290" s="153"/>
      <c r="AK290"/>
      <c r="AL290"/>
      <c r="AM290"/>
      <c r="AN290"/>
    </row>
    <row r="291" spans="1:40" x14ac:dyDescent="0.35">
      <c r="A291" s="153" t="s">
        <v>488</v>
      </c>
      <c r="B291" s="153" t="s">
        <v>180</v>
      </c>
      <c r="C291" s="153" t="s">
        <v>654</v>
      </c>
      <c r="D291" s="153" t="s">
        <v>67</v>
      </c>
      <c r="E291" s="161">
        <v>1</v>
      </c>
      <c r="F291" s="153">
        <v>7</v>
      </c>
      <c r="G291" s="153">
        <v>2</v>
      </c>
      <c r="H291" s="153">
        <v>8</v>
      </c>
      <c r="I291" s="153">
        <v>1</v>
      </c>
      <c r="J291" s="153">
        <v>1</v>
      </c>
      <c r="K291" s="153">
        <v>2</v>
      </c>
      <c r="L291" s="153">
        <v>0</v>
      </c>
      <c r="M291" s="153">
        <v>0</v>
      </c>
      <c r="N291" s="153">
        <v>1</v>
      </c>
      <c r="O291" s="153">
        <v>3</v>
      </c>
      <c r="P291" s="153">
        <v>2</v>
      </c>
      <c r="Q291" s="153">
        <v>0</v>
      </c>
      <c r="R291" s="153">
        <v>3</v>
      </c>
      <c r="S291" s="153">
        <v>1</v>
      </c>
      <c r="T291" s="153"/>
      <c r="U291" s="153"/>
      <c r="V291" s="153"/>
      <c r="W291" s="153"/>
      <c r="X291" s="153"/>
      <c r="Y291" s="153"/>
      <c r="Z291" s="153"/>
      <c r="AA291" s="153"/>
      <c r="AB291" s="153"/>
      <c r="AC291" s="153"/>
      <c r="AD291" s="153"/>
      <c r="AE291" s="153"/>
      <c r="AF291" s="153"/>
      <c r="AG291" s="153"/>
      <c r="AH291" s="153"/>
      <c r="AI291" s="153"/>
      <c r="AJ291" s="153"/>
      <c r="AK291"/>
      <c r="AL291"/>
      <c r="AM291"/>
      <c r="AN291"/>
    </row>
    <row r="292" spans="1:40" x14ac:dyDescent="0.35">
      <c r="A292" s="153" t="s">
        <v>488</v>
      </c>
      <c r="B292" s="153" t="s">
        <v>181</v>
      </c>
      <c r="C292" s="153" t="s">
        <v>655</v>
      </c>
      <c r="D292" s="153" t="s">
        <v>67</v>
      </c>
      <c r="E292" s="161">
        <v>1</v>
      </c>
      <c r="F292" s="153">
        <v>0</v>
      </c>
      <c r="G292" s="153">
        <v>0</v>
      </c>
      <c r="H292" s="153">
        <v>0</v>
      </c>
      <c r="I292" s="153">
        <v>0</v>
      </c>
      <c r="J292" s="153">
        <v>0</v>
      </c>
      <c r="K292" s="153">
        <v>0</v>
      </c>
      <c r="L292" s="153">
        <v>0</v>
      </c>
      <c r="M292" s="153">
        <v>0</v>
      </c>
      <c r="N292" s="153">
        <v>0</v>
      </c>
      <c r="O292" s="153">
        <v>0</v>
      </c>
      <c r="P292" s="153">
        <v>0</v>
      </c>
      <c r="Q292" s="153">
        <v>1</v>
      </c>
      <c r="R292" s="153">
        <v>0</v>
      </c>
      <c r="S292" s="153">
        <v>3</v>
      </c>
      <c r="T292" s="153"/>
      <c r="U292" s="153"/>
      <c r="V292" s="153"/>
      <c r="W292" s="153"/>
      <c r="X292" s="153"/>
      <c r="Y292" s="153"/>
      <c r="Z292" s="153"/>
      <c r="AA292" s="153"/>
      <c r="AB292" s="153"/>
      <c r="AC292" s="153"/>
      <c r="AD292" s="153"/>
      <c r="AE292" s="153"/>
      <c r="AF292" s="153"/>
      <c r="AG292" s="153"/>
      <c r="AH292" s="153"/>
      <c r="AI292" s="153"/>
      <c r="AJ292" s="153"/>
      <c r="AK292"/>
      <c r="AL292"/>
      <c r="AM292"/>
      <c r="AN292"/>
    </row>
    <row r="293" spans="1:40" x14ac:dyDescent="0.35">
      <c r="A293" s="153" t="s">
        <v>488</v>
      </c>
      <c r="B293" s="153" t="s">
        <v>182</v>
      </c>
      <c r="C293" s="153" t="s">
        <v>656</v>
      </c>
      <c r="D293" s="153" t="s">
        <v>67</v>
      </c>
      <c r="E293" s="161">
        <v>1</v>
      </c>
      <c r="F293" s="153">
        <v>0</v>
      </c>
      <c r="G293" s="153">
        <v>0</v>
      </c>
      <c r="H293" s="153">
        <v>0</v>
      </c>
      <c r="I293" s="153">
        <v>0</v>
      </c>
      <c r="J293" s="153">
        <v>0</v>
      </c>
      <c r="K293" s="153">
        <v>0</v>
      </c>
      <c r="L293" s="153">
        <v>0</v>
      </c>
      <c r="M293" s="153">
        <v>0</v>
      </c>
      <c r="N293" s="153">
        <v>0</v>
      </c>
      <c r="O293" s="153">
        <v>0</v>
      </c>
      <c r="P293" s="153">
        <v>0</v>
      </c>
      <c r="Q293" s="153">
        <v>0</v>
      </c>
      <c r="R293" s="153">
        <v>0</v>
      </c>
      <c r="S293" s="153">
        <v>0</v>
      </c>
      <c r="T293" s="153"/>
      <c r="U293" s="153"/>
      <c r="V293" s="153"/>
      <c r="W293" s="153"/>
      <c r="X293" s="153"/>
      <c r="Y293" s="153"/>
      <c r="Z293" s="153"/>
      <c r="AA293" s="153"/>
      <c r="AB293" s="153"/>
      <c r="AC293" s="153"/>
      <c r="AD293" s="153"/>
      <c r="AE293" s="153"/>
      <c r="AF293" s="153"/>
      <c r="AG293" s="153"/>
      <c r="AH293" s="153"/>
      <c r="AI293" s="153"/>
      <c r="AJ293" s="153"/>
      <c r="AK293"/>
      <c r="AL293"/>
      <c r="AM293"/>
      <c r="AN293"/>
    </row>
    <row r="294" spans="1:40" x14ac:dyDescent="0.35">
      <c r="A294" s="153"/>
      <c r="B294" s="153"/>
      <c r="C294" s="153"/>
      <c r="D294" s="153"/>
      <c r="E294" s="161"/>
      <c r="F294" s="153">
        <v>0</v>
      </c>
      <c r="G294" s="153"/>
      <c r="H294" s="153"/>
      <c r="I294" s="153"/>
      <c r="J294" s="153"/>
      <c r="K294" s="153"/>
      <c r="L294" s="153"/>
      <c r="M294" s="153"/>
      <c r="N294" s="153"/>
      <c r="O294" s="153"/>
      <c r="P294" s="153"/>
      <c r="Q294" s="153"/>
      <c r="R294" s="153"/>
      <c r="S294" s="153"/>
      <c r="T294" s="153"/>
      <c r="U294" s="153"/>
      <c r="V294" s="153"/>
      <c r="W294" s="153"/>
      <c r="X294" s="153"/>
      <c r="Y294" s="153"/>
      <c r="Z294" s="153"/>
      <c r="AA294" s="153"/>
      <c r="AB294" s="153"/>
      <c r="AC294" s="153"/>
      <c r="AD294" s="153"/>
      <c r="AE294" s="153"/>
      <c r="AF294" s="153"/>
      <c r="AG294" s="153"/>
      <c r="AH294" s="153"/>
      <c r="AI294" s="153"/>
      <c r="AJ294" s="153"/>
      <c r="AK294"/>
      <c r="AL294"/>
      <c r="AM294"/>
      <c r="AN294"/>
    </row>
    <row r="295" spans="1:40" x14ac:dyDescent="0.35">
      <c r="A295" s="153" t="s">
        <v>485</v>
      </c>
      <c r="B295" s="153" t="s">
        <v>179</v>
      </c>
      <c r="C295" s="153" t="s">
        <v>649</v>
      </c>
      <c r="D295" s="153" t="s">
        <v>67</v>
      </c>
      <c r="E295" s="161">
        <v>1</v>
      </c>
      <c r="F295" s="153">
        <v>0</v>
      </c>
      <c r="G295" s="153">
        <v>0</v>
      </c>
      <c r="H295" s="153">
        <v>0</v>
      </c>
      <c r="I295" s="153">
        <v>0</v>
      </c>
      <c r="J295" s="153">
        <v>0</v>
      </c>
      <c r="K295" s="153">
        <v>0</v>
      </c>
      <c r="L295" s="153">
        <v>0</v>
      </c>
      <c r="M295" s="153">
        <v>0</v>
      </c>
      <c r="N295" s="153">
        <v>0</v>
      </c>
      <c r="O295" s="153">
        <v>0</v>
      </c>
      <c r="P295" s="153">
        <v>0</v>
      </c>
      <c r="Q295" s="153">
        <v>0</v>
      </c>
      <c r="R295" s="153">
        <v>0</v>
      </c>
      <c r="S295" s="153">
        <v>0</v>
      </c>
      <c r="T295" s="153"/>
      <c r="U295" s="153"/>
      <c r="V295" s="153"/>
      <c r="W295" s="153"/>
      <c r="X295" s="153"/>
      <c r="Y295" s="153"/>
      <c r="Z295" s="153"/>
      <c r="AA295" s="153"/>
      <c r="AB295" s="153"/>
      <c r="AC295" s="153"/>
      <c r="AD295" s="153"/>
      <c r="AE295" s="153"/>
      <c r="AF295" s="153"/>
      <c r="AG295" s="153"/>
      <c r="AH295" s="153"/>
      <c r="AI295" s="153"/>
      <c r="AJ295" s="153"/>
      <c r="AK295"/>
      <c r="AL295"/>
      <c r="AM295"/>
      <c r="AN295"/>
    </row>
    <row r="296" spans="1:40" x14ac:dyDescent="0.35">
      <c r="A296" s="153" t="s">
        <v>485</v>
      </c>
      <c r="B296" s="153" t="s">
        <v>180</v>
      </c>
      <c r="C296" s="153" t="s">
        <v>650</v>
      </c>
      <c r="D296" s="153" t="s">
        <v>67</v>
      </c>
      <c r="E296" s="161">
        <v>1</v>
      </c>
      <c r="F296" s="153">
        <v>12</v>
      </c>
      <c r="G296" s="153">
        <v>16</v>
      </c>
      <c r="H296" s="153">
        <v>0</v>
      </c>
      <c r="I296" s="153">
        <v>9</v>
      </c>
      <c r="J296" s="153">
        <v>5</v>
      </c>
      <c r="K296" s="153">
        <v>0</v>
      </c>
      <c r="L296" s="153">
        <v>1</v>
      </c>
      <c r="M296" s="153">
        <v>3</v>
      </c>
      <c r="N296" s="153">
        <v>3</v>
      </c>
      <c r="O296" s="153">
        <v>2</v>
      </c>
      <c r="P296" s="153">
        <v>3</v>
      </c>
      <c r="Q296" s="153">
        <v>1</v>
      </c>
      <c r="R296" s="153">
        <v>8</v>
      </c>
      <c r="S296" s="153">
        <v>1</v>
      </c>
      <c r="T296" s="153"/>
      <c r="U296" s="153"/>
      <c r="V296" s="153"/>
      <c r="W296" s="153"/>
      <c r="X296" s="153"/>
      <c r="Y296" s="153"/>
      <c r="Z296" s="153"/>
      <c r="AA296" s="153"/>
      <c r="AB296" s="153"/>
      <c r="AC296" s="153"/>
      <c r="AD296" s="153"/>
      <c r="AE296" s="153"/>
      <c r="AF296" s="153"/>
      <c r="AG296" s="153"/>
      <c r="AH296" s="153"/>
      <c r="AI296" s="153"/>
      <c r="AJ296" s="153"/>
      <c r="AK296"/>
      <c r="AL296"/>
      <c r="AM296"/>
      <c r="AN296"/>
    </row>
    <row r="297" spans="1:40" x14ac:dyDescent="0.35">
      <c r="A297" s="153" t="s">
        <v>485</v>
      </c>
      <c r="B297" s="153" t="s">
        <v>181</v>
      </c>
      <c r="C297" s="153" t="s">
        <v>651</v>
      </c>
      <c r="D297" s="153" t="s">
        <v>67</v>
      </c>
      <c r="E297" s="161">
        <v>1</v>
      </c>
      <c r="F297" s="153">
        <v>0</v>
      </c>
      <c r="G297" s="153">
        <v>0</v>
      </c>
      <c r="H297" s="153">
        <v>0</v>
      </c>
      <c r="I297" s="153">
        <v>0</v>
      </c>
      <c r="J297" s="153">
        <v>0</v>
      </c>
      <c r="K297" s="153">
        <v>0</v>
      </c>
      <c r="L297" s="153">
        <v>0</v>
      </c>
      <c r="M297" s="153">
        <v>0</v>
      </c>
      <c r="N297" s="153">
        <v>0</v>
      </c>
      <c r="O297" s="153">
        <v>0</v>
      </c>
      <c r="P297" s="153">
        <v>0</v>
      </c>
      <c r="Q297" s="153">
        <v>0</v>
      </c>
      <c r="R297" s="153">
        <v>0</v>
      </c>
      <c r="S297" s="153">
        <v>0</v>
      </c>
      <c r="T297" s="153"/>
      <c r="U297" s="153"/>
      <c r="V297" s="153"/>
      <c r="W297" s="153"/>
      <c r="X297" s="153"/>
      <c r="Y297" s="153"/>
      <c r="Z297" s="153"/>
      <c r="AA297" s="153"/>
      <c r="AB297" s="153"/>
      <c r="AC297" s="153"/>
      <c r="AD297" s="153"/>
      <c r="AE297" s="153"/>
      <c r="AF297" s="153"/>
      <c r="AG297" s="153"/>
      <c r="AH297" s="153"/>
      <c r="AI297" s="153"/>
      <c r="AJ297" s="153"/>
      <c r="AK297"/>
      <c r="AL297"/>
      <c r="AM297"/>
      <c r="AN297"/>
    </row>
    <row r="298" spans="1:40" x14ac:dyDescent="0.35">
      <c r="A298" s="153" t="s">
        <v>485</v>
      </c>
      <c r="B298" s="153" t="s">
        <v>182</v>
      </c>
      <c r="C298" s="153" t="s">
        <v>652</v>
      </c>
      <c r="D298" s="153" t="s">
        <v>67</v>
      </c>
      <c r="E298" s="161">
        <v>1</v>
      </c>
      <c r="F298" s="153">
        <v>0</v>
      </c>
      <c r="G298" s="153">
        <v>0</v>
      </c>
      <c r="H298" s="153">
        <v>0</v>
      </c>
      <c r="I298" s="153">
        <v>0</v>
      </c>
      <c r="J298" s="153">
        <v>0</v>
      </c>
      <c r="K298" s="153">
        <v>0</v>
      </c>
      <c r="L298" s="153">
        <v>0</v>
      </c>
      <c r="M298" s="153">
        <v>0</v>
      </c>
      <c r="N298" s="153">
        <v>0</v>
      </c>
      <c r="O298" s="153">
        <v>0</v>
      </c>
      <c r="P298" s="153">
        <v>0</v>
      </c>
      <c r="Q298" s="153">
        <v>0</v>
      </c>
      <c r="R298" s="153">
        <v>0</v>
      </c>
      <c r="S298" s="153">
        <v>0</v>
      </c>
      <c r="T298" s="153"/>
      <c r="U298" s="153"/>
      <c r="V298" s="153"/>
      <c r="W298" s="153"/>
      <c r="X298" s="153"/>
      <c r="Y298" s="153"/>
      <c r="Z298" s="153"/>
      <c r="AA298" s="153"/>
      <c r="AB298" s="153"/>
      <c r="AC298" s="153"/>
      <c r="AD298" s="153"/>
      <c r="AE298" s="153"/>
      <c r="AF298" s="153"/>
      <c r="AG298" s="153"/>
      <c r="AH298" s="153"/>
      <c r="AI298" s="153"/>
      <c r="AJ298" s="153"/>
      <c r="AK298"/>
      <c r="AL298"/>
      <c r="AM298"/>
      <c r="AN298"/>
    </row>
    <row r="299" spans="1:40" x14ac:dyDescent="0.35">
      <c r="A299" s="153"/>
      <c r="B299" s="153"/>
      <c r="C299" s="153"/>
      <c r="D299" s="153"/>
      <c r="E299" s="161"/>
      <c r="F299" s="153">
        <v>0</v>
      </c>
      <c r="G299" s="153"/>
      <c r="H299" s="153"/>
      <c r="I299" s="153"/>
      <c r="J299" s="153"/>
      <c r="K299" s="153"/>
      <c r="L299" s="153"/>
      <c r="M299" s="153"/>
      <c r="N299" s="153"/>
      <c r="O299" s="153"/>
      <c r="P299" s="153"/>
      <c r="Q299" s="153"/>
      <c r="R299" s="153"/>
      <c r="S299" s="153"/>
      <c r="T299" s="153"/>
      <c r="U299" s="153"/>
      <c r="V299" s="153"/>
      <c r="W299" s="153"/>
      <c r="X299" s="153"/>
      <c r="Y299" s="153"/>
      <c r="Z299" s="153"/>
      <c r="AA299" s="153"/>
      <c r="AB299" s="153"/>
      <c r="AC299" s="153"/>
      <c r="AD299" s="153"/>
      <c r="AE299" s="153"/>
      <c r="AF299" s="153"/>
      <c r="AG299" s="153"/>
      <c r="AH299" s="153"/>
      <c r="AI299" s="153"/>
      <c r="AJ299" s="153"/>
      <c r="AK299"/>
      <c r="AL299"/>
      <c r="AM299"/>
      <c r="AN299"/>
    </row>
    <row r="300" spans="1:40" x14ac:dyDescent="0.35">
      <c r="A300" s="153" t="s">
        <v>504</v>
      </c>
      <c r="B300" s="153" t="s">
        <v>179</v>
      </c>
      <c r="C300" s="153" t="s">
        <v>715</v>
      </c>
      <c r="D300" s="153" t="s">
        <v>67</v>
      </c>
      <c r="E300" s="161">
        <v>1</v>
      </c>
      <c r="F300" s="153">
        <v>0</v>
      </c>
      <c r="G300" s="153">
        <v>0</v>
      </c>
      <c r="H300" s="153">
        <v>0</v>
      </c>
      <c r="I300" s="153">
        <v>0</v>
      </c>
      <c r="J300" s="153">
        <v>0</v>
      </c>
      <c r="K300" s="153">
        <v>0</v>
      </c>
      <c r="L300" s="153">
        <v>0</v>
      </c>
      <c r="M300" s="153">
        <v>0</v>
      </c>
      <c r="N300" s="153">
        <v>0</v>
      </c>
      <c r="O300" s="153">
        <v>0</v>
      </c>
      <c r="P300" s="153">
        <v>0</v>
      </c>
      <c r="Q300" s="153">
        <v>0</v>
      </c>
      <c r="R300" s="153">
        <v>0</v>
      </c>
      <c r="S300" s="153">
        <v>0</v>
      </c>
      <c r="T300" s="153"/>
      <c r="U300" s="153"/>
      <c r="V300" s="153"/>
      <c r="W300" s="153"/>
      <c r="X300" s="153"/>
      <c r="Y300" s="153"/>
      <c r="Z300" s="153"/>
      <c r="AA300" s="153"/>
      <c r="AB300" s="153"/>
      <c r="AC300" s="153"/>
      <c r="AD300" s="153"/>
      <c r="AE300" s="153"/>
      <c r="AF300" s="153"/>
      <c r="AG300" s="153"/>
      <c r="AH300" s="153"/>
      <c r="AI300" s="153"/>
      <c r="AJ300" s="153"/>
      <c r="AK300"/>
      <c r="AL300"/>
      <c r="AM300"/>
      <c r="AN300"/>
    </row>
    <row r="301" spans="1:40" x14ac:dyDescent="0.35">
      <c r="A301" s="153" t="s">
        <v>504</v>
      </c>
      <c r="B301" s="153" t="s">
        <v>180</v>
      </c>
      <c r="C301" s="153" t="s">
        <v>716</v>
      </c>
      <c r="D301" s="153" t="s">
        <v>67</v>
      </c>
      <c r="E301" s="161">
        <v>1</v>
      </c>
      <c r="F301" s="153">
        <v>0</v>
      </c>
      <c r="G301" s="153">
        <v>0</v>
      </c>
      <c r="H301" s="153">
        <v>5</v>
      </c>
      <c r="I301" s="153">
        <v>3</v>
      </c>
      <c r="J301" s="153">
        <v>4</v>
      </c>
      <c r="K301" s="153">
        <v>0</v>
      </c>
      <c r="L301" s="153">
        <v>0</v>
      </c>
      <c r="M301" s="153">
        <v>0</v>
      </c>
      <c r="N301" s="153">
        <v>0</v>
      </c>
      <c r="O301" s="153">
        <v>2</v>
      </c>
      <c r="P301" s="153">
        <v>0</v>
      </c>
      <c r="Q301" s="153">
        <v>0</v>
      </c>
      <c r="R301" s="153">
        <v>1</v>
      </c>
      <c r="S301" s="153">
        <v>0</v>
      </c>
      <c r="T301" s="153"/>
      <c r="U301" s="153"/>
      <c r="V301" s="153"/>
      <c r="W301" s="153"/>
      <c r="X301" s="153"/>
      <c r="Y301" s="153"/>
      <c r="Z301" s="153"/>
      <c r="AA301" s="153"/>
      <c r="AB301" s="153"/>
      <c r="AC301" s="153"/>
      <c r="AD301" s="153"/>
      <c r="AE301" s="153"/>
      <c r="AF301" s="153"/>
      <c r="AG301" s="153"/>
      <c r="AH301" s="153"/>
      <c r="AI301" s="153"/>
      <c r="AJ301" s="153"/>
      <c r="AK301"/>
      <c r="AL301"/>
      <c r="AM301"/>
      <c r="AN301"/>
    </row>
    <row r="302" spans="1:40" x14ac:dyDescent="0.35">
      <c r="A302" s="153" t="s">
        <v>504</v>
      </c>
      <c r="B302" s="153" t="s">
        <v>181</v>
      </c>
      <c r="C302" s="153" t="s">
        <v>717</v>
      </c>
      <c r="D302" s="153" t="s">
        <v>67</v>
      </c>
      <c r="E302" s="161">
        <v>1</v>
      </c>
      <c r="F302" s="153">
        <v>0</v>
      </c>
      <c r="G302" s="153">
        <v>0</v>
      </c>
      <c r="H302" s="153">
        <v>0</v>
      </c>
      <c r="I302" s="153">
        <v>0</v>
      </c>
      <c r="J302" s="153">
        <v>0</v>
      </c>
      <c r="K302" s="153">
        <v>0</v>
      </c>
      <c r="L302" s="153">
        <v>0</v>
      </c>
      <c r="M302" s="153">
        <v>0</v>
      </c>
      <c r="N302" s="153">
        <v>0</v>
      </c>
      <c r="O302" s="153">
        <v>0</v>
      </c>
      <c r="P302" s="153">
        <v>0</v>
      </c>
      <c r="Q302" s="153">
        <v>0</v>
      </c>
      <c r="R302" s="153">
        <v>0</v>
      </c>
      <c r="S302" s="153">
        <v>0</v>
      </c>
      <c r="T302" s="153"/>
      <c r="U302" s="153"/>
      <c r="V302" s="153"/>
      <c r="W302" s="153"/>
      <c r="X302" s="153"/>
      <c r="Y302" s="153"/>
      <c r="Z302" s="153"/>
      <c r="AA302" s="153"/>
      <c r="AB302" s="153"/>
      <c r="AC302" s="153"/>
      <c r="AD302" s="153"/>
      <c r="AE302" s="153"/>
      <c r="AF302" s="153"/>
      <c r="AG302" s="153"/>
      <c r="AH302" s="153"/>
      <c r="AI302" s="153"/>
      <c r="AJ302" s="153"/>
      <c r="AK302"/>
      <c r="AL302"/>
      <c r="AM302"/>
      <c r="AN302"/>
    </row>
    <row r="303" spans="1:40" x14ac:dyDescent="0.35">
      <c r="A303" s="153" t="s">
        <v>504</v>
      </c>
      <c r="B303" s="153" t="s">
        <v>182</v>
      </c>
      <c r="C303" s="153" t="s">
        <v>718</v>
      </c>
      <c r="D303" s="153" t="s">
        <v>67</v>
      </c>
      <c r="E303" s="161">
        <v>1</v>
      </c>
      <c r="F303" s="153">
        <v>0</v>
      </c>
      <c r="G303" s="153">
        <v>0</v>
      </c>
      <c r="H303" s="153">
        <v>0</v>
      </c>
      <c r="I303" s="153">
        <v>0</v>
      </c>
      <c r="J303" s="153">
        <v>0</v>
      </c>
      <c r="K303" s="153">
        <v>0</v>
      </c>
      <c r="L303" s="153">
        <v>0</v>
      </c>
      <c r="M303" s="153">
        <v>0</v>
      </c>
      <c r="N303" s="153">
        <v>0</v>
      </c>
      <c r="O303" s="153">
        <v>0</v>
      </c>
      <c r="P303" s="153">
        <v>0</v>
      </c>
      <c r="Q303" s="153">
        <v>0</v>
      </c>
      <c r="R303" s="153">
        <v>0</v>
      </c>
      <c r="S303" s="153">
        <v>0</v>
      </c>
      <c r="T303" s="153"/>
      <c r="U303" s="153"/>
      <c r="V303" s="153"/>
      <c r="W303" s="153"/>
      <c r="X303" s="153"/>
      <c r="Y303" s="153"/>
      <c r="Z303" s="153"/>
      <c r="AA303" s="153"/>
      <c r="AB303" s="153"/>
      <c r="AC303" s="153"/>
      <c r="AD303" s="153"/>
      <c r="AE303" s="153"/>
      <c r="AF303" s="153"/>
      <c r="AG303" s="153"/>
      <c r="AH303" s="153"/>
      <c r="AI303" s="153"/>
      <c r="AJ303" s="153"/>
      <c r="AK303"/>
      <c r="AL303"/>
      <c r="AM303"/>
      <c r="AN303"/>
    </row>
    <row r="304" spans="1:40" x14ac:dyDescent="0.35">
      <c r="A304" s="153"/>
      <c r="B304" s="153"/>
      <c r="C304" s="153"/>
      <c r="D304" s="153"/>
      <c r="E304" s="161"/>
      <c r="F304" s="153">
        <v>0</v>
      </c>
      <c r="G304" s="153"/>
      <c r="H304" s="153"/>
      <c r="I304" s="153"/>
      <c r="J304" s="153"/>
      <c r="K304" s="153"/>
      <c r="L304" s="153"/>
      <c r="M304" s="153"/>
      <c r="N304" s="153"/>
      <c r="O304" s="153"/>
      <c r="P304" s="153"/>
      <c r="Q304" s="153"/>
      <c r="R304" s="153"/>
      <c r="S304" s="153"/>
      <c r="T304" s="153"/>
      <c r="U304" s="153"/>
      <c r="V304" s="153"/>
      <c r="W304" s="153"/>
      <c r="X304" s="153"/>
      <c r="Y304" s="153"/>
      <c r="Z304" s="153"/>
      <c r="AA304" s="153"/>
      <c r="AB304" s="153"/>
      <c r="AC304" s="153"/>
      <c r="AD304" s="153"/>
      <c r="AE304" s="153"/>
      <c r="AF304" s="153"/>
      <c r="AG304" s="153"/>
      <c r="AH304" s="153"/>
      <c r="AI304" s="153"/>
      <c r="AJ304" s="153"/>
      <c r="AK304"/>
      <c r="AL304"/>
      <c r="AM304"/>
      <c r="AN304"/>
    </row>
    <row r="305" spans="1:40" x14ac:dyDescent="0.35">
      <c r="A305" s="153" t="s">
        <v>350</v>
      </c>
      <c r="B305" s="153" t="s">
        <v>179</v>
      </c>
      <c r="C305" s="153" t="s">
        <v>449</v>
      </c>
      <c r="D305" s="153" t="s">
        <v>35</v>
      </c>
      <c r="E305" s="161">
        <v>1</v>
      </c>
      <c r="F305" s="153">
        <v>0</v>
      </c>
      <c r="G305" s="153">
        <v>0</v>
      </c>
      <c r="H305" s="153">
        <v>0</v>
      </c>
      <c r="I305" s="153">
        <v>0</v>
      </c>
      <c r="J305" s="153">
        <v>0</v>
      </c>
      <c r="K305" s="153">
        <v>0</v>
      </c>
      <c r="L305" s="153">
        <v>0</v>
      </c>
      <c r="M305" s="153">
        <v>0</v>
      </c>
      <c r="N305" s="153">
        <v>0</v>
      </c>
      <c r="O305" s="153">
        <v>0</v>
      </c>
      <c r="P305" s="153">
        <v>0</v>
      </c>
      <c r="Q305" s="153">
        <v>0</v>
      </c>
      <c r="R305" s="153">
        <v>0</v>
      </c>
      <c r="S305" s="153">
        <v>0</v>
      </c>
      <c r="T305" s="153"/>
      <c r="U305" s="153"/>
      <c r="V305" s="153"/>
      <c r="W305" s="153"/>
      <c r="X305" s="153"/>
      <c r="Y305" s="153"/>
      <c r="Z305" s="153"/>
      <c r="AA305" s="153"/>
      <c r="AB305" s="153"/>
      <c r="AC305" s="153"/>
      <c r="AD305" s="153"/>
      <c r="AE305" s="153"/>
      <c r="AF305" s="153"/>
      <c r="AG305" s="153"/>
      <c r="AH305" s="153"/>
      <c r="AI305" s="153"/>
      <c r="AJ305" s="153"/>
      <c r="AK305"/>
      <c r="AL305"/>
      <c r="AM305"/>
      <c r="AN305"/>
    </row>
    <row r="306" spans="1:40" x14ac:dyDescent="0.35">
      <c r="A306" s="153" t="s">
        <v>350</v>
      </c>
      <c r="B306" s="153" t="s">
        <v>180</v>
      </c>
      <c r="C306" s="153" t="s">
        <v>450</v>
      </c>
      <c r="D306" s="153" t="s">
        <v>35</v>
      </c>
      <c r="E306" s="161">
        <v>1</v>
      </c>
      <c r="F306" s="153">
        <v>0</v>
      </c>
      <c r="G306" s="153">
        <v>0</v>
      </c>
      <c r="H306" s="153">
        <v>0</v>
      </c>
      <c r="I306" s="153">
        <v>0</v>
      </c>
      <c r="J306" s="153">
        <v>0</v>
      </c>
      <c r="K306" s="153">
        <v>0</v>
      </c>
      <c r="L306" s="153">
        <v>0</v>
      </c>
      <c r="M306" s="153">
        <v>0</v>
      </c>
      <c r="N306" s="153">
        <v>0</v>
      </c>
      <c r="O306" s="153">
        <v>0</v>
      </c>
      <c r="P306" s="153">
        <v>0</v>
      </c>
      <c r="Q306" s="153">
        <v>0</v>
      </c>
      <c r="R306" s="153">
        <v>0</v>
      </c>
      <c r="S306" s="153">
        <v>0</v>
      </c>
      <c r="T306" s="153"/>
      <c r="U306" s="153"/>
      <c r="V306" s="153"/>
      <c r="W306" s="153"/>
      <c r="X306" s="153"/>
      <c r="Y306" s="153"/>
      <c r="Z306" s="153"/>
      <c r="AA306" s="153"/>
      <c r="AB306" s="153"/>
      <c r="AC306" s="153"/>
      <c r="AD306" s="153"/>
      <c r="AE306" s="153"/>
      <c r="AF306" s="153"/>
      <c r="AG306" s="153"/>
      <c r="AH306" s="153"/>
      <c r="AI306" s="153"/>
      <c r="AJ306" s="153"/>
      <c r="AK306"/>
      <c r="AL306"/>
      <c r="AM306"/>
      <c r="AN306"/>
    </row>
    <row r="307" spans="1:40" x14ac:dyDescent="0.35">
      <c r="A307" s="153" t="s">
        <v>350</v>
      </c>
      <c r="B307" s="153" t="s">
        <v>181</v>
      </c>
      <c r="C307" s="153" t="s">
        <v>451</v>
      </c>
      <c r="D307" s="153" t="s">
        <v>35</v>
      </c>
      <c r="E307" s="161">
        <v>1</v>
      </c>
      <c r="F307" s="153">
        <v>0</v>
      </c>
      <c r="G307" s="153">
        <v>0</v>
      </c>
      <c r="H307" s="153">
        <v>0</v>
      </c>
      <c r="I307" s="153">
        <v>0</v>
      </c>
      <c r="J307" s="153">
        <v>0</v>
      </c>
      <c r="K307" s="153">
        <v>0</v>
      </c>
      <c r="L307" s="153">
        <v>0</v>
      </c>
      <c r="M307" s="153">
        <v>0</v>
      </c>
      <c r="N307" s="153">
        <v>0</v>
      </c>
      <c r="O307" s="153">
        <v>0</v>
      </c>
      <c r="P307" s="153">
        <v>0</v>
      </c>
      <c r="Q307" s="153">
        <v>0</v>
      </c>
      <c r="R307" s="153">
        <v>0</v>
      </c>
      <c r="S307" s="153">
        <v>0</v>
      </c>
      <c r="T307" s="153"/>
      <c r="U307" s="153"/>
      <c r="V307" s="153"/>
      <c r="W307" s="153"/>
      <c r="X307" s="153"/>
      <c r="Y307" s="153"/>
      <c r="Z307" s="153"/>
      <c r="AA307" s="153"/>
      <c r="AB307" s="153"/>
      <c r="AC307" s="153"/>
      <c r="AD307" s="153"/>
      <c r="AE307" s="153"/>
      <c r="AF307" s="153"/>
      <c r="AG307" s="153"/>
      <c r="AH307" s="153"/>
      <c r="AI307" s="153"/>
      <c r="AJ307" s="153"/>
      <c r="AK307"/>
      <c r="AL307"/>
      <c r="AM307"/>
      <c r="AN307"/>
    </row>
    <row r="308" spans="1:40" x14ac:dyDescent="0.35">
      <c r="A308" s="153" t="s">
        <v>350</v>
      </c>
      <c r="B308" s="153" t="s">
        <v>182</v>
      </c>
      <c r="C308" s="153" t="s">
        <v>452</v>
      </c>
      <c r="D308" s="153" t="s">
        <v>35</v>
      </c>
      <c r="E308" s="161">
        <v>1</v>
      </c>
      <c r="F308" s="153">
        <v>0</v>
      </c>
      <c r="G308" s="153">
        <v>0</v>
      </c>
      <c r="H308" s="153">
        <v>0</v>
      </c>
      <c r="I308" s="153">
        <v>0</v>
      </c>
      <c r="J308" s="153">
        <v>0</v>
      </c>
      <c r="K308" s="153">
        <v>0</v>
      </c>
      <c r="L308" s="153">
        <v>0</v>
      </c>
      <c r="M308" s="153">
        <v>0</v>
      </c>
      <c r="N308" s="153">
        <v>0</v>
      </c>
      <c r="O308" s="153">
        <v>0</v>
      </c>
      <c r="P308" s="153">
        <v>0</v>
      </c>
      <c r="Q308" s="153">
        <v>0</v>
      </c>
      <c r="R308" s="153">
        <v>0</v>
      </c>
      <c r="S308" s="153">
        <v>0</v>
      </c>
      <c r="T308" s="153"/>
      <c r="U308" s="153"/>
      <c r="V308" s="153"/>
      <c r="W308" s="153"/>
      <c r="X308" s="153"/>
      <c r="Y308" s="153"/>
      <c r="Z308" s="153"/>
      <c r="AA308" s="153"/>
      <c r="AB308" s="153"/>
      <c r="AC308" s="153"/>
      <c r="AD308" s="153"/>
      <c r="AE308" s="153"/>
      <c r="AF308" s="153"/>
      <c r="AG308" s="153"/>
      <c r="AH308" s="153"/>
      <c r="AI308" s="153"/>
      <c r="AJ308" s="153"/>
      <c r="AK308"/>
      <c r="AL308"/>
      <c r="AM308"/>
      <c r="AN308"/>
    </row>
    <row r="309" spans="1:40" x14ac:dyDescent="0.35">
      <c r="A309" s="153"/>
      <c r="B309" s="153"/>
      <c r="C309" s="153"/>
      <c r="D309" s="153"/>
      <c r="E309" s="161"/>
      <c r="F309" s="153">
        <v>0</v>
      </c>
      <c r="G309" s="153"/>
      <c r="H309" s="153"/>
      <c r="I309" s="153"/>
      <c r="J309" s="153"/>
      <c r="K309" s="153"/>
      <c r="L309" s="153"/>
      <c r="M309" s="153"/>
      <c r="N309" s="153"/>
      <c r="O309" s="153"/>
      <c r="P309" s="153"/>
      <c r="Q309" s="153"/>
      <c r="R309" s="153"/>
      <c r="S309" s="153"/>
      <c r="T309" s="153"/>
      <c r="U309" s="153"/>
      <c r="V309" s="153"/>
      <c r="W309" s="153"/>
      <c r="X309" s="153"/>
      <c r="Y309" s="153"/>
      <c r="Z309" s="153"/>
      <c r="AA309" s="153"/>
      <c r="AB309" s="153"/>
      <c r="AC309" s="153"/>
      <c r="AD309" s="153"/>
      <c r="AE309" s="153"/>
      <c r="AF309" s="153"/>
      <c r="AG309" s="153"/>
      <c r="AH309" s="153"/>
      <c r="AI309" s="153"/>
      <c r="AJ309" s="153"/>
      <c r="AK309"/>
      <c r="AL309"/>
      <c r="AM309"/>
      <c r="AN309"/>
    </row>
    <row r="310" spans="1:40" x14ac:dyDescent="0.35">
      <c r="A310" s="153" t="s">
        <v>1347</v>
      </c>
      <c r="B310" s="153" t="s">
        <v>179</v>
      </c>
      <c r="C310" s="153" t="s">
        <v>1368</v>
      </c>
      <c r="D310" s="153" t="s">
        <v>35</v>
      </c>
      <c r="E310" s="161">
        <v>1</v>
      </c>
      <c r="F310" s="153">
        <v>0</v>
      </c>
      <c r="G310" s="153">
        <v>0</v>
      </c>
      <c r="H310" s="153">
        <v>0</v>
      </c>
      <c r="I310" s="153">
        <v>0</v>
      </c>
      <c r="J310" s="153">
        <v>0</v>
      </c>
      <c r="K310" s="153">
        <v>0</v>
      </c>
      <c r="L310" s="153">
        <v>0</v>
      </c>
      <c r="M310" s="153">
        <v>0</v>
      </c>
      <c r="N310" s="153">
        <v>0</v>
      </c>
      <c r="O310" s="153">
        <v>0</v>
      </c>
      <c r="P310" s="153">
        <v>0</v>
      </c>
      <c r="Q310" s="153">
        <v>0</v>
      </c>
      <c r="R310" s="153">
        <v>0</v>
      </c>
      <c r="S310" s="153">
        <v>0</v>
      </c>
      <c r="T310" s="153"/>
      <c r="U310" s="153"/>
      <c r="V310" s="153"/>
      <c r="W310" s="153"/>
      <c r="X310" s="153"/>
      <c r="Y310" s="153"/>
      <c r="Z310" s="153"/>
      <c r="AA310" s="153"/>
      <c r="AB310" s="153"/>
      <c r="AC310" s="153"/>
      <c r="AD310" s="153"/>
      <c r="AE310" s="153"/>
      <c r="AF310" s="153"/>
      <c r="AG310" s="153"/>
      <c r="AH310" s="153"/>
      <c r="AI310" s="153"/>
      <c r="AJ310" s="153"/>
      <c r="AK310"/>
      <c r="AL310"/>
      <c r="AM310"/>
      <c r="AN310"/>
    </row>
    <row r="311" spans="1:40" x14ac:dyDescent="0.35">
      <c r="A311" s="153" t="s">
        <v>1347</v>
      </c>
      <c r="B311" s="153" t="s">
        <v>180</v>
      </c>
      <c r="C311" s="153" t="s">
        <v>1369</v>
      </c>
      <c r="D311" s="153" t="s">
        <v>35</v>
      </c>
      <c r="E311" s="161">
        <v>1</v>
      </c>
      <c r="F311" s="153">
        <v>0</v>
      </c>
      <c r="G311" s="153">
        <v>0</v>
      </c>
      <c r="H311" s="153">
        <v>0</v>
      </c>
      <c r="I311" s="153">
        <v>0</v>
      </c>
      <c r="J311" s="153">
        <v>0</v>
      </c>
      <c r="K311" s="153">
        <v>13</v>
      </c>
      <c r="L311" s="153">
        <v>0</v>
      </c>
      <c r="M311" s="153">
        <v>0</v>
      </c>
      <c r="N311" s="153">
        <v>0</v>
      </c>
      <c r="O311" s="153">
        <v>0</v>
      </c>
      <c r="P311" s="153">
        <v>0</v>
      </c>
      <c r="Q311" s="153">
        <v>0</v>
      </c>
      <c r="R311" s="153">
        <v>0</v>
      </c>
      <c r="S311" s="153">
        <v>0</v>
      </c>
      <c r="T311" s="153"/>
      <c r="U311" s="153"/>
      <c r="V311" s="153"/>
      <c r="W311" s="153"/>
      <c r="X311" s="153"/>
      <c r="Y311" s="153"/>
      <c r="Z311" s="153"/>
      <c r="AA311" s="153"/>
      <c r="AB311" s="153"/>
      <c r="AC311" s="153"/>
      <c r="AD311" s="153"/>
      <c r="AE311" s="153"/>
      <c r="AF311" s="153"/>
      <c r="AG311" s="153"/>
      <c r="AH311" s="153"/>
      <c r="AI311" s="153"/>
      <c r="AJ311" s="153"/>
      <c r="AK311"/>
      <c r="AL311"/>
      <c r="AM311"/>
      <c r="AN311"/>
    </row>
    <row r="312" spans="1:40" x14ac:dyDescent="0.35">
      <c r="A312" s="153" t="s">
        <v>1347</v>
      </c>
      <c r="B312" s="153" t="s">
        <v>181</v>
      </c>
      <c r="C312" s="153" t="s">
        <v>1370</v>
      </c>
      <c r="D312" s="153" t="s">
        <v>35</v>
      </c>
      <c r="E312" s="161">
        <v>1</v>
      </c>
      <c r="F312" s="153">
        <v>0</v>
      </c>
      <c r="G312" s="153">
        <v>0</v>
      </c>
      <c r="H312" s="153">
        <v>0</v>
      </c>
      <c r="I312" s="153">
        <v>0</v>
      </c>
      <c r="J312" s="153">
        <v>0</v>
      </c>
      <c r="K312" s="153">
        <v>0</v>
      </c>
      <c r="L312" s="153">
        <v>0</v>
      </c>
      <c r="M312" s="153">
        <v>0</v>
      </c>
      <c r="N312" s="153">
        <v>0</v>
      </c>
      <c r="O312" s="153">
        <v>0</v>
      </c>
      <c r="P312" s="153">
        <v>0</v>
      </c>
      <c r="Q312" s="153">
        <v>0</v>
      </c>
      <c r="R312" s="153">
        <v>0</v>
      </c>
      <c r="S312" s="153">
        <v>0</v>
      </c>
      <c r="T312" s="153"/>
      <c r="U312" s="153"/>
      <c r="V312" s="153"/>
      <c r="W312" s="153"/>
      <c r="X312" s="153"/>
      <c r="Y312" s="153"/>
      <c r="Z312" s="153"/>
      <c r="AA312" s="153"/>
      <c r="AB312" s="153"/>
      <c r="AC312" s="153"/>
      <c r="AD312" s="153"/>
      <c r="AE312" s="153"/>
      <c r="AF312" s="153"/>
      <c r="AG312" s="153"/>
      <c r="AH312" s="153"/>
      <c r="AI312" s="153"/>
      <c r="AJ312" s="153"/>
      <c r="AK312"/>
      <c r="AL312"/>
      <c r="AM312"/>
      <c r="AN312"/>
    </row>
    <row r="313" spans="1:40" x14ac:dyDescent="0.35">
      <c r="A313" s="153" t="s">
        <v>1347</v>
      </c>
      <c r="B313" s="153" t="s">
        <v>182</v>
      </c>
      <c r="C313" s="153" t="s">
        <v>1371</v>
      </c>
      <c r="D313" s="153" t="s">
        <v>35</v>
      </c>
      <c r="E313" s="161">
        <v>1</v>
      </c>
      <c r="F313" s="153">
        <v>0</v>
      </c>
      <c r="G313" s="153">
        <v>0</v>
      </c>
      <c r="H313" s="153">
        <v>0</v>
      </c>
      <c r="I313" s="153">
        <v>0</v>
      </c>
      <c r="J313" s="153">
        <v>0</v>
      </c>
      <c r="K313" s="153">
        <v>0</v>
      </c>
      <c r="L313" s="153">
        <v>0</v>
      </c>
      <c r="M313" s="153">
        <v>0</v>
      </c>
      <c r="N313" s="153">
        <v>0</v>
      </c>
      <c r="O313" s="153">
        <v>0</v>
      </c>
      <c r="P313" s="153">
        <v>0</v>
      </c>
      <c r="Q313" s="153">
        <v>0</v>
      </c>
      <c r="R313" s="153">
        <v>0</v>
      </c>
      <c r="S313" s="153">
        <v>0</v>
      </c>
      <c r="T313" s="153"/>
      <c r="U313" s="153"/>
      <c r="V313" s="153"/>
      <c r="W313" s="153"/>
      <c r="X313" s="153"/>
      <c r="Y313" s="153"/>
      <c r="Z313" s="153"/>
      <c r="AA313" s="153"/>
      <c r="AB313" s="153"/>
      <c r="AC313" s="153"/>
      <c r="AD313" s="153"/>
      <c r="AE313" s="153"/>
      <c r="AF313" s="153"/>
      <c r="AG313" s="153"/>
      <c r="AH313" s="153"/>
      <c r="AI313" s="153"/>
      <c r="AJ313" s="153"/>
      <c r="AK313"/>
      <c r="AL313"/>
      <c r="AM313"/>
      <c r="AN313"/>
    </row>
    <row r="314" spans="1:40" x14ac:dyDescent="0.35">
      <c r="A314" s="153"/>
      <c r="B314" s="153"/>
      <c r="C314" s="153"/>
      <c r="D314" s="153"/>
      <c r="E314" s="161"/>
      <c r="F314" s="153">
        <v>0</v>
      </c>
      <c r="G314" s="153"/>
      <c r="H314" s="153"/>
      <c r="I314" s="153"/>
      <c r="J314" s="153"/>
      <c r="K314" s="153"/>
      <c r="L314" s="153"/>
      <c r="M314" s="153"/>
      <c r="N314" s="153"/>
      <c r="O314" s="153"/>
      <c r="P314" s="153"/>
      <c r="Q314" s="153"/>
      <c r="R314" s="153"/>
      <c r="S314" s="153"/>
      <c r="T314" s="153"/>
      <c r="U314" s="153"/>
      <c r="V314" s="153"/>
      <c r="W314" s="153"/>
      <c r="X314" s="153"/>
      <c r="Y314" s="153"/>
      <c r="Z314" s="153"/>
      <c r="AA314" s="153"/>
      <c r="AB314" s="153"/>
      <c r="AC314" s="153"/>
      <c r="AD314" s="153"/>
      <c r="AE314" s="153"/>
      <c r="AF314" s="153"/>
      <c r="AG314" s="153"/>
      <c r="AH314" s="153"/>
      <c r="AI314" s="153"/>
      <c r="AJ314" s="153"/>
      <c r="AK314"/>
      <c r="AL314"/>
      <c r="AM314"/>
      <c r="AN314"/>
    </row>
    <row r="315" spans="1:40" s="129" customFormat="1" x14ac:dyDescent="0.35">
      <c r="A315" s="153" t="s">
        <v>1340</v>
      </c>
      <c r="B315" s="153" t="s">
        <v>179</v>
      </c>
      <c r="C315" s="153" t="s">
        <v>1448</v>
      </c>
      <c r="D315" s="153" t="s">
        <v>67</v>
      </c>
      <c r="E315" s="161">
        <v>1</v>
      </c>
      <c r="F315" s="153">
        <v>0</v>
      </c>
      <c r="G315" s="153">
        <v>0</v>
      </c>
      <c r="H315" s="153">
        <v>0</v>
      </c>
      <c r="I315" s="153">
        <v>0</v>
      </c>
      <c r="J315" s="153">
        <v>0</v>
      </c>
      <c r="K315" s="153">
        <v>0</v>
      </c>
      <c r="L315" s="153">
        <v>0</v>
      </c>
      <c r="M315" s="153">
        <v>0</v>
      </c>
      <c r="N315" s="153">
        <v>0</v>
      </c>
      <c r="O315" s="153">
        <v>0</v>
      </c>
      <c r="P315" s="153">
        <v>0</v>
      </c>
      <c r="Q315" s="153">
        <v>0</v>
      </c>
      <c r="R315" s="153">
        <v>0</v>
      </c>
      <c r="S315" s="153">
        <v>0</v>
      </c>
      <c r="T315" s="153"/>
      <c r="U315" s="153"/>
      <c r="V315" s="153"/>
      <c r="W315" s="153"/>
      <c r="X315" s="153"/>
      <c r="Y315" s="153"/>
      <c r="Z315" s="153"/>
      <c r="AA315" s="153"/>
      <c r="AB315" s="153"/>
      <c r="AC315" s="153"/>
      <c r="AD315" s="153"/>
      <c r="AE315" s="153"/>
      <c r="AF315" s="153"/>
      <c r="AG315" s="153"/>
      <c r="AH315" s="153"/>
      <c r="AI315" s="153"/>
      <c r="AJ315" s="153"/>
      <c r="AK315"/>
      <c r="AL315"/>
      <c r="AM315"/>
      <c r="AN315"/>
    </row>
    <row r="316" spans="1:40" x14ac:dyDescent="0.35">
      <c r="A316" s="153" t="s">
        <v>1340</v>
      </c>
      <c r="B316" s="153" t="s">
        <v>180</v>
      </c>
      <c r="C316" s="153" t="s">
        <v>1430</v>
      </c>
      <c r="D316" s="153" t="s">
        <v>67</v>
      </c>
      <c r="E316" s="161">
        <v>1</v>
      </c>
      <c r="F316" s="153">
        <v>0</v>
      </c>
      <c r="G316" s="153">
        <v>0</v>
      </c>
      <c r="H316" s="153">
        <v>0</v>
      </c>
      <c r="I316" s="153">
        <v>0</v>
      </c>
      <c r="J316" s="153">
        <v>0</v>
      </c>
      <c r="K316" s="153">
        <v>0</v>
      </c>
      <c r="L316" s="153">
        <v>0</v>
      </c>
      <c r="M316" s="153">
        <v>0</v>
      </c>
      <c r="N316" s="153">
        <v>0</v>
      </c>
      <c r="O316" s="153">
        <v>0</v>
      </c>
      <c r="P316" s="153">
        <v>0</v>
      </c>
      <c r="Q316" s="153">
        <v>0</v>
      </c>
      <c r="R316" s="153">
        <v>0</v>
      </c>
      <c r="S316" s="153">
        <v>0</v>
      </c>
      <c r="T316" s="153"/>
      <c r="U316" s="153"/>
      <c r="V316" s="153"/>
      <c r="W316" s="153"/>
      <c r="X316" s="153"/>
      <c r="Y316" s="153"/>
      <c r="Z316" s="153"/>
      <c r="AA316" s="153"/>
      <c r="AB316" s="153"/>
      <c r="AC316" s="153"/>
      <c r="AD316" s="153"/>
      <c r="AE316" s="153"/>
      <c r="AF316" s="153"/>
      <c r="AG316" s="153"/>
      <c r="AH316" s="153"/>
      <c r="AI316" s="153"/>
      <c r="AJ316" s="153"/>
      <c r="AK316"/>
      <c r="AL316"/>
      <c r="AM316"/>
      <c r="AN316"/>
    </row>
    <row r="317" spans="1:40" x14ac:dyDescent="0.35">
      <c r="A317" s="153" t="s">
        <v>1340</v>
      </c>
      <c r="B317" s="153" t="s">
        <v>181</v>
      </c>
      <c r="C317" s="153" t="s">
        <v>1449</v>
      </c>
      <c r="D317" s="153" t="s">
        <v>67</v>
      </c>
      <c r="E317" s="161">
        <v>1</v>
      </c>
      <c r="F317" s="153">
        <v>0</v>
      </c>
      <c r="G317" s="153">
        <v>0</v>
      </c>
      <c r="H317" s="153">
        <v>0</v>
      </c>
      <c r="I317" s="153">
        <v>0</v>
      </c>
      <c r="J317" s="153">
        <v>0</v>
      </c>
      <c r="K317" s="153">
        <v>0</v>
      </c>
      <c r="L317" s="153">
        <v>0</v>
      </c>
      <c r="M317" s="153">
        <v>0</v>
      </c>
      <c r="N317" s="153">
        <v>0</v>
      </c>
      <c r="O317" s="153">
        <v>0</v>
      </c>
      <c r="P317" s="153">
        <v>0</v>
      </c>
      <c r="Q317" s="153">
        <v>0</v>
      </c>
      <c r="R317" s="153">
        <v>0</v>
      </c>
      <c r="S317" s="153">
        <v>0</v>
      </c>
      <c r="T317" s="153"/>
      <c r="U317" s="153"/>
      <c r="V317" s="153"/>
      <c r="W317" s="153"/>
      <c r="X317" s="153"/>
      <c r="Y317" s="153"/>
      <c r="Z317" s="153"/>
      <c r="AA317" s="153"/>
      <c r="AB317" s="153"/>
      <c r="AC317" s="153"/>
      <c r="AD317" s="153"/>
      <c r="AE317" s="153"/>
      <c r="AF317" s="153"/>
      <c r="AG317" s="153"/>
      <c r="AH317" s="153"/>
      <c r="AI317" s="153"/>
      <c r="AJ317" s="153"/>
      <c r="AK317"/>
      <c r="AL317"/>
      <c r="AM317"/>
      <c r="AN317"/>
    </row>
    <row r="318" spans="1:40" x14ac:dyDescent="0.35">
      <c r="A318" s="153" t="s">
        <v>1340</v>
      </c>
      <c r="B318" s="153" t="s">
        <v>182</v>
      </c>
      <c r="C318" s="153" t="s">
        <v>1450</v>
      </c>
      <c r="D318" s="153" t="s">
        <v>67</v>
      </c>
      <c r="E318" s="161">
        <v>1</v>
      </c>
      <c r="F318" s="153">
        <v>0</v>
      </c>
      <c r="G318" s="153">
        <v>0</v>
      </c>
      <c r="H318" s="153">
        <v>0</v>
      </c>
      <c r="I318" s="153">
        <v>0</v>
      </c>
      <c r="J318" s="153">
        <v>0</v>
      </c>
      <c r="K318" s="153">
        <v>0</v>
      </c>
      <c r="L318" s="153">
        <v>0</v>
      </c>
      <c r="M318" s="153">
        <v>0</v>
      </c>
      <c r="N318" s="153">
        <v>0</v>
      </c>
      <c r="O318" s="153">
        <v>0</v>
      </c>
      <c r="P318" s="153">
        <v>0</v>
      </c>
      <c r="Q318" s="153">
        <v>0</v>
      </c>
      <c r="R318" s="153">
        <v>0</v>
      </c>
      <c r="S318" s="153">
        <v>0</v>
      </c>
      <c r="T318" s="153"/>
      <c r="U318" s="153"/>
      <c r="V318" s="153"/>
      <c r="W318" s="153"/>
      <c r="X318" s="153"/>
      <c r="Y318" s="153"/>
      <c r="Z318" s="153"/>
      <c r="AA318" s="153"/>
      <c r="AB318" s="153"/>
      <c r="AC318" s="153"/>
      <c r="AD318" s="153"/>
      <c r="AE318" s="153"/>
      <c r="AF318" s="153"/>
      <c r="AG318" s="153"/>
      <c r="AH318" s="153"/>
      <c r="AI318" s="153"/>
      <c r="AJ318" s="153"/>
      <c r="AK318"/>
      <c r="AL318"/>
      <c r="AM318"/>
      <c r="AN318"/>
    </row>
    <row r="319" spans="1:40" x14ac:dyDescent="0.35">
      <c r="A319" s="153"/>
      <c r="B319" s="153"/>
      <c r="C319" s="153"/>
      <c r="D319" s="153"/>
      <c r="E319" s="161"/>
      <c r="F319" s="153">
        <v>0</v>
      </c>
      <c r="G319" s="153"/>
      <c r="H319" s="153"/>
      <c r="I319" s="153"/>
      <c r="J319" s="153"/>
      <c r="K319" s="153"/>
      <c r="L319" s="153"/>
      <c r="M319" s="153"/>
      <c r="N319" s="153"/>
      <c r="O319" s="153"/>
      <c r="P319" s="153"/>
      <c r="Q319" s="153"/>
      <c r="R319" s="153"/>
      <c r="S319" s="153"/>
      <c r="T319" s="153"/>
      <c r="U319" s="153"/>
      <c r="V319" s="153"/>
      <c r="W319" s="153"/>
      <c r="X319" s="153"/>
      <c r="Y319" s="153"/>
      <c r="Z319" s="153"/>
      <c r="AA319" s="153"/>
      <c r="AB319" s="153"/>
      <c r="AC319" s="153"/>
      <c r="AD319" s="153"/>
      <c r="AE319" s="153"/>
      <c r="AF319" s="153"/>
      <c r="AG319" s="153"/>
      <c r="AH319" s="153"/>
      <c r="AI319" s="153"/>
      <c r="AJ319" s="153"/>
      <c r="AK319"/>
      <c r="AL319"/>
      <c r="AM319"/>
      <c r="AN319"/>
    </row>
    <row r="320" spans="1:40" x14ac:dyDescent="0.35">
      <c r="A320" s="153" t="s">
        <v>505</v>
      </c>
      <c r="B320" s="153" t="s">
        <v>179</v>
      </c>
      <c r="C320" s="153" t="s">
        <v>1136</v>
      </c>
      <c r="D320" s="153" t="s">
        <v>67</v>
      </c>
      <c r="E320" s="161">
        <v>1</v>
      </c>
      <c r="F320" s="153">
        <v>0</v>
      </c>
      <c r="G320" s="153">
        <v>0</v>
      </c>
      <c r="H320" s="153">
        <v>0</v>
      </c>
      <c r="I320" s="153">
        <v>0</v>
      </c>
      <c r="J320" s="153">
        <v>0</v>
      </c>
      <c r="K320" s="153">
        <v>0</v>
      </c>
      <c r="L320" s="153">
        <v>0</v>
      </c>
      <c r="M320" s="153">
        <v>0</v>
      </c>
      <c r="N320" s="153">
        <v>0</v>
      </c>
      <c r="O320" s="153">
        <v>0</v>
      </c>
      <c r="P320" s="153">
        <v>0</v>
      </c>
      <c r="Q320" s="153">
        <v>0</v>
      </c>
      <c r="R320" s="153">
        <v>0</v>
      </c>
      <c r="S320" s="153">
        <v>0</v>
      </c>
      <c r="T320" s="153"/>
      <c r="U320" s="153"/>
      <c r="V320" s="153"/>
      <c r="W320" s="153"/>
      <c r="X320" s="153"/>
      <c r="Y320" s="153"/>
      <c r="Z320" s="153"/>
      <c r="AA320" s="153"/>
      <c r="AB320" s="153"/>
      <c r="AC320" s="153"/>
      <c r="AD320" s="153"/>
      <c r="AE320" s="153"/>
      <c r="AF320" s="153"/>
      <c r="AG320" s="153"/>
      <c r="AH320" s="153"/>
      <c r="AI320" s="153"/>
      <c r="AJ320" s="153"/>
      <c r="AK320"/>
      <c r="AL320"/>
      <c r="AM320"/>
      <c r="AN320"/>
    </row>
    <row r="321" spans="1:40" x14ac:dyDescent="0.35">
      <c r="A321" s="153" t="s">
        <v>505</v>
      </c>
      <c r="B321" s="153" t="s">
        <v>180</v>
      </c>
      <c r="C321" s="153" t="s">
        <v>1137</v>
      </c>
      <c r="D321" s="153" t="s">
        <v>67</v>
      </c>
      <c r="E321" s="161">
        <v>1</v>
      </c>
      <c r="F321" s="153">
        <v>0</v>
      </c>
      <c r="G321" s="153">
        <v>0</v>
      </c>
      <c r="H321" s="153">
        <v>0</v>
      </c>
      <c r="I321" s="153">
        <v>0</v>
      </c>
      <c r="J321" s="153">
        <v>0</v>
      </c>
      <c r="K321" s="153">
        <v>0</v>
      </c>
      <c r="L321" s="153">
        <v>0</v>
      </c>
      <c r="M321" s="153">
        <v>0</v>
      </c>
      <c r="N321" s="153">
        <v>0</v>
      </c>
      <c r="O321" s="153">
        <v>0</v>
      </c>
      <c r="P321" s="153">
        <v>0</v>
      </c>
      <c r="Q321" s="153">
        <v>0</v>
      </c>
      <c r="R321" s="153">
        <v>0</v>
      </c>
      <c r="S321" s="153">
        <v>0</v>
      </c>
      <c r="T321" s="153"/>
      <c r="U321" s="153"/>
      <c r="V321" s="153"/>
      <c r="W321" s="153"/>
      <c r="X321" s="153"/>
      <c r="Y321" s="153"/>
      <c r="Z321" s="153"/>
      <c r="AA321" s="153"/>
      <c r="AB321" s="153"/>
      <c r="AC321" s="153"/>
      <c r="AD321" s="153"/>
      <c r="AE321" s="153"/>
      <c r="AF321" s="153"/>
      <c r="AG321" s="153"/>
      <c r="AH321" s="153"/>
      <c r="AI321" s="153"/>
      <c r="AJ321" s="153"/>
      <c r="AK321"/>
      <c r="AL321"/>
      <c r="AM321"/>
      <c r="AN321"/>
    </row>
    <row r="322" spans="1:40" x14ac:dyDescent="0.35">
      <c r="A322" s="153" t="s">
        <v>505</v>
      </c>
      <c r="B322" s="153" t="s">
        <v>181</v>
      </c>
      <c r="C322" s="153" t="s">
        <v>1138</v>
      </c>
      <c r="D322" s="153" t="s">
        <v>67</v>
      </c>
      <c r="E322" s="161">
        <v>1</v>
      </c>
      <c r="F322" s="153">
        <v>0</v>
      </c>
      <c r="G322" s="153">
        <v>0</v>
      </c>
      <c r="H322" s="153">
        <v>0</v>
      </c>
      <c r="I322" s="153">
        <v>0</v>
      </c>
      <c r="J322" s="153">
        <v>0</v>
      </c>
      <c r="K322" s="153">
        <v>0</v>
      </c>
      <c r="L322" s="153">
        <v>0</v>
      </c>
      <c r="M322" s="153">
        <v>0</v>
      </c>
      <c r="N322" s="153">
        <v>0</v>
      </c>
      <c r="O322" s="153">
        <v>0</v>
      </c>
      <c r="P322" s="153">
        <v>0</v>
      </c>
      <c r="Q322" s="153">
        <v>0</v>
      </c>
      <c r="R322" s="153">
        <v>0</v>
      </c>
      <c r="S322" s="153">
        <v>0</v>
      </c>
      <c r="T322" s="153"/>
      <c r="U322" s="153"/>
      <c r="V322" s="153"/>
      <c r="W322" s="153"/>
      <c r="X322" s="153"/>
      <c r="Y322" s="153"/>
      <c r="Z322" s="153"/>
      <c r="AA322" s="153"/>
      <c r="AB322" s="153"/>
      <c r="AC322" s="153"/>
      <c r="AD322" s="153"/>
      <c r="AE322" s="153"/>
      <c r="AF322" s="153"/>
      <c r="AG322" s="153"/>
      <c r="AH322" s="153"/>
      <c r="AI322" s="153"/>
      <c r="AJ322" s="153"/>
      <c r="AK322"/>
      <c r="AL322"/>
      <c r="AM322"/>
      <c r="AN322"/>
    </row>
    <row r="323" spans="1:40" x14ac:dyDescent="0.35">
      <c r="A323" s="153" t="s">
        <v>505</v>
      </c>
      <c r="B323" s="153" t="s">
        <v>182</v>
      </c>
      <c r="C323" s="153" t="s">
        <v>1139</v>
      </c>
      <c r="D323" s="153" t="s">
        <v>67</v>
      </c>
      <c r="E323" s="161">
        <v>1</v>
      </c>
      <c r="F323" s="153">
        <v>0</v>
      </c>
      <c r="G323" s="153">
        <v>0</v>
      </c>
      <c r="H323" s="153">
        <v>0</v>
      </c>
      <c r="I323" s="153">
        <v>0</v>
      </c>
      <c r="J323" s="153">
        <v>0</v>
      </c>
      <c r="K323" s="153">
        <v>0</v>
      </c>
      <c r="L323" s="153">
        <v>0</v>
      </c>
      <c r="M323" s="153">
        <v>0</v>
      </c>
      <c r="N323" s="153">
        <v>0</v>
      </c>
      <c r="O323" s="153">
        <v>0</v>
      </c>
      <c r="P323" s="153">
        <v>0</v>
      </c>
      <c r="Q323" s="153">
        <v>0</v>
      </c>
      <c r="R323" s="153">
        <v>0</v>
      </c>
      <c r="S323" s="153">
        <v>0</v>
      </c>
      <c r="T323" s="153"/>
      <c r="U323" s="153"/>
      <c r="V323" s="153"/>
      <c r="W323" s="153"/>
      <c r="X323" s="153"/>
      <c r="Y323" s="153"/>
      <c r="Z323" s="153"/>
      <c r="AA323" s="153"/>
      <c r="AB323" s="153"/>
      <c r="AC323" s="153"/>
      <c r="AD323" s="153"/>
      <c r="AE323" s="153"/>
      <c r="AF323" s="153"/>
      <c r="AG323" s="153"/>
      <c r="AH323" s="153"/>
      <c r="AI323" s="153"/>
      <c r="AJ323" s="153"/>
      <c r="AK323"/>
      <c r="AL323"/>
      <c r="AM323"/>
      <c r="AN323"/>
    </row>
    <row r="324" spans="1:40" x14ac:dyDescent="0.35">
      <c r="A324" s="153"/>
      <c r="B324" s="153"/>
      <c r="C324" s="153"/>
      <c r="D324" s="153"/>
      <c r="E324" s="161"/>
      <c r="F324" s="153">
        <v>0</v>
      </c>
      <c r="G324" s="153"/>
      <c r="H324" s="153"/>
      <c r="I324" s="153"/>
      <c r="J324" s="153"/>
      <c r="K324" s="153"/>
      <c r="L324" s="153"/>
      <c r="M324" s="153"/>
      <c r="N324" s="153"/>
      <c r="O324" s="153"/>
      <c r="P324" s="153"/>
      <c r="Q324" s="153"/>
      <c r="R324" s="153"/>
      <c r="S324" s="153"/>
      <c r="T324" s="153"/>
      <c r="U324" s="153"/>
      <c r="V324" s="153"/>
      <c r="W324" s="153"/>
      <c r="X324" s="153"/>
      <c r="Y324" s="153"/>
      <c r="Z324" s="153"/>
      <c r="AA324" s="153"/>
      <c r="AB324" s="153"/>
      <c r="AC324" s="153"/>
      <c r="AD324" s="153"/>
      <c r="AE324" s="153"/>
      <c r="AF324" s="153"/>
      <c r="AG324" s="153"/>
      <c r="AH324" s="153"/>
      <c r="AI324" s="153"/>
      <c r="AJ324" s="153"/>
      <c r="AK324"/>
      <c r="AL324"/>
      <c r="AM324"/>
      <c r="AN324"/>
    </row>
    <row r="325" spans="1:40" x14ac:dyDescent="0.35">
      <c r="A325" s="153" t="s">
        <v>351</v>
      </c>
      <c r="B325" s="153" t="s">
        <v>179</v>
      </c>
      <c r="C325" s="153" t="s">
        <v>453</v>
      </c>
      <c r="D325" s="153" t="s">
        <v>35</v>
      </c>
      <c r="E325" s="161">
        <v>1</v>
      </c>
      <c r="F325" s="153">
        <v>0</v>
      </c>
      <c r="G325" s="153">
        <v>0</v>
      </c>
      <c r="H325" s="153">
        <v>0</v>
      </c>
      <c r="I325" s="153">
        <v>0</v>
      </c>
      <c r="J325" s="153">
        <v>0</v>
      </c>
      <c r="K325" s="153">
        <v>0</v>
      </c>
      <c r="L325" s="153">
        <v>0</v>
      </c>
      <c r="M325" s="153">
        <v>0</v>
      </c>
      <c r="N325" s="153">
        <v>0</v>
      </c>
      <c r="O325" s="153">
        <v>0</v>
      </c>
      <c r="P325" s="153">
        <v>0</v>
      </c>
      <c r="Q325" s="153">
        <v>0</v>
      </c>
      <c r="R325" s="153">
        <v>0</v>
      </c>
      <c r="S325" s="153">
        <v>0</v>
      </c>
      <c r="T325" s="153"/>
      <c r="U325" s="153"/>
      <c r="V325" s="153"/>
      <c r="W325" s="153"/>
      <c r="X325" s="153"/>
      <c r="Y325" s="153"/>
      <c r="Z325" s="153"/>
      <c r="AA325" s="153"/>
      <c r="AB325" s="153"/>
      <c r="AC325" s="153"/>
      <c r="AD325" s="153"/>
      <c r="AE325" s="153"/>
      <c r="AF325" s="153"/>
      <c r="AG325" s="153"/>
      <c r="AH325" s="153"/>
      <c r="AI325" s="153"/>
      <c r="AJ325" s="153"/>
      <c r="AK325"/>
      <c r="AL325"/>
      <c r="AM325"/>
      <c r="AN325"/>
    </row>
    <row r="326" spans="1:40" x14ac:dyDescent="0.35">
      <c r="A326" s="153" t="s">
        <v>351</v>
      </c>
      <c r="B326" s="153" t="s">
        <v>180</v>
      </c>
      <c r="C326" s="153" t="s">
        <v>454</v>
      </c>
      <c r="D326" s="153" t="s">
        <v>35</v>
      </c>
      <c r="E326" s="161">
        <v>1</v>
      </c>
      <c r="F326" s="153">
        <v>0</v>
      </c>
      <c r="G326" s="153">
        <v>0</v>
      </c>
      <c r="H326" s="153">
        <v>0</v>
      </c>
      <c r="I326" s="153">
        <v>0</v>
      </c>
      <c r="J326" s="153">
        <v>0</v>
      </c>
      <c r="K326" s="153">
        <v>0</v>
      </c>
      <c r="L326" s="153">
        <v>0</v>
      </c>
      <c r="M326" s="153">
        <v>0</v>
      </c>
      <c r="N326" s="153">
        <v>0</v>
      </c>
      <c r="O326" s="153">
        <v>0</v>
      </c>
      <c r="P326" s="153">
        <v>0</v>
      </c>
      <c r="Q326" s="153">
        <v>0</v>
      </c>
      <c r="R326" s="153">
        <v>0</v>
      </c>
      <c r="S326" s="153">
        <v>0</v>
      </c>
      <c r="T326" s="153"/>
      <c r="U326" s="153"/>
      <c r="V326" s="153"/>
      <c r="W326" s="153"/>
      <c r="X326" s="153"/>
      <c r="Y326" s="153"/>
      <c r="Z326" s="153"/>
      <c r="AA326" s="153"/>
      <c r="AB326" s="153"/>
      <c r="AC326" s="153"/>
      <c r="AD326" s="153"/>
      <c r="AE326" s="153"/>
      <c r="AF326" s="153"/>
      <c r="AG326" s="153"/>
      <c r="AH326" s="153"/>
      <c r="AI326" s="153"/>
      <c r="AJ326" s="153"/>
      <c r="AK326"/>
      <c r="AL326"/>
      <c r="AM326"/>
      <c r="AN326"/>
    </row>
    <row r="327" spans="1:40" s="129" customFormat="1" x14ac:dyDescent="0.35">
      <c r="A327" s="153" t="s">
        <v>351</v>
      </c>
      <c r="B327" s="153" t="s">
        <v>181</v>
      </c>
      <c r="C327" s="153" t="s">
        <v>455</v>
      </c>
      <c r="D327" s="153" t="s">
        <v>35</v>
      </c>
      <c r="E327" s="161">
        <v>1</v>
      </c>
      <c r="F327" s="153">
        <v>0</v>
      </c>
      <c r="G327" s="153">
        <v>0</v>
      </c>
      <c r="H327" s="153">
        <v>0</v>
      </c>
      <c r="I327" s="153">
        <v>0</v>
      </c>
      <c r="J327" s="153">
        <v>0</v>
      </c>
      <c r="K327" s="153">
        <v>0</v>
      </c>
      <c r="L327" s="153">
        <v>0</v>
      </c>
      <c r="M327" s="153">
        <v>0</v>
      </c>
      <c r="N327" s="153">
        <v>0</v>
      </c>
      <c r="O327" s="153">
        <v>0</v>
      </c>
      <c r="P327" s="153">
        <v>0</v>
      </c>
      <c r="Q327" s="153">
        <v>0</v>
      </c>
      <c r="R327" s="153">
        <v>0</v>
      </c>
      <c r="S327" s="153">
        <v>0</v>
      </c>
      <c r="T327" s="153"/>
      <c r="U327" s="153"/>
      <c r="V327" s="153"/>
      <c r="W327" s="153"/>
      <c r="X327" s="153"/>
      <c r="Y327" s="153"/>
      <c r="Z327" s="153"/>
      <c r="AA327" s="153"/>
      <c r="AB327" s="153"/>
      <c r="AC327" s="153"/>
      <c r="AD327" s="153"/>
      <c r="AE327" s="153"/>
      <c r="AF327" s="153"/>
      <c r="AG327" s="153"/>
      <c r="AH327" s="153"/>
      <c r="AI327" s="153"/>
      <c r="AJ327" s="153"/>
      <c r="AK327"/>
      <c r="AL327"/>
      <c r="AM327"/>
      <c r="AN327"/>
    </row>
    <row r="328" spans="1:40" x14ac:dyDescent="0.35">
      <c r="A328" s="153" t="s">
        <v>351</v>
      </c>
      <c r="B328" s="153" t="s">
        <v>182</v>
      </c>
      <c r="C328" s="153" t="s">
        <v>456</v>
      </c>
      <c r="D328" s="153" t="s">
        <v>35</v>
      </c>
      <c r="E328" s="161">
        <v>1</v>
      </c>
      <c r="F328" s="153">
        <v>0</v>
      </c>
      <c r="G328" s="153">
        <v>0</v>
      </c>
      <c r="H328" s="153">
        <v>0</v>
      </c>
      <c r="I328" s="153">
        <v>0</v>
      </c>
      <c r="J328" s="153">
        <v>0</v>
      </c>
      <c r="K328" s="153">
        <v>0</v>
      </c>
      <c r="L328" s="153">
        <v>0</v>
      </c>
      <c r="M328" s="153">
        <v>0</v>
      </c>
      <c r="N328" s="153">
        <v>0</v>
      </c>
      <c r="O328" s="153">
        <v>0</v>
      </c>
      <c r="P328" s="153">
        <v>0</v>
      </c>
      <c r="Q328" s="153">
        <v>0</v>
      </c>
      <c r="R328" s="153">
        <v>0</v>
      </c>
      <c r="S328" s="153">
        <v>0</v>
      </c>
      <c r="T328" s="153"/>
      <c r="U328" s="153"/>
      <c r="V328" s="153"/>
      <c r="W328" s="153"/>
      <c r="X328" s="153"/>
      <c r="Y328" s="153"/>
      <c r="Z328" s="153"/>
      <c r="AA328" s="153"/>
      <c r="AB328" s="153"/>
      <c r="AC328" s="153"/>
      <c r="AD328" s="153"/>
      <c r="AE328" s="153"/>
      <c r="AF328" s="153"/>
      <c r="AG328" s="153"/>
      <c r="AH328" s="153"/>
      <c r="AI328" s="153"/>
      <c r="AJ328" s="153"/>
      <c r="AK328"/>
      <c r="AL328"/>
      <c r="AM328"/>
      <c r="AN328"/>
    </row>
    <row r="329" spans="1:40" x14ac:dyDescent="0.35">
      <c r="A329" s="153"/>
      <c r="B329" s="153"/>
      <c r="C329" s="153"/>
      <c r="D329" s="153"/>
      <c r="E329" s="161"/>
      <c r="F329" s="153">
        <v>0</v>
      </c>
      <c r="G329" s="153"/>
      <c r="H329" s="153"/>
      <c r="I329" s="153"/>
      <c r="J329" s="153"/>
      <c r="K329" s="153"/>
      <c r="L329" s="153"/>
      <c r="M329" s="153"/>
      <c r="N329" s="153"/>
      <c r="O329" s="153"/>
      <c r="P329" s="153"/>
      <c r="Q329" s="153"/>
      <c r="R329" s="153"/>
      <c r="S329" s="153"/>
      <c r="T329" s="153"/>
      <c r="U329" s="153"/>
      <c r="V329" s="153"/>
      <c r="W329" s="153"/>
      <c r="X329" s="153"/>
      <c r="Y329" s="153"/>
      <c r="Z329" s="153"/>
      <c r="AA329" s="153"/>
      <c r="AB329" s="153"/>
      <c r="AC329" s="153"/>
      <c r="AD329" s="153"/>
      <c r="AE329" s="153"/>
      <c r="AF329" s="153"/>
      <c r="AG329" s="153"/>
      <c r="AH329" s="153"/>
      <c r="AI329" s="153"/>
      <c r="AJ329" s="153"/>
      <c r="AK329"/>
      <c r="AL329"/>
      <c r="AM329"/>
      <c r="AN329"/>
    </row>
    <row r="330" spans="1:40" x14ac:dyDescent="0.35">
      <c r="A330" s="153" t="s">
        <v>512</v>
      </c>
      <c r="B330" s="153" t="s">
        <v>179</v>
      </c>
      <c r="C330" s="153" t="s">
        <v>727</v>
      </c>
      <c r="D330" s="153" t="s">
        <v>150</v>
      </c>
      <c r="E330" s="161">
        <v>1</v>
      </c>
      <c r="F330" s="153">
        <v>0</v>
      </c>
      <c r="G330" s="153">
        <v>0</v>
      </c>
      <c r="H330" s="153">
        <v>0</v>
      </c>
      <c r="I330" s="153">
        <v>0</v>
      </c>
      <c r="J330" s="153">
        <v>0</v>
      </c>
      <c r="K330" s="153">
        <v>0</v>
      </c>
      <c r="L330" s="153">
        <v>0</v>
      </c>
      <c r="M330" s="153">
        <v>0</v>
      </c>
      <c r="N330" s="153">
        <v>0</v>
      </c>
      <c r="O330" s="153">
        <v>0</v>
      </c>
      <c r="P330" s="153">
        <v>0</v>
      </c>
      <c r="Q330" s="153">
        <v>0</v>
      </c>
      <c r="R330" s="153">
        <v>0</v>
      </c>
      <c r="S330" s="153">
        <v>0</v>
      </c>
      <c r="T330" s="153"/>
      <c r="U330" s="153"/>
      <c r="V330" s="153"/>
      <c r="W330" s="153"/>
      <c r="X330" s="153"/>
      <c r="Y330" s="153"/>
      <c r="Z330" s="153"/>
      <c r="AA330" s="153"/>
      <c r="AB330" s="153"/>
      <c r="AC330" s="153"/>
      <c r="AD330" s="153"/>
      <c r="AE330" s="153"/>
      <c r="AF330" s="153"/>
      <c r="AG330" s="153"/>
      <c r="AH330" s="153"/>
      <c r="AI330" s="153"/>
      <c r="AJ330" s="153"/>
      <c r="AK330"/>
      <c r="AL330"/>
      <c r="AM330"/>
      <c r="AN330"/>
    </row>
    <row r="331" spans="1:40" x14ac:dyDescent="0.35">
      <c r="A331" s="153" t="s">
        <v>512</v>
      </c>
      <c r="B331" s="153" t="s">
        <v>180</v>
      </c>
      <c r="C331" s="153" t="s">
        <v>728</v>
      </c>
      <c r="D331" s="153" t="s">
        <v>150</v>
      </c>
      <c r="E331" s="161">
        <v>1</v>
      </c>
      <c r="F331" s="153">
        <v>0</v>
      </c>
      <c r="G331" s="153">
        <v>0</v>
      </c>
      <c r="H331" s="153">
        <v>0</v>
      </c>
      <c r="I331" s="153">
        <v>0</v>
      </c>
      <c r="J331" s="153">
        <v>0</v>
      </c>
      <c r="K331" s="153">
        <v>0</v>
      </c>
      <c r="L331" s="153">
        <v>0</v>
      </c>
      <c r="M331" s="153">
        <v>0</v>
      </c>
      <c r="N331" s="153">
        <v>0</v>
      </c>
      <c r="O331" s="153">
        <v>0</v>
      </c>
      <c r="P331" s="153">
        <v>0</v>
      </c>
      <c r="Q331" s="153">
        <v>0</v>
      </c>
      <c r="R331" s="153">
        <v>0</v>
      </c>
      <c r="S331" s="153">
        <v>0</v>
      </c>
      <c r="T331" s="153"/>
      <c r="U331" s="153"/>
      <c r="V331" s="153"/>
      <c r="W331" s="153"/>
      <c r="X331" s="153"/>
      <c r="Y331" s="153"/>
      <c r="Z331" s="153"/>
      <c r="AA331" s="153"/>
      <c r="AB331" s="153"/>
      <c r="AC331" s="153"/>
      <c r="AD331" s="153"/>
      <c r="AE331" s="153"/>
      <c r="AF331" s="153"/>
      <c r="AG331" s="153"/>
      <c r="AH331" s="153"/>
      <c r="AI331" s="153"/>
      <c r="AJ331" s="153"/>
      <c r="AK331"/>
      <c r="AL331"/>
      <c r="AM331"/>
      <c r="AN331"/>
    </row>
    <row r="332" spans="1:40" x14ac:dyDescent="0.35">
      <c r="A332" s="153" t="s">
        <v>512</v>
      </c>
      <c r="B332" s="153" t="s">
        <v>181</v>
      </c>
      <c r="C332" s="153" t="s">
        <v>729</v>
      </c>
      <c r="D332" s="153" t="s">
        <v>150</v>
      </c>
      <c r="E332" s="161">
        <v>1</v>
      </c>
      <c r="F332" s="153">
        <v>0</v>
      </c>
      <c r="G332" s="153">
        <v>0</v>
      </c>
      <c r="H332" s="153">
        <v>0</v>
      </c>
      <c r="I332" s="153">
        <v>0</v>
      </c>
      <c r="J332" s="153">
        <v>0</v>
      </c>
      <c r="K332" s="153">
        <v>0</v>
      </c>
      <c r="L332" s="153">
        <v>0</v>
      </c>
      <c r="M332" s="153">
        <v>0</v>
      </c>
      <c r="N332" s="153">
        <v>0</v>
      </c>
      <c r="O332" s="153">
        <v>0</v>
      </c>
      <c r="P332" s="153">
        <v>0</v>
      </c>
      <c r="Q332" s="153">
        <v>0</v>
      </c>
      <c r="R332" s="153">
        <v>0</v>
      </c>
      <c r="S332" s="153">
        <v>0</v>
      </c>
      <c r="T332" s="153"/>
      <c r="U332" s="153"/>
      <c r="V332" s="153"/>
      <c r="W332" s="153"/>
      <c r="X332" s="153"/>
      <c r="Y332" s="153"/>
      <c r="Z332" s="153"/>
      <c r="AA332" s="153"/>
      <c r="AB332" s="153"/>
      <c r="AC332" s="153"/>
      <c r="AD332" s="153"/>
      <c r="AE332" s="153"/>
      <c r="AF332" s="153"/>
      <c r="AG332" s="153"/>
      <c r="AH332" s="153"/>
      <c r="AI332" s="153"/>
      <c r="AJ332" s="153"/>
      <c r="AK332"/>
      <c r="AL332"/>
      <c r="AM332"/>
      <c r="AN332"/>
    </row>
    <row r="333" spans="1:40" x14ac:dyDescent="0.35">
      <c r="A333" s="153" t="s">
        <v>512</v>
      </c>
      <c r="B333" s="153" t="s">
        <v>182</v>
      </c>
      <c r="C333" s="153" t="s">
        <v>730</v>
      </c>
      <c r="D333" s="153" t="s">
        <v>150</v>
      </c>
      <c r="E333" s="161">
        <v>1</v>
      </c>
      <c r="F333" s="153">
        <v>0</v>
      </c>
      <c r="G333" s="153">
        <v>0</v>
      </c>
      <c r="H333" s="153">
        <v>0</v>
      </c>
      <c r="I333" s="153">
        <v>0</v>
      </c>
      <c r="J333" s="153">
        <v>0</v>
      </c>
      <c r="K333" s="153">
        <v>0</v>
      </c>
      <c r="L333" s="153">
        <v>0</v>
      </c>
      <c r="M333" s="153">
        <v>0</v>
      </c>
      <c r="N333" s="153">
        <v>0</v>
      </c>
      <c r="O333" s="153">
        <v>0</v>
      </c>
      <c r="P333" s="153">
        <v>0</v>
      </c>
      <c r="Q333" s="153">
        <v>0</v>
      </c>
      <c r="R333" s="153">
        <v>0</v>
      </c>
      <c r="S333" s="153">
        <v>0</v>
      </c>
      <c r="T333" s="153"/>
      <c r="U333" s="153"/>
      <c r="V333" s="153"/>
      <c r="W333" s="153"/>
      <c r="X333" s="153"/>
      <c r="Y333" s="153"/>
      <c r="Z333" s="153"/>
      <c r="AA333" s="153"/>
      <c r="AB333" s="153"/>
      <c r="AC333" s="153"/>
      <c r="AD333" s="153"/>
      <c r="AE333" s="153"/>
      <c r="AF333" s="153"/>
      <c r="AG333" s="153"/>
      <c r="AH333" s="153"/>
      <c r="AI333" s="153"/>
      <c r="AJ333" s="153"/>
      <c r="AK333"/>
      <c r="AL333"/>
      <c r="AM333"/>
      <c r="AN333"/>
    </row>
    <row r="334" spans="1:40" s="129" customFormat="1" x14ac:dyDescent="0.35">
      <c r="A334" s="153"/>
      <c r="B334" s="153"/>
      <c r="C334" s="153"/>
      <c r="D334" s="153"/>
      <c r="E334" s="161"/>
      <c r="F334" s="153">
        <v>0</v>
      </c>
      <c r="G334" s="153"/>
      <c r="H334" s="153"/>
      <c r="I334" s="153"/>
      <c r="J334" s="153"/>
      <c r="K334" s="153"/>
      <c r="L334" s="153"/>
      <c r="M334" s="153"/>
      <c r="N334" s="153"/>
      <c r="O334" s="153"/>
      <c r="P334" s="153"/>
      <c r="Q334" s="153"/>
      <c r="R334" s="153"/>
      <c r="S334" s="153"/>
      <c r="T334" s="153"/>
      <c r="U334" s="153"/>
      <c r="V334" s="153"/>
      <c r="W334" s="153"/>
      <c r="X334" s="153"/>
      <c r="Y334" s="153"/>
      <c r="Z334" s="153"/>
      <c r="AA334" s="153"/>
      <c r="AB334" s="153"/>
      <c r="AC334" s="153"/>
      <c r="AD334" s="153"/>
      <c r="AE334" s="153"/>
      <c r="AF334" s="153"/>
      <c r="AG334" s="153"/>
      <c r="AH334" s="153"/>
      <c r="AI334" s="153"/>
      <c r="AJ334" s="153"/>
      <c r="AK334"/>
      <c r="AL334"/>
      <c r="AM334"/>
      <c r="AN334"/>
    </row>
    <row r="335" spans="1:40" x14ac:dyDescent="0.35">
      <c r="A335" s="153" t="s">
        <v>500</v>
      </c>
      <c r="B335" s="153" t="s">
        <v>179</v>
      </c>
      <c r="C335" s="153" t="s">
        <v>711</v>
      </c>
      <c r="D335" s="153" t="s">
        <v>35</v>
      </c>
      <c r="E335" s="161">
        <v>1</v>
      </c>
      <c r="F335" s="153">
        <v>0</v>
      </c>
      <c r="G335" s="153">
        <v>0</v>
      </c>
      <c r="H335" s="153">
        <v>0</v>
      </c>
      <c r="I335" s="153">
        <v>0</v>
      </c>
      <c r="J335" s="153">
        <v>0</v>
      </c>
      <c r="K335" s="153">
        <v>0</v>
      </c>
      <c r="L335" s="153">
        <v>0</v>
      </c>
      <c r="M335" s="153">
        <v>0</v>
      </c>
      <c r="N335" s="153">
        <v>0</v>
      </c>
      <c r="O335" s="153">
        <v>0</v>
      </c>
      <c r="P335" s="153">
        <v>0</v>
      </c>
      <c r="Q335" s="153">
        <v>0</v>
      </c>
      <c r="R335" s="153">
        <v>0</v>
      </c>
      <c r="S335" s="153">
        <v>0</v>
      </c>
      <c r="T335" s="153"/>
      <c r="U335" s="153"/>
      <c r="V335" s="153"/>
      <c r="W335" s="153"/>
      <c r="X335" s="153"/>
      <c r="Y335" s="153"/>
      <c r="Z335" s="153"/>
      <c r="AA335" s="153"/>
      <c r="AB335" s="153"/>
      <c r="AC335" s="153"/>
      <c r="AD335" s="153"/>
      <c r="AE335" s="153"/>
      <c r="AF335" s="153"/>
      <c r="AG335" s="153"/>
      <c r="AH335" s="153"/>
      <c r="AI335" s="153"/>
      <c r="AJ335" s="153"/>
      <c r="AK335"/>
      <c r="AL335"/>
      <c r="AM335"/>
      <c r="AN335"/>
    </row>
    <row r="336" spans="1:40" x14ac:dyDescent="0.35">
      <c r="A336" s="153" t="s">
        <v>500</v>
      </c>
      <c r="B336" s="153" t="s">
        <v>180</v>
      </c>
      <c r="C336" s="153" t="s">
        <v>712</v>
      </c>
      <c r="D336" s="153" t="s">
        <v>35</v>
      </c>
      <c r="E336" s="161">
        <v>1</v>
      </c>
      <c r="F336" s="153">
        <v>0</v>
      </c>
      <c r="G336" s="153">
        <v>0</v>
      </c>
      <c r="H336" s="153">
        <v>0</v>
      </c>
      <c r="I336" s="153">
        <v>14</v>
      </c>
      <c r="J336" s="153">
        <v>0</v>
      </c>
      <c r="K336" s="153">
        <v>0</v>
      </c>
      <c r="L336" s="153">
        <v>0</v>
      </c>
      <c r="M336" s="153">
        <v>0</v>
      </c>
      <c r="N336" s="153">
        <v>0</v>
      </c>
      <c r="O336" s="153">
        <v>0</v>
      </c>
      <c r="P336" s="153">
        <v>0</v>
      </c>
      <c r="Q336" s="153">
        <v>0</v>
      </c>
      <c r="R336" s="153">
        <v>0</v>
      </c>
      <c r="S336" s="153">
        <v>0</v>
      </c>
      <c r="T336" s="153"/>
      <c r="U336" s="153"/>
      <c r="V336" s="153"/>
      <c r="W336" s="153"/>
      <c r="X336" s="153"/>
      <c r="Y336" s="153"/>
      <c r="Z336" s="153"/>
      <c r="AA336" s="153"/>
      <c r="AB336" s="153"/>
      <c r="AC336" s="153"/>
      <c r="AD336" s="153"/>
      <c r="AE336" s="153"/>
      <c r="AF336" s="153"/>
      <c r="AG336" s="153"/>
      <c r="AH336" s="153"/>
      <c r="AI336" s="153"/>
      <c r="AJ336" s="153"/>
      <c r="AK336"/>
      <c r="AL336"/>
      <c r="AM336"/>
      <c r="AN336"/>
    </row>
    <row r="337" spans="1:40" x14ac:dyDescent="0.35">
      <c r="A337" s="153" t="s">
        <v>500</v>
      </c>
      <c r="B337" s="153" t="s">
        <v>181</v>
      </c>
      <c r="C337" s="153" t="s">
        <v>713</v>
      </c>
      <c r="D337" s="153" t="s">
        <v>35</v>
      </c>
      <c r="E337" s="161">
        <v>1</v>
      </c>
      <c r="F337" s="153">
        <v>0</v>
      </c>
      <c r="G337" s="153">
        <v>0</v>
      </c>
      <c r="H337" s="153">
        <v>0</v>
      </c>
      <c r="I337" s="153">
        <v>0</v>
      </c>
      <c r="J337" s="153">
        <v>0</v>
      </c>
      <c r="K337" s="153">
        <v>0</v>
      </c>
      <c r="L337" s="153">
        <v>0</v>
      </c>
      <c r="M337" s="153">
        <v>0</v>
      </c>
      <c r="N337" s="153">
        <v>0</v>
      </c>
      <c r="O337" s="153">
        <v>0</v>
      </c>
      <c r="P337" s="153">
        <v>0</v>
      </c>
      <c r="Q337" s="153">
        <v>0</v>
      </c>
      <c r="R337" s="153">
        <v>0</v>
      </c>
      <c r="S337" s="153">
        <v>0</v>
      </c>
      <c r="T337" s="153"/>
      <c r="U337" s="153"/>
      <c r="V337" s="153"/>
      <c r="W337" s="153"/>
      <c r="X337" s="153"/>
      <c r="Y337" s="153"/>
      <c r="Z337" s="153"/>
      <c r="AA337" s="153"/>
      <c r="AB337" s="153"/>
      <c r="AC337" s="153"/>
      <c r="AD337" s="153"/>
      <c r="AE337" s="153"/>
      <c r="AF337" s="153"/>
      <c r="AG337" s="153"/>
      <c r="AH337" s="153"/>
      <c r="AI337" s="153"/>
      <c r="AJ337" s="153"/>
      <c r="AK337"/>
      <c r="AL337"/>
      <c r="AM337"/>
      <c r="AN337"/>
    </row>
    <row r="338" spans="1:40" x14ac:dyDescent="0.35">
      <c r="A338" s="153" t="s">
        <v>500</v>
      </c>
      <c r="B338" s="153" t="s">
        <v>182</v>
      </c>
      <c r="C338" s="153" t="s">
        <v>714</v>
      </c>
      <c r="D338" s="153" t="s">
        <v>35</v>
      </c>
      <c r="E338" s="161">
        <v>1</v>
      </c>
      <c r="F338" s="153">
        <v>0</v>
      </c>
      <c r="G338" s="153">
        <v>0</v>
      </c>
      <c r="H338" s="153">
        <v>0</v>
      </c>
      <c r="I338" s="153">
        <v>0</v>
      </c>
      <c r="J338" s="153">
        <v>0</v>
      </c>
      <c r="K338" s="153">
        <v>0</v>
      </c>
      <c r="L338" s="153">
        <v>0</v>
      </c>
      <c r="M338" s="153">
        <v>0</v>
      </c>
      <c r="N338" s="153">
        <v>0</v>
      </c>
      <c r="O338" s="153">
        <v>0</v>
      </c>
      <c r="P338" s="153">
        <v>0</v>
      </c>
      <c r="Q338" s="153">
        <v>0</v>
      </c>
      <c r="R338" s="153">
        <v>0</v>
      </c>
      <c r="S338" s="153">
        <v>0</v>
      </c>
      <c r="T338" s="153"/>
      <c r="U338" s="153"/>
      <c r="V338" s="153"/>
      <c r="W338" s="153"/>
      <c r="X338" s="153"/>
      <c r="Y338" s="153"/>
      <c r="Z338" s="153"/>
      <c r="AA338" s="153"/>
      <c r="AB338" s="153"/>
      <c r="AC338" s="153"/>
      <c r="AD338" s="153"/>
      <c r="AE338" s="153"/>
      <c r="AF338" s="153"/>
      <c r="AG338" s="153"/>
      <c r="AH338" s="153"/>
      <c r="AI338" s="153"/>
      <c r="AJ338" s="153"/>
      <c r="AK338"/>
      <c r="AL338"/>
      <c r="AM338"/>
      <c r="AN338"/>
    </row>
    <row r="339" spans="1:40" x14ac:dyDescent="0.35">
      <c r="A339" s="153"/>
      <c r="B339" s="153"/>
      <c r="C339" s="153"/>
      <c r="D339" s="153"/>
      <c r="E339" s="161"/>
      <c r="F339" s="153">
        <v>0</v>
      </c>
      <c r="G339" s="153"/>
      <c r="H339" s="153"/>
      <c r="I339" s="153"/>
      <c r="J339" s="153"/>
      <c r="K339" s="153"/>
      <c r="L339" s="153"/>
      <c r="M339" s="153"/>
      <c r="N339" s="153"/>
      <c r="O339" s="153"/>
      <c r="P339" s="153"/>
      <c r="Q339" s="153"/>
      <c r="R339" s="153"/>
      <c r="S339" s="153"/>
      <c r="T339" s="153"/>
      <c r="U339" s="153"/>
      <c r="V339" s="153"/>
      <c r="W339" s="153"/>
      <c r="X339" s="153"/>
      <c r="Y339" s="153"/>
      <c r="Z339" s="153"/>
      <c r="AA339" s="153"/>
      <c r="AB339" s="153"/>
      <c r="AC339" s="153"/>
      <c r="AD339" s="153"/>
      <c r="AE339" s="153"/>
      <c r="AF339" s="153"/>
      <c r="AG339" s="153"/>
      <c r="AH339" s="153"/>
      <c r="AI339" s="153"/>
      <c r="AJ339" s="153"/>
      <c r="AK339"/>
      <c r="AL339"/>
      <c r="AM339"/>
      <c r="AN339"/>
    </row>
    <row r="340" spans="1:40" x14ac:dyDescent="0.35">
      <c r="A340" s="153" t="s">
        <v>26</v>
      </c>
      <c r="B340" s="153" t="s">
        <v>179</v>
      </c>
      <c r="C340" s="153" t="s">
        <v>232</v>
      </c>
      <c r="D340" s="153" t="s">
        <v>148</v>
      </c>
      <c r="E340" s="161">
        <v>1</v>
      </c>
      <c r="F340" s="153">
        <v>0</v>
      </c>
      <c r="G340" s="153">
        <v>0</v>
      </c>
      <c r="H340" s="153">
        <v>0</v>
      </c>
      <c r="I340" s="153">
        <v>0</v>
      </c>
      <c r="J340" s="153">
        <v>0</v>
      </c>
      <c r="K340" s="153">
        <v>0</v>
      </c>
      <c r="L340" s="153">
        <v>0</v>
      </c>
      <c r="M340" s="153">
        <v>0</v>
      </c>
      <c r="N340" s="153">
        <v>0</v>
      </c>
      <c r="O340" s="153">
        <v>0</v>
      </c>
      <c r="P340" s="153">
        <v>0</v>
      </c>
      <c r="Q340" s="153">
        <v>0</v>
      </c>
      <c r="R340" s="153">
        <v>0</v>
      </c>
      <c r="S340" s="153">
        <v>0</v>
      </c>
      <c r="T340" s="153"/>
      <c r="U340" s="153"/>
      <c r="V340" s="153"/>
      <c r="W340" s="153"/>
      <c r="X340" s="153"/>
      <c r="Y340" s="153"/>
      <c r="Z340" s="153"/>
      <c r="AA340" s="153"/>
      <c r="AB340" s="153"/>
      <c r="AC340" s="153"/>
      <c r="AD340" s="153"/>
      <c r="AE340" s="153"/>
      <c r="AF340" s="153"/>
      <c r="AG340" s="153"/>
      <c r="AH340" s="153"/>
      <c r="AI340" s="153"/>
      <c r="AJ340" s="153"/>
      <c r="AK340"/>
      <c r="AL340"/>
      <c r="AM340"/>
      <c r="AN340"/>
    </row>
    <row r="341" spans="1:40" x14ac:dyDescent="0.35">
      <c r="A341" s="153" t="s">
        <v>26</v>
      </c>
      <c r="B341" s="153" t="s">
        <v>180</v>
      </c>
      <c r="C341" s="153" t="s">
        <v>233</v>
      </c>
      <c r="D341" s="153" t="s">
        <v>148</v>
      </c>
      <c r="E341" s="161">
        <v>1</v>
      </c>
      <c r="F341" s="153">
        <v>0</v>
      </c>
      <c r="G341" s="153">
        <v>0</v>
      </c>
      <c r="H341" s="153">
        <v>0</v>
      </c>
      <c r="I341" s="153">
        <v>0</v>
      </c>
      <c r="J341" s="153">
        <v>0</v>
      </c>
      <c r="K341" s="153">
        <v>0</v>
      </c>
      <c r="L341" s="153">
        <v>0</v>
      </c>
      <c r="M341" s="153">
        <v>0</v>
      </c>
      <c r="N341" s="153">
        <v>0</v>
      </c>
      <c r="O341" s="153">
        <v>18</v>
      </c>
      <c r="P341" s="153">
        <v>0</v>
      </c>
      <c r="Q341" s="153">
        <v>0</v>
      </c>
      <c r="R341" s="153">
        <v>0</v>
      </c>
      <c r="S341" s="153">
        <v>0</v>
      </c>
      <c r="T341" s="153"/>
      <c r="U341" s="153"/>
      <c r="V341" s="153"/>
      <c r="W341" s="153"/>
      <c r="X341" s="153"/>
      <c r="Y341" s="153"/>
      <c r="Z341" s="153"/>
      <c r="AA341" s="153"/>
      <c r="AB341" s="153"/>
      <c r="AC341" s="153"/>
      <c r="AD341" s="153"/>
      <c r="AE341" s="153"/>
      <c r="AF341" s="153"/>
      <c r="AG341" s="153"/>
      <c r="AH341" s="153"/>
      <c r="AI341" s="153"/>
      <c r="AJ341" s="153"/>
      <c r="AK341"/>
      <c r="AL341"/>
      <c r="AM341"/>
      <c r="AN341"/>
    </row>
    <row r="342" spans="1:40" x14ac:dyDescent="0.35">
      <c r="A342" s="153" t="s">
        <v>26</v>
      </c>
      <c r="B342" s="153" t="s">
        <v>183</v>
      </c>
      <c r="C342" s="153" t="s">
        <v>234</v>
      </c>
      <c r="D342" s="153" t="s">
        <v>148</v>
      </c>
      <c r="E342" s="161">
        <v>1</v>
      </c>
      <c r="F342" s="153">
        <v>0</v>
      </c>
      <c r="G342" s="153">
        <v>0</v>
      </c>
      <c r="H342" s="153">
        <v>0</v>
      </c>
      <c r="I342" s="153">
        <v>0</v>
      </c>
      <c r="J342" s="153">
        <v>0</v>
      </c>
      <c r="K342" s="153">
        <v>0</v>
      </c>
      <c r="L342" s="153">
        <v>0</v>
      </c>
      <c r="M342" s="153">
        <v>0</v>
      </c>
      <c r="N342" s="153">
        <v>0</v>
      </c>
      <c r="O342" s="153">
        <v>0</v>
      </c>
      <c r="P342" s="153">
        <v>0</v>
      </c>
      <c r="Q342" s="153">
        <v>0</v>
      </c>
      <c r="R342" s="153">
        <v>0</v>
      </c>
      <c r="S342" s="153">
        <v>0</v>
      </c>
      <c r="T342" s="153"/>
      <c r="U342" s="153"/>
      <c r="V342" s="153"/>
      <c r="W342" s="153"/>
      <c r="X342" s="153"/>
      <c r="Y342" s="153"/>
      <c r="Z342" s="153"/>
      <c r="AA342" s="153"/>
      <c r="AB342" s="153"/>
      <c r="AC342" s="153"/>
      <c r="AD342" s="153"/>
      <c r="AE342" s="153"/>
      <c r="AF342" s="153"/>
      <c r="AG342" s="153"/>
      <c r="AH342" s="153"/>
      <c r="AI342" s="153"/>
      <c r="AJ342" s="153"/>
      <c r="AK342"/>
      <c r="AL342"/>
      <c r="AM342"/>
      <c r="AN342"/>
    </row>
    <row r="343" spans="1:40" x14ac:dyDescent="0.35">
      <c r="A343" s="153" t="s">
        <v>26</v>
      </c>
      <c r="B343" s="153" t="s">
        <v>182</v>
      </c>
      <c r="C343" s="153" t="s">
        <v>235</v>
      </c>
      <c r="D343" s="153" t="s">
        <v>148</v>
      </c>
      <c r="E343" s="161">
        <v>1</v>
      </c>
      <c r="F343" s="153">
        <v>0</v>
      </c>
      <c r="G343" s="153">
        <v>0</v>
      </c>
      <c r="H343" s="153">
        <v>0</v>
      </c>
      <c r="I343" s="153">
        <v>0</v>
      </c>
      <c r="J343" s="153">
        <v>0</v>
      </c>
      <c r="K343" s="153">
        <v>0</v>
      </c>
      <c r="L343" s="153">
        <v>0</v>
      </c>
      <c r="M343" s="153">
        <v>0</v>
      </c>
      <c r="N343" s="153">
        <v>0</v>
      </c>
      <c r="O343" s="153">
        <v>0</v>
      </c>
      <c r="P343" s="153">
        <v>0</v>
      </c>
      <c r="Q343" s="153">
        <v>0</v>
      </c>
      <c r="R343" s="153">
        <v>0</v>
      </c>
      <c r="S343" s="153">
        <v>0</v>
      </c>
      <c r="T343" s="153"/>
      <c r="U343" s="153"/>
      <c r="V343" s="153"/>
      <c r="W343" s="153"/>
      <c r="X343" s="153"/>
      <c r="Y343" s="153"/>
      <c r="Z343" s="153"/>
      <c r="AA343" s="153"/>
      <c r="AB343" s="153"/>
      <c r="AC343" s="153"/>
      <c r="AD343" s="153"/>
      <c r="AE343" s="153"/>
      <c r="AF343" s="153"/>
      <c r="AG343" s="153"/>
      <c r="AH343" s="153"/>
      <c r="AI343" s="153"/>
      <c r="AJ343" s="153"/>
      <c r="AK343"/>
      <c r="AL343"/>
      <c r="AM343"/>
      <c r="AN343"/>
    </row>
    <row r="344" spans="1:40" x14ac:dyDescent="0.35">
      <c r="A344" s="153"/>
      <c r="B344" s="153"/>
      <c r="C344" s="153"/>
      <c r="D344" s="153"/>
      <c r="E344" s="161"/>
      <c r="F344" s="153">
        <v>0</v>
      </c>
      <c r="G344" s="153"/>
      <c r="H344" s="153"/>
      <c r="I344" s="153"/>
      <c r="J344" s="153"/>
      <c r="K344" s="153"/>
      <c r="L344" s="153"/>
      <c r="M344" s="153"/>
      <c r="N344" s="153"/>
      <c r="O344" s="153"/>
      <c r="P344" s="153"/>
      <c r="Q344" s="153"/>
      <c r="R344" s="153"/>
      <c r="S344" s="153"/>
      <c r="T344" s="153"/>
      <c r="U344" s="153"/>
      <c r="V344" s="153"/>
      <c r="W344" s="153"/>
      <c r="X344" s="153"/>
      <c r="Y344" s="153"/>
      <c r="Z344" s="153"/>
      <c r="AA344" s="153"/>
      <c r="AB344" s="153"/>
      <c r="AC344" s="153"/>
      <c r="AD344" s="153"/>
      <c r="AE344" s="153"/>
      <c r="AF344" s="153"/>
      <c r="AG344" s="153"/>
      <c r="AH344" s="153"/>
      <c r="AI344" s="153"/>
      <c r="AJ344" s="153"/>
      <c r="AK344"/>
      <c r="AL344"/>
      <c r="AM344"/>
      <c r="AN344"/>
    </row>
    <row r="345" spans="1:40" x14ac:dyDescent="0.35">
      <c r="A345" s="153" t="s">
        <v>1341</v>
      </c>
      <c r="B345" s="153" t="s">
        <v>179</v>
      </c>
      <c r="C345" s="153" t="s">
        <v>1441</v>
      </c>
      <c r="D345" s="153" t="s">
        <v>67</v>
      </c>
      <c r="E345" s="161">
        <v>1</v>
      </c>
      <c r="F345" s="153">
        <v>0</v>
      </c>
      <c r="G345" s="153">
        <v>0</v>
      </c>
      <c r="H345" s="153">
        <v>0</v>
      </c>
      <c r="I345" s="153">
        <v>0</v>
      </c>
      <c r="J345" s="153">
        <v>0</v>
      </c>
      <c r="K345" s="153">
        <v>0</v>
      </c>
      <c r="L345" s="153">
        <v>0</v>
      </c>
      <c r="M345" s="153">
        <v>0</v>
      </c>
      <c r="N345" s="153">
        <v>0</v>
      </c>
      <c r="O345" s="153">
        <v>0</v>
      </c>
      <c r="P345" s="153">
        <v>0</v>
      </c>
      <c r="Q345" s="153">
        <v>0</v>
      </c>
      <c r="R345" s="153">
        <v>0</v>
      </c>
      <c r="S345" s="153">
        <v>0</v>
      </c>
      <c r="T345" s="153"/>
      <c r="U345" s="153"/>
      <c r="V345" s="153"/>
      <c r="W345" s="153"/>
      <c r="X345" s="153"/>
      <c r="Y345" s="153"/>
      <c r="Z345" s="153"/>
      <c r="AA345" s="153"/>
      <c r="AB345" s="153"/>
      <c r="AC345" s="153"/>
      <c r="AD345" s="153"/>
      <c r="AE345" s="153"/>
      <c r="AF345" s="153"/>
      <c r="AG345" s="153"/>
      <c r="AH345" s="153"/>
      <c r="AI345" s="153"/>
      <c r="AJ345" s="153"/>
      <c r="AK345"/>
      <c r="AL345"/>
      <c r="AM345"/>
      <c r="AN345"/>
    </row>
    <row r="346" spans="1:40" x14ac:dyDescent="0.35">
      <c r="A346" s="153" t="s">
        <v>1341</v>
      </c>
      <c r="B346" s="153" t="s">
        <v>180</v>
      </c>
      <c r="C346" s="153" t="s">
        <v>1442</v>
      </c>
      <c r="D346" s="153" t="s">
        <v>67</v>
      </c>
      <c r="E346" s="161">
        <v>1</v>
      </c>
      <c r="F346" s="153">
        <v>0</v>
      </c>
      <c r="G346" s="153">
        <v>0</v>
      </c>
      <c r="H346" s="153">
        <v>0</v>
      </c>
      <c r="I346" s="153">
        <v>0</v>
      </c>
      <c r="J346" s="153">
        <v>0</v>
      </c>
      <c r="K346" s="153">
        <v>0</v>
      </c>
      <c r="L346" s="153">
        <v>0</v>
      </c>
      <c r="M346" s="153">
        <v>0</v>
      </c>
      <c r="N346" s="153">
        <v>0</v>
      </c>
      <c r="O346" s="153">
        <v>0</v>
      </c>
      <c r="P346" s="153">
        <v>0</v>
      </c>
      <c r="Q346" s="153">
        <v>0</v>
      </c>
      <c r="R346" s="153">
        <v>0</v>
      </c>
      <c r="S346" s="153">
        <v>0</v>
      </c>
      <c r="T346" s="153"/>
      <c r="U346" s="153"/>
      <c r="V346" s="153"/>
      <c r="W346" s="153"/>
      <c r="X346" s="153"/>
      <c r="Y346" s="153"/>
      <c r="Z346" s="153"/>
      <c r="AA346" s="153"/>
      <c r="AB346" s="153"/>
      <c r="AC346" s="153"/>
      <c r="AD346" s="153"/>
      <c r="AE346" s="153"/>
      <c r="AF346" s="153"/>
      <c r="AG346" s="153"/>
      <c r="AH346" s="153"/>
      <c r="AI346" s="153"/>
      <c r="AJ346" s="153"/>
      <c r="AK346"/>
      <c r="AL346"/>
      <c r="AM346"/>
      <c r="AN346"/>
    </row>
    <row r="347" spans="1:40" x14ac:dyDescent="0.35">
      <c r="A347" s="153" t="s">
        <v>1341</v>
      </c>
      <c r="B347" s="153" t="s">
        <v>181</v>
      </c>
      <c r="C347" s="153" t="s">
        <v>1443</v>
      </c>
      <c r="D347" s="153" t="s">
        <v>67</v>
      </c>
      <c r="E347" s="161">
        <v>1</v>
      </c>
      <c r="F347" s="153">
        <v>0</v>
      </c>
      <c r="G347" s="153">
        <v>0</v>
      </c>
      <c r="H347" s="153">
        <v>0</v>
      </c>
      <c r="I347" s="153">
        <v>0</v>
      </c>
      <c r="J347" s="153">
        <v>0</v>
      </c>
      <c r="K347" s="153">
        <v>0</v>
      </c>
      <c r="L347" s="153">
        <v>0</v>
      </c>
      <c r="M347" s="153">
        <v>0</v>
      </c>
      <c r="N347" s="153">
        <v>0</v>
      </c>
      <c r="O347" s="153">
        <v>0</v>
      </c>
      <c r="P347" s="153">
        <v>0</v>
      </c>
      <c r="Q347" s="153">
        <v>0</v>
      </c>
      <c r="R347" s="153">
        <v>0</v>
      </c>
      <c r="S347" s="153">
        <v>0</v>
      </c>
      <c r="T347" s="153"/>
      <c r="U347" s="153"/>
      <c r="V347" s="153"/>
      <c r="W347" s="153"/>
      <c r="X347" s="153"/>
      <c r="Y347" s="153"/>
      <c r="Z347" s="153"/>
      <c r="AA347" s="153"/>
      <c r="AB347" s="153"/>
      <c r="AC347" s="153"/>
      <c r="AD347" s="153"/>
      <c r="AE347" s="153"/>
      <c r="AF347" s="153"/>
      <c r="AG347" s="153"/>
      <c r="AH347" s="153"/>
      <c r="AI347" s="153"/>
      <c r="AJ347" s="153"/>
      <c r="AK347"/>
      <c r="AL347"/>
      <c r="AM347"/>
      <c r="AN347"/>
    </row>
    <row r="348" spans="1:40" x14ac:dyDescent="0.35">
      <c r="A348" s="153" t="s">
        <v>1341</v>
      </c>
      <c r="B348" s="153" t="s">
        <v>182</v>
      </c>
      <c r="C348" s="153" t="s">
        <v>1444</v>
      </c>
      <c r="D348" s="153" t="s">
        <v>67</v>
      </c>
      <c r="E348" s="161">
        <v>1</v>
      </c>
      <c r="F348" s="153">
        <v>0</v>
      </c>
      <c r="G348" s="153">
        <v>0</v>
      </c>
      <c r="H348" s="153">
        <v>0</v>
      </c>
      <c r="I348" s="153">
        <v>0</v>
      </c>
      <c r="J348" s="153">
        <v>0</v>
      </c>
      <c r="K348" s="153">
        <v>0</v>
      </c>
      <c r="L348" s="153">
        <v>0</v>
      </c>
      <c r="M348" s="153">
        <v>0</v>
      </c>
      <c r="N348" s="153">
        <v>0</v>
      </c>
      <c r="O348" s="153">
        <v>0</v>
      </c>
      <c r="P348" s="153">
        <v>0</v>
      </c>
      <c r="Q348" s="153">
        <v>0</v>
      </c>
      <c r="R348" s="153">
        <v>0</v>
      </c>
      <c r="S348" s="153">
        <v>0</v>
      </c>
      <c r="T348" s="153"/>
      <c r="U348" s="153"/>
      <c r="V348" s="153"/>
      <c r="W348" s="153"/>
      <c r="X348" s="153"/>
      <c r="Y348" s="153"/>
      <c r="Z348" s="153"/>
      <c r="AA348" s="153"/>
      <c r="AB348" s="153"/>
      <c r="AC348" s="153"/>
      <c r="AD348" s="153"/>
      <c r="AE348" s="153"/>
      <c r="AF348" s="153"/>
      <c r="AG348" s="153"/>
      <c r="AH348" s="153"/>
      <c r="AI348" s="153"/>
      <c r="AJ348" s="153"/>
      <c r="AK348"/>
      <c r="AL348"/>
      <c r="AM348"/>
      <c r="AN348"/>
    </row>
    <row r="349" spans="1:40" x14ac:dyDescent="0.35">
      <c r="A349" s="153"/>
      <c r="B349" s="153"/>
      <c r="C349" s="153"/>
      <c r="D349" s="153"/>
      <c r="E349" s="161"/>
      <c r="F349" s="153">
        <v>0</v>
      </c>
      <c r="G349" s="153"/>
      <c r="H349" s="153"/>
      <c r="I349" s="153"/>
      <c r="J349" s="153"/>
      <c r="K349" s="153"/>
      <c r="L349" s="153"/>
      <c r="M349" s="153"/>
      <c r="N349" s="153"/>
      <c r="O349" s="153"/>
      <c r="P349" s="153"/>
      <c r="Q349" s="153"/>
      <c r="R349" s="153"/>
      <c r="S349" s="153"/>
      <c r="T349" s="153"/>
      <c r="U349" s="153"/>
      <c r="V349" s="153"/>
      <c r="W349" s="153"/>
      <c r="X349" s="153"/>
      <c r="Y349" s="153"/>
      <c r="Z349" s="153"/>
      <c r="AA349" s="153"/>
      <c r="AB349" s="153"/>
      <c r="AC349" s="153"/>
      <c r="AD349" s="153"/>
      <c r="AE349" s="153"/>
      <c r="AF349" s="153"/>
      <c r="AG349" s="153"/>
      <c r="AH349" s="153"/>
      <c r="AI349" s="153"/>
      <c r="AJ349" s="153"/>
      <c r="AK349"/>
      <c r="AL349"/>
      <c r="AM349"/>
      <c r="AN349"/>
    </row>
    <row r="350" spans="1:40" x14ac:dyDescent="0.35">
      <c r="A350" s="153" t="s">
        <v>27</v>
      </c>
      <c r="B350" s="153" t="s">
        <v>179</v>
      </c>
      <c r="C350" s="153" t="s">
        <v>228</v>
      </c>
      <c r="D350" s="153" t="s">
        <v>67</v>
      </c>
      <c r="E350" s="161">
        <v>1</v>
      </c>
      <c r="F350" s="153">
        <v>0</v>
      </c>
      <c r="G350" s="153">
        <v>0</v>
      </c>
      <c r="H350" s="153">
        <v>0</v>
      </c>
      <c r="I350" s="153">
        <v>0</v>
      </c>
      <c r="J350" s="153">
        <v>0</v>
      </c>
      <c r="K350" s="153">
        <v>0</v>
      </c>
      <c r="L350" s="153">
        <v>0</v>
      </c>
      <c r="M350" s="153">
        <v>0</v>
      </c>
      <c r="N350" s="153">
        <v>0</v>
      </c>
      <c r="O350" s="153">
        <v>0</v>
      </c>
      <c r="P350" s="153">
        <v>0</v>
      </c>
      <c r="Q350" s="153">
        <v>0</v>
      </c>
      <c r="R350" s="153">
        <v>0</v>
      </c>
      <c r="S350" s="153">
        <v>0</v>
      </c>
      <c r="T350" s="153"/>
      <c r="U350" s="153"/>
      <c r="V350" s="153"/>
      <c r="W350" s="153"/>
      <c r="X350" s="153"/>
      <c r="Y350" s="153"/>
      <c r="Z350" s="153"/>
      <c r="AA350" s="153"/>
      <c r="AB350" s="153"/>
      <c r="AC350" s="153"/>
      <c r="AD350" s="153"/>
      <c r="AE350" s="153"/>
      <c r="AF350" s="153"/>
      <c r="AG350" s="153"/>
      <c r="AH350" s="153"/>
      <c r="AI350" s="153"/>
      <c r="AJ350" s="153"/>
      <c r="AK350"/>
      <c r="AL350"/>
      <c r="AM350"/>
      <c r="AN350"/>
    </row>
    <row r="351" spans="1:40" x14ac:dyDescent="0.35">
      <c r="A351" s="153" t="s">
        <v>27</v>
      </c>
      <c r="B351" s="153" t="s">
        <v>180</v>
      </c>
      <c r="C351" s="153" t="s">
        <v>229</v>
      </c>
      <c r="D351" s="153" t="s">
        <v>67</v>
      </c>
      <c r="E351" s="161">
        <v>1</v>
      </c>
      <c r="F351" s="153">
        <v>0</v>
      </c>
      <c r="G351" s="153">
        <v>0</v>
      </c>
      <c r="H351" s="153">
        <v>0</v>
      </c>
      <c r="I351" s="153">
        <v>0</v>
      </c>
      <c r="J351" s="153">
        <v>0</v>
      </c>
      <c r="K351" s="153">
        <v>0</v>
      </c>
      <c r="L351" s="153">
        <v>0</v>
      </c>
      <c r="M351" s="153">
        <v>0</v>
      </c>
      <c r="N351" s="153">
        <v>0</v>
      </c>
      <c r="O351" s="153">
        <v>0</v>
      </c>
      <c r="P351" s="153">
        <v>0</v>
      </c>
      <c r="Q351" s="153">
        <v>0</v>
      </c>
      <c r="R351" s="153">
        <v>0</v>
      </c>
      <c r="S351" s="153">
        <v>0</v>
      </c>
      <c r="T351" s="153"/>
      <c r="U351" s="153"/>
      <c r="V351" s="153"/>
      <c r="W351" s="153"/>
      <c r="X351" s="153"/>
      <c r="Y351" s="153"/>
      <c r="Z351" s="153"/>
      <c r="AA351" s="153"/>
      <c r="AB351" s="153"/>
      <c r="AC351" s="153"/>
      <c r="AD351" s="153"/>
      <c r="AE351" s="153"/>
      <c r="AF351" s="153"/>
      <c r="AG351" s="153"/>
      <c r="AH351" s="153"/>
      <c r="AI351" s="153"/>
      <c r="AJ351" s="153"/>
      <c r="AK351"/>
      <c r="AL351"/>
      <c r="AM351"/>
      <c r="AN351"/>
    </row>
    <row r="352" spans="1:40" x14ac:dyDescent="0.35">
      <c r="A352" s="153" t="s">
        <v>27</v>
      </c>
      <c r="B352" s="153" t="s">
        <v>181</v>
      </c>
      <c r="C352" s="153" t="s">
        <v>230</v>
      </c>
      <c r="D352" s="153" t="s">
        <v>67</v>
      </c>
      <c r="E352" s="161">
        <v>1</v>
      </c>
      <c r="F352" s="153">
        <v>0</v>
      </c>
      <c r="G352" s="153">
        <v>0</v>
      </c>
      <c r="H352" s="153">
        <v>0</v>
      </c>
      <c r="I352" s="153">
        <v>0</v>
      </c>
      <c r="J352" s="153">
        <v>0</v>
      </c>
      <c r="K352" s="153">
        <v>0</v>
      </c>
      <c r="L352" s="153">
        <v>0</v>
      </c>
      <c r="M352" s="153">
        <v>0</v>
      </c>
      <c r="N352" s="153">
        <v>0</v>
      </c>
      <c r="O352" s="153">
        <v>0</v>
      </c>
      <c r="P352" s="153">
        <v>0</v>
      </c>
      <c r="Q352" s="153">
        <v>0</v>
      </c>
      <c r="R352" s="153">
        <v>0</v>
      </c>
      <c r="S352" s="153">
        <v>0</v>
      </c>
      <c r="T352" s="153"/>
      <c r="U352" s="153"/>
      <c r="V352" s="153"/>
      <c r="W352" s="153"/>
      <c r="X352" s="153"/>
      <c r="Y352" s="153"/>
      <c r="Z352" s="153"/>
      <c r="AA352" s="153"/>
      <c r="AB352" s="153"/>
      <c r="AC352" s="153"/>
      <c r="AD352" s="153"/>
      <c r="AE352" s="153"/>
      <c r="AF352" s="153"/>
      <c r="AG352" s="153"/>
      <c r="AH352" s="153"/>
      <c r="AI352" s="153"/>
      <c r="AJ352" s="153"/>
      <c r="AK352"/>
      <c r="AL352"/>
      <c r="AM352"/>
      <c r="AN352"/>
    </row>
    <row r="353" spans="1:40" x14ac:dyDescent="0.35">
      <c r="A353" s="153" t="s">
        <v>27</v>
      </c>
      <c r="B353" s="153" t="s">
        <v>182</v>
      </c>
      <c r="C353" s="153" t="s">
        <v>231</v>
      </c>
      <c r="D353" s="153" t="s">
        <v>67</v>
      </c>
      <c r="E353" s="161">
        <v>1</v>
      </c>
      <c r="F353" s="153">
        <v>0</v>
      </c>
      <c r="G353" s="153">
        <v>0</v>
      </c>
      <c r="H353" s="153">
        <v>0</v>
      </c>
      <c r="I353" s="153">
        <v>0</v>
      </c>
      <c r="J353" s="153">
        <v>0</v>
      </c>
      <c r="K353" s="153">
        <v>0</v>
      </c>
      <c r="L353" s="153">
        <v>0</v>
      </c>
      <c r="M353" s="153">
        <v>0</v>
      </c>
      <c r="N353" s="153">
        <v>0</v>
      </c>
      <c r="O353" s="153">
        <v>0</v>
      </c>
      <c r="P353" s="153">
        <v>0</v>
      </c>
      <c r="Q353" s="153">
        <v>0</v>
      </c>
      <c r="R353" s="153">
        <v>0</v>
      </c>
      <c r="S353" s="153">
        <v>0</v>
      </c>
      <c r="T353" s="153"/>
      <c r="U353" s="153"/>
      <c r="V353" s="153"/>
      <c r="W353" s="153"/>
      <c r="X353" s="153"/>
      <c r="Y353" s="153"/>
      <c r="Z353" s="153"/>
      <c r="AA353" s="153"/>
      <c r="AB353" s="153"/>
      <c r="AC353" s="153"/>
      <c r="AD353" s="153"/>
      <c r="AE353" s="153"/>
      <c r="AF353" s="153"/>
      <c r="AG353" s="153"/>
      <c r="AH353" s="153"/>
      <c r="AI353" s="153"/>
      <c r="AJ353" s="153"/>
      <c r="AK353"/>
      <c r="AL353"/>
      <c r="AM353"/>
      <c r="AN353"/>
    </row>
    <row r="354" spans="1:40" x14ac:dyDescent="0.35">
      <c r="A354" s="153"/>
      <c r="B354" s="153"/>
      <c r="C354" s="153"/>
      <c r="D354" s="153"/>
      <c r="E354" s="161"/>
      <c r="F354" s="153">
        <v>0</v>
      </c>
      <c r="G354" s="153"/>
      <c r="H354" s="153"/>
      <c r="I354" s="153"/>
      <c r="J354" s="153"/>
      <c r="K354" s="153"/>
      <c r="L354" s="153"/>
      <c r="M354" s="153"/>
      <c r="N354" s="153"/>
      <c r="O354" s="153"/>
      <c r="P354" s="153"/>
      <c r="Q354" s="153"/>
      <c r="R354" s="153"/>
      <c r="S354" s="153"/>
      <c r="T354" s="153"/>
      <c r="U354" s="153"/>
      <c r="V354" s="153"/>
      <c r="W354" s="153"/>
      <c r="X354" s="153"/>
      <c r="Y354" s="153"/>
      <c r="Z354" s="153"/>
      <c r="AA354" s="153"/>
      <c r="AB354" s="153"/>
      <c r="AC354" s="153"/>
      <c r="AD354" s="153"/>
      <c r="AE354" s="153"/>
      <c r="AF354" s="153"/>
      <c r="AG354" s="153"/>
      <c r="AH354" s="153"/>
      <c r="AI354" s="153"/>
      <c r="AJ354" s="153"/>
      <c r="AK354"/>
      <c r="AL354"/>
      <c r="AM354"/>
      <c r="AN354"/>
    </row>
    <row r="355" spans="1:40" x14ac:dyDescent="0.35">
      <c r="A355" s="153" t="s">
        <v>501</v>
      </c>
      <c r="B355" s="153" t="s">
        <v>179</v>
      </c>
      <c r="C355" s="153" t="s">
        <v>665</v>
      </c>
      <c r="D355" s="153" t="s">
        <v>35</v>
      </c>
      <c r="E355" s="161">
        <v>1</v>
      </c>
      <c r="F355" s="153">
        <v>0</v>
      </c>
      <c r="G355" s="153">
        <v>0</v>
      </c>
      <c r="H355" s="153">
        <v>0</v>
      </c>
      <c r="I355" s="153">
        <v>0</v>
      </c>
      <c r="J355" s="153">
        <v>0</v>
      </c>
      <c r="K355" s="153">
        <v>0</v>
      </c>
      <c r="L355" s="153">
        <v>0</v>
      </c>
      <c r="M355" s="153">
        <v>451</v>
      </c>
      <c r="N355" s="153">
        <v>0</v>
      </c>
      <c r="O355" s="153">
        <v>0</v>
      </c>
      <c r="P355" s="153">
        <v>0</v>
      </c>
      <c r="Q355" s="153">
        <v>0</v>
      </c>
      <c r="R355" s="153">
        <v>0</v>
      </c>
      <c r="S355" s="153">
        <v>2872</v>
      </c>
      <c r="T355" s="153"/>
      <c r="U355" s="153"/>
      <c r="V355" s="153"/>
      <c r="W355" s="153"/>
      <c r="X355" s="153"/>
      <c r="Y355" s="153"/>
      <c r="Z355" s="153"/>
      <c r="AA355" s="153"/>
      <c r="AB355" s="153"/>
      <c r="AC355" s="153"/>
      <c r="AD355" s="153"/>
      <c r="AE355" s="153"/>
      <c r="AF355" s="153"/>
      <c r="AG355" s="153"/>
      <c r="AH355" s="153"/>
      <c r="AI355" s="153"/>
      <c r="AJ355" s="153"/>
      <c r="AK355"/>
      <c r="AL355"/>
      <c r="AM355"/>
      <c r="AN355"/>
    </row>
    <row r="356" spans="1:40" x14ac:dyDescent="0.35">
      <c r="A356" s="153" t="s">
        <v>501</v>
      </c>
      <c r="B356" s="153" t="s">
        <v>180</v>
      </c>
      <c r="C356" s="153" t="s">
        <v>666</v>
      </c>
      <c r="D356" s="153" t="s">
        <v>35</v>
      </c>
      <c r="E356" s="161">
        <v>1</v>
      </c>
      <c r="F356" s="153">
        <v>1267</v>
      </c>
      <c r="G356" s="153">
        <v>2052</v>
      </c>
      <c r="H356" s="153">
        <v>1061</v>
      </c>
      <c r="I356" s="153">
        <v>319</v>
      </c>
      <c r="J356" s="153">
        <v>2337</v>
      </c>
      <c r="K356" s="153">
        <v>1036</v>
      </c>
      <c r="L356" s="153">
        <v>2286</v>
      </c>
      <c r="M356" s="153">
        <v>0</v>
      </c>
      <c r="N356" s="153">
        <v>0</v>
      </c>
      <c r="O356" s="153">
        <v>0</v>
      </c>
      <c r="P356" s="153">
        <v>344</v>
      </c>
      <c r="Q356" s="153">
        <v>576</v>
      </c>
      <c r="R356" s="153">
        <v>1515</v>
      </c>
      <c r="S356" s="153">
        <v>249</v>
      </c>
      <c r="T356" s="153"/>
      <c r="U356" s="153"/>
      <c r="V356" s="153"/>
      <c r="W356" s="153"/>
      <c r="X356" s="153"/>
      <c r="Y356" s="153"/>
      <c r="Z356" s="153"/>
      <c r="AA356" s="153"/>
      <c r="AB356" s="153"/>
      <c r="AC356" s="153"/>
      <c r="AD356" s="153"/>
      <c r="AE356" s="153"/>
      <c r="AF356" s="153"/>
      <c r="AG356" s="153"/>
      <c r="AH356" s="153"/>
      <c r="AI356" s="153"/>
      <c r="AJ356" s="153"/>
      <c r="AK356"/>
      <c r="AL356"/>
      <c r="AM356"/>
      <c r="AN356"/>
    </row>
    <row r="357" spans="1:40" x14ac:dyDescent="0.35">
      <c r="A357" s="153" t="s">
        <v>501</v>
      </c>
      <c r="B357" s="153" t="s">
        <v>183</v>
      </c>
      <c r="C357" s="153" t="s">
        <v>1112</v>
      </c>
      <c r="D357" s="153" t="s">
        <v>35</v>
      </c>
      <c r="E357" s="161">
        <v>1</v>
      </c>
      <c r="F357" s="153">
        <v>0</v>
      </c>
      <c r="G357" s="153">
        <v>0</v>
      </c>
      <c r="H357" s="153">
        <v>206</v>
      </c>
      <c r="I357" s="153">
        <v>0</v>
      </c>
      <c r="J357" s="153">
        <v>0</v>
      </c>
      <c r="K357" s="153">
        <v>119</v>
      </c>
      <c r="L357" s="153">
        <v>107</v>
      </c>
      <c r="M357" s="153">
        <v>0</v>
      </c>
      <c r="N357" s="153">
        <v>0</v>
      </c>
      <c r="O357" s="153">
        <v>0</v>
      </c>
      <c r="P357" s="153">
        <v>174</v>
      </c>
      <c r="Q357" s="153">
        <v>1184</v>
      </c>
      <c r="R357" s="153">
        <v>0</v>
      </c>
      <c r="S357" s="153">
        <v>0</v>
      </c>
      <c r="T357" s="153"/>
      <c r="U357" s="153"/>
      <c r="V357" s="153"/>
      <c r="W357" s="153"/>
      <c r="X357" s="153"/>
      <c r="Y357" s="153"/>
      <c r="Z357" s="153"/>
      <c r="AA357" s="153"/>
      <c r="AB357" s="153"/>
      <c r="AC357" s="153"/>
      <c r="AD357" s="153"/>
      <c r="AE357" s="153"/>
      <c r="AF357" s="153"/>
      <c r="AG357" s="153"/>
      <c r="AH357" s="153"/>
      <c r="AI357" s="153"/>
      <c r="AJ357" s="153"/>
      <c r="AK357"/>
      <c r="AL357"/>
      <c r="AM357"/>
      <c r="AN357"/>
    </row>
    <row r="358" spans="1:40" x14ac:dyDescent="0.35">
      <c r="A358" s="153" t="s">
        <v>501</v>
      </c>
      <c r="B358" s="153" t="s">
        <v>182</v>
      </c>
      <c r="C358" s="153" t="s">
        <v>667</v>
      </c>
      <c r="D358" s="153" t="s">
        <v>35</v>
      </c>
      <c r="E358" s="161">
        <v>1</v>
      </c>
      <c r="F358" s="153">
        <v>0</v>
      </c>
      <c r="G358" s="153">
        <v>0</v>
      </c>
      <c r="H358" s="153">
        <v>0</v>
      </c>
      <c r="I358" s="153">
        <v>0</v>
      </c>
      <c r="J358" s="153">
        <v>0</v>
      </c>
      <c r="K358" s="153">
        <v>0</v>
      </c>
      <c r="L358" s="153">
        <v>0</v>
      </c>
      <c r="M358" s="153">
        <v>0</v>
      </c>
      <c r="N358" s="153">
        <v>0</v>
      </c>
      <c r="O358" s="153">
        <v>0</v>
      </c>
      <c r="P358" s="153">
        <v>0</v>
      </c>
      <c r="Q358" s="153">
        <v>0</v>
      </c>
      <c r="R358" s="153">
        <v>0</v>
      </c>
      <c r="S358" s="153">
        <v>0</v>
      </c>
      <c r="T358" s="153"/>
      <c r="U358" s="153"/>
      <c r="V358" s="153"/>
      <c r="W358" s="153"/>
      <c r="X358" s="153"/>
      <c r="Y358" s="153"/>
      <c r="Z358" s="153"/>
      <c r="AA358" s="153"/>
      <c r="AB358" s="153"/>
      <c r="AC358" s="153"/>
      <c r="AD358" s="153"/>
      <c r="AE358" s="153"/>
      <c r="AF358" s="153"/>
      <c r="AG358" s="153"/>
      <c r="AH358" s="153"/>
      <c r="AI358" s="153"/>
      <c r="AJ358" s="153"/>
      <c r="AK358"/>
      <c r="AL358"/>
      <c r="AM358"/>
      <c r="AN358"/>
    </row>
    <row r="359" spans="1:40" x14ac:dyDescent="0.35">
      <c r="A359" s="153"/>
      <c r="B359" s="153"/>
      <c r="C359" s="153"/>
      <c r="D359" s="153"/>
      <c r="E359" s="161"/>
      <c r="F359" s="153">
        <v>0</v>
      </c>
      <c r="G359" s="153">
        <v>0</v>
      </c>
      <c r="H359" s="153">
        <v>0</v>
      </c>
      <c r="I359" s="153">
        <v>0</v>
      </c>
      <c r="J359" s="153">
        <v>0</v>
      </c>
      <c r="K359" s="153">
        <v>0</v>
      </c>
      <c r="L359" s="153">
        <v>0</v>
      </c>
      <c r="M359" s="153">
        <v>0</v>
      </c>
      <c r="N359" s="153">
        <v>0</v>
      </c>
      <c r="O359" s="153"/>
      <c r="P359" s="153">
        <v>0</v>
      </c>
      <c r="Q359" s="153">
        <v>0</v>
      </c>
      <c r="R359" s="153">
        <v>0</v>
      </c>
      <c r="S359" s="153">
        <v>0</v>
      </c>
      <c r="T359" s="153"/>
      <c r="U359" s="153"/>
      <c r="V359" s="153"/>
      <c r="W359" s="153"/>
      <c r="X359" s="153"/>
      <c r="Y359" s="153"/>
      <c r="Z359" s="153"/>
      <c r="AA359" s="153"/>
      <c r="AB359" s="153"/>
      <c r="AC359" s="153"/>
      <c r="AD359" s="153"/>
      <c r="AE359" s="153"/>
      <c r="AF359" s="153"/>
      <c r="AG359" s="153"/>
      <c r="AH359" s="153"/>
      <c r="AI359" s="153"/>
      <c r="AJ359" s="153"/>
      <c r="AK359"/>
      <c r="AL359"/>
      <c r="AM359"/>
      <c r="AN359"/>
    </row>
    <row r="360" spans="1:40" x14ac:dyDescent="0.35">
      <c r="A360" s="153" t="s">
        <v>916</v>
      </c>
      <c r="B360" s="153" t="s">
        <v>179</v>
      </c>
      <c r="C360" s="153" t="s">
        <v>937</v>
      </c>
      <c r="D360" s="153" t="s">
        <v>35</v>
      </c>
      <c r="E360" s="161">
        <v>1</v>
      </c>
      <c r="F360" s="153">
        <v>0</v>
      </c>
      <c r="G360" s="153">
        <v>0</v>
      </c>
      <c r="H360" s="153">
        <v>0</v>
      </c>
      <c r="I360" s="153">
        <v>0</v>
      </c>
      <c r="J360" s="153">
        <v>0</v>
      </c>
      <c r="K360" s="153">
        <v>0</v>
      </c>
      <c r="L360" s="153">
        <v>0</v>
      </c>
      <c r="M360" s="153">
        <v>0</v>
      </c>
      <c r="N360" s="153">
        <v>0</v>
      </c>
      <c r="O360" s="153">
        <v>0</v>
      </c>
      <c r="P360" s="153">
        <v>0</v>
      </c>
      <c r="Q360" s="153">
        <v>0</v>
      </c>
      <c r="R360" s="153">
        <v>0</v>
      </c>
      <c r="S360" s="153">
        <v>0</v>
      </c>
      <c r="T360" s="153"/>
      <c r="U360" s="153"/>
      <c r="V360" s="153"/>
      <c r="W360" s="153"/>
      <c r="X360" s="153"/>
      <c r="Y360" s="153"/>
      <c r="Z360" s="153"/>
      <c r="AA360" s="153"/>
      <c r="AB360" s="153"/>
      <c r="AC360" s="153"/>
      <c r="AD360" s="153"/>
      <c r="AE360" s="153"/>
      <c r="AF360" s="153"/>
      <c r="AG360" s="153"/>
      <c r="AH360" s="153"/>
      <c r="AI360" s="153"/>
      <c r="AJ360" s="153"/>
      <c r="AK360"/>
      <c r="AL360"/>
      <c r="AM360"/>
      <c r="AN360"/>
    </row>
    <row r="361" spans="1:40" x14ac:dyDescent="0.35">
      <c r="A361" s="153" t="s">
        <v>916</v>
      </c>
      <c r="B361" s="153" t="s">
        <v>180</v>
      </c>
      <c r="C361" s="153" t="s">
        <v>938</v>
      </c>
      <c r="D361" s="153" t="s">
        <v>35</v>
      </c>
      <c r="E361" s="161">
        <v>1</v>
      </c>
      <c r="F361" s="153">
        <v>0</v>
      </c>
      <c r="G361" s="153">
        <v>0</v>
      </c>
      <c r="H361" s="153">
        <v>0</v>
      </c>
      <c r="I361" s="153">
        <v>0</v>
      </c>
      <c r="J361" s="153">
        <v>0</v>
      </c>
      <c r="K361" s="153">
        <v>0</v>
      </c>
      <c r="L361" s="153">
        <v>0</v>
      </c>
      <c r="M361" s="153">
        <v>0</v>
      </c>
      <c r="N361" s="153">
        <v>0</v>
      </c>
      <c r="P361" s="153">
        <v>0</v>
      </c>
      <c r="Q361" s="153">
        <v>0</v>
      </c>
      <c r="R361" s="153">
        <v>0</v>
      </c>
      <c r="S361" s="153">
        <v>0</v>
      </c>
      <c r="T361" s="153"/>
      <c r="U361" s="153"/>
      <c r="V361" s="153"/>
      <c r="W361" s="153"/>
      <c r="X361" s="153"/>
      <c r="Y361" s="153"/>
      <c r="Z361" s="153"/>
      <c r="AA361" s="153"/>
      <c r="AB361" s="153"/>
      <c r="AC361" s="153"/>
      <c r="AD361" s="153"/>
      <c r="AE361" s="153"/>
      <c r="AF361" s="153"/>
      <c r="AG361" s="153"/>
      <c r="AH361" s="153"/>
      <c r="AI361" s="153"/>
      <c r="AJ361" s="153"/>
      <c r="AK361"/>
      <c r="AL361"/>
      <c r="AM361"/>
      <c r="AN361"/>
    </row>
    <row r="362" spans="1:40" x14ac:dyDescent="0.35">
      <c r="A362" s="153" t="s">
        <v>916</v>
      </c>
      <c r="B362" s="153" t="s">
        <v>181</v>
      </c>
      <c r="C362" s="153" t="s">
        <v>939</v>
      </c>
      <c r="D362" s="153" t="s">
        <v>35</v>
      </c>
      <c r="E362" s="161">
        <v>1</v>
      </c>
      <c r="F362" s="153">
        <v>0</v>
      </c>
      <c r="G362" s="153">
        <v>0</v>
      </c>
      <c r="H362" s="153">
        <v>0</v>
      </c>
      <c r="I362" s="153">
        <v>0</v>
      </c>
      <c r="J362" s="153">
        <v>0</v>
      </c>
      <c r="K362" s="153">
        <v>0</v>
      </c>
      <c r="L362" s="153">
        <v>0</v>
      </c>
      <c r="M362" s="153">
        <v>0</v>
      </c>
      <c r="N362" s="153">
        <v>0</v>
      </c>
      <c r="P362" s="153">
        <v>0</v>
      </c>
      <c r="Q362" s="153">
        <v>0</v>
      </c>
      <c r="R362" s="153">
        <v>0</v>
      </c>
      <c r="S362" s="153">
        <v>0</v>
      </c>
      <c r="T362" s="153"/>
      <c r="U362" s="153"/>
      <c r="V362" s="153"/>
      <c r="W362" s="153"/>
      <c r="X362" s="153"/>
      <c r="Y362" s="153"/>
      <c r="Z362" s="153"/>
      <c r="AA362" s="153"/>
      <c r="AB362" s="153"/>
      <c r="AC362" s="153"/>
      <c r="AD362" s="153"/>
      <c r="AE362" s="153"/>
      <c r="AF362" s="153"/>
      <c r="AG362" s="153"/>
      <c r="AH362" s="153"/>
      <c r="AI362" s="153"/>
      <c r="AJ362" s="153"/>
      <c r="AK362"/>
      <c r="AL362"/>
      <c r="AM362"/>
      <c r="AN362"/>
    </row>
    <row r="363" spans="1:40" x14ac:dyDescent="0.35">
      <c r="A363" s="153" t="s">
        <v>916</v>
      </c>
      <c r="B363" s="153" t="s">
        <v>182</v>
      </c>
      <c r="C363" s="153" t="s">
        <v>940</v>
      </c>
      <c r="D363" s="153" t="s">
        <v>35</v>
      </c>
      <c r="E363" s="161">
        <v>1</v>
      </c>
      <c r="F363" s="153">
        <v>0</v>
      </c>
      <c r="G363" s="153">
        <v>0</v>
      </c>
      <c r="H363" s="153">
        <v>0</v>
      </c>
      <c r="I363" s="153">
        <v>0</v>
      </c>
      <c r="J363" s="153">
        <v>0</v>
      </c>
      <c r="K363" s="153">
        <v>0</v>
      </c>
      <c r="L363" s="153">
        <v>0</v>
      </c>
      <c r="M363" s="153">
        <v>0</v>
      </c>
      <c r="N363" s="153">
        <v>0</v>
      </c>
      <c r="O363" s="153">
        <v>0</v>
      </c>
      <c r="P363" s="153">
        <v>0</v>
      </c>
      <c r="Q363" s="153">
        <v>0</v>
      </c>
      <c r="R363" s="153">
        <v>0</v>
      </c>
      <c r="S363" s="153">
        <v>0</v>
      </c>
      <c r="T363" s="153"/>
      <c r="U363" s="153"/>
      <c r="V363" s="153"/>
      <c r="W363" s="153"/>
      <c r="X363" s="153"/>
      <c r="Y363" s="153"/>
      <c r="Z363" s="153"/>
      <c r="AA363" s="153"/>
      <c r="AB363" s="153"/>
      <c r="AC363" s="153"/>
      <c r="AD363" s="153"/>
      <c r="AE363" s="153"/>
      <c r="AF363" s="153"/>
      <c r="AG363" s="153"/>
      <c r="AH363" s="153"/>
      <c r="AI363" s="153"/>
      <c r="AJ363" s="153"/>
      <c r="AK363"/>
      <c r="AL363"/>
      <c r="AM363"/>
      <c r="AN363"/>
    </row>
    <row r="364" spans="1:40" x14ac:dyDescent="0.35">
      <c r="A364" s="153"/>
      <c r="B364" s="153"/>
      <c r="C364" s="153"/>
      <c r="D364" s="153"/>
      <c r="E364" s="161"/>
      <c r="F364" s="153">
        <v>0</v>
      </c>
      <c r="G364" s="153"/>
      <c r="H364" s="153"/>
      <c r="I364" s="153"/>
      <c r="J364" s="153"/>
      <c r="K364" s="153"/>
      <c r="L364" s="153"/>
      <c r="M364" s="172"/>
      <c r="N364" s="153"/>
      <c r="O364" s="153">
        <v>0</v>
      </c>
      <c r="P364" s="153"/>
      <c r="Q364" s="153"/>
      <c r="R364" s="153"/>
      <c r="S364" s="153"/>
      <c r="T364" s="153"/>
      <c r="U364" s="153"/>
      <c r="V364" s="153"/>
      <c r="W364" s="153"/>
      <c r="X364" s="153"/>
      <c r="Y364" s="153"/>
      <c r="Z364" s="153"/>
      <c r="AA364" s="153"/>
      <c r="AB364" s="153"/>
      <c r="AC364" s="153"/>
      <c r="AD364" s="153"/>
      <c r="AE364" s="153"/>
      <c r="AF364" s="153"/>
      <c r="AG364" s="153"/>
      <c r="AH364" s="153"/>
      <c r="AI364" s="153"/>
      <c r="AJ364" s="153"/>
      <c r="AK364"/>
      <c r="AL364"/>
      <c r="AM364"/>
      <c r="AN364"/>
    </row>
    <row r="365" spans="1:40" x14ac:dyDescent="0.35">
      <c r="A365" s="153" t="s">
        <v>486</v>
      </c>
      <c r="B365" s="153" t="s">
        <v>179</v>
      </c>
      <c r="C365" s="153" t="s">
        <v>699</v>
      </c>
      <c r="D365" s="153" t="s">
        <v>67</v>
      </c>
      <c r="E365" s="161">
        <v>1</v>
      </c>
      <c r="F365" s="153">
        <v>0</v>
      </c>
      <c r="G365" s="153">
        <v>0</v>
      </c>
      <c r="H365" s="153">
        <v>0</v>
      </c>
      <c r="I365" s="153">
        <v>0</v>
      </c>
      <c r="J365" s="153">
        <v>0</v>
      </c>
      <c r="K365" s="153">
        <v>0</v>
      </c>
      <c r="L365" s="153">
        <v>0</v>
      </c>
      <c r="M365" s="172">
        <v>0</v>
      </c>
      <c r="N365" s="153">
        <v>0</v>
      </c>
      <c r="O365" s="153">
        <v>0</v>
      </c>
      <c r="P365" s="153">
        <v>0</v>
      </c>
      <c r="Q365" s="153">
        <v>0</v>
      </c>
      <c r="R365" s="153">
        <v>0</v>
      </c>
      <c r="S365" s="153">
        <v>0</v>
      </c>
      <c r="T365" s="153"/>
      <c r="U365" s="153"/>
      <c r="V365" s="153"/>
      <c r="W365" s="153"/>
      <c r="X365" s="153"/>
      <c r="Y365" s="153"/>
      <c r="Z365" s="153"/>
      <c r="AA365" s="153"/>
      <c r="AB365" s="153"/>
      <c r="AC365" s="153"/>
      <c r="AD365" s="153"/>
      <c r="AE365" s="153"/>
      <c r="AF365" s="153"/>
      <c r="AG365" s="153"/>
      <c r="AH365" s="153"/>
      <c r="AI365" s="153"/>
      <c r="AJ365" s="153"/>
      <c r="AK365"/>
      <c r="AL365"/>
      <c r="AM365"/>
      <c r="AN365"/>
    </row>
    <row r="366" spans="1:40" x14ac:dyDescent="0.35">
      <c r="A366" s="153" t="s">
        <v>486</v>
      </c>
      <c r="B366" s="153" t="s">
        <v>180</v>
      </c>
      <c r="C366" s="153" t="s">
        <v>700</v>
      </c>
      <c r="D366" s="153" t="s">
        <v>67</v>
      </c>
      <c r="E366" s="161">
        <v>1</v>
      </c>
      <c r="F366" s="153">
        <v>0</v>
      </c>
      <c r="G366" s="153">
        <v>0</v>
      </c>
      <c r="H366" s="153">
        <v>0</v>
      </c>
      <c r="I366" s="153">
        <v>0</v>
      </c>
      <c r="J366" s="153">
        <v>0</v>
      </c>
      <c r="K366" s="153">
        <v>0</v>
      </c>
      <c r="L366" s="153">
        <v>0</v>
      </c>
      <c r="M366" s="172">
        <v>0</v>
      </c>
      <c r="N366" s="153">
        <v>0</v>
      </c>
      <c r="O366" s="153">
        <v>0</v>
      </c>
      <c r="P366" s="153">
        <v>0</v>
      </c>
      <c r="Q366" s="153">
        <v>0</v>
      </c>
      <c r="R366" s="153">
        <v>0</v>
      </c>
      <c r="S366" s="153">
        <v>0</v>
      </c>
      <c r="T366" s="153"/>
      <c r="U366" s="153"/>
      <c r="V366" s="153"/>
      <c r="W366" s="153"/>
      <c r="X366" s="153"/>
      <c r="Y366" s="153"/>
      <c r="Z366" s="153"/>
      <c r="AA366" s="153"/>
      <c r="AB366" s="153"/>
      <c r="AC366" s="153"/>
      <c r="AD366" s="153"/>
      <c r="AE366" s="153"/>
      <c r="AF366" s="153"/>
      <c r="AG366" s="153"/>
      <c r="AH366" s="153"/>
      <c r="AI366" s="153"/>
      <c r="AJ366" s="153"/>
      <c r="AK366"/>
      <c r="AL366"/>
      <c r="AM366"/>
      <c r="AN366"/>
    </row>
    <row r="367" spans="1:40" x14ac:dyDescent="0.35">
      <c r="A367" s="153" t="s">
        <v>486</v>
      </c>
      <c r="B367" s="153" t="s">
        <v>181</v>
      </c>
      <c r="C367" s="153" t="s">
        <v>701</v>
      </c>
      <c r="D367" s="153" t="s">
        <v>67</v>
      </c>
      <c r="E367" s="161">
        <v>1</v>
      </c>
      <c r="F367" s="153">
        <v>0</v>
      </c>
      <c r="G367" s="153">
        <v>0</v>
      </c>
      <c r="H367" s="153">
        <v>0</v>
      </c>
      <c r="I367" s="153">
        <v>0</v>
      </c>
      <c r="J367" s="153">
        <v>0</v>
      </c>
      <c r="K367" s="153">
        <v>0</v>
      </c>
      <c r="L367" s="153">
        <v>0</v>
      </c>
      <c r="M367" s="172">
        <v>0</v>
      </c>
      <c r="N367" s="153">
        <v>0</v>
      </c>
      <c r="O367" s="153">
        <v>0</v>
      </c>
      <c r="P367" s="153">
        <v>0</v>
      </c>
      <c r="Q367" s="153">
        <v>0</v>
      </c>
      <c r="R367" s="153">
        <v>0</v>
      </c>
      <c r="S367" s="153">
        <v>0</v>
      </c>
      <c r="T367" s="153"/>
      <c r="U367" s="153"/>
      <c r="V367" s="153"/>
      <c r="W367" s="153"/>
      <c r="X367" s="153"/>
      <c r="Y367" s="153"/>
      <c r="Z367" s="153"/>
      <c r="AA367" s="153"/>
      <c r="AB367" s="153"/>
      <c r="AC367" s="153"/>
      <c r="AD367" s="153"/>
      <c r="AE367" s="153"/>
      <c r="AF367" s="153"/>
      <c r="AG367" s="153"/>
      <c r="AH367" s="153"/>
      <c r="AI367" s="153"/>
      <c r="AJ367" s="153"/>
      <c r="AK367"/>
      <c r="AL367"/>
      <c r="AM367"/>
      <c r="AN367"/>
    </row>
    <row r="368" spans="1:40" x14ac:dyDescent="0.35">
      <c r="A368" s="153" t="s">
        <v>486</v>
      </c>
      <c r="B368" s="153" t="s">
        <v>182</v>
      </c>
      <c r="C368" s="153" t="s">
        <v>702</v>
      </c>
      <c r="D368" s="153" t="s">
        <v>67</v>
      </c>
      <c r="E368" s="161">
        <v>1</v>
      </c>
      <c r="F368" s="153">
        <v>0</v>
      </c>
      <c r="G368" s="153">
        <v>0</v>
      </c>
      <c r="H368" s="153">
        <v>0</v>
      </c>
      <c r="I368" s="153">
        <v>0</v>
      </c>
      <c r="J368" s="153">
        <v>0</v>
      </c>
      <c r="K368" s="153">
        <v>0</v>
      </c>
      <c r="L368" s="153">
        <v>0</v>
      </c>
      <c r="M368" s="153">
        <v>0</v>
      </c>
      <c r="N368" s="153">
        <v>0</v>
      </c>
      <c r="O368" s="153">
        <v>0</v>
      </c>
      <c r="P368" s="153">
        <v>0</v>
      </c>
      <c r="Q368" s="153">
        <v>0</v>
      </c>
      <c r="R368" s="153">
        <v>0</v>
      </c>
      <c r="S368" s="153">
        <v>0</v>
      </c>
      <c r="T368" s="153"/>
      <c r="U368" s="153"/>
      <c r="V368" s="153"/>
      <c r="W368" s="153"/>
      <c r="X368" s="153"/>
      <c r="Y368" s="153"/>
      <c r="Z368" s="153"/>
      <c r="AA368" s="153"/>
      <c r="AB368" s="153"/>
      <c r="AC368" s="153"/>
      <c r="AD368" s="153"/>
      <c r="AE368" s="153"/>
      <c r="AF368" s="153"/>
      <c r="AG368" s="153"/>
      <c r="AH368" s="153"/>
      <c r="AI368" s="153"/>
      <c r="AJ368" s="153"/>
      <c r="AK368"/>
      <c r="AL368"/>
      <c r="AM368"/>
      <c r="AN368"/>
    </row>
    <row r="369" spans="1:40" x14ac:dyDescent="0.35">
      <c r="A369" s="153"/>
      <c r="B369" s="153"/>
      <c r="C369" s="153"/>
      <c r="D369" s="153"/>
      <c r="E369" s="161"/>
      <c r="F369" s="153">
        <v>0</v>
      </c>
      <c r="G369" s="153">
        <v>0</v>
      </c>
      <c r="H369" s="153">
        <v>0</v>
      </c>
      <c r="I369" s="153">
        <v>0</v>
      </c>
      <c r="J369" s="153">
        <v>0</v>
      </c>
      <c r="K369" s="153">
        <v>0</v>
      </c>
      <c r="L369" s="153">
        <v>0</v>
      </c>
      <c r="M369" s="172">
        <v>0</v>
      </c>
      <c r="N369" s="153">
        <v>0</v>
      </c>
      <c r="O369" s="153"/>
      <c r="P369" s="153">
        <v>0</v>
      </c>
      <c r="Q369" s="153">
        <v>0</v>
      </c>
      <c r="R369" s="153">
        <v>0</v>
      </c>
      <c r="S369" s="153">
        <v>0</v>
      </c>
      <c r="T369" s="153"/>
      <c r="U369" s="153"/>
      <c r="V369" s="153"/>
      <c r="W369" s="153"/>
      <c r="X369" s="153"/>
      <c r="Y369" s="153"/>
      <c r="Z369" s="153"/>
      <c r="AA369" s="153"/>
      <c r="AB369" s="153"/>
      <c r="AC369" s="153"/>
      <c r="AD369" s="153"/>
      <c r="AE369" s="153"/>
      <c r="AF369" s="153"/>
      <c r="AG369" s="153"/>
      <c r="AH369" s="153"/>
      <c r="AI369" s="153"/>
      <c r="AJ369" s="153"/>
      <c r="AK369"/>
      <c r="AL369"/>
      <c r="AM369"/>
      <c r="AN369"/>
    </row>
    <row r="370" spans="1:40" x14ac:dyDescent="0.35">
      <c r="A370" s="153" t="s">
        <v>28</v>
      </c>
      <c r="B370" s="153" t="s">
        <v>179</v>
      </c>
      <c r="C370" s="153" t="s">
        <v>224</v>
      </c>
      <c r="D370" s="153" t="s">
        <v>35</v>
      </c>
      <c r="E370" s="161">
        <v>1</v>
      </c>
      <c r="F370" s="153">
        <v>0</v>
      </c>
      <c r="G370" s="153">
        <v>0</v>
      </c>
      <c r="H370" s="153">
        <v>0</v>
      </c>
      <c r="I370" s="153">
        <v>0</v>
      </c>
      <c r="J370" s="153">
        <v>0</v>
      </c>
      <c r="K370" s="153">
        <v>0</v>
      </c>
      <c r="L370" s="153">
        <v>0</v>
      </c>
      <c r="M370" s="172">
        <v>0</v>
      </c>
      <c r="N370" s="153">
        <v>0</v>
      </c>
      <c r="O370" s="153">
        <v>0</v>
      </c>
      <c r="P370" s="153">
        <v>0</v>
      </c>
      <c r="Q370" s="153">
        <v>0</v>
      </c>
      <c r="R370" s="153">
        <v>0</v>
      </c>
      <c r="S370" s="153">
        <v>0</v>
      </c>
      <c r="T370" s="153"/>
      <c r="U370" s="153"/>
      <c r="V370" s="153"/>
      <c r="W370" s="153"/>
      <c r="X370" s="153"/>
      <c r="Y370" s="153"/>
      <c r="Z370" s="153"/>
      <c r="AA370" s="153"/>
      <c r="AB370" s="153"/>
      <c r="AC370" s="153"/>
      <c r="AD370" s="153"/>
      <c r="AE370" s="153"/>
      <c r="AF370" s="153"/>
      <c r="AG370" s="153"/>
      <c r="AH370" s="153"/>
      <c r="AI370" s="153"/>
      <c r="AJ370" s="153"/>
      <c r="AK370"/>
      <c r="AL370"/>
      <c r="AM370"/>
      <c r="AN370"/>
    </row>
    <row r="371" spans="1:40" x14ac:dyDescent="0.35">
      <c r="A371" s="153" t="s">
        <v>28</v>
      </c>
      <c r="B371" s="153" t="s">
        <v>180</v>
      </c>
      <c r="C371" s="153" t="s">
        <v>225</v>
      </c>
      <c r="D371" s="153" t="s">
        <v>35</v>
      </c>
      <c r="E371" s="161">
        <v>1</v>
      </c>
      <c r="F371" s="153">
        <v>0</v>
      </c>
      <c r="G371" s="153">
        <v>0</v>
      </c>
      <c r="H371" s="153">
        <v>0</v>
      </c>
      <c r="I371" s="153">
        <v>0</v>
      </c>
      <c r="J371" s="153">
        <v>0</v>
      </c>
      <c r="K371" s="153">
        <v>0</v>
      </c>
      <c r="L371" s="153">
        <v>0</v>
      </c>
      <c r="M371" s="172">
        <v>0</v>
      </c>
      <c r="N371" s="153">
        <v>0</v>
      </c>
      <c r="O371" s="153">
        <v>0</v>
      </c>
      <c r="P371" s="153">
        <v>0</v>
      </c>
      <c r="Q371" s="153">
        <v>0</v>
      </c>
      <c r="R371" s="153">
        <v>0</v>
      </c>
      <c r="S371" s="153">
        <v>0</v>
      </c>
      <c r="T371" s="153"/>
      <c r="U371" s="153"/>
      <c r="V371" s="153"/>
      <c r="W371" s="153"/>
      <c r="X371" s="153"/>
      <c r="Y371" s="153"/>
      <c r="Z371" s="153"/>
      <c r="AA371" s="153"/>
      <c r="AB371" s="153"/>
      <c r="AC371" s="153"/>
      <c r="AD371" s="153"/>
      <c r="AE371" s="153"/>
      <c r="AF371" s="153"/>
      <c r="AG371" s="153"/>
      <c r="AH371" s="153"/>
      <c r="AI371" s="153"/>
      <c r="AJ371" s="153"/>
      <c r="AK371"/>
      <c r="AL371"/>
      <c r="AM371"/>
      <c r="AN371"/>
    </row>
    <row r="372" spans="1:40" x14ac:dyDescent="0.35">
      <c r="A372" s="153" t="s">
        <v>28</v>
      </c>
      <c r="B372" s="153" t="s">
        <v>181</v>
      </c>
      <c r="C372" s="153" t="s">
        <v>226</v>
      </c>
      <c r="D372" s="153" t="s">
        <v>35</v>
      </c>
      <c r="E372" s="161">
        <v>1</v>
      </c>
      <c r="F372" s="153">
        <v>0</v>
      </c>
      <c r="G372" s="153">
        <v>0</v>
      </c>
      <c r="H372" s="153">
        <v>0</v>
      </c>
      <c r="I372" s="153">
        <v>0</v>
      </c>
      <c r="J372" s="153">
        <v>0</v>
      </c>
      <c r="K372" s="153">
        <v>0</v>
      </c>
      <c r="L372" s="153">
        <v>0</v>
      </c>
      <c r="M372" s="172">
        <v>0</v>
      </c>
      <c r="N372" s="153">
        <v>0</v>
      </c>
      <c r="O372" s="153">
        <v>0</v>
      </c>
      <c r="P372" s="153">
        <v>0</v>
      </c>
      <c r="Q372" s="153">
        <v>0</v>
      </c>
      <c r="R372" s="153">
        <v>0</v>
      </c>
      <c r="S372" s="153">
        <v>0</v>
      </c>
      <c r="T372" s="153"/>
      <c r="U372" s="153"/>
      <c r="V372" s="153"/>
      <c r="W372" s="153"/>
      <c r="X372" s="153"/>
      <c r="Y372" s="153"/>
      <c r="Z372" s="153"/>
      <c r="AA372" s="153"/>
      <c r="AB372" s="153"/>
      <c r="AC372" s="153"/>
      <c r="AD372" s="153"/>
      <c r="AE372" s="153"/>
      <c r="AF372" s="153"/>
      <c r="AG372" s="153"/>
      <c r="AH372" s="153"/>
      <c r="AI372" s="153"/>
      <c r="AJ372" s="153"/>
      <c r="AK372"/>
      <c r="AL372"/>
      <c r="AM372"/>
      <c r="AN372"/>
    </row>
    <row r="373" spans="1:40" x14ac:dyDescent="0.35">
      <c r="A373" s="153" t="s">
        <v>28</v>
      </c>
      <c r="B373" s="153" t="s">
        <v>182</v>
      </c>
      <c r="C373" s="153" t="s">
        <v>227</v>
      </c>
      <c r="D373" s="153" t="s">
        <v>35</v>
      </c>
      <c r="E373" s="161">
        <v>1</v>
      </c>
      <c r="F373" s="153">
        <v>0</v>
      </c>
      <c r="G373" s="153"/>
      <c r="H373" s="153"/>
      <c r="I373" s="153"/>
      <c r="J373" s="153"/>
      <c r="K373" s="153"/>
      <c r="L373" s="153"/>
      <c r="M373" s="153"/>
      <c r="N373" s="153"/>
      <c r="O373" s="153">
        <v>0</v>
      </c>
      <c r="P373" s="153"/>
      <c r="Q373" s="153"/>
      <c r="R373" s="153"/>
      <c r="S373" s="153"/>
      <c r="T373" s="153"/>
      <c r="U373" s="153"/>
      <c r="V373" s="153"/>
      <c r="W373" s="153"/>
      <c r="X373" s="153"/>
      <c r="Y373" s="153"/>
      <c r="Z373" s="153"/>
      <c r="AA373" s="153"/>
      <c r="AB373" s="153"/>
      <c r="AC373" s="153"/>
      <c r="AD373" s="153"/>
      <c r="AE373" s="153"/>
      <c r="AF373" s="153"/>
      <c r="AG373" s="153"/>
      <c r="AH373" s="153"/>
      <c r="AI373" s="153"/>
      <c r="AJ373" s="153"/>
      <c r="AK373"/>
      <c r="AL373"/>
      <c r="AM373"/>
      <c r="AN373"/>
    </row>
    <row r="374" spans="1:40" x14ac:dyDescent="0.35">
      <c r="A374" s="153"/>
      <c r="B374" s="153"/>
      <c r="C374" s="153"/>
      <c r="D374" s="153"/>
      <c r="E374" s="161"/>
      <c r="F374" s="153">
        <v>0</v>
      </c>
      <c r="G374" s="153">
        <v>0</v>
      </c>
      <c r="H374" s="153">
        <v>0</v>
      </c>
      <c r="I374" s="153">
        <v>0</v>
      </c>
      <c r="J374" s="153">
        <v>0</v>
      </c>
      <c r="K374" s="153">
        <v>0</v>
      </c>
      <c r="L374" s="153">
        <v>0</v>
      </c>
      <c r="M374" s="172">
        <v>0</v>
      </c>
      <c r="N374" s="153">
        <v>0</v>
      </c>
      <c r="O374" s="153">
        <v>0</v>
      </c>
      <c r="P374" s="153">
        <v>0</v>
      </c>
      <c r="Q374" s="153">
        <v>0</v>
      </c>
      <c r="R374" s="153">
        <v>0</v>
      </c>
      <c r="S374" s="153">
        <v>0</v>
      </c>
      <c r="T374" s="153"/>
      <c r="U374" s="153"/>
      <c r="V374" s="153"/>
      <c r="W374" s="153"/>
      <c r="X374" s="153"/>
      <c r="Y374" s="153"/>
      <c r="Z374" s="153"/>
      <c r="AA374" s="153"/>
      <c r="AB374" s="153"/>
      <c r="AC374" s="153"/>
      <c r="AD374" s="153"/>
      <c r="AE374" s="153"/>
      <c r="AF374" s="153"/>
      <c r="AG374" s="153"/>
      <c r="AH374" s="153"/>
      <c r="AI374" s="153"/>
      <c r="AJ374" s="153"/>
      <c r="AK374"/>
      <c r="AL374"/>
      <c r="AM374"/>
      <c r="AN374"/>
    </row>
    <row r="375" spans="1:40" x14ac:dyDescent="0.35">
      <c r="A375" s="153" t="s">
        <v>541</v>
      </c>
      <c r="B375" s="153" t="s">
        <v>179</v>
      </c>
      <c r="C375" s="153" t="s">
        <v>731</v>
      </c>
      <c r="D375" s="153" t="s">
        <v>67</v>
      </c>
      <c r="E375" s="161">
        <v>1</v>
      </c>
      <c r="F375" s="153">
        <v>0</v>
      </c>
      <c r="G375" s="153">
        <v>0</v>
      </c>
      <c r="H375" s="153">
        <v>0</v>
      </c>
      <c r="I375" s="153">
        <v>0</v>
      </c>
      <c r="J375" s="153">
        <v>0</v>
      </c>
      <c r="K375" s="153">
        <v>0</v>
      </c>
      <c r="L375" s="153">
        <v>0</v>
      </c>
      <c r="M375" s="172">
        <v>0</v>
      </c>
      <c r="N375" s="153">
        <v>0</v>
      </c>
      <c r="O375" s="153">
        <v>0</v>
      </c>
      <c r="P375" s="153">
        <v>0</v>
      </c>
      <c r="Q375" s="153">
        <v>0</v>
      </c>
      <c r="R375" s="153">
        <v>0</v>
      </c>
      <c r="S375" s="153">
        <v>0</v>
      </c>
      <c r="T375" s="153"/>
      <c r="U375" s="153"/>
      <c r="V375" s="153"/>
      <c r="W375" s="153"/>
      <c r="X375" s="153"/>
      <c r="Y375" s="153"/>
      <c r="Z375" s="153"/>
      <c r="AA375" s="153"/>
      <c r="AB375" s="153"/>
      <c r="AC375" s="153"/>
      <c r="AD375" s="153"/>
      <c r="AE375" s="153"/>
      <c r="AF375" s="153"/>
      <c r="AG375" s="153"/>
      <c r="AH375" s="153"/>
      <c r="AI375" s="153"/>
      <c r="AJ375" s="153"/>
      <c r="AK375"/>
      <c r="AL375"/>
      <c r="AM375"/>
      <c r="AN375"/>
    </row>
    <row r="376" spans="1:40" x14ac:dyDescent="0.35">
      <c r="A376" s="153" t="s">
        <v>541</v>
      </c>
      <c r="B376" s="153" t="s">
        <v>180</v>
      </c>
      <c r="C376" s="153" t="s">
        <v>732</v>
      </c>
      <c r="D376" s="153" t="s">
        <v>67</v>
      </c>
      <c r="E376" s="161">
        <v>1</v>
      </c>
      <c r="F376" s="153">
        <v>0</v>
      </c>
      <c r="G376" s="153">
        <v>0</v>
      </c>
      <c r="H376" s="153">
        <v>0</v>
      </c>
      <c r="I376" s="153">
        <v>0</v>
      </c>
      <c r="J376" s="153">
        <v>0</v>
      </c>
      <c r="K376" s="153">
        <v>0</v>
      </c>
      <c r="L376" s="153">
        <v>0</v>
      </c>
      <c r="M376" s="172">
        <v>0</v>
      </c>
      <c r="N376" s="153">
        <v>0</v>
      </c>
      <c r="O376" s="153">
        <v>0</v>
      </c>
      <c r="P376" s="153">
        <v>0</v>
      </c>
      <c r="Q376" s="153">
        <v>0</v>
      </c>
      <c r="R376" s="153">
        <v>0</v>
      </c>
      <c r="S376" s="153">
        <v>0</v>
      </c>
      <c r="T376" s="153"/>
      <c r="U376" s="153"/>
      <c r="V376" s="153"/>
      <c r="W376" s="153"/>
      <c r="X376" s="153"/>
      <c r="Y376" s="153"/>
      <c r="Z376" s="153"/>
      <c r="AA376" s="153"/>
      <c r="AB376" s="153"/>
      <c r="AC376" s="153"/>
      <c r="AD376" s="153"/>
      <c r="AE376" s="153"/>
      <c r="AF376" s="153"/>
      <c r="AG376" s="153"/>
      <c r="AH376" s="153"/>
      <c r="AI376" s="153"/>
      <c r="AJ376" s="153"/>
      <c r="AK376"/>
      <c r="AL376"/>
      <c r="AM376"/>
      <c r="AN376"/>
    </row>
    <row r="377" spans="1:40" x14ac:dyDescent="0.35">
      <c r="A377" s="153" t="s">
        <v>541</v>
      </c>
      <c r="B377" s="153" t="s">
        <v>181</v>
      </c>
      <c r="C377" s="153" t="s">
        <v>733</v>
      </c>
      <c r="D377" s="153" t="s">
        <v>67</v>
      </c>
      <c r="E377" s="161">
        <v>1</v>
      </c>
      <c r="F377" s="153">
        <v>0</v>
      </c>
      <c r="G377" s="153">
        <v>0</v>
      </c>
      <c r="H377" s="153">
        <v>0</v>
      </c>
      <c r="I377" s="153">
        <v>0</v>
      </c>
      <c r="J377" s="153">
        <v>0</v>
      </c>
      <c r="K377" s="153">
        <v>0</v>
      </c>
      <c r="L377" s="153">
        <v>0</v>
      </c>
      <c r="M377" s="172">
        <v>0</v>
      </c>
      <c r="N377" s="153">
        <v>0</v>
      </c>
      <c r="O377" s="153">
        <v>0</v>
      </c>
      <c r="P377" s="153">
        <v>0</v>
      </c>
      <c r="Q377" s="153">
        <v>0</v>
      </c>
      <c r="R377" s="153">
        <v>0</v>
      </c>
      <c r="S377" s="153">
        <v>0</v>
      </c>
      <c r="T377" s="153"/>
      <c r="U377" s="153"/>
      <c r="V377" s="153"/>
      <c r="W377" s="153"/>
      <c r="X377" s="153"/>
      <c r="Y377" s="153"/>
      <c r="Z377" s="153"/>
      <c r="AA377" s="153"/>
      <c r="AB377" s="153"/>
      <c r="AC377" s="153"/>
      <c r="AD377" s="153"/>
      <c r="AE377" s="153"/>
      <c r="AF377" s="153"/>
      <c r="AG377" s="153"/>
      <c r="AH377" s="153"/>
      <c r="AI377" s="153"/>
      <c r="AJ377" s="153"/>
      <c r="AK377"/>
      <c r="AL377"/>
      <c r="AM377"/>
      <c r="AN377"/>
    </row>
    <row r="378" spans="1:40" x14ac:dyDescent="0.35">
      <c r="A378" s="153" t="s">
        <v>541</v>
      </c>
      <c r="B378" s="153" t="s">
        <v>182</v>
      </c>
      <c r="C378" s="153" t="s">
        <v>734</v>
      </c>
      <c r="D378" s="153" t="s">
        <v>67</v>
      </c>
      <c r="E378" s="161">
        <v>1</v>
      </c>
      <c r="F378" s="153">
        <v>0</v>
      </c>
      <c r="G378" s="153"/>
      <c r="H378" s="153"/>
      <c r="I378" s="153"/>
      <c r="J378" s="153"/>
      <c r="K378" s="153"/>
      <c r="L378" s="153"/>
      <c r="M378" s="153"/>
      <c r="N378" s="153"/>
      <c r="O378" s="153"/>
      <c r="P378" s="153"/>
      <c r="Q378" s="153"/>
      <c r="R378" s="153"/>
      <c r="S378" s="153"/>
      <c r="T378" s="153"/>
      <c r="U378" s="153"/>
      <c r="V378" s="153"/>
      <c r="W378" s="153"/>
      <c r="X378" s="153"/>
      <c r="Y378" s="153"/>
      <c r="Z378" s="153"/>
      <c r="AA378" s="153"/>
      <c r="AB378" s="153"/>
      <c r="AC378" s="153"/>
      <c r="AD378" s="153"/>
      <c r="AE378" s="153"/>
      <c r="AF378" s="153"/>
      <c r="AG378" s="153"/>
      <c r="AH378" s="153"/>
      <c r="AI378" s="153"/>
      <c r="AJ378" s="153"/>
      <c r="AK378"/>
      <c r="AL378"/>
      <c r="AM378"/>
      <c r="AN378"/>
    </row>
    <row r="379" spans="1:40" x14ac:dyDescent="0.35">
      <c r="A379" s="153"/>
      <c r="B379" s="153"/>
      <c r="C379" s="153"/>
      <c r="D379" s="153"/>
      <c r="E379" s="161"/>
      <c r="F379" s="153">
        <v>0</v>
      </c>
      <c r="G379" s="153">
        <v>0</v>
      </c>
      <c r="H379" s="153">
        <v>0</v>
      </c>
      <c r="I379" s="153">
        <v>0</v>
      </c>
      <c r="J379" s="153">
        <v>0</v>
      </c>
      <c r="K379" s="153">
        <v>0</v>
      </c>
      <c r="L379" s="153">
        <v>0</v>
      </c>
      <c r="M379" s="172">
        <v>0</v>
      </c>
      <c r="N379" s="153">
        <v>0</v>
      </c>
      <c r="O379" s="153">
        <v>0</v>
      </c>
      <c r="P379" s="153">
        <v>0</v>
      </c>
      <c r="Q379" s="153">
        <v>0</v>
      </c>
      <c r="R379" s="153">
        <v>0</v>
      </c>
      <c r="S379" s="153">
        <v>0</v>
      </c>
      <c r="T379" s="153"/>
      <c r="U379" s="153"/>
      <c r="V379" s="153"/>
      <c r="W379" s="153"/>
      <c r="X379" s="153"/>
      <c r="Y379" s="153"/>
      <c r="Z379" s="153"/>
      <c r="AA379" s="153"/>
      <c r="AB379" s="153"/>
      <c r="AC379" s="153"/>
      <c r="AD379" s="153"/>
      <c r="AE379" s="153"/>
      <c r="AF379" s="153"/>
      <c r="AG379" s="153"/>
      <c r="AH379" s="153"/>
      <c r="AI379" s="153"/>
      <c r="AJ379" s="153"/>
      <c r="AK379"/>
      <c r="AL379"/>
      <c r="AM379"/>
      <c r="AN379"/>
    </row>
    <row r="380" spans="1:40" x14ac:dyDescent="0.35">
      <c r="A380" s="153" t="s">
        <v>920</v>
      </c>
      <c r="B380" s="153" t="s">
        <v>179</v>
      </c>
      <c r="C380" s="153" t="s">
        <v>952</v>
      </c>
      <c r="D380" s="153" t="s">
        <v>67</v>
      </c>
      <c r="E380" s="161">
        <v>1</v>
      </c>
      <c r="F380" s="153">
        <v>0</v>
      </c>
      <c r="G380" s="153">
        <v>0</v>
      </c>
      <c r="H380" s="153">
        <v>0</v>
      </c>
      <c r="I380" s="153">
        <v>0</v>
      </c>
      <c r="J380" s="153">
        <v>0</v>
      </c>
      <c r="K380" s="153">
        <v>0</v>
      </c>
      <c r="L380" s="153">
        <v>0</v>
      </c>
      <c r="M380" s="172">
        <v>0</v>
      </c>
      <c r="N380" s="153">
        <v>0</v>
      </c>
      <c r="O380" s="153">
        <v>0</v>
      </c>
      <c r="P380" s="153">
        <v>0</v>
      </c>
      <c r="Q380" s="153">
        <v>0</v>
      </c>
      <c r="R380" s="153">
        <v>0</v>
      </c>
      <c r="S380" s="153">
        <v>0</v>
      </c>
      <c r="T380" s="153"/>
      <c r="U380" s="153"/>
      <c r="V380" s="153"/>
      <c r="W380" s="153"/>
      <c r="X380" s="153"/>
      <c r="Y380" s="153"/>
      <c r="Z380" s="153"/>
      <c r="AA380" s="153"/>
      <c r="AB380" s="153"/>
      <c r="AC380" s="153"/>
      <c r="AD380" s="153"/>
      <c r="AE380" s="153"/>
      <c r="AF380" s="153"/>
      <c r="AG380" s="153"/>
      <c r="AH380" s="153"/>
      <c r="AI380" s="153"/>
      <c r="AJ380" s="153"/>
      <c r="AK380"/>
      <c r="AL380"/>
      <c r="AM380"/>
      <c r="AN380"/>
    </row>
    <row r="381" spans="1:40" x14ac:dyDescent="0.35">
      <c r="A381" s="153" t="s">
        <v>920</v>
      </c>
      <c r="B381" s="153" t="s">
        <v>180</v>
      </c>
      <c r="C381" s="153" t="s">
        <v>953</v>
      </c>
      <c r="D381" s="153" t="s">
        <v>67</v>
      </c>
      <c r="E381" s="161">
        <v>1</v>
      </c>
      <c r="F381" s="153">
        <v>0</v>
      </c>
      <c r="G381" s="153">
        <v>0</v>
      </c>
      <c r="H381" s="153">
        <v>0</v>
      </c>
      <c r="I381" s="153">
        <v>0</v>
      </c>
      <c r="J381" s="153">
        <v>0</v>
      </c>
      <c r="K381" s="153">
        <v>0</v>
      </c>
      <c r="L381" s="153">
        <v>0</v>
      </c>
      <c r="M381" s="172">
        <v>0</v>
      </c>
      <c r="N381" s="153">
        <v>0</v>
      </c>
      <c r="O381" s="153">
        <v>0</v>
      </c>
      <c r="P381" s="153">
        <v>0</v>
      </c>
      <c r="Q381" s="153">
        <v>0</v>
      </c>
      <c r="R381" s="153">
        <v>0</v>
      </c>
      <c r="S381" s="153">
        <v>0</v>
      </c>
      <c r="T381" s="153"/>
      <c r="U381" s="153"/>
      <c r="V381" s="153"/>
      <c r="W381" s="153"/>
      <c r="X381" s="153"/>
      <c r="Y381" s="153"/>
      <c r="Z381" s="153"/>
      <c r="AA381" s="153"/>
      <c r="AB381" s="153"/>
      <c r="AC381" s="153"/>
      <c r="AD381" s="153"/>
      <c r="AE381" s="153"/>
      <c r="AF381" s="153"/>
      <c r="AG381" s="153"/>
      <c r="AH381" s="153"/>
      <c r="AI381" s="153"/>
      <c r="AJ381" s="153"/>
      <c r="AK381"/>
      <c r="AL381"/>
      <c r="AM381"/>
      <c r="AN381"/>
    </row>
    <row r="382" spans="1:40" x14ac:dyDescent="0.35">
      <c r="A382" s="153" t="s">
        <v>920</v>
      </c>
      <c r="B382" s="153" t="s">
        <v>181</v>
      </c>
      <c r="C382" s="153" t="s">
        <v>954</v>
      </c>
      <c r="D382" s="153" t="s">
        <v>67</v>
      </c>
      <c r="E382" s="161">
        <v>1</v>
      </c>
      <c r="F382" s="153">
        <v>0</v>
      </c>
      <c r="G382" s="153">
        <v>0</v>
      </c>
      <c r="H382" s="153">
        <v>0</v>
      </c>
      <c r="I382" s="153">
        <v>0</v>
      </c>
      <c r="J382" s="153">
        <v>0</v>
      </c>
      <c r="K382" s="153">
        <v>0</v>
      </c>
      <c r="L382" s="153">
        <v>0</v>
      </c>
      <c r="M382" s="172">
        <v>0</v>
      </c>
      <c r="N382" s="153">
        <v>0</v>
      </c>
      <c r="O382" s="153">
        <v>0</v>
      </c>
      <c r="P382" s="153">
        <v>0</v>
      </c>
      <c r="Q382" s="153">
        <v>0</v>
      </c>
      <c r="R382" s="153">
        <v>0</v>
      </c>
      <c r="S382" s="153">
        <v>0</v>
      </c>
      <c r="T382" s="153"/>
      <c r="U382" s="153"/>
      <c r="V382" s="153"/>
      <c r="W382" s="153"/>
      <c r="X382" s="153"/>
      <c r="Y382" s="153"/>
      <c r="Z382" s="153"/>
      <c r="AA382" s="153"/>
      <c r="AB382" s="153"/>
      <c r="AC382" s="153"/>
      <c r="AD382" s="153"/>
      <c r="AE382" s="153"/>
      <c r="AF382" s="153"/>
      <c r="AG382" s="153"/>
      <c r="AH382" s="153"/>
      <c r="AI382" s="153"/>
      <c r="AJ382" s="153"/>
      <c r="AK382"/>
      <c r="AL382"/>
      <c r="AM382"/>
      <c r="AN382"/>
    </row>
    <row r="383" spans="1:40" x14ac:dyDescent="0.35">
      <c r="A383" s="153" t="s">
        <v>920</v>
      </c>
      <c r="B383" s="153" t="s">
        <v>182</v>
      </c>
      <c r="C383" s="153" t="s">
        <v>955</v>
      </c>
      <c r="D383" s="153" t="s">
        <v>67</v>
      </c>
      <c r="E383" s="161">
        <v>1</v>
      </c>
      <c r="F383" s="153">
        <v>0</v>
      </c>
      <c r="G383" s="153"/>
      <c r="H383" s="153"/>
      <c r="I383" s="153"/>
      <c r="J383" s="153"/>
      <c r="K383" s="153"/>
      <c r="L383" s="153"/>
      <c r="M383" s="153"/>
      <c r="N383" s="153"/>
      <c r="O383" s="153"/>
      <c r="P383" s="153"/>
      <c r="Q383" s="153"/>
      <c r="R383" s="153"/>
      <c r="S383" s="153"/>
      <c r="T383" s="153"/>
      <c r="U383" s="153"/>
      <c r="V383" s="153"/>
      <c r="W383" s="153"/>
      <c r="X383" s="153"/>
      <c r="Y383" s="153"/>
      <c r="Z383" s="153"/>
      <c r="AA383" s="153"/>
      <c r="AB383" s="153"/>
      <c r="AC383" s="153"/>
      <c r="AD383" s="153"/>
      <c r="AE383" s="153"/>
      <c r="AF383" s="153"/>
      <c r="AG383" s="153"/>
      <c r="AH383" s="153"/>
      <c r="AI383" s="153"/>
      <c r="AJ383" s="153"/>
      <c r="AK383"/>
      <c r="AL383"/>
      <c r="AM383"/>
      <c r="AN383"/>
    </row>
    <row r="384" spans="1:40" x14ac:dyDescent="0.35">
      <c r="A384" s="153"/>
      <c r="B384" s="153"/>
      <c r="C384" s="153"/>
      <c r="D384" s="153"/>
      <c r="E384" s="161"/>
      <c r="F384" s="153">
        <v>0</v>
      </c>
      <c r="G384" s="153"/>
      <c r="H384" s="153"/>
      <c r="I384" s="153"/>
      <c r="J384" s="153"/>
      <c r="K384" s="153"/>
      <c r="L384" s="153"/>
      <c r="M384" s="172"/>
      <c r="N384" s="153"/>
      <c r="O384" s="153">
        <v>0</v>
      </c>
      <c r="P384" s="153"/>
      <c r="Q384" s="153"/>
      <c r="R384" s="153"/>
      <c r="S384" s="153"/>
      <c r="T384" s="153"/>
      <c r="U384" s="153"/>
      <c r="V384" s="153"/>
      <c r="W384" s="153"/>
      <c r="X384" s="153"/>
      <c r="Y384" s="153"/>
      <c r="Z384" s="153"/>
      <c r="AA384" s="153"/>
      <c r="AB384" s="153"/>
      <c r="AC384" s="153"/>
      <c r="AD384" s="153"/>
      <c r="AE384" s="153"/>
      <c r="AF384" s="153"/>
      <c r="AG384" s="153"/>
      <c r="AH384" s="153"/>
      <c r="AI384" s="153"/>
      <c r="AJ384" s="153"/>
      <c r="AK384"/>
      <c r="AL384"/>
      <c r="AM384"/>
      <c r="AN384"/>
    </row>
    <row r="385" spans="1:40" x14ac:dyDescent="0.35">
      <c r="A385" s="153" t="s">
        <v>1318</v>
      </c>
      <c r="B385" s="153" t="s">
        <v>179</v>
      </c>
      <c r="C385" s="153" t="s">
        <v>1327</v>
      </c>
      <c r="D385" s="153" t="s">
        <v>67</v>
      </c>
      <c r="E385" s="161">
        <v>1</v>
      </c>
      <c r="F385" s="153">
        <v>0</v>
      </c>
      <c r="G385" s="153">
        <v>0</v>
      </c>
      <c r="H385" s="153">
        <v>0</v>
      </c>
      <c r="I385" s="153">
        <v>0</v>
      </c>
      <c r="J385" s="153">
        <v>0</v>
      </c>
      <c r="K385" s="153">
        <v>0</v>
      </c>
      <c r="L385" s="153">
        <v>0</v>
      </c>
      <c r="M385" s="172">
        <v>0</v>
      </c>
      <c r="N385" s="153">
        <v>0</v>
      </c>
      <c r="O385" s="153">
        <v>0</v>
      </c>
      <c r="P385" s="153">
        <v>0</v>
      </c>
      <c r="Q385" s="153">
        <v>0</v>
      </c>
      <c r="R385" s="153">
        <v>0</v>
      </c>
      <c r="S385" s="153">
        <v>0</v>
      </c>
      <c r="T385" s="153"/>
      <c r="U385" s="153"/>
      <c r="V385" s="153"/>
      <c r="W385" s="153"/>
      <c r="X385" s="153"/>
      <c r="Y385" s="153"/>
      <c r="Z385" s="153"/>
      <c r="AA385" s="153"/>
      <c r="AB385" s="153"/>
      <c r="AC385" s="153"/>
      <c r="AD385" s="153"/>
      <c r="AE385" s="153"/>
      <c r="AF385" s="153"/>
      <c r="AG385" s="153"/>
      <c r="AH385" s="153"/>
      <c r="AI385" s="153"/>
      <c r="AJ385" s="153"/>
      <c r="AK385"/>
      <c r="AL385"/>
      <c r="AM385"/>
      <c r="AN385"/>
    </row>
    <row r="386" spans="1:40" x14ac:dyDescent="0.35">
      <c r="A386" s="153" t="s">
        <v>1318</v>
      </c>
      <c r="B386" s="153" t="s">
        <v>180</v>
      </c>
      <c r="C386" s="153" t="s">
        <v>1328</v>
      </c>
      <c r="D386" s="153" t="s">
        <v>67</v>
      </c>
      <c r="E386" s="161">
        <v>1</v>
      </c>
      <c r="F386" s="153">
        <v>5</v>
      </c>
      <c r="G386" s="153">
        <v>14</v>
      </c>
      <c r="H386" s="153">
        <v>11</v>
      </c>
      <c r="I386" s="153">
        <v>16</v>
      </c>
      <c r="J386" s="153">
        <v>3</v>
      </c>
      <c r="K386" s="153">
        <v>1</v>
      </c>
      <c r="L386" s="153">
        <v>27</v>
      </c>
      <c r="M386" s="172">
        <v>5</v>
      </c>
      <c r="N386" s="153">
        <v>8</v>
      </c>
      <c r="O386" s="153">
        <v>0</v>
      </c>
      <c r="P386" s="153">
        <v>15</v>
      </c>
      <c r="Q386" s="153">
        <v>7</v>
      </c>
      <c r="R386" s="153">
        <v>11</v>
      </c>
      <c r="S386" s="153">
        <v>6</v>
      </c>
      <c r="T386" s="153"/>
      <c r="U386" s="153"/>
      <c r="V386" s="153"/>
      <c r="W386" s="153"/>
      <c r="X386" s="153"/>
      <c r="Y386" s="153"/>
      <c r="Z386" s="153"/>
      <c r="AA386" s="153"/>
      <c r="AB386" s="153"/>
      <c r="AC386" s="153"/>
      <c r="AD386" s="153"/>
      <c r="AE386" s="153"/>
      <c r="AF386" s="153"/>
      <c r="AG386" s="153"/>
      <c r="AH386" s="153"/>
      <c r="AI386" s="153"/>
      <c r="AJ386" s="153"/>
      <c r="AK386"/>
      <c r="AL386"/>
      <c r="AM386"/>
      <c r="AN386"/>
    </row>
    <row r="387" spans="1:40" x14ac:dyDescent="0.35">
      <c r="A387" s="153" t="s">
        <v>1318</v>
      </c>
      <c r="B387" s="153" t="s">
        <v>183</v>
      </c>
      <c r="C387" s="153" t="s">
        <v>1329</v>
      </c>
      <c r="D387" s="153" t="s">
        <v>67</v>
      </c>
      <c r="E387" s="161">
        <v>1</v>
      </c>
      <c r="F387" s="153">
        <v>0</v>
      </c>
      <c r="G387" s="153">
        <v>0</v>
      </c>
      <c r="H387" s="153">
        <v>0</v>
      </c>
      <c r="I387" s="153">
        <v>12</v>
      </c>
      <c r="J387" s="153">
        <v>6</v>
      </c>
      <c r="K387" s="153">
        <v>0</v>
      </c>
      <c r="L387" s="153">
        <v>0</v>
      </c>
      <c r="M387" s="172">
        <v>0</v>
      </c>
      <c r="N387" s="153">
        <v>0</v>
      </c>
      <c r="O387" s="153">
        <v>0</v>
      </c>
      <c r="P387" s="153">
        <v>0</v>
      </c>
      <c r="Q387" s="153">
        <v>2</v>
      </c>
      <c r="R387" s="153">
        <v>0</v>
      </c>
      <c r="S387" s="153">
        <v>7</v>
      </c>
      <c r="T387" s="153"/>
      <c r="U387" s="153"/>
      <c r="V387" s="153"/>
      <c r="W387" s="153"/>
      <c r="X387" s="153"/>
      <c r="Y387" s="153"/>
      <c r="Z387" s="153"/>
      <c r="AA387" s="153"/>
      <c r="AB387" s="153"/>
      <c r="AC387" s="153"/>
      <c r="AD387" s="153"/>
      <c r="AE387" s="153"/>
      <c r="AF387" s="153"/>
      <c r="AG387" s="153"/>
      <c r="AH387" s="153"/>
      <c r="AI387" s="153"/>
      <c r="AJ387" s="153"/>
      <c r="AK387"/>
      <c r="AL387"/>
      <c r="AM387"/>
      <c r="AN387"/>
    </row>
    <row r="388" spans="1:40" x14ac:dyDescent="0.35">
      <c r="A388" s="153" t="s">
        <v>1318</v>
      </c>
      <c r="B388" s="153" t="s">
        <v>182</v>
      </c>
      <c r="C388" s="153" t="s">
        <v>1330</v>
      </c>
      <c r="D388" s="153" t="s">
        <v>67</v>
      </c>
      <c r="E388" s="161">
        <v>1</v>
      </c>
      <c r="F388" s="153">
        <v>0</v>
      </c>
      <c r="G388" s="153"/>
      <c r="H388" s="153"/>
      <c r="I388" s="153"/>
      <c r="J388" s="153"/>
      <c r="K388" s="153"/>
      <c r="L388" s="153"/>
      <c r="M388" s="153"/>
      <c r="N388" s="153"/>
      <c r="O388" s="153"/>
      <c r="P388" s="153"/>
      <c r="Q388" s="153"/>
      <c r="R388" s="153"/>
      <c r="S388" s="153"/>
      <c r="T388" s="153"/>
      <c r="U388" s="153"/>
      <c r="V388" s="153"/>
      <c r="W388" s="153"/>
      <c r="X388" s="153"/>
      <c r="Y388" s="153"/>
      <c r="Z388" s="153"/>
      <c r="AA388" s="153"/>
      <c r="AB388" s="153"/>
      <c r="AC388" s="153"/>
      <c r="AD388" s="153"/>
      <c r="AE388" s="153"/>
      <c r="AF388" s="153"/>
      <c r="AG388" s="153"/>
      <c r="AH388" s="153"/>
      <c r="AI388" s="153"/>
      <c r="AJ388" s="153"/>
      <c r="AK388"/>
      <c r="AL388"/>
      <c r="AM388"/>
      <c r="AN388"/>
    </row>
    <row r="389" spans="1:40" x14ac:dyDescent="0.35">
      <c r="A389" s="153"/>
      <c r="B389" s="153"/>
      <c r="C389" s="153"/>
      <c r="D389" s="153"/>
      <c r="E389" s="161"/>
      <c r="F389" s="153">
        <v>0</v>
      </c>
      <c r="G389" s="153"/>
      <c r="H389" s="153"/>
      <c r="I389" s="153"/>
      <c r="J389" s="153"/>
      <c r="K389" s="153"/>
      <c r="L389" s="153"/>
      <c r="M389" s="172"/>
      <c r="N389" s="153"/>
      <c r="O389" s="153"/>
      <c r="P389" s="153"/>
      <c r="Q389" s="153"/>
      <c r="R389" s="153"/>
      <c r="S389" s="153"/>
      <c r="T389" s="153"/>
      <c r="U389" s="153"/>
      <c r="V389" s="153"/>
      <c r="W389" s="153"/>
      <c r="X389" s="153"/>
      <c r="Y389" s="153"/>
      <c r="Z389" s="153"/>
      <c r="AA389" s="153"/>
      <c r="AB389" s="153"/>
      <c r="AC389" s="153"/>
      <c r="AD389" s="153"/>
      <c r="AE389" s="153"/>
      <c r="AF389" s="153"/>
      <c r="AG389" s="153"/>
      <c r="AH389" s="153"/>
      <c r="AI389" s="153"/>
      <c r="AJ389" s="153"/>
      <c r="AK389"/>
      <c r="AL389"/>
      <c r="AM389"/>
      <c r="AN389"/>
    </row>
    <row r="390" spans="1:40" x14ac:dyDescent="0.35">
      <c r="A390" s="153" t="s">
        <v>30</v>
      </c>
      <c r="B390" s="153" t="s">
        <v>179</v>
      </c>
      <c r="C390" s="153" t="s">
        <v>206</v>
      </c>
      <c r="D390" s="153" t="s">
        <v>67</v>
      </c>
      <c r="E390" s="161">
        <v>1</v>
      </c>
      <c r="F390" s="153">
        <v>0</v>
      </c>
      <c r="G390" s="153">
        <v>0</v>
      </c>
      <c r="H390" s="153">
        <v>0</v>
      </c>
      <c r="I390" s="153">
        <v>0</v>
      </c>
      <c r="J390" s="153">
        <v>0</v>
      </c>
      <c r="K390" s="153">
        <v>0</v>
      </c>
      <c r="L390" s="153">
        <v>0</v>
      </c>
      <c r="M390" s="172">
        <v>0</v>
      </c>
      <c r="N390" s="153">
        <v>0</v>
      </c>
      <c r="O390" s="153">
        <v>0</v>
      </c>
      <c r="P390" s="153">
        <v>0</v>
      </c>
      <c r="Q390" s="153">
        <v>0</v>
      </c>
      <c r="R390" s="153">
        <v>0</v>
      </c>
      <c r="S390" s="153">
        <v>0</v>
      </c>
      <c r="T390" s="153"/>
      <c r="U390" s="153"/>
      <c r="V390" s="153"/>
      <c r="W390" s="153"/>
      <c r="X390" s="153"/>
      <c r="Y390" s="153"/>
      <c r="Z390" s="153"/>
      <c r="AA390" s="153"/>
      <c r="AB390" s="153"/>
      <c r="AC390" s="153"/>
      <c r="AD390" s="153"/>
      <c r="AE390" s="153"/>
      <c r="AF390" s="153"/>
      <c r="AG390" s="153"/>
      <c r="AH390" s="153"/>
      <c r="AI390" s="153"/>
      <c r="AJ390" s="153"/>
      <c r="AK390"/>
      <c r="AL390"/>
      <c r="AM390"/>
      <c r="AN390"/>
    </row>
    <row r="391" spans="1:40" x14ac:dyDescent="0.35">
      <c r="A391" s="153" t="s">
        <v>30</v>
      </c>
      <c r="B391" s="153" t="s">
        <v>180</v>
      </c>
      <c r="C391" s="153" t="s">
        <v>207</v>
      </c>
      <c r="D391" s="153" t="s">
        <v>67</v>
      </c>
      <c r="E391" s="161">
        <v>1</v>
      </c>
      <c r="F391" s="153">
        <v>0</v>
      </c>
      <c r="G391" s="153">
        <v>0</v>
      </c>
      <c r="H391" s="153">
        <v>0</v>
      </c>
      <c r="I391" s="153">
        <v>0</v>
      </c>
      <c r="J391" s="153">
        <v>0</v>
      </c>
      <c r="K391" s="153">
        <v>0</v>
      </c>
      <c r="L391" s="153">
        <v>0</v>
      </c>
      <c r="M391" s="172">
        <v>0</v>
      </c>
      <c r="N391" s="153">
        <v>0</v>
      </c>
      <c r="O391" s="153">
        <v>4</v>
      </c>
      <c r="P391" s="153">
        <v>0</v>
      </c>
      <c r="Q391" s="153">
        <v>0</v>
      </c>
      <c r="R391" s="153">
        <v>0</v>
      </c>
      <c r="S391" s="153">
        <v>0</v>
      </c>
      <c r="T391" s="153"/>
      <c r="U391" s="153"/>
      <c r="V391" s="153"/>
      <c r="W391" s="153"/>
      <c r="X391" s="153"/>
      <c r="Y391" s="153"/>
      <c r="Z391" s="153"/>
      <c r="AA391" s="153"/>
      <c r="AB391" s="153"/>
      <c r="AC391" s="153"/>
      <c r="AD391" s="153"/>
      <c r="AE391" s="153"/>
      <c r="AF391" s="153"/>
      <c r="AG391" s="153"/>
      <c r="AH391" s="153"/>
      <c r="AI391" s="153"/>
      <c r="AJ391" s="153"/>
      <c r="AK391"/>
      <c r="AL391"/>
      <c r="AM391"/>
      <c r="AN391"/>
    </row>
    <row r="392" spans="1:40" x14ac:dyDescent="0.35">
      <c r="A392" s="153" t="s">
        <v>30</v>
      </c>
      <c r="B392" s="153" t="s">
        <v>181</v>
      </c>
      <c r="C392" s="153" t="s">
        <v>208</v>
      </c>
      <c r="D392" s="153" t="s">
        <v>67</v>
      </c>
      <c r="E392" s="161">
        <v>1</v>
      </c>
      <c r="F392" s="153">
        <v>0</v>
      </c>
      <c r="G392" s="153">
        <v>0</v>
      </c>
      <c r="H392" s="153">
        <v>0</v>
      </c>
      <c r="I392" s="153">
        <v>0</v>
      </c>
      <c r="J392" s="153">
        <v>0</v>
      </c>
      <c r="K392" s="153">
        <v>0</v>
      </c>
      <c r="L392" s="153">
        <v>0</v>
      </c>
      <c r="M392" s="172">
        <v>0</v>
      </c>
      <c r="N392" s="153">
        <v>0</v>
      </c>
      <c r="O392" s="153">
        <v>14</v>
      </c>
      <c r="P392" s="153">
        <v>0</v>
      </c>
      <c r="Q392" s="153">
        <v>0</v>
      </c>
      <c r="R392" s="153">
        <v>0</v>
      </c>
      <c r="S392" s="153">
        <v>0</v>
      </c>
      <c r="T392" s="153"/>
      <c r="U392" s="153"/>
      <c r="V392" s="153"/>
      <c r="W392" s="153"/>
      <c r="X392" s="153"/>
      <c r="Y392" s="153"/>
      <c r="Z392" s="153"/>
      <c r="AA392" s="153"/>
      <c r="AB392" s="153"/>
      <c r="AC392" s="153"/>
      <c r="AD392" s="153"/>
      <c r="AE392" s="153"/>
      <c r="AF392" s="153"/>
      <c r="AG392" s="153"/>
      <c r="AH392" s="153"/>
      <c r="AI392" s="153"/>
      <c r="AJ392" s="153"/>
      <c r="AK392"/>
      <c r="AL392"/>
      <c r="AM392"/>
      <c r="AN392"/>
    </row>
    <row r="393" spans="1:40" x14ac:dyDescent="0.35">
      <c r="A393" s="153" t="s">
        <v>31</v>
      </c>
      <c r="B393" s="153" t="s">
        <v>179</v>
      </c>
      <c r="C393" s="153" t="s">
        <v>213</v>
      </c>
      <c r="D393" s="153" t="s">
        <v>35</v>
      </c>
      <c r="E393" s="161">
        <v>1</v>
      </c>
      <c r="F393" s="153">
        <v>0</v>
      </c>
      <c r="G393" s="153">
        <v>0</v>
      </c>
      <c r="H393" s="153">
        <v>0</v>
      </c>
      <c r="I393" s="153">
        <v>0</v>
      </c>
      <c r="J393" s="153">
        <v>0</v>
      </c>
      <c r="K393" s="153">
        <v>0</v>
      </c>
      <c r="L393" s="153">
        <v>0</v>
      </c>
      <c r="M393" s="172">
        <v>0</v>
      </c>
      <c r="N393" s="153">
        <v>0</v>
      </c>
      <c r="O393" s="153"/>
      <c r="P393" s="153">
        <v>0</v>
      </c>
      <c r="Q393" s="153">
        <v>0</v>
      </c>
      <c r="R393" s="153">
        <v>0</v>
      </c>
      <c r="S393" s="153">
        <v>0</v>
      </c>
      <c r="T393" s="153"/>
      <c r="U393" s="153"/>
      <c r="V393" s="153"/>
      <c r="W393" s="153"/>
      <c r="X393" s="153"/>
      <c r="Y393" s="153"/>
      <c r="Z393" s="153"/>
      <c r="AA393" s="153"/>
      <c r="AB393" s="153"/>
      <c r="AC393" s="153"/>
      <c r="AD393" s="153"/>
      <c r="AE393" s="153"/>
      <c r="AF393" s="153"/>
      <c r="AG393" s="153"/>
      <c r="AH393" s="153"/>
      <c r="AI393" s="153"/>
      <c r="AJ393" s="153"/>
      <c r="AK393"/>
      <c r="AL393"/>
      <c r="AM393"/>
      <c r="AN393"/>
    </row>
    <row r="394" spans="1:40" x14ac:dyDescent="0.35">
      <c r="A394" s="153" t="s">
        <v>31</v>
      </c>
      <c r="B394" s="153" t="s">
        <v>180</v>
      </c>
      <c r="C394" s="153" t="s">
        <v>214</v>
      </c>
      <c r="D394" s="153" t="s">
        <v>35</v>
      </c>
      <c r="E394" s="161">
        <v>1</v>
      </c>
      <c r="F394" s="153">
        <v>0</v>
      </c>
      <c r="G394" s="153">
        <v>0</v>
      </c>
      <c r="H394" s="153">
        <v>0</v>
      </c>
      <c r="I394" s="153">
        <v>0</v>
      </c>
      <c r="J394" s="153">
        <v>0</v>
      </c>
      <c r="K394" s="153">
        <v>0</v>
      </c>
      <c r="L394" s="153">
        <v>0</v>
      </c>
      <c r="M394" s="172">
        <v>0</v>
      </c>
      <c r="N394" s="153">
        <v>0</v>
      </c>
      <c r="O394" s="153"/>
      <c r="P394" s="153">
        <v>0</v>
      </c>
      <c r="Q394" s="153">
        <v>0</v>
      </c>
      <c r="R394" s="153">
        <v>0</v>
      </c>
      <c r="S394" s="153">
        <v>0</v>
      </c>
      <c r="T394" s="153"/>
      <c r="U394" s="153"/>
      <c r="V394" s="153"/>
      <c r="W394" s="153"/>
      <c r="X394" s="153"/>
      <c r="Y394" s="153"/>
      <c r="Z394" s="153"/>
      <c r="AA394" s="153"/>
      <c r="AB394" s="153"/>
      <c r="AC394" s="153"/>
      <c r="AD394" s="153"/>
      <c r="AE394" s="153"/>
      <c r="AF394" s="153"/>
      <c r="AG394" s="153"/>
      <c r="AH394" s="153"/>
      <c r="AI394" s="153"/>
      <c r="AJ394" s="153"/>
      <c r="AK394"/>
      <c r="AM394"/>
      <c r="AN394"/>
    </row>
    <row r="395" spans="1:40" x14ac:dyDescent="0.35">
      <c r="A395" s="153" t="s">
        <v>31</v>
      </c>
      <c r="B395" s="153" t="s">
        <v>181</v>
      </c>
      <c r="C395" s="153" t="s">
        <v>215</v>
      </c>
      <c r="D395" s="153" t="s">
        <v>35</v>
      </c>
      <c r="E395" s="161">
        <v>1</v>
      </c>
      <c r="F395" s="153">
        <v>0</v>
      </c>
      <c r="G395" s="153">
        <v>0</v>
      </c>
      <c r="H395" s="153">
        <v>0</v>
      </c>
      <c r="I395" s="153">
        <v>0</v>
      </c>
      <c r="J395" s="153">
        <v>0</v>
      </c>
      <c r="K395" s="153">
        <v>0</v>
      </c>
      <c r="L395" s="153">
        <v>0</v>
      </c>
      <c r="M395" s="172">
        <v>0</v>
      </c>
      <c r="N395" s="153">
        <v>0</v>
      </c>
      <c r="O395" s="153">
        <v>0</v>
      </c>
      <c r="P395" s="153">
        <v>0</v>
      </c>
      <c r="Q395" s="153">
        <v>0</v>
      </c>
      <c r="R395" s="153">
        <v>0</v>
      </c>
      <c r="S395" s="153">
        <v>0</v>
      </c>
      <c r="T395" s="153"/>
      <c r="U395" s="153"/>
      <c r="V395" s="153"/>
      <c r="W395" s="153"/>
      <c r="X395" s="153"/>
      <c r="Y395" s="153"/>
      <c r="Z395" s="153"/>
      <c r="AA395" s="153"/>
      <c r="AB395" s="153"/>
      <c r="AC395" s="153"/>
      <c r="AD395" s="153"/>
      <c r="AE395" s="153"/>
      <c r="AF395" s="153"/>
      <c r="AH395" s="153"/>
      <c r="AI395" s="153"/>
      <c r="AJ395" s="153"/>
      <c r="AK395"/>
      <c r="AM395"/>
      <c r="AN395"/>
    </row>
    <row r="396" spans="1:40" x14ac:dyDescent="0.35">
      <c r="A396" s="153" t="s">
        <v>72</v>
      </c>
      <c r="B396" s="153" t="s">
        <v>179</v>
      </c>
      <c r="C396" s="153" t="s">
        <v>188</v>
      </c>
      <c r="D396" s="153" t="s">
        <v>35</v>
      </c>
      <c r="E396" s="161">
        <v>0.15</v>
      </c>
      <c r="F396" s="153">
        <v>0</v>
      </c>
      <c r="G396" s="153">
        <v>0</v>
      </c>
      <c r="H396" s="153">
        <v>0</v>
      </c>
      <c r="I396" s="153">
        <v>0</v>
      </c>
      <c r="J396" s="153">
        <v>0</v>
      </c>
      <c r="K396" s="153">
        <v>0</v>
      </c>
      <c r="L396" s="153">
        <v>0</v>
      </c>
      <c r="M396" s="172">
        <v>0</v>
      </c>
      <c r="N396" s="153">
        <v>0</v>
      </c>
      <c r="O396" s="153">
        <v>0</v>
      </c>
      <c r="P396" s="153">
        <v>0</v>
      </c>
      <c r="Q396">
        <v>0</v>
      </c>
      <c r="R396" s="153">
        <v>0</v>
      </c>
      <c r="S396" s="153">
        <v>777</v>
      </c>
      <c r="T396" s="153"/>
      <c r="U396" s="153"/>
      <c r="V396" s="153"/>
      <c r="W396" s="153"/>
      <c r="X396" s="153"/>
      <c r="Y396" s="153"/>
      <c r="Z396" s="153"/>
      <c r="AA396" s="153"/>
      <c r="AB396" s="153"/>
      <c r="AC396" s="153"/>
      <c r="AD396" s="153"/>
      <c r="AE396" s="153"/>
      <c r="AF396" s="153"/>
      <c r="AG396" s="153"/>
      <c r="AH396" s="153"/>
      <c r="AI396" s="153"/>
      <c r="AJ396" s="153"/>
      <c r="AK396"/>
      <c r="AM396"/>
      <c r="AN396"/>
    </row>
    <row r="397" spans="1:40" x14ac:dyDescent="0.35">
      <c r="A397" s="153" t="s">
        <v>72</v>
      </c>
      <c r="B397" s="153" t="s">
        <v>180</v>
      </c>
      <c r="C397" s="153" t="s">
        <v>189</v>
      </c>
      <c r="D397" s="153" t="s">
        <v>35</v>
      </c>
      <c r="E397" s="161">
        <v>0.15</v>
      </c>
      <c r="F397" s="153">
        <v>0</v>
      </c>
      <c r="G397" s="153">
        <v>0</v>
      </c>
      <c r="H397" s="153">
        <v>0</v>
      </c>
      <c r="I397" s="153">
        <v>0</v>
      </c>
      <c r="J397" s="153">
        <v>0</v>
      </c>
      <c r="K397" s="153">
        <v>0</v>
      </c>
      <c r="L397" s="153">
        <v>0</v>
      </c>
      <c r="M397" s="172">
        <v>0</v>
      </c>
      <c r="N397" s="153">
        <v>0</v>
      </c>
      <c r="O397" s="153">
        <v>2016</v>
      </c>
      <c r="P397" s="153">
        <v>1017</v>
      </c>
      <c r="Q397" s="153">
        <v>1484</v>
      </c>
      <c r="R397" s="153">
        <v>0</v>
      </c>
      <c r="S397" s="153">
        <v>0</v>
      </c>
      <c r="T397" s="153"/>
      <c r="U397" s="153"/>
      <c r="V397" s="153"/>
      <c r="W397" s="153"/>
      <c r="X397" s="153"/>
      <c r="Y397" s="153"/>
      <c r="Z397" s="153"/>
      <c r="AA397" s="153"/>
      <c r="AB397" s="153"/>
      <c r="AC397" s="153"/>
      <c r="AD397" s="153"/>
      <c r="AE397" s="153"/>
      <c r="AF397" s="153"/>
      <c r="AG397" s="153"/>
      <c r="AH397" s="153"/>
      <c r="AI397" s="153"/>
      <c r="AJ397" s="153"/>
      <c r="AK397"/>
      <c r="AM397"/>
      <c r="AN397"/>
    </row>
    <row r="398" spans="1:40" x14ac:dyDescent="0.35">
      <c r="A398" s="153" t="s">
        <v>72</v>
      </c>
      <c r="B398" s="153" t="s">
        <v>181</v>
      </c>
      <c r="C398" s="153" t="s">
        <v>190</v>
      </c>
      <c r="D398" s="153" t="s">
        <v>35</v>
      </c>
      <c r="E398" s="161">
        <v>0.15</v>
      </c>
      <c r="F398" s="153">
        <v>0</v>
      </c>
      <c r="G398" s="153">
        <v>0</v>
      </c>
      <c r="H398" s="153">
        <v>0</v>
      </c>
      <c r="I398" s="153">
        <v>0</v>
      </c>
      <c r="J398" s="153">
        <v>0</v>
      </c>
      <c r="K398" s="153">
        <v>0</v>
      </c>
      <c r="L398" s="153">
        <v>0</v>
      </c>
      <c r="M398" s="172">
        <v>0</v>
      </c>
      <c r="N398" s="153">
        <v>0</v>
      </c>
      <c r="O398" s="153">
        <v>69</v>
      </c>
      <c r="P398" s="153">
        <v>0</v>
      </c>
      <c r="Q398" s="153">
        <v>0</v>
      </c>
      <c r="R398" s="153">
        <v>0</v>
      </c>
      <c r="S398" s="153">
        <v>0</v>
      </c>
      <c r="T398" s="153"/>
      <c r="U398" s="153"/>
      <c r="V398" s="153"/>
      <c r="W398" s="153"/>
      <c r="X398" s="153"/>
      <c r="Y398" s="153"/>
      <c r="Z398" s="153"/>
      <c r="AA398" s="153"/>
      <c r="AB398" s="153"/>
      <c r="AC398" s="153"/>
      <c r="AD398" s="153"/>
      <c r="AE398" s="153"/>
      <c r="AF398" s="153"/>
      <c r="AG398" s="153"/>
      <c r="AH398" s="153"/>
      <c r="AI398" s="153"/>
      <c r="AJ398" s="153"/>
      <c r="AK398"/>
      <c r="AL398"/>
      <c r="AM398"/>
      <c r="AN398"/>
    </row>
    <row r="399" spans="1:40" x14ac:dyDescent="0.35">
      <c r="A399" s="153" t="s">
        <v>72</v>
      </c>
      <c r="B399" s="153" t="s">
        <v>182</v>
      </c>
      <c r="C399" s="153" t="s">
        <v>191</v>
      </c>
      <c r="D399" s="153" t="s">
        <v>35</v>
      </c>
      <c r="E399" s="161">
        <v>0.15</v>
      </c>
      <c r="F399" s="153">
        <v>0</v>
      </c>
      <c r="G399" s="153">
        <v>0</v>
      </c>
      <c r="H399" s="153">
        <v>0</v>
      </c>
      <c r="I399" s="153">
        <v>0</v>
      </c>
      <c r="J399" s="153">
        <v>0</v>
      </c>
      <c r="K399" s="153">
        <v>0</v>
      </c>
      <c r="L399" s="153">
        <v>0</v>
      </c>
      <c r="M399" s="153">
        <v>0</v>
      </c>
      <c r="N399" s="153">
        <v>0</v>
      </c>
      <c r="O399" s="153">
        <v>0</v>
      </c>
      <c r="P399" s="153">
        <v>0</v>
      </c>
      <c r="Q399" s="153">
        <v>0</v>
      </c>
      <c r="R399" s="153">
        <v>0</v>
      </c>
      <c r="S399" s="153">
        <v>0</v>
      </c>
      <c r="T399" s="153"/>
      <c r="U399" s="153"/>
      <c r="V399" s="153"/>
      <c r="W399" s="153"/>
      <c r="X399" s="153"/>
      <c r="Y399" s="153"/>
      <c r="Z399" s="153"/>
      <c r="AA399" s="153"/>
      <c r="AB399" s="153"/>
      <c r="AC399" s="153"/>
      <c r="AD399" s="153"/>
      <c r="AE399" s="153"/>
      <c r="AF399" s="153"/>
      <c r="AG399" s="153"/>
      <c r="AH399" s="153"/>
      <c r="AI399" s="153"/>
      <c r="AJ399" s="153"/>
      <c r="AK399"/>
      <c r="AL399"/>
      <c r="AM399"/>
      <c r="AN399"/>
    </row>
    <row r="400" spans="1:40" x14ac:dyDescent="0.35">
      <c r="A400" s="153"/>
      <c r="B400" s="153"/>
      <c r="C400" s="153"/>
      <c r="D400" s="153"/>
      <c r="E400" s="161"/>
      <c r="F400" s="153">
        <v>0</v>
      </c>
      <c r="G400" s="153"/>
      <c r="H400" s="153"/>
      <c r="I400" s="153"/>
      <c r="J400" s="153"/>
      <c r="K400" s="153"/>
      <c r="L400" s="153"/>
      <c r="M400" s="172"/>
      <c r="N400" s="153"/>
      <c r="O400" s="153">
        <v>0</v>
      </c>
      <c r="P400" s="153"/>
      <c r="Q400" s="153"/>
      <c r="R400" s="153"/>
      <c r="S400" s="153"/>
      <c r="T400" s="153"/>
      <c r="U400" s="153"/>
      <c r="V400" s="153"/>
      <c r="W400" s="153"/>
      <c r="X400" s="153"/>
      <c r="Y400" s="153"/>
      <c r="Z400" s="153"/>
      <c r="AA400" s="153"/>
      <c r="AB400" s="153"/>
      <c r="AC400" s="153"/>
      <c r="AD400" s="153"/>
      <c r="AE400" s="153"/>
      <c r="AF400" s="153"/>
      <c r="AG400" s="153"/>
      <c r="AH400" s="153"/>
      <c r="AI400" s="153"/>
      <c r="AJ400" s="153"/>
      <c r="AK400"/>
      <c r="AL400"/>
      <c r="AM400"/>
      <c r="AN400"/>
    </row>
    <row r="401" spans="1:40" x14ac:dyDescent="0.35">
      <c r="A401" s="153" t="s">
        <v>72</v>
      </c>
      <c r="B401" s="153" t="s">
        <v>179</v>
      </c>
      <c r="C401" s="153" t="s">
        <v>192</v>
      </c>
      <c r="D401" s="153" t="s">
        <v>35</v>
      </c>
      <c r="E401" s="161">
        <v>1</v>
      </c>
      <c r="F401" s="153">
        <v>0</v>
      </c>
      <c r="G401" s="153">
        <v>0</v>
      </c>
      <c r="H401" s="153">
        <v>0</v>
      </c>
      <c r="I401" s="153">
        <v>0</v>
      </c>
      <c r="J401" s="153">
        <v>0</v>
      </c>
      <c r="K401" s="153">
        <v>0</v>
      </c>
      <c r="L401" s="153">
        <v>0</v>
      </c>
      <c r="M401" s="172">
        <v>0</v>
      </c>
      <c r="N401" s="153">
        <v>0</v>
      </c>
      <c r="O401" s="153">
        <v>0</v>
      </c>
      <c r="P401" s="153">
        <v>0</v>
      </c>
      <c r="Q401" s="153">
        <v>0</v>
      </c>
      <c r="R401" s="153">
        <v>0</v>
      </c>
      <c r="S401" s="153">
        <v>0</v>
      </c>
      <c r="T401" s="153"/>
      <c r="U401" s="153"/>
      <c r="V401" s="153"/>
      <c r="W401" s="153"/>
      <c r="X401" s="153"/>
      <c r="Y401" s="153"/>
      <c r="Z401" s="153"/>
      <c r="AA401" s="153"/>
      <c r="AB401" s="153"/>
      <c r="AC401" s="153"/>
      <c r="AD401" s="153"/>
      <c r="AE401" s="153"/>
      <c r="AF401" s="153"/>
      <c r="AG401" s="153"/>
      <c r="AH401" s="153"/>
      <c r="AI401" s="153"/>
      <c r="AJ401" s="153"/>
      <c r="AK401"/>
      <c r="AL401"/>
      <c r="AM401"/>
      <c r="AN401"/>
    </row>
    <row r="402" spans="1:40" x14ac:dyDescent="0.35">
      <c r="A402" s="153" t="s">
        <v>72</v>
      </c>
      <c r="B402" s="153" t="s">
        <v>180</v>
      </c>
      <c r="C402" s="153" t="s">
        <v>193</v>
      </c>
      <c r="D402" s="153" t="s">
        <v>35</v>
      </c>
      <c r="E402" s="161">
        <v>1</v>
      </c>
      <c r="F402" s="153">
        <v>0</v>
      </c>
      <c r="G402" s="153">
        <v>0</v>
      </c>
      <c r="H402" s="153">
        <v>0</v>
      </c>
      <c r="I402" s="153">
        <v>0</v>
      </c>
      <c r="J402" s="153">
        <v>0</v>
      </c>
      <c r="K402" s="153">
        <v>0</v>
      </c>
      <c r="L402" s="153">
        <v>0</v>
      </c>
      <c r="M402" s="172">
        <v>0</v>
      </c>
      <c r="N402" s="153">
        <v>0</v>
      </c>
      <c r="O402" s="153">
        <v>0</v>
      </c>
      <c r="P402" s="153">
        <v>0</v>
      </c>
      <c r="Q402" s="153">
        <v>0</v>
      </c>
      <c r="R402" s="153">
        <v>0</v>
      </c>
      <c r="S402" s="153">
        <v>0</v>
      </c>
      <c r="T402" s="153"/>
      <c r="U402" s="153"/>
      <c r="V402" s="153"/>
      <c r="W402" s="153"/>
      <c r="X402" s="153"/>
      <c r="Y402" s="153"/>
      <c r="Z402" s="153"/>
      <c r="AA402" s="153"/>
      <c r="AB402" s="153"/>
      <c r="AC402" s="153"/>
      <c r="AD402" s="153"/>
      <c r="AE402" s="153"/>
      <c r="AF402" s="153"/>
      <c r="AG402" s="153"/>
      <c r="AH402" s="153"/>
      <c r="AI402" s="153"/>
      <c r="AJ402" s="153"/>
      <c r="AK402"/>
      <c r="AL402"/>
      <c r="AM402"/>
      <c r="AN402"/>
    </row>
    <row r="403" spans="1:40" x14ac:dyDescent="0.35">
      <c r="A403" s="153" t="s">
        <v>72</v>
      </c>
      <c r="B403" s="153" t="s">
        <v>181</v>
      </c>
      <c r="C403" s="153" t="s">
        <v>194</v>
      </c>
      <c r="D403" s="153" t="s">
        <v>35</v>
      </c>
      <c r="E403" s="161">
        <v>1</v>
      </c>
      <c r="F403" s="153">
        <v>0</v>
      </c>
      <c r="G403" s="153">
        <v>0</v>
      </c>
      <c r="H403" s="153">
        <v>0</v>
      </c>
      <c r="I403" s="153">
        <v>0</v>
      </c>
      <c r="J403" s="153">
        <v>0</v>
      </c>
      <c r="K403" s="153">
        <v>0</v>
      </c>
      <c r="L403" s="153">
        <v>0</v>
      </c>
      <c r="M403" s="172">
        <v>0</v>
      </c>
      <c r="N403" s="153">
        <v>0</v>
      </c>
      <c r="O403" s="153">
        <v>0</v>
      </c>
      <c r="P403" s="153">
        <v>0</v>
      </c>
      <c r="Q403" s="153">
        <v>0</v>
      </c>
      <c r="R403" s="153">
        <v>0</v>
      </c>
      <c r="S403" s="153">
        <v>0</v>
      </c>
      <c r="T403" s="153"/>
      <c r="U403" s="153"/>
      <c r="V403" s="153"/>
      <c r="W403" s="153"/>
      <c r="X403" s="153"/>
      <c r="Y403" s="153"/>
      <c r="Z403" s="153"/>
      <c r="AA403" s="153"/>
      <c r="AB403" s="153"/>
      <c r="AC403" s="153"/>
      <c r="AD403" s="153"/>
      <c r="AE403" s="153"/>
      <c r="AF403" s="153"/>
      <c r="AG403" s="153"/>
      <c r="AH403" s="153"/>
      <c r="AI403" s="153"/>
      <c r="AJ403" s="153"/>
      <c r="AK403"/>
      <c r="AL403"/>
      <c r="AM403"/>
      <c r="AN403"/>
    </row>
    <row r="404" spans="1:40" x14ac:dyDescent="0.35">
      <c r="A404" s="153" t="s">
        <v>542</v>
      </c>
      <c r="B404" s="153" t="s">
        <v>179</v>
      </c>
      <c r="C404" s="153" t="s">
        <v>683</v>
      </c>
      <c r="D404" s="153" t="s">
        <v>35</v>
      </c>
      <c r="E404" s="161">
        <v>1</v>
      </c>
      <c r="F404" s="153">
        <v>0</v>
      </c>
      <c r="G404" s="153">
        <v>0</v>
      </c>
      <c r="H404" s="153">
        <v>0</v>
      </c>
      <c r="I404" s="153">
        <v>0</v>
      </c>
      <c r="J404" s="153">
        <v>0</v>
      </c>
      <c r="K404" s="153">
        <v>0</v>
      </c>
      <c r="L404" s="153">
        <v>0</v>
      </c>
      <c r="M404" s="172">
        <v>0</v>
      </c>
      <c r="N404" s="153">
        <v>0</v>
      </c>
      <c r="O404" s="153">
        <v>0</v>
      </c>
      <c r="P404" s="153">
        <v>0</v>
      </c>
      <c r="Q404" s="153">
        <v>0</v>
      </c>
      <c r="R404" s="153">
        <v>0</v>
      </c>
      <c r="S404" s="153">
        <v>0</v>
      </c>
      <c r="T404" s="153"/>
      <c r="U404" s="153"/>
      <c r="V404" s="153"/>
      <c r="W404" s="153"/>
      <c r="X404" s="153"/>
      <c r="Y404" s="153"/>
      <c r="Z404" s="153"/>
      <c r="AA404" s="153"/>
      <c r="AB404" s="153"/>
      <c r="AC404" s="153"/>
      <c r="AD404" s="153"/>
      <c r="AE404" s="153"/>
      <c r="AF404" s="153"/>
      <c r="AG404" s="153"/>
      <c r="AH404" s="153"/>
      <c r="AI404" s="153"/>
      <c r="AJ404" s="153"/>
      <c r="AK404"/>
      <c r="AL404"/>
      <c r="AM404"/>
      <c r="AN404"/>
    </row>
    <row r="405" spans="1:40" x14ac:dyDescent="0.35">
      <c r="A405" s="153" t="s">
        <v>542</v>
      </c>
      <c r="B405" s="153" t="s">
        <v>180</v>
      </c>
      <c r="C405" s="153" t="s">
        <v>684</v>
      </c>
      <c r="D405" s="153" t="s">
        <v>35</v>
      </c>
      <c r="E405" s="161">
        <v>1</v>
      </c>
      <c r="F405" s="153">
        <v>0</v>
      </c>
      <c r="G405" s="153">
        <v>0</v>
      </c>
      <c r="H405" s="153">
        <v>0</v>
      </c>
      <c r="I405" s="153">
        <v>0</v>
      </c>
      <c r="J405" s="153">
        <v>0</v>
      </c>
      <c r="K405" s="153">
        <v>2</v>
      </c>
      <c r="L405" s="153">
        <v>0</v>
      </c>
      <c r="M405" s="172">
        <v>0</v>
      </c>
      <c r="N405" s="153">
        <v>0</v>
      </c>
      <c r="O405" s="153"/>
      <c r="P405" s="153">
        <v>2</v>
      </c>
      <c r="Q405" s="153">
        <v>0</v>
      </c>
      <c r="R405" s="153">
        <v>0</v>
      </c>
      <c r="S405" s="153">
        <v>0</v>
      </c>
      <c r="T405" s="153"/>
      <c r="U405" s="153"/>
      <c r="V405" s="153"/>
      <c r="W405" s="153"/>
      <c r="X405" s="153"/>
      <c r="Y405" s="153"/>
      <c r="Z405" s="153"/>
      <c r="AA405" s="153"/>
      <c r="AB405" s="153"/>
      <c r="AC405" s="153"/>
      <c r="AD405" s="153"/>
      <c r="AE405" s="153"/>
      <c r="AF405" s="153"/>
      <c r="AG405" s="153"/>
      <c r="AH405" s="153"/>
      <c r="AI405" s="153"/>
      <c r="AJ405" s="153"/>
      <c r="AK405"/>
      <c r="AL405"/>
      <c r="AM405"/>
      <c r="AN405"/>
    </row>
    <row r="406" spans="1:40" x14ac:dyDescent="0.35">
      <c r="A406" s="153" t="s">
        <v>542</v>
      </c>
      <c r="B406" s="153" t="s">
        <v>181</v>
      </c>
      <c r="C406" s="153" t="s">
        <v>685</v>
      </c>
      <c r="D406" s="153" t="s">
        <v>35</v>
      </c>
      <c r="E406" s="161">
        <v>1</v>
      </c>
      <c r="F406" s="153">
        <v>0</v>
      </c>
      <c r="G406" s="153">
        <v>0</v>
      </c>
      <c r="H406" s="153">
        <v>0</v>
      </c>
      <c r="I406" s="153">
        <v>0</v>
      </c>
      <c r="J406" s="153">
        <v>0</v>
      </c>
      <c r="K406" s="153">
        <v>0</v>
      </c>
      <c r="L406" s="153">
        <v>0</v>
      </c>
      <c r="M406" s="172">
        <v>0</v>
      </c>
      <c r="N406" s="153">
        <v>0</v>
      </c>
      <c r="O406" s="153">
        <v>0</v>
      </c>
      <c r="P406" s="153">
        <v>0</v>
      </c>
      <c r="Q406" s="153">
        <v>0</v>
      </c>
      <c r="R406" s="153">
        <v>0</v>
      </c>
      <c r="S406" s="153">
        <v>0</v>
      </c>
      <c r="T406" s="153"/>
      <c r="U406" s="153"/>
      <c r="V406" s="153"/>
      <c r="W406" s="153"/>
      <c r="X406" s="153"/>
      <c r="Y406" s="153"/>
      <c r="Z406" s="153"/>
      <c r="AA406" s="153"/>
      <c r="AB406" s="153"/>
      <c r="AC406" s="153"/>
      <c r="AD406" s="153"/>
      <c r="AE406" s="153"/>
      <c r="AF406" s="153"/>
      <c r="AG406" s="153"/>
      <c r="AH406" s="153"/>
      <c r="AI406" s="153"/>
      <c r="AJ406" s="153"/>
      <c r="AK406"/>
      <c r="AL406"/>
      <c r="AM406"/>
      <c r="AN406"/>
    </row>
    <row r="407" spans="1:40" x14ac:dyDescent="0.35">
      <c r="A407" s="153" t="s">
        <v>542</v>
      </c>
      <c r="B407" s="153" t="s">
        <v>182</v>
      </c>
      <c r="C407" s="153" t="s">
        <v>686</v>
      </c>
      <c r="D407" s="153" t="s">
        <v>35</v>
      </c>
      <c r="E407" s="161">
        <v>1</v>
      </c>
      <c r="F407" s="153">
        <v>0</v>
      </c>
      <c r="G407" s="153">
        <v>0</v>
      </c>
      <c r="H407" s="153">
        <v>0</v>
      </c>
      <c r="I407" s="153">
        <v>0</v>
      </c>
      <c r="J407" s="153">
        <v>0</v>
      </c>
      <c r="K407" s="153">
        <v>0</v>
      </c>
      <c r="L407" s="153">
        <v>0</v>
      </c>
      <c r="M407" s="153">
        <v>0</v>
      </c>
      <c r="N407" s="153">
        <v>0</v>
      </c>
      <c r="O407" s="153">
        <v>0</v>
      </c>
      <c r="P407" s="153">
        <v>0</v>
      </c>
      <c r="Q407" s="153">
        <v>0</v>
      </c>
      <c r="R407" s="153">
        <v>0</v>
      </c>
      <c r="S407" s="153">
        <v>0</v>
      </c>
      <c r="T407" s="153"/>
      <c r="U407" s="153"/>
      <c r="V407" s="153"/>
      <c r="W407" s="153"/>
      <c r="X407" s="153"/>
      <c r="Y407" s="153"/>
      <c r="Z407" s="153"/>
      <c r="AA407" s="153"/>
      <c r="AB407" s="153"/>
      <c r="AC407" s="153"/>
      <c r="AD407" s="153"/>
      <c r="AE407" s="153"/>
      <c r="AF407" s="153"/>
      <c r="AG407" s="153"/>
      <c r="AH407" s="153"/>
      <c r="AI407" s="153"/>
      <c r="AJ407" s="153"/>
      <c r="AK407"/>
      <c r="AL407"/>
      <c r="AM407"/>
      <c r="AN407"/>
    </row>
    <row r="408" spans="1:40" x14ac:dyDescent="0.35">
      <c r="A408" s="153"/>
      <c r="B408" s="153"/>
      <c r="C408" s="153"/>
      <c r="D408" s="153"/>
      <c r="E408" s="161"/>
      <c r="F408" s="153">
        <v>0</v>
      </c>
      <c r="G408" s="153"/>
      <c r="H408" s="153"/>
      <c r="I408" s="153"/>
      <c r="J408" s="153"/>
      <c r="K408" s="153"/>
      <c r="L408" s="153"/>
      <c r="M408" s="172"/>
      <c r="N408" s="153"/>
      <c r="O408" s="153">
        <v>0</v>
      </c>
      <c r="P408" s="153"/>
      <c r="Q408" s="153"/>
      <c r="R408" s="153"/>
      <c r="S408" s="153"/>
      <c r="T408" s="153"/>
      <c r="U408" s="153"/>
      <c r="V408" s="153"/>
      <c r="W408" s="153"/>
      <c r="X408" s="153"/>
      <c r="Y408" s="153"/>
      <c r="Z408" s="153"/>
      <c r="AA408" s="153"/>
      <c r="AB408" s="153"/>
      <c r="AC408" s="153"/>
      <c r="AD408" s="153"/>
      <c r="AE408" s="153"/>
      <c r="AF408" s="153"/>
      <c r="AG408" s="153"/>
      <c r="AH408" s="153"/>
      <c r="AI408" s="153"/>
      <c r="AJ408" s="153"/>
      <c r="AK408"/>
      <c r="AL408"/>
      <c r="AM408"/>
      <c r="AN408"/>
    </row>
    <row r="409" spans="1:40" x14ac:dyDescent="0.35">
      <c r="A409" s="153" t="s">
        <v>555</v>
      </c>
      <c r="B409" s="153" t="s">
        <v>179</v>
      </c>
      <c r="C409" s="153" t="s">
        <v>691</v>
      </c>
      <c r="D409" s="153" t="s">
        <v>67</v>
      </c>
      <c r="E409" s="161">
        <v>1</v>
      </c>
      <c r="F409" s="153">
        <v>0</v>
      </c>
      <c r="G409" s="153">
        <v>0</v>
      </c>
      <c r="H409" s="153">
        <v>0</v>
      </c>
      <c r="I409" s="153">
        <v>0</v>
      </c>
      <c r="J409" s="153">
        <v>0</v>
      </c>
      <c r="K409" s="153">
        <v>0</v>
      </c>
      <c r="L409" s="153">
        <v>0</v>
      </c>
      <c r="M409" s="172">
        <v>0</v>
      </c>
      <c r="N409" s="153">
        <v>0</v>
      </c>
      <c r="O409" s="153">
        <v>0</v>
      </c>
      <c r="P409" s="153">
        <v>0</v>
      </c>
      <c r="Q409" s="153">
        <v>0</v>
      </c>
      <c r="R409" s="153">
        <v>0</v>
      </c>
      <c r="S409" s="153">
        <v>0</v>
      </c>
      <c r="T409" s="153"/>
      <c r="U409" s="153"/>
      <c r="V409" s="153"/>
      <c r="W409" s="153"/>
      <c r="X409" s="153"/>
      <c r="Y409" s="153"/>
      <c r="Z409" s="153"/>
      <c r="AA409" s="153"/>
      <c r="AB409" s="153"/>
      <c r="AC409" s="153"/>
      <c r="AD409" s="153"/>
      <c r="AE409" s="153"/>
      <c r="AF409" s="153"/>
      <c r="AG409" s="153"/>
      <c r="AH409" s="153"/>
      <c r="AI409" s="153"/>
      <c r="AJ409" s="153"/>
      <c r="AK409"/>
      <c r="AL409"/>
      <c r="AM409"/>
      <c r="AN409"/>
    </row>
    <row r="410" spans="1:40" x14ac:dyDescent="0.35">
      <c r="A410" s="153" t="s">
        <v>555</v>
      </c>
      <c r="B410" s="153" t="s">
        <v>180</v>
      </c>
      <c r="C410" s="153" t="s">
        <v>692</v>
      </c>
      <c r="D410" s="153" t="s">
        <v>67</v>
      </c>
      <c r="E410" s="161">
        <v>1</v>
      </c>
      <c r="F410" s="153">
        <v>0</v>
      </c>
      <c r="G410" s="153">
        <v>0</v>
      </c>
      <c r="H410" s="153">
        <v>0</v>
      </c>
      <c r="I410" s="153">
        <v>0</v>
      </c>
      <c r="J410" s="153">
        <v>0</v>
      </c>
      <c r="K410" s="153">
        <v>0</v>
      </c>
      <c r="L410" s="153">
        <v>0</v>
      </c>
      <c r="M410" s="172">
        <v>0</v>
      </c>
      <c r="N410" s="153">
        <v>0</v>
      </c>
      <c r="O410" s="153">
        <v>0</v>
      </c>
      <c r="P410" s="153">
        <v>0</v>
      </c>
      <c r="Q410" s="153">
        <v>0</v>
      </c>
      <c r="R410" s="153">
        <v>0</v>
      </c>
      <c r="S410" s="153">
        <v>0</v>
      </c>
      <c r="T410" s="153"/>
      <c r="U410" s="153"/>
      <c r="V410" s="153"/>
      <c r="W410" s="153"/>
      <c r="X410" s="153"/>
      <c r="Y410" s="153"/>
      <c r="Z410" s="153"/>
      <c r="AA410" s="153"/>
      <c r="AB410" s="153"/>
      <c r="AC410" s="153"/>
      <c r="AD410" s="153"/>
      <c r="AE410" s="153"/>
      <c r="AF410" s="153"/>
      <c r="AG410" s="153"/>
      <c r="AH410" s="153"/>
      <c r="AI410" s="153"/>
      <c r="AJ410" s="153"/>
      <c r="AK410"/>
      <c r="AL410"/>
      <c r="AM410"/>
      <c r="AN410"/>
    </row>
    <row r="411" spans="1:40" x14ac:dyDescent="0.35">
      <c r="A411" s="153" t="s">
        <v>555</v>
      </c>
      <c r="B411" s="153" t="s">
        <v>181</v>
      </c>
      <c r="C411" s="153" t="s">
        <v>693</v>
      </c>
      <c r="D411" s="153" t="s">
        <v>67</v>
      </c>
      <c r="E411" s="161">
        <v>1</v>
      </c>
      <c r="F411" s="153">
        <v>0</v>
      </c>
      <c r="G411" s="153">
        <v>0</v>
      </c>
      <c r="H411" s="153">
        <v>0</v>
      </c>
      <c r="I411" s="153">
        <v>0</v>
      </c>
      <c r="J411" s="153">
        <v>0</v>
      </c>
      <c r="K411" s="153">
        <v>0</v>
      </c>
      <c r="L411" s="153">
        <v>0</v>
      </c>
      <c r="M411" s="172">
        <v>0</v>
      </c>
      <c r="N411" s="153">
        <v>0</v>
      </c>
      <c r="O411" s="153">
        <v>0</v>
      </c>
      <c r="P411" s="153">
        <v>0</v>
      </c>
      <c r="Q411" s="153">
        <v>0</v>
      </c>
      <c r="R411" s="153">
        <v>0</v>
      </c>
      <c r="S411" s="153">
        <v>0</v>
      </c>
      <c r="T411" s="153"/>
      <c r="U411" s="153"/>
      <c r="V411" s="153"/>
      <c r="W411" s="153"/>
      <c r="X411" s="153"/>
      <c r="Y411" s="153"/>
      <c r="Z411" s="153"/>
      <c r="AA411" s="153"/>
      <c r="AB411" s="153"/>
      <c r="AC411" s="153"/>
      <c r="AD411" s="153"/>
      <c r="AE411" s="153"/>
      <c r="AF411" s="153"/>
      <c r="AG411" s="153"/>
      <c r="AH411" s="153"/>
      <c r="AI411" s="153"/>
      <c r="AJ411" s="153"/>
      <c r="AK411"/>
      <c r="AL411"/>
      <c r="AM411"/>
      <c r="AN411"/>
    </row>
    <row r="412" spans="1:40" x14ac:dyDescent="0.35">
      <c r="A412" s="153" t="s">
        <v>555</v>
      </c>
      <c r="B412" s="153" t="s">
        <v>182</v>
      </c>
      <c r="C412" s="153" t="s">
        <v>694</v>
      </c>
      <c r="D412" s="153" t="s">
        <v>67</v>
      </c>
      <c r="E412" s="161">
        <v>1</v>
      </c>
      <c r="F412" s="153">
        <v>0</v>
      </c>
      <c r="G412" s="153">
        <v>0</v>
      </c>
      <c r="H412" s="153">
        <v>0</v>
      </c>
      <c r="I412" s="153">
        <v>0</v>
      </c>
      <c r="J412" s="153">
        <v>0</v>
      </c>
      <c r="K412" s="153">
        <v>0</v>
      </c>
      <c r="L412" s="153">
        <v>0</v>
      </c>
      <c r="M412" s="153">
        <v>0</v>
      </c>
      <c r="N412" s="153">
        <v>0</v>
      </c>
      <c r="O412" s="153">
        <v>0</v>
      </c>
      <c r="P412" s="153">
        <v>0</v>
      </c>
      <c r="Q412" s="153">
        <v>0</v>
      </c>
      <c r="R412" s="153">
        <v>0</v>
      </c>
      <c r="S412" s="153">
        <v>0</v>
      </c>
      <c r="T412" s="153"/>
      <c r="U412" s="153"/>
      <c r="V412" s="153"/>
      <c r="W412" s="153"/>
      <c r="X412" s="153"/>
      <c r="Y412" s="153"/>
      <c r="Z412" s="153"/>
      <c r="AA412" s="153"/>
      <c r="AB412" s="153"/>
      <c r="AC412" s="153"/>
      <c r="AD412" s="153"/>
      <c r="AE412" s="153"/>
      <c r="AF412" s="153"/>
      <c r="AG412" s="153"/>
      <c r="AH412" s="153"/>
      <c r="AI412" s="153"/>
      <c r="AJ412" s="153"/>
      <c r="AK412"/>
      <c r="AL412"/>
      <c r="AM412"/>
      <c r="AN412"/>
    </row>
    <row r="413" spans="1:40" x14ac:dyDescent="0.35">
      <c r="A413" s="153"/>
      <c r="B413" s="153"/>
      <c r="C413" s="153"/>
      <c r="D413" s="153"/>
      <c r="E413" s="161"/>
      <c r="F413" s="153">
        <v>0</v>
      </c>
      <c r="G413" s="153"/>
      <c r="H413" s="153"/>
      <c r="I413" s="153"/>
      <c r="J413" s="153"/>
      <c r="K413" s="153"/>
      <c r="L413" s="153"/>
      <c r="M413" s="172"/>
      <c r="N413" s="153"/>
      <c r="O413" s="153"/>
      <c r="P413" s="153"/>
      <c r="Q413" s="153"/>
      <c r="R413" s="153"/>
      <c r="S413" s="153"/>
      <c r="T413" s="153"/>
      <c r="U413" s="153"/>
      <c r="V413" s="153"/>
      <c r="W413" s="153"/>
      <c r="X413" s="153"/>
      <c r="Y413" s="153"/>
      <c r="Z413" s="153"/>
      <c r="AA413" s="153"/>
      <c r="AB413" s="153"/>
      <c r="AC413" s="153"/>
      <c r="AD413" s="153"/>
      <c r="AE413" s="153"/>
      <c r="AF413" s="153"/>
      <c r="AG413" s="153"/>
      <c r="AH413" s="153"/>
      <c r="AI413" s="153"/>
      <c r="AJ413" s="153"/>
      <c r="AK413"/>
      <c r="AL413"/>
      <c r="AM413"/>
      <c r="AN413"/>
    </row>
    <row r="414" spans="1:40" x14ac:dyDescent="0.35">
      <c r="A414" s="153" t="s">
        <v>34</v>
      </c>
      <c r="B414" s="153" t="s">
        <v>179</v>
      </c>
      <c r="C414" s="153" t="s">
        <v>216</v>
      </c>
      <c r="D414" s="153" t="s">
        <v>68</v>
      </c>
      <c r="E414" s="161">
        <v>0.93023255813953487</v>
      </c>
      <c r="F414" s="153">
        <v>0</v>
      </c>
      <c r="G414" s="153">
        <v>0</v>
      </c>
      <c r="H414" s="153">
        <v>0</v>
      </c>
      <c r="I414" s="153">
        <v>0</v>
      </c>
      <c r="J414" s="153">
        <v>0</v>
      </c>
      <c r="K414" s="153">
        <v>0</v>
      </c>
      <c r="L414" s="153">
        <v>0</v>
      </c>
      <c r="M414" s="172">
        <v>0</v>
      </c>
      <c r="N414" s="153">
        <v>0</v>
      </c>
      <c r="O414" s="153">
        <v>0</v>
      </c>
      <c r="P414" s="153">
        <v>0</v>
      </c>
      <c r="Q414" s="153">
        <v>0</v>
      </c>
      <c r="R414" s="153">
        <v>0</v>
      </c>
      <c r="S414" s="153">
        <v>0</v>
      </c>
      <c r="T414" s="153"/>
      <c r="U414" s="153"/>
      <c r="V414" s="153"/>
      <c r="W414" s="153"/>
      <c r="X414" s="153"/>
      <c r="Y414" s="153"/>
      <c r="Z414" s="153"/>
      <c r="AA414" s="153"/>
      <c r="AB414" s="153"/>
      <c r="AC414" s="153"/>
      <c r="AD414" s="153"/>
      <c r="AE414" s="153"/>
      <c r="AF414" s="153"/>
      <c r="AG414" s="153"/>
      <c r="AH414" s="153"/>
      <c r="AI414" s="153"/>
      <c r="AJ414" s="153"/>
      <c r="AK414"/>
      <c r="AL414"/>
      <c r="AM414"/>
      <c r="AN414"/>
    </row>
    <row r="415" spans="1:40" x14ac:dyDescent="0.35">
      <c r="A415" s="153" t="s">
        <v>34</v>
      </c>
      <c r="B415" s="153" t="s">
        <v>180</v>
      </c>
      <c r="C415" s="153" t="s">
        <v>217</v>
      </c>
      <c r="D415" s="153" t="s">
        <v>68</v>
      </c>
      <c r="E415" s="161">
        <v>0.93023255813953487</v>
      </c>
      <c r="F415" s="153">
        <v>4103</v>
      </c>
      <c r="G415" s="153">
        <v>50</v>
      </c>
      <c r="H415" s="153">
        <v>50</v>
      </c>
      <c r="I415" s="153">
        <v>0</v>
      </c>
      <c r="J415" s="153">
        <v>112</v>
      </c>
      <c r="K415" s="153">
        <v>47</v>
      </c>
      <c r="L415" s="153">
        <v>50</v>
      </c>
      <c r="M415" s="172">
        <v>98</v>
      </c>
      <c r="N415" s="153">
        <v>234</v>
      </c>
      <c r="O415" s="153">
        <v>10139</v>
      </c>
      <c r="P415" s="153">
        <v>0</v>
      </c>
      <c r="Q415" s="153">
        <v>0</v>
      </c>
      <c r="R415" s="153">
        <v>253</v>
      </c>
      <c r="S415" s="153">
        <v>0</v>
      </c>
      <c r="T415" s="153"/>
      <c r="U415" s="153"/>
      <c r="V415" s="153"/>
      <c r="W415" s="153"/>
      <c r="X415" s="153"/>
      <c r="Y415" s="153"/>
      <c r="Z415" s="153"/>
      <c r="AA415" s="153"/>
      <c r="AB415" s="153"/>
      <c r="AC415" s="153"/>
      <c r="AD415" s="153"/>
      <c r="AE415" s="153"/>
      <c r="AF415" s="153"/>
      <c r="AG415" s="153"/>
      <c r="AH415" s="153"/>
      <c r="AI415" s="153"/>
      <c r="AJ415" s="153"/>
      <c r="AK415"/>
      <c r="AL415"/>
      <c r="AM415"/>
      <c r="AN415"/>
    </row>
    <row r="416" spans="1:40" x14ac:dyDescent="0.35">
      <c r="A416" s="153" t="s">
        <v>34</v>
      </c>
      <c r="B416" s="153" t="s">
        <v>181</v>
      </c>
      <c r="C416" s="153" t="s">
        <v>218</v>
      </c>
      <c r="D416" s="153" t="s">
        <v>68</v>
      </c>
      <c r="E416" s="161">
        <v>0.93023255813953487</v>
      </c>
      <c r="F416" s="153">
        <v>0</v>
      </c>
      <c r="G416" s="153">
        <v>0</v>
      </c>
      <c r="H416" s="153">
        <v>50</v>
      </c>
      <c r="I416" s="153">
        <v>0</v>
      </c>
      <c r="J416" s="153">
        <v>0</v>
      </c>
      <c r="K416" s="153">
        <v>0</v>
      </c>
      <c r="L416" s="153">
        <v>0</v>
      </c>
      <c r="M416" s="172">
        <v>0</v>
      </c>
      <c r="N416" s="153">
        <v>0</v>
      </c>
      <c r="O416" s="153">
        <v>0</v>
      </c>
      <c r="P416" s="153">
        <v>0</v>
      </c>
      <c r="Q416" s="153">
        <v>0</v>
      </c>
      <c r="R416" s="153">
        <v>0</v>
      </c>
      <c r="S416" s="153">
        <v>0</v>
      </c>
      <c r="T416" s="153"/>
      <c r="U416" s="153"/>
      <c r="V416" s="153"/>
      <c r="W416" s="153"/>
      <c r="X416" s="153"/>
      <c r="Y416" s="153"/>
      <c r="Z416" s="153"/>
      <c r="AA416" s="153"/>
      <c r="AB416" s="153"/>
      <c r="AC416" s="153"/>
      <c r="AD416" s="153"/>
      <c r="AE416" s="153"/>
      <c r="AF416" s="153"/>
      <c r="AG416" s="153"/>
      <c r="AH416" s="153"/>
      <c r="AI416" s="153"/>
      <c r="AJ416" s="153"/>
      <c r="AK416"/>
      <c r="AL416"/>
      <c r="AM416"/>
      <c r="AN416"/>
    </row>
    <row r="417" spans="1:40" x14ac:dyDescent="0.35">
      <c r="A417" s="153" t="s">
        <v>34</v>
      </c>
      <c r="B417" s="153" t="s">
        <v>182</v>
      </c>
      <c r="C417" s="153" t="s">
        <v>219</v>
      </c>
      <c r="D417" s="153" t="s">
        <v>68</v>
      </c>
      <c r="E417" s="161">
        <v>0.93023255813953487</v>
      </c>
      <c r="F417" s="153">
        <v>0</v>
      </c>
      <c r="G417" s="153">
        <v>487</v>
      </c>
      <c r="H417" s="153"/>
      <c r="I417" s="153"/>
      <c r="J417" s="153"/>
      <c r="K417" s="153">
        <v>0</v>
      </c>
      <c r="L417" s="153">
        <v>799</v>
      </c>
      <c r="M417" s="153">
        <v>1883</v>
      </c>
      <c r="N417" s="153">
        <v>870</v>
      </c>
      <c r="O417" s="153">
        <v>0</v>
      </c>
      <c r="P417" s="153">
        <v>2391</v>
      </c>
      <c r="Q417" s="153">
        <v>254</v>
      </c>
      <c r="R417" s="153">
        <v>52</v>
      </c>
      <c r="S417" s="153">
        <v>4596</v>
      </c>
      <c r="T417" s="153"/>
      <c r="U417" s="153"/>
      <c r="V417" s="153"/>
      <c r="W417" s="153"/>
      <c r="X417" s="153"/>
      <c r="Y417" s="153"/>
      <c r="Z417" s="153"/>
      <c r="AA417" s="153"/>
      <c r="AB417" s="153"/>
      <c r="AC417" s="153"/>
      <c r="AD417" s="153"/>
      <c r="AE417" s="153"/>
      <c r="AF417" s="153"/>
      <c r="AG417" s="153"/>
      <c r="AH417" s="153"/>
      <c r="AI417" s="153"/>
      <c r="AJ417" s="153"/>
      <c r="AK417"/>
      <c r="AL417"/>
      <c r="AM417"/>
      <c r="AN417"/>
    </row>
    <row r="418" spans="1:40" x14ac:dyDescent="0.35">
      <c r="A418" s="153"/>
      <c r="B418" s="153"/>
      <c r="C418" s="153"/>
      <c r="D418" s="153"/>
      <c r="E418" s="161"/>
      <c r="F418" s="153"/>
      <c r="G418" s="153"/>
      <c r="H418" s="153"/>
      <c r="I418" s="153"/>
      <c r="J418" s="153"/>
      <c r="K418" s="153"/>
      <c r="L418" s="153"/>
      <c r="M418" s="153"/>
      <c r="N418" s="153"/>
      <c r="O418" s="153"/>
      <c r="P418" s="153"/>
      <c r="Q418" s="153"/>
      <c r="R418" s="153"/>
      <c r="S418" s="153"/>
      <c r="T418" s="153"/>
      <c r="U418" s="153"/>
      <c r="V418" s="153"/>
      <c r="W418" s="153"/>
      <c r="X418" s="153"/>
      <c r="Y418" s="153"/>
      <c r="Z418" s="153"/>
      <c r="AA418" s="153"/>
      <c r="AB418" s="153"/>
      <c r="AC418" s="153"/>
      <c r="AD418" s="153"/>
      <c r="AE418" s="153"/>
      <c r="AF418" s="153"/>
      <c r="AG418" s="153"/>
      <c r="AH418" s="153"/>
      <c r="AI418" s="153"/>
      <c r="AJ418" s="153"/>
      <c r="AK418"/>
      <c r="AL418"/>
      <c r="AM418"/>
      <c r="AN418"/>
    </row>
    <row r="419" spans="1:40" x14ac:dyDescent="0.35">
      <c r="A419" s="153"/>
      <c r="B419" s="153"/>
      <c r="C419" s="153"/>
      <c r="D419" s="153"/>
      <c r="E419" s="161"/>
      <c r="F419" s="153"/>
      <c r="G419" s="153"/>
      <c r="H419" s="153"/>
      <c r="I419" s="153"/>
      <c r="J419" s="153"/>
      <c r="K419" s="153"/>
      <c r="L419" s="153"/>
      <c r="M419" s="153"/>
      <c r="N419" s="153"/>
      <c r="O419" s="153"/>
      <c r="P419" s="153"/>
      <c r="Q419" s="153"/>
      <c r="R419" s="153"/>
      <c r="S419" s="153"/>
      <c r="T419" s="153"/>
      <c r="U419" s="153"/>
      <c r="V419" s="153"/>
      <c r="W419" s="153"/>
      <c r="X419" s="153"/>
      <c r="Y419" s="153"/>
      <c r="Z419" s="153"/>
      <c r="AA419" s="153"/>
      <c r="AB419" s="153"/>
      <c r="AC419" s="153"/>
      <c r="AD419" s="153"/>
      <c r="AE419" s="153"/>
      <c r="AF419" s="153"/>
      <c r="AG419" s="153"/>
      <c r="AH419" s="153"/>
      <c r="AI419" s="153"/>
      <c r="AJ419" s="153"/>
      <c r="AK419"/>
      <c r="AL419"/>
      <c r="AM419"/>
      <c r="AN419"/>
    </row>
    <row r="420" spans="1:40" x14ac:dyDescent="0.35">
      <c r="A420" s="153"/>
      <c r="B420" s="153"/>
      <c r="C420" s="153"/>
      <c r="D420" s="153"/>
      <c r="E420" s="161"/>
      <c r="F420" s="153"/>
      <c r="G420" s="153"/>
      <c r="H420" s="153"/>
      <c r="I420" s="153"/>
      <c r="J420" s="153"/>
      <c r="K420" s="153"/>
      <c r="L420" s="153"/>
      <c r="M420" s="153"/>
      <c r="N420" s="153"/>
      <c r="O420" s="153"/>
      <c r="P420" s="153"/>
      <c r="Q420" s="153"/>
      <c r="R420" s="153"/>
      <c r="S420" s="153"/>
      <c r="T420" s="153"/>
      <c r="U420" s="153"/>
      <c r="V420" s="153"/>
      <c r="W420" s="153"/>
      <c r="X420" s="153"/>
      <c r="Y420" s="153"/>
      <c r="Z420" s="153"/>
      <c r="AA420" s="153"/>
      <c r="AB420" s="153"/>
      <c r="AC420" s="153"/>
      <c r="AD420" s="153"/>
      <c r="AE420" s="153"/>
      <c r="AF420" s="153"/>
      <c r="AG420" s="153"/>
      <c r="AH420" s="153"/>
      <c r="AI420" s="153"/>
      <c r="AJ420" s="153"/>
      <c r="AK420"/>
      <c r="AL420"/>
      <c r="AM420"/>
      <c r="AN420"/>
    </row>
    <row r="421" spans="1:40" x14ac:dyDescent="0.35">
      <c r="A421" s="153"/>
      <c r="B421" s="153"/>
      <c r="C421" s="153"/>
      <c r="D421" s="153"/>
      <c r="E421" s="161"/>
      <c r="F421" s="153"/>
      <c r="G421" s="153"/>
      <c r="H421" s="153"/>
      <c r="I421" s="153"/>
      <c r="J421" s="153"/>
      <c r="K421" s="153"/>
      <c r="L421" s="153"/>
      <c r="M421" s="153"/>
      <c r="N421" s="153"/>
      <c r="O421" s="153"/>
      <c r="P421" s="153"/>
      <c r="Q421" s="153"/>
      <c r="R421" s="153"/>
      <c r="S421" s="153"/>
      <c r="T421" s="153"/>
      <c r="U421" s="153"/>
      <c r="V421" s="153"/>
      <c r="W421" s="153"/>
      <c r="X421" s="153"/>
      <c r="Y421" s="153"/>
      <c r="Z421" s="153"/>
      <c r="AA421" s="153"/>
      <c r="AB421" s="153"/>
      <c r="AC421" s="153"/>
      <c r="AD421" s="153"/>
      <c r="AE421" s="153"/>
      <c r="AF421" s="153"/>
      <c r="AG421" s="153"/>
      <c r="AH421" s="153"/>
      <c r="AI421" s="153"/>
      <c r="AJ421" s="153"/>
      <c r="AK421"/>
      <c r="AL421"/>
      <c r="AM421"/>
      <c r="AN421"/>
    </row>
    <row r="422" spans="1:40" x14ac:dyDescent="0.35">
      <c r="A422" s="153"/>
      <c r="B422" s="153"/>
      <c r="C422" s="153"/>
      <c r="D422" s="153"/>
      <c r="E422" s="161"/>
      <c r="F422" s="153"/>
      <c r="G422" s="153"/>
      <c r="H422" s="153"/>
      <c r="I422" s="153"/>
      <c r="J422" s="153"/>
      <c r="K422" s="153"/>
      <c r="L422" s="153"/>
      <c r="M422" s="153"/>
      <c r="N422" s="153"/>
      <c r="P422" s="153"/>
      <c r="Q422" s="153"/>
      <c r="R422" s="153"/>
      <c r="S422" s="153"/>
      <c r="T422" s="153"/>
      <c r="U422" s="153"/>
      <c r="V422" s="153"/>
      <c r="W422" s="153"/>
      <c r="X422" s="153"/>
      <c r="Y422" s="153"/>
      <c r="Z422" s="153"/>
      <c r="AA422" s="153"/>
      <c r="AB422" s="153"/>
      <c r="AC422" s="153"/>
      <c r="AD422" s="153"/>
      <c r="AE422" s="153"/>
      <c r="AF422" s="153"/>
      <c r="AG422" s="153"/>
      <c r="AH422" s="153"/>
      <c r="AI422" s="153"/>
      <c r="AJ422" s="153"/>
      <c r="AK422"/>
      <c r="AL422"/>
      <c r="AM422"/>
      <c r="AN422"/>
    </row>
    <row r="423" spans="1:40" x14ac:dyDescent="0.35">
      <c r="A423" s="153"/>
      <c r="B423" s="153"/>
      <c r="C423" s="153"/>
      <c r="D423" s="153"/>
      <c r="E423" s="161"/>
      <c r="F423" s="153"/>
      <c r="G423" s="153"/>
      <c r="H423" s="153"/>
      <c r="I423" s="153"/>
      <c r="J423" s="153"/>
      <c r="K423" s="153"/>
      <c r="L423" s="153"/>
      <c r="M423" s="153"/>
      <c r="N423" s="153"/>
      <c r="O423" s="153"/>
      <c r="P423" s="153"/>
      <c r="Q423" s="153"/>
      <c r="R423" s="153"/>
      <c r="S423" s="153"/>
      <c r="T423" s="153"/>
      <c r="U423" s="153"/>
      <c r="V423" s="153"/>
      <c r="W423" s="153"/>
      <c r="X423" s="153"/>
      <c r="Y423" s="153"/>
      <c r="Z423" s="153"/>
      <c r="AA423" s="153"/>
      <c r="AB423" s="153"/>
      <c r="AC423" s="153"/>
      <c r="AD423" s="153"/>
      <c r="AE423" s="153"/>
      <c r="AF423" s="153"/>
      <c r="AG423" s="153"/>
      <c r="AH423" s="153"/>
      <c r="AI423" s="153"/>
      <c r="AJ423" s="153"/>
      <c r="AK423"/>
      <c r="AL423"/>
      <c r="AM423"/>
      <c r="AN423"/>
    </row>
    <row r="424" spans="1:40" x14ac:dyDescent="0.35">
      <c r="A424" s="153"/>
      <c r="B424" s="153"/>
      <c r="C424" s="153"/>
      <c r="D424" s="153"/>
      <c r="E424" s="161"/>
      <c r="F424" s="153"/>
      <c r="G424" s="153"/>
      <c r="H424" s="153"/>
      <c r="I424" s="153"/>
      <c r="J424" s="153"/>
      <c r="K424" s="153"/>
      <c r="L424" s="153"/>
      <c r="M424" s="153"/>
      <c r="N424" s="153"/>
      <c r="O424" s="153"/>
      <c r="P424" s="153"/>
      <c r="Q424" s="153"/>
      <c r="R424" s="153"/>
      <c r="S424" s="153"/>
      <c r="T424" s="153"/>
      <c r="U424" s="153"/>
      <c r="V424" s="153"/>
      <c r="W424" s="153"/>
      <c r="X424" s="153"/>
      <c r="Y424" s="153"/>
      <c r="Z424" s="153"/>
      <c r="AA424" s="153"/>
      <c r="AB424" s="153"/>
      <c r="AC424" s="153"/>
      <c r="AD424" s="153"/>
      <c r="AE424" s="153"/>
      <c r="AF424" s="153"/>
      <c r="AG424" s="153"/>
      <c r="AH424" s="153"/>
      <c r="AI424" s="153"/>
      <c r="AJ424" s="153"/>
      <c r="AK424"/>
      <c r="AL424"/>
      <c r="AM424"/>
      <c r="AN424"/>
    </row>
    <row r="425" spans="1:40" x14ac:dyDescent="0.35">
      <c r="A425" s="153"/>
      <c r="B425" s="153"/>
      <c r="C425" s="153"/>
      <c r="D425" s="153"/>
      <c r="E425" s="161"/>
      <c r="F425" s="153"/>
      <c r="G425" s="153"/>
      <c r="H425" s="153"/>
      <c r="I425" s="153"/>
      <c r="J425" s="153"/>
      <c r="K425" s="153"/>
      <c r="L425" s="153"/>
      <c r="M425" s="153"/>
      <c r="N425" s="153"/>
      <c r="O425" s="153"/>
      <c r="P425" s="153"/>
      <c r="Q425" s="153"/>
      <c r="R425" s="153"/>
      <c r="S425" s="153"/>
      <c r="T425" s="153"/>
      <c r="U425" s="153"/>
      <c r="V425" s="153"/>
      <c r="W425" s="153"/>
      <c r="X425" s="153"/>
      <c r="Y425" s="153"/>
      <c r="Z425" s="153"/>
      <c r="AA425" s="153"/>
      <c r="AB425" s="153"/>
      <c r="AC425" s="153"/>
      <c r="AD425" s="153"/>
      <c r="AE425" s="153"/>
      <c r="AF425" s="153"/>
      <c r="AG425" s="153"/>
      <c r="AH425" s="153"/>
      <c r="AI425" s="153"/>
      <c r="AJ425" s="153"/>
      <c r="AK425"/>
      <c r="AL425"/>
      <c r="AM425"/>
      <c r="AN425"/>
    </row>
    <row r="426" spans="1:40" x14ac:dyDescent="0.35">
      <c r="A426" s="153"/>
      <c r="B426" s="153"/>
      <c r="C426" s="153"/>
      <c r="D426" s="153"/>
      <c r="E426" s="161"/>
      <c r="F426" s="153"/>
      <c r="G426" s="153"/>
      <c r="H426" s="153"/>
      <c r="I426" s="153"/>
      <c r="J426" s="153"/>
      <c r="K426" s="153"/>
      <c r="L426" s="153"/>
      <c r="M426" s="153"/>
      <c r="N426" s="153"/>
      <c r="O426" s="153"/>
      <c r="P426" s="153"/>
      <c r="Q426" s="153"/>
      <c r="R426" s="153"/>
      <c r="S426" s="153"/>
      <c r="T426" s="153"/>
      <c r="U426" s="153"/>
      <c r="V426" s="153"/>
      <c r="W426" s="153"/>
      <c r="X426" s="153"/>
      <c r="Y426" s="153"/>
      <c r="Z426" s="153"/>
      <c r="AA426" s="153"/>
      <c r="AB426" s="153"/>
      <c r="AC426" s="153"/>
      <c r="AD426" s="153"/>
      <c r="AE426" s="153"/>
      <c r="AF426" s="153"/>
      <c r="AG426" s="153"/>
      <c r="AH426" s="153"/>
      <c r="AI426" s="153"/>
      <c r="AJ426" s="153"/>
      <c r="AK426"/>
      <c r="AL426"/>
      <c r="AM426"/>
      <c r="AN426"/>
    </row>
    <row r="427" spans="1:40" x14ac:dyDescent="0.35">
      <c r="A427" s="153"/>
      <c r="B427" s="153"/>
      <c r="C427" s="153"/>
      <c r="D427" s="153"/>
      <c r="E427" s="161"/>
      <c r="F427" s="153"/>
      <c r="G427" s="153"/>
      <c r="H427" s="153"/>
      <c r="I427" s="153"/>
      <c r="J427" s="153"/>
      <c r="K427" s="153"/>
      <c r="L427" s="153"/>
      <c r="M427" s="153"/>
      <c r="N427" s="153"/>
      <c r="O427" s="153"/>
      <c r="P427" s="153"/>
      <c r="Q427" s="153"/>
      <c r="R427" s="153"/>
      <c r="S427" s="153"/>
      <c r="T427" s="153"/>
      <c r="U427" s="153"/>
      <c r="V427" s="153"/>
      <c r="W427" s="153"/>
      <c r="X427" s="153"/>
      <c r="Y427" s="153"/>
      <c r="Z427" s="153"/>
      <c r="AA427" s="153"/>
      <c r="AB427" s="153"/>
      <c r="AC427" s="153"/>
      <c r="AD427" s="153"/>
      <c r="AE427" s="153"/>
      <c r="AF427" s="153"/>
      <c r="AG427" s="153"/>
      <c r="AH427" s="153"/>
      <c r="AI427" s="153"/>
      <c r="AJ427" s="153"/>
      <c r="AK427"/>
      <c r="AL427"/>
      <c r="AM427"/>
      <c r="AN427"/>
    </row>
    <row r="428" spans="1:40" x14ac:dyDescent="0.35">
      <c r="A428" s="153"/>
      <c r="B428" s="153"/>
      <c r="C428" s="153"/>
      <c r="D428" s="153"/>
      <c r="E428" s="161"/>
      <c r="F428" s="153"/>
      <c r="G428" s="153"/>
      <c r="H428" s="153"/>
      <c r="I428" s="153"/>
      <c r="J428" s="153"/>
      <c r="K428" s="153"/>
      <c r="L428" s="153"/>
      <c r="M428" s="153"/>
      <c r="N428" s="153"/>
      <c r="O428" s="153"/>
      <c r="P428" s="153"/>
      <c r="Q428" s="153"/>
      <c r="R428" s="153"/>
      <c r="S428" s="153"/>
      <c r="T428" s="153"/>
      <c r="U428" s="153"/>
      <c r="V428" s="153"/>
      <c r="W428" s="153"/>
      <c r="X428" s="153"/>
      <c r="Y428" s="153"/>
      <c r="Z428" s="153"/>
      <c r="AA428" s="153"/>
      <c r="AB428" s="153"/>
      <c r="AC428" s="153"/>
      <c r="AD428" s="153"/>
      <c r="AE428" s="153"/>
      <c r="AF428" s="153"/>
      <c r="AG428" s="153"/>
      <c r="AH428" s="153"/>
      <c r="AI428" s="153"/>
      <c r="AJ428" s="153"/>
      <c r="AK428"/>
      <c r="AL428"/>
      <c r="AM428"/>
      <c r="AN428"/>
    </row>
    <row r="429" spans="1:40" x14ac:dyDescent="0.35">
      <c r="A429" s="153"/>
      <c r="B429" s="153"/>
      <c r="C429" s="153"/>
      <c r="D429" s="153"/>
      <c r="E429" s="161"/>
      <c r="F429" s="153"/>
      <c r="G429" s="153"/>
      <c r="H429" s="153"/>
      <c r="I429" s="153"/>
      <c r="J429" s="153"/>
      <c r="K429" s="153"/>
      <c r="L429" s="153"/>
      <c r="M429" s="153"/>
      <c r="N429" s="153"/>
      <c r="O429" s="153"/>
      <c r="P429" s="153"/>
      <c r="Q429" s="153"/>
      <c r="R429" s="153"/>
      <c r="S429" s="153"/>
      <c r="T429" s="153"/>
      <c r="U429" s="153"/>
      <c r="V429" s="153"/>
      <c r="W429" s="153"/>
      <c r="X429" s="153"/>
      <c r="Y429" s="153"/>
      <c r="Z429" s="153"/>
      <c r="AA429" s="153"/>
      <c r="AB429" s="153"/>
      <c r="AC429" s="153"/>
      <c r="AD429" s="153"/>
      <c r="AE429" s="153"/>
      <c r="AF429" s="153"/>
      <c r="AG429" s="153"/>
      <c r="AH429" s="153"/>
      <c r="AI429" s="153"/>
      <c r="AJ429" s="153"/>
      <c r="AK429"/>
      <c r="AL429"/>
      <c r="AM429"/>
      <c r="AN429"/>
    </row>
    <row r="430" spans="1:40" x14ac:dyDescent="0.35">
      <c r="A430" s="153"/>
      <c r="B430" s="153"/>
      <c r="C430" s="153"/>
      <c r="D430" s="153"/>
      <c r="E430" s="161"/>
      <c r="F430" s="153"/>
      <c r="G430" s="153"/>
      <c r="H430" s="153"/>
      <c r="I430" s="153"/>
      <c r="J430" s="153"/>
      <c r="K430" s="153"/>
      <c r="L430" s="153"/>
      <c r="M430" s="153"/>
      <c r="N430" s="153"/>
      <c r="O430" s="153"/>
      <c r="P430" s="153"/>
      <c r="Q430" s="153"/>
      <c r="R430" s="153"/>
      <c r="S430" s="153"/>
      <c r="T430" s="153"/>
      <c r="U430" s="153"/>
      <c r="V430" s="153"/>
      <c r="W430" s="153"/>
      <c r="X430" s="153"/>
      <c r="Y430" s="153"/>
      <c r="Z430" s="153"/>
      <c r="AA430" s="153"/>
      <c r="AB430" s="153"/>
      <c r="AC430" s="153"/>
      <c r="AD430" s="153"/>
      <c r="AE430" s="153"/>
      <c r="AF430" s="153"/>
      <c r="AG430" s="153"/>
      <c r="AH430" s="153"/>
      <c r="AI430" s="153"/>
      <c r="AJ430" s="153"/>
      <c r="AK430"/>
      <c r="AL430"/>
      <c r="AM430"/>
      <c r="AN430"/>
    </row>
    <row r="431" spans="1:40" x14ac:dyDescent="0.35">
      <c r="A431" s="153"/>
      <c r="B431" s="153"/>
      <c r="C431" s="153"/>
      <c r="D431" s="153"/>
      <c r="E431" s="161"/>
      <c r="F431" s="153"/>
      <c r="G431" s="153"/>
      <c r="H431" s="153"/>
      <c r="I431" s="153"/>
      <c r="J431" s="153"/>
      <c r="K431" s="153"/>
      <c r="L431" s="153"/>
      <c r="M431" s="153"/>
      <c r="N431" s="153"/>
      <c r="O431" s="153"/>
      <c r="P431" s="153"/>
      <c r="Q431" s="153"/>
      <c r="R431" s="153"/>
      <c r="S431" s="153"/>
      <c r="T431" s="153"/>
      <c r="U431" s="153"/>
      <c r="V431" s="153"/>
      <c r="W431" s="153"/>
      <c r="X431" s="153"/>
      <c r="Y431" s="153"/>
      <c r="Z431" s="153"/>
      <c r="AA431" s="153"/>
      <c r="AB431" s="153"/>
      <c r="AC431" s="153"/>
      <c r="AD431" s="153"/>
      <c r="AE431" s="153"/>
      <c r="AF431" s="153"/>
      <c r="AG431" s="153"/>
      <c r="AH431" s="153"/>
      <c r="AI431" s="153"/>
      <c r="AJ431" s="153"/>
      <c r="AK431"/>
      <c r="AL431"/>
      <c r="AM431"/>
      <c r="AN431"/>
    </row>
    <row r="432" spans="1:40" x14ac:dyDescent="0.35">
      <c r="A432" s="153"/>
      <c r="B432" s="153"/>
      <c r="C432" s="153"/>
      <c r="D432" s="153"/>
      <c r="E432" s="161"/>
      <c r="F432" s="153"/>
      <c r="G432" s="153"/>
      <c r="H432" s="153"/>
      <c r="I432" s="153"/>
      <c r="J432" s="153"/>
      <c r="K432" s="153"/>
      <c r="L432" s="153"/>
      <c r="M432" s="153"/>
      <c r="N432" s="153"/>
      <c r="O432" s="153"/>
      <c r="P432" s="153"/>
      <c r="Q432" s="153"/>
      <c r="R432" s="153"/>
      <c r="S432" s="153"/>
      <c r="T432" s="153"/>
      <c r="U432" s="153"/>
      <c r="V432" s="153"/>
      <c r="W432" s="153"/>
      <c r="X432" s="153"/>
      <c r="Y432" s="153"/>
      <c r="Z432" s="153"/>
      <c r="AA432" s="153"/>
      <c r="AB432" s="153"/>
      <c r="AC432" s="153"/>
      <c r="AD432" s="153"/>
      <c r="AE432" s="153"/>
      <c r="AF432" s="153"/>
      <c r="AG432" s="153"/>
      <c r="AH432" s="153"/>
      <c r="AI432" s="153"/>
      <c r="AJ432" s="153"/>
      <c r="AK432"/>
      <c r="AL432"/>
      <c r="AM432"/>
      <c r="AN432"/>
    </row>
    <row r="433" spans="1:40" x14ac:dyDescent="0.35">
      <c r="A433" s="153"/>
      <c r="B433" s="153"/>
      <c r="C433" s="153"/>
      <c r="D433" s="153"/>
      <c r="E433" s="161"/>
      <c r="F433" s="153"/>
      <c r="G433" s="153"/>
      <c r="H433" s="153"/>
      <c r="I433" s="153"/>
      <c r="J433" s="153"/>
      <c r="K433" s="153"/>
      <c r="L433" s="153"/>
      <c r="M433" s="153"/>
      <c r="N433" s="153"/>
      <c r="O433" s="153"/>
      <c r="P433" s="153"/>
      <c r="Q433" s="153"/>
      <c r="R433" s="153"/>
      <c r="S433" s="153"/>
      <c r="T433" s="153"/>
      <c r="U433" s="153"/>
      <c r="V433" s="153"/>
      <c r="W433" s="153"/>
      <c r="X433" s="153"/>
      <c r="Y433" s="153"/>
      <c r="Z433" s="153"/>
      <c r="AA433" s="153"/>
      <c r="AB433" s="153"/>
      <c r="AC433" s="153"/>
      <c r="AD433" s="153"/>
      <c r="AE433" s="153"/>
      <c r="AF433" s="153"/>
      <c r="AG433" s="153"/>
      <c r="AH433" s="153"/>
      <c r="AI433" s="153"/>
      <c r="AJ433" s="153"/>
      <c r="AK433"/>
      <c r="AL433"/>
      <c r="AM433"/>
      <c r="AN433"/>
    </row>
    <row r="434" spans="1:40" x14ac:dyDescent="0.35">
      <c r="A434" s="153"/>
      <c r="B434" s="153"/>
      <c r="C434" s="153"/>
      <c r="D434" s="153"/>
      <c r="E434" s="161"/>
      <c r="F434" s="153"/>
      <c r="G434" s="153"/>
      <c r="H434" s="153"/>
      <c r="I434" s="153"/>
      <c r="J434" s="153"/>
      <c r="K434" s="153"/>
      <c r="L434" s="153"/>
      <c r="M434" s="153"/>
      <c r="N434" s="153"/>
      <c r="O434" s="153"/>
      <c r="P434" s="153"/>
      <c r="Q434" s="153"/>
      <c r="R434" s="153"/>
      <c r="S434" s="153"/>
      <c r="T434" s="153"/>
      <c r="U434" s="153"/>
      <c r="V434" s="153"/>
      <c r="W434" s="153"/>
      <c r="X434" s="153"/>
      <c r="Y434" s="153"/>
      <c r="Z434" s="153"/>
      <c r="AA434" s="153"/>
      <c r="AB434" s="153"/>
      <c r="AC434" s="153"/>
      <c r="AD434" s="153"/>
      <c r="AE434" s="153"/>
      <c r="AF434" s="153"/>
      <c r="AG434" s="153"/>
      <c r="AH434" s="153"/>
      <c r="AI434" s="153"/>
      <c r="AJ434" s="153"/>
      <c r="AK434"/>
      <c r="AL434"/>
      <c r="AM434"/>
      <c r="AN434"/>
    </row>
    <row r="435" spans="1:40" x14ac:dyDescent="0.35">
      <c r="A435" s="153"/>
      <c r="B435" s="153"/>
      <c r="C435" s="153"/>
      <c r="D435" s="153"/>
      <c r="E435" s="161"/>
      <c r="F435" s="153"/>
      <c r="G435" s="153"/>
      <c r="H435" s="153"/>
      <c r="I435" s="153"/>
      <c r="J435" s="153"/>
      <c r="K435" s="153"/>
      <c r="L435" s="153"/>
      <c r="M435" s="153"/>
      <c r="N435" s="153"/>
      <c r="O435" s="153"/>
      <c r="P435" s="153"/>
      <c r="Q435" s="153"/>
      <c r="R435" s="153"/>
      <c r="S435" s="153"/>
      <c r="T435" s="153"/>
      <c r="U435" s="153"/>
      <c r="V435" s="153"/>
      <c r="W435" s="153"/>
      <c r="X435" s="153"/>
      <c r="Y435" s="153"/>
      <c r="Z435" s="153"/>
      <c r="AA435" s="153"/>
      <c r="AB435" s="153"/>
      <c r="AC435" s="153"/>
      <c r="AD435" s="153"/>
      <c r="AE435" s="153"/>
      <c r="AF435" s="153"/>
      <c r="AG435" s="153"/>
      <c r="AH435" s="153"/>
      <c r="AI435" s="153"/>
      <c r="AJ435" s="153"/>
      <c r="AK435"/>
      <c r="AL435"/>
      <c r="AM435"/>
      <c r="AN435"/>
    </row>
    <row r="436" spans="1:40" x14ac:dyDescent="0.35">
      <c r="A436" s="153"/>
      <c r="B436" s="153"/>
      <c r="C436" s="153"/>
      <c r="D436" s="153"/>
      <c r="E436" s="161"/>
      <c r="F436" s="153"/>
      <c r="G436" s="153"/>
      <c r="H436" s="153"/>
      <c r="I436" s="153"/>
      <c r="J436" s="153"/>
      <c r="K436" s="153"/>
      <c r="L436" s="153"/>
      <c r="M436" s="153"/>
      <c r="N436" s="153"/>
      <c r="O436" s="153"/>
      <c r="P436" s="153"/>
      <c r="Q436" s="153"/>
      <c r="R436" s="153"/>
      <c r="S436" s="153"/>
      <c r="T436" s="153"/>
      <c r="U436" s="153"/>
      <c r="V436" s="153"/>
      <c r="W436" s="153"/>
      <c r="X436" s="153"/>
      <c r="Y436" s="153"/>
      <c r="Z436" s="153"/>
      <c r="AA436" s="153"/>
      <c r="AB436" s="153"/>
      <c r="AC436" s="153"/>
      <c r="AD436" s="153"/>
      <c r="AE436" s="153"/>
      <c r="AF436" s="153"/>
      <c r="AG436" s="153"/>
      <c r="AH436" s="153"/>
      <c r="AI436" s="153"/>
      <c r="AJ436" s="153"/>
      <c r="AK436"/>
      <c r="AL436"/>
      <c r="AM436"/>
      <c r="AN436"/>
    </row>
    <row r="437" spans="1:40" x14ac:dyDescent="0.35">
      <c r="A437" s="153"/>
      <c r="B437" s="153"/>
      <c r="C437" s="153"/>
      <c r="D437" s="153"/>
      <c r="E437" s="161"/>
      <c r="F437" s="153"/>
      <c r="G437" s="153"/>
      <c r="H437" s="153"/>
      <c r="I437" s="153"/>
      <c r="J437" s="153"/>
      <c r="K437" s="153"/>
      <c r="L437" s="153"/>
      <c r="M437" s="153"/>
      <c r="N437" s="153"/>
      <c r="O437" s="153"/>
      <c r="P437" s="153"/>
      <c r="Q437" s="153"/>
      <c r="R437" s="153"/>
      <c r="S437" s="153"/>
      <c r="T437" s="153"/>
      <c r="U437" s="153"/>
      <c r="V437" s="153"/>
      <c r="W437" s="153"/>
      <c r="X437" s="153"/>
      <c r="Y437" s="153"/>
      <c r="Z437" s="153"/>
      <c r="AA437" s="153"/>
      <c r="AB437" s="153"/>
      <c r="AC437" s="153"/>
      <c r="AD437" s="153"/>
      <c r="AE437" s="153"/>
      <c r="AF437" s="153"/>
      <c r="AG437" s="153"/>
      <c r="AH437" s="153"/>
      <c r="AI437" s="153"/>
      <c r="AJ437" s="153"/>
      <c r="AK437"/>
      <c r="AL437"/>
      <c r="AM437"/>
      <c r="AN437"/>
    </row>
    <row r="438" spans="1:40" x14ac:dyDescent="0.35">
      <c r="A438" s="153"/>
      <c r="B438" s="153"/>
      <c r="C438" s="153"/>
      <c r="D438" s="153"/>
      <c r="E438" s="161"/>
      <c r="F438" s="153"/>
      <c r="G438" s="153"/>
      <c r="H438" s="153"/>
      <c r="I438" s="153"/>
      <c r="J438" s="153"/>
      <c r="K438" s="153"/>
      <c r="L438" s="153"/>
      <c r="M438" s="153"/>
      <c r="N438" s="153"/>
      <c r="O438" s="153"/>
      <c r="P438" s="153"/>
      <c r="Q438" s="153"/>
      <c r="R438" s="153"/>
      <c r="S438" s="153"/>
      <c r="T438" s="153"/>
      <c r="U438" s="153"/>
      <c r="V438" s="153"/>
      <c r="W438" s="153"/>
      <c r="X438" s="153"/>
      <c r="Y438" s="153"/>
      <c r="Z438" s="153"/>
      <c r="AA438" s="153"/>
      <c r="AB438" s="153"/>
      <c r="AC438" s="153"/>
      <c r="AD438" s="153"/>
      <c r="AE438" s="153"/>
      <c r="AF438" s="153"/>
      <c r="AG438" s="153"/>
      <c r="AH438" s="153"/>
      <c r="AI438" s="153"/>
      <c r="AJ438" s="153"/>
      <c r="AK438"/>
      <c r="AL438"/>
      <c r="AM438"/>
      <c r="AN438"/>
    </row>
    <row r="439" spans="1:40" x14ac:dyDescent="0.35">
      <c r="A439" s="153"/>
      <c r="B439" s="153"/>
      <c r="C439" s="153"/>
      <c r="D439" s="153"/>
      <c r="E439" s="161"/>
      <c r="F439" s="153"/>
      <c r="G439" s="153"/>
      <c r="H439" s="153"/>
      <c r="I439" s="153"/>
      <c r="J439" s="153"/>
      <c r="K439" s="153"/>
      <c r="L439" s="153"/>
      <c r="M439" s="153"/>
      <c r="N439" s="153"/>
      <c r="O439" s="153"/>
      <c r="P439" s="153"/>
      <c r="Q439" s="153"/>
      <c r="R439" s="153"/>
      <c r="S439" s="153"/>
      <c r="T439" s="153"/>
      <c r="U439" s="153"/>
      <c r="V439" s="153"/>
      <c r="W439" s="153"/>
      <c r="X439" s="153"/>
      <c r="Y439" s="153"/>
      <c r="Z439" s="153"/>
      <c r="AA439" s="153"/>
      <c r="AB439" s="153"/>
      <c r="AC439" s="153"/>
      <c r="AD439" s="153"/>
      <c r="AE439" s="153"/>
      <c r="AF439" s="153"/>
      <c r="AG439" s="153"/>
      <c r="AH439" s="153"/>
      <c r="AI439" s="153"/>
      <c r="AJ439" s="153"/>
      <c r="AK439"/>
      <c r="AL439"/>
      <c r="AM439"/>
      <c r="AN439"/>
    </row>
    <row r="440" spans="1:40" x14ac:dyDescent="0.35">
      <c r="A440" s="153"/>
      <c r="B440" s="153"/>
      <c r="C440" s="153"/>
      <c r="D440" s="153"/>
      <c r="E440" s="161"/>
      <c r="F440" s="153"/>
      <c r="G440" s="153"/>
      <c r="H440" s="153"/>
      <c r="I440" s="153"/>
      <c r="J440" s="153"/>
      <c r="K440" s="153"/>
      <c r="L440" s="153"/>
      <c r="M440" s="153"/>
      <c r="N440" s="153"/>
      <c r="O440" s="153"/>
      <c r="P440" s="153"/>
      <c r="Q440" s="153"/>
      <c r="R440" s="153"/>
      <c r="S440" s="153"/>
      <c r="T440" s="153"/>
      <c r="U440" s="153"/>
      <c r="V440" s="153"/>
      <c r="W440" s="153"/>
      <c r="X440" s="153"/>
      <c r="Y440" s="153"/>
      <c r="Z440" s="153"/>
      <c r="AA440" s="153"/>
      <c r="AB440" s="153"/>
      <c r="AC440" s="153"/>
      <c r="AD440" s="153"/>
      <c r="AE440" s="153"/>
      <c r="AF440" s="153"/>
      <c r="AG440" s="153"/>
      <c r="AH440" s="153"/>
      <c r="AI440" s="153"/>
      <c r="AJ440" s="153"/>
      <c r="AK440"/>
      <c r="AL440"/>
      <c r="AM440"/>
      <c r="AN440"/>
    </row>
    <row r="441" spans="1:40" x14ac:dyDescent="0.35">
      <c r="A441" s="153"/>
      <c r="B441" s="153"/>
      <c r="C441" s="153"/>
      <c r="D441" s="153"/>
      <c r="E441" s="161"/>
      <c r="F441" s="153"/>
      <c r="G441" s="153"/>
      <c r="H441" s="153"/>
      <c r="I441" s="153"/>
      <c r="J441" s="153"/>
      <c r="K441" s="153"/>
      <c r="L441" s="153"/>
      <c r="M441" s="153"/>
      <c r="N441" s="153"/>
      <c r="O441" s="153"/>
      <c r="P441" s="153"/>
      <c r="Q441" s="153"/>
      <c r="R441" s="153"/>
      <c r="S441" s="153"/>
      <c r="T441" s="153"/>
      <c r="U441" s="153"/>
      <c r="V441" s="153"/>
      <c r="W441" s="153"/>
      <c r="X441" s="153"/>
      <c r="Y441" s="153"/>
      <c r="Z441" s="153"/>
      <c r="AA441" s="153"/>
      <c r="AB441" s="153"/>
      <c r="AC441" s="153"/>
      <c r="AD441" s="153"/>
      <c r="AE441" s="153"/>
      <c r="AF441" s="153"/>
      <c r="AG441" s="153"/>
      <c r="AH441" s="153"/>
      <c r="AI441" s="153"/>
      <c r="AJ441" s="153"/>
      <c r="AK441"/>
      <c r="AL441"/>
      <c r="AM441"/>
      <c r="AN441"/>
    </row>
    <row r="442" spans="1:40" x14ac:dyDescent="0.35">
      <c r="A442" s="153"/>
      <c r="B442" s="153"/>
      <c r="C442" s="153"/>
      <c r="D442" s="153"/>
      <c r="E442" s="161"/>
      <c r="F442" s="153"/>
      <c r="G442" s="153"/>
      <c r="H442" s="153"/>
      <c r="I442" s="153"/>
      <c r="J442" s="153"/>
      <c r="K442" s="153"/>
      <c r="L442" s="153"/>
      <c r="M442" s="153"/>
      <c r="N442" s="153"/>
      <c r="O442" s="153"/>
      <c r="P442" s="153"/>
      <c r="Q442" s="153"/>
      <c r="R442" s="153"/>
      <c r="S442" s="153"/>
      <c r="T442" s="153"/>
      <c r="U442" s="153"/>
      <c r="V442" s="153"/>
      <c r="W442" s="153"/>
      <c r="X442" s="153"/>
      <c r="Y442" s="153"/>
      <c r="Z442" s="153"/>
      <c r="AA442" s="153"/>
      <c r="AB442" s="153"/>
      <c r="AC442" s="153"/>
      <c r="AD442" s="153"/>
      <c r="AE442" s="153"/>
      <c r="AF442" s="153"/>
      <c r="AG442" s="153"/>
      <c r="AH442" s="153"/>
      <c r="AI442" s="153"/>
      <c r="AJ442" s="153"/>
      <c r="AK442"/>
      <c r="AL442"/>
      <c r="AM442"/>
      <c r="AN442"/>
    </row>
    <row r="443" spans="1:40" x14ac:dyDescent="0.35">
      <c r="A443" s="153"/>
      <c r="B443" s="153"/>
      <c r="C443" s="153"/>
      <c r="D443" s="153"/>
      <c r="E443" s="161"/>
      <c r="F443" s="153"/>
      <c r="G443" s="153"/>
      <c r="H443" s="153"/>
      <c r="I443" s="153"/>
      <c r="J443" s="153"/>
      <c r="K443" s="153"/>
      <c r="L443" s="153"/>
      <c r="M443" s="153"/>
      <c r="N443" s="153"/>
      <c r="O443" s="153"/>
      <c r="P443" s="153"/>
      <c r="Q443" s="153"/>
      <c r="R443" s="153"/>
      <c r="S443" s="153"/>
      <c r="T443" s="153"/>
      <c r="U443" s="153"/>
      <c r="V443" s="153"/>
      <c r="W443" s="153"/>
      <c r="X443" s="153"/>
      <c r="Y443" s="153"/>
      <c r="Z443" s="153"/>
      <c r="AA443" s="153"/>
      <c r="AB443" s="153"/>
      <c r="AC443" s="153"/>
      <c r="AD443" s="153"/>
      <c r="AE443" s="153"/>
      <c r="AF443" s="153"/>
      <c r="AG443" s="153"/>
      <c r="AH443" s="153"/>
      <c r="AI443" s="153"/>
      <c r="AJ443" s="153"/>
      <c r="AK443"/>
      <c r="AL443"/>
      <c r="AM443"/>
      <c r="AN443"/>
    </row>
    <row r="444" spans="1:40" x14ac:dyDescent="0.35">
      <c r="A444" s="153"/>
      <c r="B444" s="153"/>
      <c r="C444" s="153"/>
      <c r="D444" s="153"/>
      <c r="E444" s="161"/>
      <c r="F444" s="153"/>
      <c r="G444" s="153"/>
      <c r="H444" s="153"/>
      <c r="I444" s="153"/>
      <c r="J444" s="153"/>
      <c r="K444" s="153"/>
      <c r="L444" s="153"/>
      <c r="M444" s="153"/>
      <c r="N444" s="153"/>
      <c r="O444" s="153"/>
      <c r="P444" s="153"/>
      <c r="Q444" s="153"/>
      <c r="R444" s="153"/>
      <c r="S444" s="153"/>
      <c r="T444" s="153"/>
      <c r="U444" s="153"/>
      <c r="V444" s="153"/>
      <c r="W444" s="153"/>
      <c r="X444" s="153"/>
      <c r="Y444" s="153"/>
      <c r="Z444" s="153"/>
      <c r="AA444" s="153"/>
      <c r="AB444" s="153"/>
      <c r="AC444" s="153"/>
      <c r="AD444" s="153"/>
      <c r="AE444" s="153"/>
      <c r="AF444" s="153"/>
      <c r="AG444" s="153"/>
      <c r="AH444" s="153"/>
      <c r="AI444" s="153"/>
      <c r="AJ444" s="153"/>
      <c r="AK444"/>
      <c r="AL444"/>
      <c r="AM444"/>
      <c r="AN444"/>
    </row>
    <row r="445" spans="1:40" x14ac:dyDescent="0.35">
      <c r="A445" s="153"/>
      <c r="B445" s="153"/>
      <c r="C445" s="153"/>
      <c r="D445" s="153"/>
      <c r="E445" s="161"/>
      <c r="F445" s="153"/>
      <c r="G445" s="153"/>
      <c r="H445" s="153"/>
      <c r="I445" s="153"/>
      <c r="J445" s="153"/>
      <c r="K445" s="153"/>
      <c r="L445" s="153"/>
      <c r="M445" s="153"/>
      <c r="N445" s="153"/>
      <c r="O445" s="153"/>
      <c r="P445" s="153"/>
      <c r="Q445" s="153"/>
      <c r="R445" s="153"/>
      <c r="S445" s="153"/>
      <c r="T445" s="153"/>
      <c r="U445" s="153"/>
      <c r="V445" s="153"/>
      <c r="W445" s="153"/>
      <c r="X445" s="153"/>
      <c r="Y445" s="153"/>
      <c r="Z445" s="153"/>
      <c r="AA445" s="153"/>
      <c r="AB445" s="153"/>
      <c r="AC445" s="153"/>
      <c r="AD445" s="153"/>
      <c r="AE445" s="153"/>
      <c r="AF445" s="153"/>
      <c r="AG445" s="153"/>
      <c r="AH445" s="153"/>
      <c r="AI445" s="153"/>
      <c r="AJ445" s="153"/>
      <c r="AK445"/>
      <c r="AL445"/>
      <c r="AM445"/>
      <c r="AN445"/>
    </row>
    <row r="446" spans="1:40" x14ac:dyDescent="0.35">
      <c r="A446" s="153"/>
      <c r="B446" s="153"/>
      <c r="C446" s="153"/>
      <c r="D446" s="153"/>
      <c r="E446" s="161"/>
      <c r="F446" s="153"/>
      <c r="G446" s="153"/>
      <c r="H446" s="153"/>
      <c r="I446" s="153"/>
      <c r="J446" s="153"/>
      <c r="K446" s="153"/>
      <c r="L446" s="153"/>
      <c r="M446" s="153"/>
      <c r="N446" s="153"/>
      <c r="O446" s="153"/>
      <c r="P446" s="153"/>
      <c r="Q446" s="153"/>
      <c r="R446" s="153"/>
      <c r="S446" s="153"/>
      <c r="T446" s="153"/>
      <c r="U446" s="153"/>
      <c r="V446" s="153"/>
      <c r="W446" s="153"/>
      <c r="X446" s="153"/>
      <c r="Y446" s="153"/>
      <c r="Z446" s="153"/>
      <c r="AA446" s="153"/>
      <c r="AB446" s="153"/>
      <c r="AC446" s="153"/>
      <c r="AD446" s="153"/>
      <c r="AE446" s="153"/>
      <c r="AF446" s="153"/>
      <c r="AG446" s="153"/>
      <c r="AH446" s="153"/>
      <c r="AI446" s="153"/>
      <c r="AJ446" s="153"/>
      <c r="AK446"/>
      <c r="AL446"/>
      <c r="AM446"/>
      <c r="AN446"/>
    </row>
    <row r="447" spans="1:40" x14ac:dyDescent="0.35">
      <c r="A447" s="153"/>
      <c r="B447" s="153"/>
      <c r="C447" s="153"/>
      <c r="D447" s="153"/>
      <c r="E447" s="161"/>
      <c r="F447" s="153"/>
      <c r="G447" s="153"/>
      <c r="H447" s="153"/>
      <c r="I447" s="153"/>
      <c r="J447" s="153"/>
      <c r="K447" s="153"/>
      <c r="L447" s="153"/>
      <c r="M447" s="153"/>
      <c r="N447" s="153"/>
      <c r="O447" s="153"/>
      <c r="P447" s="153"/>
      <c r="Q447" s="153"/>
      <c r="R447" s="153"/>
      <c r="S447" s="153"/>
      <c r="T447" s="153"/>
      <c r="U447" s="153"/>
      <c r="V447" s="153"/>
      <c r="W447" s="153"/>
      <c r="X447" s="153"/>
      <c r="Y447" s="153"/>
      <c r="Z447" s="153"/>
      <c r="AA447" s="153"/>
      <c r="AB447" s="153"/>
      <c r="AC447" s="153"/>
      <c r="AD447" s="153"/>
      <c r="AE447" s="153"/>
      <c r="AF447" s="153"/>
      <c r="AG447" s="153"/>
      <c r="AH447" s="153"/>
      <c r="AI447" s="153"/>
      <c r="AJ447" s="153"/>
      <c r="AK447"/>
      <c r="AL447"/>
      <c r="AM447"/>
      <c r="AN447"/>
    </row>
    <row r="448" spans="1:40" x14ac:dyDescent="0.35">
      <c r="A448" s="153"/>
      <c r="B448" s="153"/>
      <c r="C448" s="153"/>
      <c r="D448" s="153"/>
      <c r="E448" s="161"/>
      <c r="F448" s="153"/>
      <c r="G448" s="153"/>
      <c r="H448" s="153"/>
      <c r="I448" s="153"/>
      <c r="J448" s="153"/>
      <c r="K448" s="153"/>
      <c r="L448" s="153"/>
      <c r="M448" s="153"/>
      <c r="N448" s="153"/>
      <c r="O448" s="153"/>
      <c r="P448" s="153"/>
      <c r="Q448" s="153"/>
      <c r="R448" s="153"/>
      <c r="S448" s="153"/>
      <c r="T448" s="153"/>
      <c r="U448" s="153"/>
      <c r="V448" s="153"/>
      <c r="W448" s="153"/>
      <c r="X448" s="153"/>
      <c r="Y448" s="153"/>
      <c r="Z448" s="153"/>
      <c r="AA448" s="153"/>
      <c r="AB448" s="153"/>
      <c r="AC448" s="153"/>
      <c r="AD448" s="153"/>
      <c r="AE448" s="153"/>
      <c r="AF448" s="153"/>
      <c r="AG448" s="153"/>
      <c r="AH448" s="153"/>
      <c r="AI448" s="153"/>
      <c r="AJ448" s="153"/>
      <c r="AK448"/>
      <c r="AL448"/>
      <c r="AM448"/>
      <c r="AN448"/>
    </row>
    <row r="449" spans="1:40" x14ac:dyDescent="0.35">
      <c r="A449" s="153"/>
      <c r="B449" s="153"/>
      <c r="C449" s="153"/>
      <c r="D449" s="153"/>
      <c r="E449" s="161"/>
      <c r="F449" s="153"/>
      <c r="G449" s="153"/>
      <c r="H449" s="153"/>
      <c r="I449" s="153"/>
      <c r="J449" s="153"/>
      <c r="K449" s="153"/>
      <c r="L449" s="153"/>
      <c r="M449" s="153"/>
      <c r="N449" s="153"/>
      <c r="O449" s="153"/>
      <c r="P449" s="153"/>
      <c r="Q449" s="153"/>
      <c r="R449" s="153"/>
      <c r="S449" s="153"/>
      <c r="T449" s="153"/>
      <c r="U449" s="153"/>
      <c r="V449" s="153"/>
      <c r="W449" s="153"/>
      <c r="X449" s="153"/>
      <c r="Y449" s="153"/>
      <c r="Z449" s="153"/>
      <c r="AA449" s="153"/>
      <c r="AB449" s="153"/>
      <c r="AC449" s="153"/>
      <c r="AD449" s="153"/>
      <c r="AE449" s="153"/>
      <c r="AF449" s="153"/>
      <c r="AG449" s="153"/>
      <c r="AH449" s="153"/>
      <c r="AI449" s="153"/>
      <c r="AJ449" s="153"/>
      <c r="AK449"/>
      <c r="AL449"/>
      <c r="AM449"/>
      <c r="AN449"/>
    </row>
    <row r="450" spans="1:40" x14ac:dyDescent="0.35">
      <c r="A450" s="153"/>
      <c r="B450" s="153"/>
      <c r="C450" s="153"/>
      <c r="D450" s="153"/>
      <c r="E450" s="161"/>
      <c r="F450" s="153"/>
      <c r="G450" s="153"/>
      <c r="H450" s="153"/>
      <c r="I450" s="153"/>
      <c r="J450" s="153"/>
      <c r="K450" s="153"/>
      <c r="L450" s="153"/>
      <c r="M450" s="153"/>
      <c r="N450" s="153"/>
      <c r="O450" s="153"/>
      <c r="P450" s="153"/>
      <c r="Q450" s="153"/>
      <c r="R450" s="153"/>
      <c r="S450" s="153"/>
      <c r="T450" s="153"/>
      <c r="U450" s="153"/>
      <c r="V450" s="153"/>
      <c r="W450" s="153"/>
      <c r="X450" s="153"/>
      <c r="Y450" s="153"/>
      <c r="Z450" s="153"/>
      <c r="AA450" s="153"/>
      <c r="AB450" s="153"/>
      <c r="AC450" s="153"/>
      <c r="AD450" s="153"/>
      <c r="AE450" s="153"/>
      <c r="AF450" s="153"/>
      <c r="AG450" s="153"/>
      <c r="AH450" s="153"/>
      <c r="AI450" s="153"/>
      <c r="AJ450" s="153"/>
      <c r="AK450"/>
      <c r="AL450"/>
      <c r="AM450"/>
      <c r="AN450"/>
    </row>
    <row r="451" spans="1:40" x14ac:dyDescent="0.35">
      <c r="A451" s="153"/>
      <c r="B451" s="153"/>
      <c r="C451" s="153"/>
      <c r="D451" s="153"/>
      <c r="E451" s="161"/>
      <c r="F451" s="153"/>
      <c r="G451" s="153"/>
      <c r="H451" s="153"/>
      <c r="I451" s="153"/>
      <c r="J451" s="153"/>
      <c r="K451" s="153"/>
      <c r="L451" s="153"/>
      <c r="M451" s="153"/>
      <c r="N451" s="153"/>
      <c r="O451" s="153"/>
      <c r="P451" s="153"/>
      <c r="Q451" s="153"/>
      <c r="R451" s="153"/>
      <c r="S451" s="153"/>
      <c r="T451" s="153"/>
      <c r="U451" s="153"/>
      <c r="V451" s="153"/>
      <c r="W451" s="153"/>
      <c r="X451" s="153"/>
      <c r="Y451" s="153"/>
      <c r="Z451" s="153"/>
      <c r="AA451" s="153"/>
      <c r="AB451" s="153"/>
      <c r="AC451" s="153"/>
      <c r="AD451" s="153"/>
      <c r="AE451" s="153"/>
      <c r="AF451" s="153"/>
      <c r="AG451" s="153"/>
      <c r="AH451" s="153"/>
      <c r="AI451" s="153"/>
      <c r="AJ451" s="153"/>
      <c r="AK451"/>
      <c r="AL451"/>
      <c r="AM451"/>
      <c r="AN451"/>
    </row>
    <row r="452" spans="1:40" x14ac:dyDescent="0.35">
      <c r="A452" s="153"/>
      <c r="B452" s="153"/>
      <c r="C452" s="153"/>
      <c r="D452" s="153"/>
      <c r="E452" s="161"/>
      <c r="F452" s="153"/>
      <c r="G452" s="153"/>
      <c r="H452" s="153"/>
      <c r="I452" s="153"/>
      <c r="J452" s="153"/>
      <c r="K452" s="153"/>
      <c r="L452" s="153"/>
      <c r="M452" s="153"/>
      <c r="N452" s="153"/>
      <c r="O452" s="153"/>
      <c r="P452" s="153"/>
      <c r="Q452" s="153"/>
      <c r="R452" s="153"/>
      <c r="S452" s="153"/>
      <c r="T452" s="153"/>
      <c r="U452" s="153"/>
      <c r="V452" s="153"/>
      <c r="W452" s="153"/>
      <c r="X452" s="153"/>
      <c r="Y452" s="153"/>
      <c r="Z452" s="153"/>
      <c r="AA452" s="153"/>
      <c r="AB452" s="153"/>
      <c r="AC452" s="153"/>
      <c r="AD452" s="153"/>
      <c r="AE452" s="153"/>
      <c r="AF452" s="153"/>
      <c r="AG452" s="153"/>
      <c r="AH452" s="153"/>
      <c r="AI452" s="153"/>
      <c r="AJ452" s="153"/>
      <c r="AK452"/>
      <c r="AL452"/>
      <c r="AM452"/>
      <c r="AN452"/>
    </row>
    <row r="453" spans="1:40" x14ac:dyDescent="0.35">
      <c r="A453" s="153"/>
      <c r="B453" s="153"/>
      <c r="C453" s="153"/>
      <c r="D453" s="153"/>
      <c r="E453" s="161"/>
      <c r="F453" s="153"/>
      <c r="G453" s="153"/>
      <c r="H453" s="153"/>
      <c r="I453" s="153"/>
      <c r="J453" s="153"/>
      <c r="K453" s="153"/>
      <c r="L453" s="153"/>
      <c r="M453" s="153"/>
      <c r="N453" s="153"/>
      <c r="O453" s="153"/>
      <c r="P453" s="153"/>
      <c r="Q453" s="153"/>
      <c r="R453" s="153"/>
      <c r="S453" s="153"/>
      <c r="T453" s="153"/>
      <c r="U453" s="153"/>
      <c r="V453" s="153"/>
      <c r="W453" s="153"/>
      <c r="X453" s="153"/>
      <c r="Y453" s="153"/>
      <c r="Z453" s="153"/>
      <c r="AA453" s="153"/>
      <c r="AB453" s="153"/>
      <c r="AC453" s="153"/>
      <c r="AD453" s="153"/>
      <c r="AE453" s="153"/>
      <c r="AF453" s="153"/>
      <c r="AG453" s="153"/>
      <c r="AH453" s="153"/>
      <c r="AI453" s="153"/>
      <c r="AJ453" s="153"/>
      <c r="AK453"/>
      <c r="AL453"/>
      <c r="AM453"/>
      <c r="AN453"/>
    </row>
    <row r="454" spans="1:40" x14ac:dyDescent="0.35">
      <c r="A454" s="153"/>
      <c r="B454" s="153"/>
      <c r="C454" s="153"/>
      <c r="D454" s="153"/>
      <c r="E454" s="161"/>
      <c r="F454" s="153"/>
      <c r="G454" s="153"/>
      <c r="H454" s="153"/>
      <c r="I454" s="153"/>
      <c r="J454" s="153"/>
      <c r="K454" s="153"/>
      <c r="L454" s="153"/>
      <c r="M454" s="153"/>
      <c r="N454" s="153"/>
      <c r="O454" s="153"/>
      <c r="P454" s="153"/>
      <c r="Q454" s="153"/>
      <c r="R454" s="153"/>
      <c r="S454" s="153"/>
      <c r="T454" s="153"/>
      <c r="U454" s="153"/>
      <c r="V454" s="153"/>
      <c r="W454" s="153"/>
      <c r="X454" s="153"/>
      <c r="Y454" s="153"/>
      <c r="Z454" s="153"/>
      <c r="AA454" s="153"/>
      <c r="AB454" s="153"/>
      <c r="AC454" s="153"/>
      <c r="AD454" s="153"/>
      <c r="AE454" s="153"/>
      <c r="AF454" s="153"/>
      <c r="AG454" s="153"/>
      <c r="AH454" s="153"/>
      <c r="AI454" s="153"/>
      <c r="AJ454" s="153"/>
      <c r="AK454"/>
      <c r="AL454"/>
      <c r="AM454"/>
      <c r="AN454"/>
    </row>
    <row r="455" spans="1:40" x14ac:dyDescent="0.35">
      <c r="A455" s="153"/>
      <c r="B455" s="153"/>
      <c r="C455" s="153"/>
      <c r="D455" s="153"/>
      <c r="E455" s="161"/>
      <c r="F455" s="153"/>
      <c r="G455" s="153"/>
      <c r="H455" s="153"/>
      <c r="I455" s="153"/>
      <c r="J455" s="153"/>
      <c r="K455" s="153"/>
      <c r="L455" s="153"/>
      <c r="M455" s="153"/>
      <c r="N455" s="153"/>
      <c r="O455" s="153"/>
      <c r="P455" s="153"/>
      <c r="Q455" s="153"/>
      <c r="R455" s="153"/>
      <c r="S455" s="153"/>
      <c r="T455" s="153"/>
      <c r="U455" s="153"/>
      <c r="V455" s="153"/>
      <c r="W455" s="153"/>
      <c r="X455" s="153"/>
      <c r="Y455" s="153"/>
      <c r="Z455" s="153"/>
      <c r="AA455" s="153"/>
      <c r="AB455" s="153"/>
      <c r="AC455" s="153"/>
      <c r="AD455" s="153"/>
      <c r="AE455" s="153"/>
      <c r="AF455" s="153"/>
      <c r="AG455" s="153"/>
      <c r="AH455" s="153"/>
      <c r="AI455" s="153"/>
      <c r="AJ455" s="153"/>
      <c r="AK455"/>
      <c r="AL455"/>
      <c r="AM455"/>
      <c r="AN455"/>
    </row>
    <row r="456" spans="1:40" x14ac:dyDescent="0.35">
      <c r="A456" s="153"/>
      <c r="B456" s="153"/>
      <c r="C456" s="153"/>
      <c r="D456" s="153"/>
      <c r="E456" s="161"/>
      <c r="F456" s="153"/>
      <c r="G456" s="153"/>
      <c r="H456" s="153"/>
      <c r="I456" s="153"/>
      <c r="J456" s="153"/>
      <c r="K456" s="153"/>
      <c r="L456" s="153"/>
      <c r="M456" s="153"/>
      <c r="N456" s="153"/>
      <c r="O456" s="153"/>
      <c r="P456" s="153"/>
      <c r="Q456" s="153"/>
      <c r="R456" s="153"/>
      <c r="S456" s="153"/>
      <c r="T456" s="153"/>
      <c r="U456" s="153"/>
      <c r="V456" s="153"/>
      <c r="W456" s="153"/>
      <c r="X456" s="153"/>
      <c r="Y456" s="153"/>
      <c r="Z456" s="153"/>
      <c r="AA456" s="153"/>
      <c r="AB456" s="153"/>
      <c r="AC456" s="153"/>
      <c r="AD456" s="153"/>
      <c r="AE456" s="153"/>
      <c r="AF456" s="153"/>
      <c r="AG456" s="153"/>
      <c r="AH456" s="153"/>
      <c r="AI456" s="153"/>
      <c r="AJ456" s="153"/>
      <c r="AK456"/>
      <c r="AL456"/>
      <c r="AM456"/>
      <c r="AN456"/>
    </row>
    <row r="457" spans="1:40" x14ac:dyDescent="0.35">
      <c r="A457" s="153"/>
      <c r="B457" s="153"/>
      <c r="C457" s="153"/>
      <c r="D457" s="153"/>
      <c r="E457" s="161"/>
      <c r="F457" s="153"/>
      <c r="G457" s="153"/>
      <c r="H457" s="153"/>
      <c r="I457" s="153"/>
      <c r="J457" s="153"/>
      <c r="K457" s="153"/>
      <c r="L457" s="153"/>
      <c r="M457" s="153"/>
      <c r="N457" s="153"/>
      <c r="O457" s="153"/>
      <c r="P457" s="153"/>
      <c r="Q457" s="153"/>
      <c r="R457" s="153"/>
      <c r="S457" s="153"/>
      <c r="T457" s="153"/>
      <c r="U457" s="153"/>
      <c r="V457" s="153"/>
      <c r="W457" s="153"/>
      <c r="X457" s="153"/>
      <c r="Y457" s="153"/>
      <c r="Z457" s="153"/>
      <c r="AA457" s="153"/>
      <c r="AB457" s="153"/>
      <c r="AC457" s="153"/>
      <c r="AD457" s="153"/>
      <c r="AE457" s="153"/>
      <c r="AF457" s="153"/>
      <c r="AG457" s="153"/>
      <c r="AH457" s="153"/>
      <c r="AI457" s="153"/>
      <c r="AJ457" s="153"/>
      <c r="AK457"/>
      <c r="AL457"/>
      <c r="AM457"/>
      <c r="AN457"/>
    </row>
    <row r="458" spans="1:40" x14ac:dyDescent="0.35">
      <c r="A458" s="153"/>
      <c r="B458" s="153"/>
      <c r="C458" s="153"/>
      <c r="D458" s="153"/>
      <c r="E458" s="161"/>
      <c r="F458" s="153"/>
      <c r="G458" s="153"/>
      <c r="H458" s="153"/>
      <c r="I458" s="153"/>
      <c r="J458" s="153"/>
      <c r="K458" s="153"/>
      <c r="L458" s="153"/>
      <c r="M458" s="153"/>
      <c r="N458" s="153"/>
      <c r="O458" s="153"/>
      <c r="P458" s="153"/>
      <c r="Q458" s="153"/>
      <c r="R458" s="153"/>
      <c r="S458" s="153"/>
      <c r="T458" s="153"/>
      <c r="U458" s="153"/>
      <c r="V458" s="153"/>
      <c r="W458" s="153"/>
      <c r="X458" s="153"/>
      <c r="Y458" s="153"/>
      <c r="Z458" s="153"/>
      <c r="AA458" s="153"/>
      <c r="AB458" s="153"/>
      <c r="AC458" s="153"/>
      <c r="AD458" s="153"/>
      <c r="AE458" s="153"/>
      <c r="AF458" s="153"/>
      <c r="AG458" s="153"/>
      <c r="AH458" s="153"/>
      <c r="AI458" s="153"/>
      <c r="AJ458" s="153"/>
      <c r="AK458"/>
      <c r="AL458"/>
      <c r="AM458"/>
      <c r="AN458"/>
    </row>
    <row r="459" spans="1:40" x14ac:dyDescent="0.35">
      <c r="A459" s="153"/>
      <c r="B459" s="153"/>
      <c r="C459" s="153"/>
      <c r="D459" s="153"/>
      <c r="E459" s="161"/>
      <c r="F459" s="153"/>
      <c r="G459" s="153"/>
      <c r="H459" s="153"/>
      <c r="I459" s="153"/>
      <c r="J459" s="153"/>
      <c r="K459" s="153"/>
      <c r="L459" s="153"/>
      <c r="M459" s="153"/>
      <c r="N459" s="153"/>
      <c r="O459" s="153"/>
      <c r="P459" s="153"/>
      <c r="Q459" s="153"/>
      <c r="R459" s="153"/>
      <c r="S459" s="153"/>
      <c r="T459" s="153"/>
      <c r="U459" s="153"/>
      <c r="V459" s="153"/>
      <c r="W459" s="153"/>
      <c r="X459" s="153"/>
      <c r="Y459" s="153"/>
      <c r="Z459" s="153"/>
      <c r="AA459" s="153"/>
      <c r="AB459" s="153"/>
      <c r="AC459" s="153"/>
      <c r="AD459" s="153"/>
      <c r="AE459" s="153"/>
      <c r="AF459" s="153"/>
      <c r="AG459" s="153"/>
      <c r="AH459" s="153"/>
      <c r="AI459" s="153"/>
      <c r="AJ459" s="153"/>
      <c r="AK459"/>
      <c r="AL459"/>
      <c r="AM459"/>
      <c r="AN459"/>
    </row>
    <row r="460" spans="1:40" x14ac:dyDescent="0.35">
      <c r="A460" s="153"/>
      <c r="B460" s="153"/>
      <c r="C460" s="153"/>
      <c r="D460" s="153"/>
      <c r="E460" s="161"/>
      <c r="F460" s="153"/>
      <c r="G460" s="153"/>
      <c r="H460" s="153"/>
      <c r="I460" s="153"/>
      <c r="J460" s="153"/>
      <c r="K460" s="153"/>
      <c r="L460" s="153"/>
      <c r="M460" s="153"/>
      <c r="N460" s="153"/>
      <c r="O460" s="153"/>
      <c r="P460" s="153"/>
      <c r="Q460" s="153"/>
      <c r="R460" s="153"/>
      <c r="S460" s="153"/>
      <c r="T460" s="153"/>
      <c r="U460" s="153"/>
      <c r="V460" s="153"/>
      <c r="W460" s="153"/>
      <c r="X460" s="153"/>
      <c r="Y460" s="153"/>
      <c r="Z460" s="153"/>
      <c r="AA460" s="153"/>
      <c r="AB460" s="153"/>
      <c r="AC460" s="153"/>
      <c r="AD460" s="153"/>
      <c r="AE460" s="153"/>
      <c r="AF460" s="153"/>
      <c r="AG460" s="153"/>
      <c r="AH460" s="153"/>
      <c r="AI460" s="153"/>
      <c r="AJ460" s="153"/>
      <c r="AK460"/>
      <c r="AL460"/>
      <c r="AM460"/>
      <c r="AN460"/>
    </row>
    <row r="461" spans="1:40" x14ac:dyDescent="0.35">
      <c r="A461" s="153"/>
      <c r="B461" s="153"/>
      <c r="C461" s="153"/>
      <c r="D461" s="153"/>
      <c r="E461" s="161"/>
      <c r="F461" s="153"/>
      <c r="G461" s="153"/>
      <c r="H461" s="153"/>
      <c r="I461" s="153"/>
      <c r="J461" s="153"/>
      <c r="K461" s="153"/>
      <c r="L461" s="153"/>
      <c r="M461" s="153"/>
      <c r="N461" s="153"/>
      <c r="O461" s="153"/>
      <c r="P461" s="153"/>
      <c r="Q461" s="153"/>
      <c r="R461" s="153"/>
      <c r="S461" s="153"/>
      <c r="T461" s="153"/>
      <c r="U461" s="153"/>
      <c r="V461" s="153"/>
      <c r="W461" s="153"/>
      <c r="X461" s="153"/>
      <c r="Y461" s="153"/>
      <c r="Z461" s="153"/>
      <c r="AA461" s="153"/>
      <c r="AB461" s="153"/>
      <c r="AC461" s="153"/>
      <c r="AD461" s="153"/>
      <c r="AE461" s="153"/>
      <c r="AF461" s="153"/>
      <c r="AG461" s="153"/>
      <c r="AH461" s="153"/>
      <c r="AI461" s="153"/>
      <c r="AJ461" s="153"/>
      <c r="AK461"/>
      <c r="AL461"/>
      <c r="AM461"/>
      <c r="AN461"/>
    </row>
    <row r="462" spans="1:40" x14ac:dyDescent="0.35">
      <c r="A462" s="153"/>
      <c r="B462" s="153"/>
      <c r="C462" s="153"/>
      <c r="D462" s="153"/>
      <c r="E462" s="161"/>
      <c r="F462" s="153"/>
      <c r="G462" s="153"/>
      <c r="H462" s="153"/>
      <c r="I462" s="153"/>
      <c r="J462" s="153"/>
      <c r="K462" s="153"/>
      <c r="L462" s="153"/>
      <c r="M462" s="153"/>
      <c r="N462" s="153"/>
      <c r="O462" s="153"/>
      <c r="P462" s="153"/>
      <c r="Q462" s="153"/>
      <c r="R462" s="153"/>
      <c r="S462" s="153"/>
      <c r="T462" s="153"/>
      <c r="U462" s="153"/>
      <c r="V462" s="153"/>
      <c r="W462" s="153"/>
      <c r="X462" s="153"/>
      <c r="Y462" s="153"/>
      <c r="Z462" s="153"/>
      <c r="AA462" s="153"/>
      <c r="AB462" s="153"/>
      <c r="AC462" s="153"/>
      <c r="AD462" s="153"/>
      <c r="AE462" s="153"/>
      <c r="AF462" s="153"/>
      <c r="AG462" s="153"/>
      <c r="AH462" s="153"/>
      <c r="AI462" s="153"/>
      <c r="AJ462" s="153"/>
      <c r="AK462"/>
      <c r="AL462"/>
      <c r="AM462"/>
      <c r="AN462"/>
    </row>
    <row r="463" spans="1:40" x14ac:dyDescent="0.35">
      <c r="A463" s="153"/>
      <c r="B463" s="153"/>
      <c r="C463" s="153"/>
      <c r="D463" s="153"/>
      <c r="E463" s="161"/>
      <c r="F463" s="153"/>
      <c r="G463" s="153"/>
      <c r="H463" s="153"/>
      <c r="I463" s="153"/>
      <c r="J463" s="153"/>
      <c r="K463" s="153"/>
      <c r="L463" s="153"/>
      <c r="M463" s="153"/>
      <c r="N463" s="153"/>
      <c r="O463" s="153"/>
      <c r="P463" s="153"/>
      <c r="Q463" s="153"/>
      <c r="R463" s="153"/>
      <c r="S463" s="153"/>
      <c r="T463" s="153"/>
      <c r="U463" s="153"/>
      <c r="V463" s="153"/>
      <c r="W463" s="153"/>
      <c r="X463" s="153"/>
      <c r="Y463" s="153"/>
      <c r="Z463" s="153"/>
      <c r="AA463" s="153"/>
      <c r="AB463" s="153"/>
      <c r="AC463" s="153"/>
      <c r="AD463" s="153"/>
      <c r="AE463" s="153"/>
      <c r="AF463" s="153"/>
      <c r="AG463" s="153"/>
      <c r="AH463" s="153"/>
      <c r="AI463" s="153"/>
      <c r="AJ463" s="153"/>
      <c r="AK463"/>
      <c r="AL463"/>
      <c r="AM463"/>
      <c r="AN463"/>
    </row>
    <row r="464" spans="1:40" x14ac:dyDescent="0.35">
      <c r="A464" s="153"/>
      <c r="B464" s="153"/>
      <c r="C464" s="153"/>
      <c r="D464" s="153"/>
      <c r="E464" s="161"/>
      <c r="F464" s="153"/>
      <c r="G464" s="153"/>
      <c r="H464" s="153"/>
      <c r="I464" s="153"/>
      <c r="J464" s="153"/>
      <c r="K464" s="153"/>
      <c r="L464" s="153"/>
      <c r="M464" s="153"/>
      <c r="N464" s="153"/>
      <c r="O464" s="153"/>
      <c r="P464" s="153"/>
      <c r="Q464" s="153"/>
      <c r="R464" s="153"/>
      <c r="S464" s="153"/>
      <c r="T464" s="153"/>
      <c r="U464" s="153"/>
      <c r="V464" s="153"/>
      <c r="W464" s="153"/>
      <c r="X464" s="153"/>
      <c r="Y464" s="153"/>
      <c r="Z464" s="153"/>
      <c r="AA464" s="153"/>
      <c r="AB464" s="153"/>
      <c r="AC464" s="153"/>
      <c r="AD464" s="153"/>
      <c r="AE464" s="153"/>
      <c r="AF464" s="153"/>
      <c r="AG464" s="153"/>
      <c r="AH464" s="153"/>
      <c r="AI464" s="153"/>
      <c r="AJ464" s="153"/>
      <c r="AK464"/>
      <c r="AL464"/>
      <c r="AM464"/>
      <c r="AN464"/>
    </row>
    <row r="465" spans="1:40" x14ac:dyDescent="0.35">
      <c r="A465" s="153"/>
      <c r="B465" s="153"/>
      <c r="C465" s="153"/>
      <c r="D465" s="153"/>
      <c r="E465" s="161"/>
      <c r="F465" s="153"/>
      <c r="G465" s="153"/>
      <c r="H465" s="153"/>
      <c r="I465" s="153"/>
      <c r="J465" s="153"/>
      <c r="K465" s="153"/>
      <c r="L465" s="153"/>
      <c r="M465" s="153"/>
      <c r="N465" s="153"/>
      <c r="O465" s="153"/>
      <c r="P465" s="153"/>
      <c r="Q465" s="153"/>
      <c r="R465" s="153"/>
      <c r="S465" s="153"/>
      <c r="T465" s="153"/>
      <c r="U465" s="153"/>
      <c r="V465" s="153"/>
      <c r="W465" s="153"/>
      <c r="X465" s="153"/>
      <c r="Y465" s="153"/>
      <c r="Z465" s="153"/>
      <c r="AA465" s="153"/>
      <c r="AB465" s="153"/>
      <c r="AC465" s="153"/>
      <c r="AD465" s="153"/>
      <c r="AE465" s="153"/>
      <c r="AF465" s="153"/>
      <c r="AG465" s="153"/>
      <c r="AH465" s="153"/>
      <c r="AI465" s="153"/>
      <c r="AJ465" s="153"/>
      <c r="AK465"/>
      <c r="AL465"/>
      <c r="AM465"/>
      <c r="AN465"/>
    </row>
    <row r="466" spans="1:40" x14ac:dyDescent="0.35">
      <c r="A466" s="153"/>
      <c r="B466" s="153"/>
      <c r="C466" s="153"/>
      <c r="D466" s="153"/>
      <c r="E466" s="161"/>
      <c r="F466" s="153"/>
      <c r="G466" s="153"/>
      <c r="H466" s="153"/>
      <c r="I466" s="153"/>
      <c r="J466" s="153"/>
      <c r="K466" s="153"/>
      <c r="L466" s="153"/>
      <c r="M466" s="153"/>
      <c r="N466" s="153"/>
      <c r="O466" s="153"/>
      <c r="P466" s="153"/>
      <c r="Q466" s="153"/>
      <c r="R466" s="153"/>
      <c r="S466" s="153"/>
      <c r="T466" s="153"/>
      <c r="U466" s="153"/>
      <c r="V466" s="153"/>
      <c r="W466" s="153"/>
      <c r="X466" s="153"/>
      <c r="Y466" s="153"/>
      <c r="Z466" s="153"/>
      <c r="AA466" s="153"/>
      <c r="AB466" s="153"/>
      <c r="AC466" s="153"/>
      <c r="AD466" s="153"/>
      <c r="AE466" s="153"/>
      <c r="AF466" s="153"/>
      <c r="AG466" s="153"/>
      <c r="AH466" s="153"/>
      <c r="AI466" s="153"/>
      <c r="AJ466" s="153"/>
      <c r="AK466"/>
      <c r="AL466"/>
      <c r="AM466"/>
      <c r="AN466"/>
    </row>
    <row r="467" spans="1:40" x14ac:dyDescent="0.35">
      <c r="A467" s="153"/>
      <c r="B467" s="153"/>
      <c r="C467" s="153"/>
      <c r="D467" s="153"/>
      <c r="E467" s="161"/>
      <c r="F467" s="153"/>
      <c r="G467" s="153"/>
      <c r="H467" s="153"/>
      <c r="I467" s="153"/>
      <c r="J467" s="153"/>
      <c r="K467" s="153"/>
      <c r="L467" s="153"/>
      <c r="M467" s="153"/>
      <c r="N467" s="153"/>
      <c r="O467" s="153"/>
      <c r="P467" s="153"/>
      <c r="Q467" s="153"/>
      <c r="R467" s="153"/>
      <c r="S467" s="153"/>
      <c r="T467" s="153"/>
      <c r="U467" s="153"/>
      <c r="V467" s="153"/>
      <c r="W467" s="153"/>
      <c r="X467" s="153"/>
      <c r="Y467" s="153"/>
      <c r="Z467" s="153"/>
      <c r="AA467" s="153"/>
      <c r="AB467" s="153"/>
      <c r="AC467" s="153"/>
      <c r="AD467" s="153"/>
      <c r="AE467" s="153"/>
      <c r="AF467" s="153"/>
      <c r="AG467" s="153"/>
      <c r="AH467" s="153"/>
      <c r="AI467" s="153"/>
      <c r="AJ467" s="153"/>
      <c r="AK467"/>
      <c r="AL467"/>
      <c r="AM467"/>
      <c r="AN467"/>
    </row>
    <row r="468" spans="1:40" x14ac:dyDescent="0.35">
      <c r="A468" s="153"/>
      <c r="B468" s="153"/>
      <c r="C468" s="153"/>
      <c r="D468" s="153"/>
      <c r="E468" s="161"/>
      <c r="F468" s="153"/>
      <c r="G468" s="153"/>
      <c r="H468" s="153"/>
      <c r="I468" s="153"/>
      <c r="J468" s="153"/>
      <c r="K468" s="153"/>
      <c r="L468" s="153"/>
      <c r="M468" s="153"/>
      <c r="N468" s="153"/>
      <c r="O468" s="153"/>
      <c r="P468" s="153"/>
      <c r="Q468" s="153"/>
      <c r="R468" s="153"/>
      <c r="S468" s="153"/>
      <c r="T468" s="153"/>
      <c r="U468" s="153"/>
      <c r="V468" s="153"/>
      <c r="W468" s="153"/>
      <c r="X468" s="153"/>
      <c r="Y468" s="153"/>
      <c r="Z468" s="153"/>
      <c r="AA468" s="153"/>
      <c r="AB468" s="153"/>
      <c r="AC468" s="153"/>
      <c r="AD468" s="153"/>
      <c r="AE468" s="153"/>
      <c r="AF468" s="153"/>
      <c r="AG468" s="153"/>
      <c r="AH468" s="153"/>
      <c r="AI468" s="153"/>
      <c r="AJ468" s="153"/>
      <c r="AK468"/>
      <c r="AL468"/>
      <c r="AM468"/>
      <c r="AN468"/>
    </row>
    <row r="469" spans="1:40" x14ac:dyDescent="0.35">
      <c r="A469" s="153"/>
      <c r="B469" s="153"/>
      <c r="C469" s="153"/>
      <c r="D469" s="153"/>
      <c r="E469" s="161"/>
      <c r="F469" s="153"/>
      <c r="G469" s="153"/>
      <c r="H469" s="153"/>
      <c r="I469" s="153"/>
      <c r="J469" s="153"/>
      <c r="K469" s="153"/>
      <c r="L469" s="153"/>
      <c r="M469" s="153"/>
      <c r="N469" s="153"/>
      <c r="O469" s="153"/>
      <c r="P469" s="153"/>
      <c r="Q469" s="153"/>
      <c r="R469" s="153"/>
      <c r="S469" s="153"/>
      <c r="T469" s="153"/>
      <c r="U469" s="153"/>
      <c r="V469" s="153"/>
      <c r="W469" s="153"/>
      <c r="X469" s="153"/>
      <c r="Y469" s="153"/>
      <c r="Z469" s="153"/>
      <c r="AA469" s="153"/>
      <c r="AB469" s="153"/>
      <c r="AC469" s="153"/>
      <c r="AD469" s="153"/>
      <c r="AE469" s="153"/>
      <c r="AF469" s="153"/>
      <c r="AG469" s="153"/>
      <c r="AH469" s="153"/>
      <c r="AI469" s="153"/>
      <c r="AJ469" s="153"/>
      <c r="AK469"/>
      <c r="AL469"/>
      <c r="AM469"/>
      <c r="AN469"/>
    </row>
    <row r="470" spans="1:40" x14ac:dyDescent="0.35">
      <c r="A470" s="153"/>
      <c r="B470" s="153"/>
      <c r="C470" s="153"/>
      <c r="D470" s="153"/>
      <c r="E470" s="161"/>
      <c r="F470" s="153"/>
      <c r="G470" s="153"/>
      <c r="H470" s="153"/>
      <c r="I470" s="153"/>
      <c r="J470" s="153"/>
      <c r="K470" s="153"/>
      <c r="L470" s="153"/>
      <c r="M470" s="153"/>
      <c r="N470" s="153"/>
      <c r="O470" s="153"/>
      <c r="P470" s="153"/>
      <c r="Q470" s="153"/>
      <c r="R470" s="153"/>
      <c r="S470" s="153"/>
      <c r="T470" s="153"/>
      <c r="U470" s="153"/>
      <c r="V470" s="153"/>
      <c r="W470" s="153"/>
      <c r="X470" s="153"/>
      <c r="Y470" s="153"/>
      <c r="Z470" s="153"/>
      <c r="AA470" s="153"/>
      <c r="AB470" s="153"/>
      <c r="AC470" s="153"/>
      <c r="AD470" s="153"/>
      <c r="AE470" s="153"/>
      <c r="AF470" s="153"/>
      <c r="AG470" s="153"/>
      <c r="AH470" s="153"/>
      <c r="AI470" s="153"/>
      <c r="AJ470" s="153"/>
      <c r="AK470"/>
      <c r="AL470"/>
      <c r="AM470"/>
      <c r="AN470"/>
    </row>
    <row r="471" spans="1:40" x14ac:dyDescent="0.35">
      <c r="A471" s="153"/>
      <c r="B471" s="153"/>
      <c r="C471" s="153"/>
      <c r="D471" s="153"/>
      <c r="E471" s="161"/>
      <c r="F471" s="153"/>
      <c r="G471" s="153"/>
      <c r="H471" s="153"/>
      <c r="I471" s="153"/>
      <c r="J471" s="153"/>
      <c r="K471" s="153"/>
      <c r="L471" s="153"/>
      <c r="M471" s="153"/>
      <c r="N471" s="153"/>
      <c r="O471" s="153"/>
      <c r="P471" s="153"/>
      <c r="Q471" s="153"/>
      <c r="R471" s="153"/>
      <c r="S471" s="153"/>
      <c r="T471" s="153"/>
      <c r="U471" s="153"/>
      <c r="V471" s="153"/>
      <c r="W471" s="153"/>
      <c r="X471" s="153"/>
      <c r="Y471" s="153"/>
      <c r="Z471" s="153"/>
      <c r="AA471" s="153"/>
      <c r="AB471" s="153"/>
      <c r="AC471" s="153"/>
      <c r="AD471" s="153"/>
      <c r="AE471" s="153"/>
      <c r="AF471" s="153"/>
      <c r="AG471" s="153"/>
      <c r="AH471" s="153"/>
      <c r="AI471" s="153"/>
      <c r="AJ471" s="153"/>
      <c r="AK471"/>
      <c r="AL471"/>
      <c r="AM471"/>
      <c r="AN471"/>
    </row>
    <row r="472" spans="1:40" x14ac:dyDescent="0.35">
      <c r="A472" s="153"/>
      <c r="B472" s="153"/>
      <c r="C472" s="153"/>
      <c r="D472" s="153"/>
      <c r="E472" s="161"/>
      <c r="F472" s="153"/>
      <c r="G472" s="153"/>
      <c r="H472" s="153"/>
      <c r="I472" s="153"/>
      <c r="J472" s="153"/>
      <c r="K472" s="153"/>
      <c r="L472" s="153"/>
      <c r="M472" s="153"/>
      <c r="N472" s="153"/>
      <c r="O472" s="153"/>
      <c r="P472" s="153"/>
      <c r="Q472" s="153"/>
      <c r="R472" s="153"/>
      <c r="S472" s="153"/>
      <c r="T472" s="153"/>
      <c r="U472" s="153"/>
      <c r="V472" s="153"/>
      <c r="W472" s="153"/>
      <c r="X472" s="153"/>
      <c r="Y472" s="153"/>
      <c r="Z472" s="153"/>
      <c r="AA472" s="153"/>
      <c r="AB472" s="153"/>
      <c r="AC472" s="153"/>
      <c r="AD472" s="153"/>
      <c r="AE472" s="153"/>
      <c r="AF472" s="153"/>
      <c r="AG472" s="153"/>
      <c r="AH472" s="153"/>
      <c r="AI472" s="153"/>
      <c r="AJ472" s="153"/>
      <c r="AK472"/>
      <c r="AL472"/>
      <c r="AM472"/>
      <c r="AN472"/>
    </row>
    <row r="473" spans="1:40" x14ac:dyDescent="0.35">
      <c r="A473" s="153"/>
      <c r="B473" s="153"/>
      <c r="C473" s="153"/>
      <c r="D473" s="153"/>
      <c r="E473" s="161"/>
      <c r="F473" s="153"/>
      <c r="G473" s="153"/>
      <c r="H473" s="153"/>
      <c r="I473" s="153"/>
      <c r="J473" s="153"/>
      <c r="K473" s="153"/>
      <c r="L473" s="153"/>
      <c r="M473" s="153"/>
      <c r="N473" s="153"/>
      <c r="O473" s="153"/>
      <c r="P473" s="153"/>
      <c r="Q473" s="153"/>
      <c r="R473" s="153"/>
      <c r="S473" s="153"/>
      <c r="T473" s="153"/>
      <c r="U473" s="153"/>
      <c r="V473" s="153"/>
      <c r="W473" s="153"/>
      <c r="X473" s="153"/>
      <c r="Y473" s="153"/>
      <c r="Z473" s="153"/>
      <c r="AA473" s="153"/>
      <c r="AB473" s="153"/>
      <c r="AC473" s="153"/>
      <c r="AD473" s="153"/>
      <c r="AE473" s="153"/>
      <c r="AF473" s="153"/>
      <c r="AG473" s="153"/>
      <c r="AH473" s="153"/>
      <c r="AI473" s="153"/>
      <c r="AJ473" s="153"/>
      <c r="AK473"/>
      <c r="AL473"/>
      <c r="AM473"/>
      <c r="AN473"/>
    </row>
    <row r="474" spans="1:40" x14ac:dyDescent="0.35">
      <c r="A474" s="153"/>
      <c r="B474" s="153"/>
      <c r="C474" s="153"/>
      <c r="D474" s="153"/>
      <c r="E474" s="161"/>
      <c r="F474" s="153"/>
      <c r="G474" s="153"/>
      <c r="H474" s="153"/>
      <c r="I474" s="153"/>
      <c r="J474" s="153"/>
      <c r="K474" s="153"/>
      <c r="L474" s="153"/>
      <c r="M474" s="153"/>
      <c r="N474" s="153"/>
      <c r="O474" s="153"/>
      <c r="P474" s="153"/>
      <c r="Q474" s="153"/>
      <c r="R474" s="153"/>
      <c r="S474" s="153"/>
      <c r="T474" s="153"/>
      <c r="U474" s="153"/>
      <c r="V474" s="153"/>
      <c r="W474" s="153"/>
      <c r="X474" s="153"/>
      <c r="Y474" s="153"/>
      <c r="Z474" s="153"/>
      <c r="AA474" s="153"/>
      <c r="AB474" s="153"/>
      <c r="AC474" s="153"/>
      <c r="AD474" s="153"/>
      <c r="AE474" s="153"/>
      <c r="AF474" s="153"/>
      <c r="AG474" s="153"/>
      <c r="AH474" s="153"/>
      <c r="AI474" s="153"/>
      <c r="AJ474" s="153"/>
      <c r="AK474"/>
      <c r="AL474"/>
      <c r="AM474"/>
      <c r="AN474"/>
    </row>
    <row r="475" spans="1:40" x14ac:dyDescent="0.35">
      <c r="A475" s="153"/>
      <c r="B475" s="153"/>
      <c r="C475" s="153"/>
      <c r="D475" s="153"/>
      <c r="E475" s="161"/>
      <c r="F475" s="153"/>
      <c r="G475" s="153"/>
      <c r="H475" s="153"/>
      <c r="I475" s="153"/>
      <c r="J475" s="153"/>
      <c r="K475" s="153"/>
      <c r="L475" s="153"/>
      <c r="M475" s="153"/>
      <c r="N475" s="153"/>
      <c r="O475" s="153"/>
      <c r="P475" s="153"/>
      <c r="Q475" s="153"/>
      <c r="R475" s="153"/>
      <c r="S475" s="153"/>
      <c r="T475" s="153"/>
      <c r="U475" s="153"/>
      <c r="V475" s="153"/>
      <c r="W475" s="153"/>
      <c r="X475" s="153"/>
      <c r="Y475" s="153"/>
      <c r="Z475" s="153"/>
      <c r="AA475" s="153"/>
      <c r="AB475" s="153"/>
      <c r="AC475" s="153"/>
      <c r="AD475" s="153"/>
      <c r="AE475" s="153"/>
      <c r="AF475" s="153"/>
      <c r="AG475" s="153"/>
      <c r="AH475" s="153"/>
      <c r="AI475" s="153"/>
      <c r="AJ475" s="153"/>
      <c r="AK475"/>
      <c r="AL475"/>
      <c r="AM475"/>
      <c r="AN475"/>
    </row>
    <row r="476" spans="1:40" x14ac:dyDescent="0.35">
      <c r="A476" s="153"/>
      <c r="B476" s="153"/>
      <c r="C476" s="153"/>
      <c r="D476" s="153"/>
      <c r="E476" s="161"/>
      <c r="F476" s="153"/>
      <c r="G476" s="153"/>
      <c r="H476" s="153"/>
      <c r="I476" s="153"/>
      <c r="J476" s="153"/>
      <c r="K476" s="153"/>
      <c r="L476" s="153"/>
      <c r="M476" s="153"/>
      <c r="N476" s="153"/>
      <c r="O476" s="153"/>
      <c r="P476" s="153"/>
      <c r="Q476" s="153"/>
      <c r="R476" s="153"/>
      <c r="S476" s="153"/>
      <c r="T476" s="153"/>
      <c r="U476" s="153"/>
      <c r="V476" s="153"/>
      <c r="W476" s="153"/>
      <c r="X476" s="153"/>
      <c r="Y476" s="153"/>
      <c r="Z476" s="153"/>
      <c r="AA476" s="153"/>
      <c r="AB476" s="153"/>
      <c r="AC476" s="153"/>
      <c r="AD476" s="153"/>
      <c r="AE476" s="153"/>
      <c r="AF476" s="153"/>
      <c r="AG476" s="153"/>
      <c r="AH476" s="153"/>
      <c r="AI476" s="153"/>
      <c r="AJ476" s="153"/>
      <c r="AK476"/>
      <c r="AL476"/>
      <c r="AM476"/>
      <c r="AN476"/>
    </row>
    <row r="477" spans="1:40" x14ac:dyDescent="0.35">
      <c r="A477" s="153"/>
      <c r="B477" s="153"/>
      <c r="C477" s="153"/>
      <c r="D477" s="153"/>
      <c r="E477" s="161"/>
      <c r="F477" s="153"/>
      <c r="G477" s="153"/>
      <c r="H477" s="153"/>
      <c r="I477" s="153"/>
      <c r="J477" s="153"/>
      <c r="K477" s="153"/>
      <c r="L477" s="153"/>
      <c r="M477" s="153"/>
      <c r="N477" s="153"/>
      <c r="O477" s="153"/>
      <c r="P477" s="153"/>
      <c r="Q477" s="153"/>
      <c r="R477" s="153"/>
      <c r="S477" s="153"/>
      <c r="T477" s="153"/>
      <c r="U477" s="153"/>
      <c r="V477" s="153"/>
      <c r="W477" s="153"/>
      <c r="X477" s="153"/>
      <c r="Y477" s="153"/>
      <c r="Z477" s="153"/>
      <c r="AA477" s="153"/>
      <c r="AB477" s="153"/>
      <c r="AC477" s="153"/>
      <c r="AD477" s="153"/>
      <c r="AE477" s="153"/>
      <c r="AF477" s="153"/>
      <c r="AG477" s="153"/>
      <c r="AH477" s="153"/>
      <c r="AI477" s="153"/>
      <c r="AJ477" s="153"/>
      <c r="AK477"/>
      <c r="AL477"/>
      <c r="AM477"/>
      <c r="AN477"/>
    </row>
    <row r="478" spans="1:40" x14ac:dyDescent="0.35">
      <c r="A478" s="153"/>
      <c r="B478" s="153"/>
      <c r="C478" s="153"/>
      <c r="D478" s="153"/>
      <c r="E478" s="161"/>
      <c r="F478" s="153"/>
      <c r="G478" s="153"/>
      <c r="H478" s="153"/>
      <c r="I478" s="153"/>
      <c r="J478" s="153"/>
      <c r="K478" s="153"/>
      <c r="L478" s="153"/>
      <c r="M478" s="153"/>
      <c r="N478" s="153"/>
      <c r="O478" s="153"/>
      <c r="P478" s="153"/>
      <c r="Q478" s="153"/>
      <c r="R478" s="153"/>
      <c r="S478" s="153"/>
      <c r="T478" s="153"/>
      <c r="U478" s="153"/>
      <c r="V478" s="153"/>
      <c r="W478" s="153"/>
      <c r="X478" s="153"/>
      <c r="Y478" s="153"/>
      <c r="Z478" s="153"/>
      <c r="AA478" s="153"/>
      <c r="AB478" s="153"/>
      <c r="AC478" s="153"/>
      <c r="AD478" s="153"/>
      <c r="AE478" s="153"/>
      <c r="AF478" s="153"/>
      <c r="AG478" s="153"/>
      <c r="AH478" s="153"/>
      <c r="AI478" s="153"/>
      <c r="AJ478" s="153"/>
      <c r="AK478"/>
      <c r="AL478"/>
      <c r="AM478"/>
      <c r="AN478"/>
    </row>
    <row r="479" spans="1:40" x14ac:dyDescent="0.35">
      <c r="A479" s="153"/>
      <c r="B479" s="153"/>
      <c r="C479" s="153"/>
      <c r="D479" s="153"/>
      <c r="E479" s="161"/>
      <c r="F479" s="153"/>
      <c r="G479" s="153"/>
      <c r="H479" s="153"/>
      <c r="I479" s="153"/>
      <c r="J479" s="153"/>
      <c r="K479" s="153"/>
      <c r="L479" s="153"/>
      <c r="M479" s="153"/>
      <c r="N479" s="153"/>
      <c r="O479" s="153"/>
      <c r="P479" s="153"/>
      <c r="Q479" s="153"/>
      <c r="R479" s="153"/>
      <c r="S479" s="153"/>
      <c r="T479" s="153"/>
      <c r="U479" s="153"/>
      <c r="V479" s="153"/>
      <c r="W479" s="153"/>
      <c r="X479" s="153"/>
      <c r="Y479" s="153"/>
      <c r="Z479" s="153"/>
      <c r="AA479" s="153"/>
      <c r="AB479" s="153"/>
      <c r="AC479" s="153"/>
      <c r="AD479" s="153"/>
      <c r="AE479" s="153"/>
      <c r="AF479" s="153"/>
      <c r="AG479" s="153"/>
      <c r="AH479" s="153"/>
      <c r="AI479" s="153"/>
      <c r="AJ479" s="153"/>
      <c r="AK479"/>
      <c r="AL479"/>
      <c r="AM479"/>
      <c r="AN479"/>
    </row>
    <row r="480" spans="1:40" x14ac:dyDescent="0.35">
      <c r="A480" s="153"/>
      <c r="B480" s="153"/>
      <c r="C480" s="153"/>
      <c r="D480" s="153"/>
      <c r="E480" s="161"/>
      <c r="F480" s="153"/>
      <c r="G480" s="153"/>
      <c r="H480" s="153"/>
      <c r="I480" s="153"/>
      <c r="J480" s="153"/>
      <c r="K480" s="153"/>
      <c r="L480" s="153"/>
      <c r="M480" s="153"/>
      <c r="N480" s="153"/>
      <c r="O480" s="153"/>
      <c r="P480" s="153"/>
      <c r="Q480" s="153"/>
      <c r="R480" s="153"/>
      <c r="S480" s="153"/>
      <c r="T480" s="153"/>
      <c r="U480" s="153"/>
      <c r="V480" s="153"/>
      <c r="W480" s="153"/>
      <c r="X480" s="153"/>
      <c r="Y480" s="153"/>
      <c r="Z480" s="153"/>
      <c r="AA480" s="153"/>
      <c r="AB480" s="153"/>
      <c r="AC480" s="153"/>
      <c r="AD480" s="153"/>
      <c r="AE480" s="153"/>
      <c r="AF480" s="153"/>
      <c r="AG480" s="153"/>
      <c r="AH480" s="153"/>
      <c r="AI480" s="153"/>
      <c r="AJ480" s="153"/>
      <c r="AK480"/>
      <c r="AL480"/>
      <c r="AM480"/>
      <c r="AN480"/>
    </row>
    <row r="481" spans="1:40" x14ac:dyDescent="0.35">
      <c r="A481" s="153"/>
      <c r="B481" s="153"/>
      <c r="C481" s="153"/>
      <c r="D481" s="153"/>
      <c r="E481" s="161"/>
      <c r="F481" s="153"/>
      <c r="G481" s="153"/>
      <c r="H481" s="153"/>
      <c r="I481" s="153"/>
      <c r="J481" s="153"/>
      <c r="K481" s="153"/>
      <c r="L481" s="153"/>
      <c r="M481" s="153"/>
      <c r="N481" s="153"/>
      <c r="O481" s="153"/>
      <c r="P481" s="153"/>
      <c r="Q481" s="153"/>
      <c r="R481" s="153"/>
      <c r="S481" s="153"/>
      <c r="T481" s="153"/>
      <c r="U481" s="153"/>
      <c r="V481" s="153"/>
      <c r="W481" s="153"/>
      <c r="X481" s="153"/>
      <c r="Y481" s="153"/>
      <c r="Z481" s="153"/>
      <c r="AA481" s="153"/>
      <c r="AB481" s="153"/>
      <c r="AC481" s="153"/>
      <c r="AD481" s="153"/>
      <c r="AE481" s="153"/>
      <c r="AF481" s="153"/>
      <c r="AG481" s="153"/>
      <c r="AH481" s="153"/>
      <c r="AI481" s="153"/>
      <c r="AJ481" s="153"/>
      <c r="AK481"/>
      <c r="AL481"/>
      <c r="AM481"/>
      <c r="AN481"/>
    </row>
    <row r="482" spans="1:40" x14ac:dyDescent="0.35">
      <c r="A482" s="153"/>
      <c r="B482" s="153"/>
      <c r="C482" s="153"/>
      <c r="D482" s="153"/>
      <c r="E482" s="161"/>
      <c r="F482" s="153"/>
      <c r="G482" s="153"/>
      <c r="H482" s="153"/>
      <c r="I482" s="153"/>
      <c r="J482" s="153"/>
      <c r="K482" s="153"/>
      <c r="L482" s="153"/>
      <c r="M482" s="153"/>
      <c r="N482" s="153"/>
      <c r="O482" s="153"/>
      <c r="P482" s="153"/>
      <c r="Q482" s="153"/>
      <c r="R482" s="153"/>
      <c r="S482" s="153"/>
      <c r="T482" s="153"/>
      <c r="U482" s="153"/>
      <c r="V482" s="153"/>
      <c r="W482" s="153"/>
      <c r="X482" s="153"/>
      <c r="Y482" s="153"/>
      <c r="Z482" s="153"/>
      <c r="AA482" s="153"/>
      <c r="AB482" s="153"/>
      <c r="AC482" s="153"/>
      <c r="AD482" s="153"/>
      <c r="AE482" s="153"/>
      <c r="AF482" s="153"/>
      <c r="AG482" s="153"/>
      <c r="AH482" s="153"/>
      <c r="AI482" s="153"/>
      <c r="AJ482" s="153"/>
      <c r="AK482"/>
      <c r="AL482"/>
      <c r="AM482"/>
      <c r="AN482"/>
    </row>
    <row r="483" spans="1:40" x14ac:dyDescent="0.35">
      <c r="A483" s="153"/>
      <c r="B483" s="153"/>
      <c r="C483" s="153"/>
      <c r="D483" s="153"/>
      <c r="E483" s="161"/>
      <c r="F483" s="153"/>
      <c r="G483" s="153"/>
      <c r="H483" s="153"/>
      <c r="I483" s="153"/>
      <c r="J483" s="153"/>
      <c r="K483" s="153"/>
      <c r="L483" s="153"/>
      <c r="M483" s="153"/>
      <c r="N483" s="153"/>
      <c r="O483" s="153"/>
      <c r="P483" s="153"/>
      <c r="Q483" s="153"/>
      <c r="R483" s="153"/>
      <c r="S483" s="153"/>
      <c r="T483" s="153"/>
      <c r="U483" s="153"/>
      <c r="V483" s="153"/>
      <c r="W483" s="153"/>
      <c r="X483" s="153"/>
      <c r="Y483" s="153"/>
      <c r="Z483" s="153"/>
      <c r="AA483" s="153"/>
      <c r="AB483" s="153"/>
      <c r="AC483" s="153"/>
      <c r="AD483" s="153"/>
      <c r="AE483" s="153"/>
      <c r="AF483" s="153"/>
      <c r="AG483" s="153"/>
      <c r="AH483" s="153"/>
      <c r="AI483" s="153"/>
      <c r="AJ483" s="153"/>
      <c r="AK483"/>
      <c r="AL483"/>
      <c r="AM483"/>
      <c r="AN483"/>
    </row>
    <row r="484" spans="1:40" x14ac:dyDescent="0.35">
      <c r="A484" s="153"/>
      <c r="B484" s="153"/>
      <c r="C484" s="153"/>
      <c r="D484" s="153"/>
      <c r="E484" s="161"/>
      <c r="F484" s="153"/>
      <c r="G484" s="153"/>
      <c r="H484" s="153"/>
      <c r="I484" s="153"/>
      <c r="J484" s="153"/>
      <c r="K484" s="153"/>
      <c r="L484" s="153"/>
      <c r="M484" s="153"/>
      <c r="N484" s="153"/>
      <c r="O484" s="153"/>
      <c r="P484" s="153"/>
      <c r="Q484" s="153"/>
      <c r="R484" s="153"/>
      <c r="S484" s="153"/>
      <c r="T484" s="153"/>
      <c r="U484" s="153"/>
      <c r="V484" s="153"/>
      <c r="W484" s="153"/>
      <c r="X484" s="153"/>
      <c r="Y484" s="153"/>
      <c r="Z484" s="153"/>
      <c r="AA484" s="153"/>
      <c r="AB484" s="153"/>
      <c r="AC484" s="153"/>
      <c r="AD484" s="153"/>
      <c r="AE484" s="153"/>
      <c r="AF484" s="153"/>
      <c r="AG484" s="153"/>
      <c r="AH484" s="153"/>
      <c r="AI484" s="153"/>
      <c r="AJ484" s="153"/>
      <c r="AK484"/>
      <c r="AL484"/>
      <c r="AM484"/>
      <c r="AN484"/>
    </row>
    <row r="485" spans="1:40" x14ac:dyDescent="0.35">
      <c r="A485" s="153"/>
      <c r="B485" s="153"/>
      <c r="C485" s="153"/>
      <c r="D485" s="153"/>
      <c r="E485" s="161"/>
      <c r="F485" s="153"/>
      <c r="G485" s="153"/>
      <c r="H485" s="153"/>
      <c r="I485" s="153"/>
      <c r="J485" s="153"/>
      <c r="K485" s="153"/>
      <c r="L485" s="153"/>
      <c r="M485" s="153"/>
      <c r="N485" s="153"/>
      <c r="O485" s="153"/>
      <c r="P485" s="153"/>
      <c r="Q485" s="153"/>
      <c r="R485" s="153"/>
      <c r="S485" s="153"/>
      <c r="T485" s="153"/>
      <c r="U485" s="153"/>
      <c r="V485" s="153"/>
      <c r="W485" s="153"/>
      <c r="X485" s="153"/>
      <c r="Y485" s="153"/>
      <c r="Z485" s="153"/>
      <c r="AA485" s="153"/>
      <c r="AB485" s="153"/>
      <c r="AC485" s="153"/>
      <c r="AD485" s="153"/>
      <c r="AE485" s="153"/>
      <c r="AF485" s="153"/>
      <c r="AG485" s="153"/>
      <c r="AH485" s="153"/>
      <c r="AI485" s="153"/>
      <c r="AJ485" s="153"/>
      <c r="AK485"/>
      <c r="AL485"/>
      <c r="AM485"/>
      <c r="AN485"/>
    </row>
    <row r="486" spans="1:40" x14ac:dyDescent="0.35">
      <c r="A486" s="155"/>
      <c r="B486" s="155"/>
      <c r="C486" s="155"/>
      <c r="D486" s="155"/>
      <c r="E486" s="155"/>
      <c r="F486" s="155"/>
      <c r="AK486"/>
      <c r="AL486"/>
      <c r="AM486"/>
      <c r="AN486"/>
    </row>
    <row r="487" spans="1:40" x14ac:dyDescent="0.35">
      <c r="A487" s="155"/>
      <c r="B487" s="155"/>
      <c r="C487" s="155"/>
      <c r="D487" s="155"/>
      <c r="E487" s="155"/>
      <c r="F487" s="155"/>
      <c r="AK487"/>
      <c r="AL487"/>
      <c r="AM487"/>
      <c r="AN487"/>
    </row>
    <row r="488" spans="1:40" x14ac:dyDescent="0.35">
      <c r="A488" s="155"/>
      <c r="B488" s="155"/>
      <c r="C488" s="155"/>
      <c r="D488" s="155"/>
      <c r="E488" s="155"/>
      <c r="F488" s="155"/>
      <c r="AK488"/>
      <c r="AL488"/>
      <c r="AM488"/>
      <c r="AN488"/>
    </row>
    <row r="489" spans="1:40" x14ac:dyDescent="0.35">
      <c r="A489" s="155"/>
      <c r="B489" s="155"/>
      <c r="C489" s="155"/>
      <c r="D489" s="155"/>
      <c r="E489" s="155"/>
      <c r="F489" s="155"/>
      <c r="AK489"/>
      <c r="AL489"/>
      <c r="AM489"/>
      <c r="AN489"/>
    </row>
    <row r="490" spans="1:40" x14ac:dyDescent="0.35">
      <c r="A490" s="155"/>
      <c r="B490" s="155"/>
      <c r="C490" s="155"/>
      <c r="D490" s="155"/>
      <c r="E490" s="155"/>
      <c r="F490" s="155"/>
      <c r="AK490"/>
      <c r="AL490"/>
      <c r="AM490"/>
      <c r="AN490"/>
    </row>
    <row r="491" spans="1:40" x14ac:dyDescent="0.35">
      <c r="A491" s="155"/>
      <c r="B491" s="155"/>
      <c r="C491" s="155"/>
      <c r="D491" s="155"/>
      <c r="E491" s="155"/>
      <c r="F491" s="155"/>
      <c r="AK491"/>
      <c r="AL491"/>
      <c r="AM491"/>
      <c r="AN491"/>
    </row>
    <row r="492" spans="1:40" x14ac:dyDescent="0.35">
      <c r="A492" s="155"/>
      <c r="B492" s="155"/>
      <c r="C492" s="155"/>
      <c r="D492" s="155"/>
      <c r="E492" s="155"/>
      <c r="F492" s="155"/>
      <c r="AK492"/>
      <c r="AL492"/>
      <c r="AM492"/>
      <c r="AN492"/>
    </row>
    <row r="493" spans="1:40" x14ac:dyDescent="0.35">
      <c r="A493" s="155"/>
      <c r="B493" s="155"/>
      <c r="C493" s="155"/>
      <c r="D493" s="155"/>
      <c r="E493" s="155"/>
      <c r="F493" s="155"/>
      <c r="AK493"/>
      <c r="AL493"/>
      <c r="AM493"/>
      <c r="AN493"/>
    </row>
    <row r="494" spans="1:40" x14ac:dyDescent="0.35">
      <c r="A494" s="155"/>
      <c r="B494" s="155"/>
      <c r="C494" s="155"/>
      <c r="D494" s="155"/>
      <c r="E494" s="155"/>
      <c r="F494" s="155"/>
      <c r="AK494"/>
      <c r="AL494"/>
      <c r="AM494"/>
      <c r="AN494"/>
    </row>
    <row r="495" spans="1:40" x14ac:dyDescent="0.35">
      <c r="A495" s="155"/>
      <c r="B495" s="155"/>
      <c r="C495" s="155"/>
      <c r="D495" s="155"/>
      <c r="E495" s="155"/>
      <c r="F495" s="155"/>
      <c r="AK495"/>
      <c r="AL495"/>
      <c r="AM495"/>
      <c r="AN495"/>
    </row>
    <row r="496" spans="1:40" x14ac:dyDescent="0.35">
      <c r="A496" s="155"/>
      <c r="B496" s="155"/>
      <c r="C496" s="155"/>
      <c r="D496" s="155"/>
      <c r="E496" s="155"/>
      <c r="F496" s="155"/>
      <c r="AK496"/>
      <c r="AL496"/>
      <c r="AM496"/>
      <c r="AN496"/>
    </row>
    <row r="497" spans="1:40" x14ac:dyDescent="0.35">
      <c r="A497" s="155"/>
      <c r="B497" s="155"/>
      <c r="C497" s="155"/>
      <c r="D497" s="155"/>
      <c r="E497" s="155"/>
      <c r="F497" s="155"/>
      <c r="AK497"/>
      <c r="AL497"/>
      <c r="AM497"/>
      <c r="AN497"/>
    </row>
    <row r="498" spans="1:40" x14ac:dyDescent="0.35">
      <c r="A498" s="155"/>
      <c r="B498" s="155"/>
      <c r="C498" s="155"/>
      <c r="D498" s="155"/>
      <c r="E498" s="155"/>
      <c r="F498" s="155"/>
      <c r="AK498"/>
      <c r="AL498"/>
      <c r="AM498"/>
      <c r="AN498"/>
    </row>
    <row r="499" spans="1:40" x14ac:dyDescent="0.35">
      <c r="A499" s="155"/>
      <c r="B499" s="155"/>
      <c r="C499" s="155"/>
      <c r="D499" s="155"/>
      <c r="E499" s="155"/>
      <c r="F499" s="155"/>
      <c r="AK499"/>
      <c r="AL499"/>
      <c r="AM499"/>
      <c r="AN499"/>
    </row>
    <row r="500" spans="1:40" x14ac:dyDescent="0.35">
      <c r="A500" s="155"/>
      <c r="B500" s="155"/>
      <c r="C500" s="155"/>
      <c r="D500" s="155"/>
      <c r="E500" s="155"/>
      <c r="F500" s="155"/>
      <c r="AK500"/>
      <c r="AL500"/>
      <c r="AM500"/>
      <c r="AN500"/>
    </row>
    <row r="501" spans="1:40" x14ac:dyDescent="0.35">
      <c r="A501" s="155"/>
      <c r="B501" s="155"/>
      <c r="C501" s="155"/>
      <c r="D501" s="155"/>
      <c r="E501" s="155"/>
      <c r="F501" s="155"/>
      <c r="AL501"/>
      <c r="AM501"/>
      <c r="AN501"/>
    </row>
    <row r="502" spans="1:40" x14ac:dyDescent="0.35">
      <c r="A502" s="155"/>
      <c r="B502" s="155"/>
      <c r="C502" s="155"/>
      <c r="D502" s="155"/>
      <c r="E502" s="155"/>
      <c r="F502" s="155"/>
      <c r="AL502"/>
      <c r="AM502"/>
      <c r="AN502"/>
    </row>
    <row r="503" spans="1:40" x14ac:dyDescent="0.35">
      <c r="A503" s="155"/>
      <c r="B503" s="155"/>
      <c r="C503" s="155"/>
      <c r="D503" s="155"/>
      <c r="E503" s="155"/>
      <c r="F503" s="155"/>
      <c r="AL503"/>
      <c r="AM503"/>
      <c r="AN503"/>
    </row>
    <row r="504" spans="1:40" x14ac:dyDescent="0.35">
      <c r="A504" s="155"/>
      <c r="B504" s="155"/>
      <c r="C504" s="155"/>
      <c r="D504" s="155"/>
      <c r="E504" s="155"/>
      <c r="F504" s="155"/>
      <c r="AL504"/>
      <c r="AM504"/>
      <c r="AN504"/>
    </row>
    <row r="505" spans="1:40" x14ac:dyDescent="0.35">
      <c r="A505" s="155"/>
      <c r="B505" s="155"/>
      <c r="C505" s="155"/>
      <c r="D505" s="155"/>
      <c r="E505" s="155"/>
      <c r="F505" s="155"/>
      <c r="AL505"/>
      <c r="AM505"/>
      <c r="AN505"/>
    </row>
    <row r="506" spans="1:40" x14ac:dyDescent="0.35">
      <c r="A506" s="155"/>
      <c r="B506" s="155"/>
      <c r="C506" s="155"/>
      <c r="D506" s="155"/>
      <c r="E506" s="155"/>
      <c r="F506" s="155"/>
      <c r="AL506"/>
      <c r="AM506"/>
      <c r="AN506"/>
    </row>
    <row r="507" spans="1:40" x14ac:dyDescent="0.35">
      <c r="A507" s="155"/>
      <c r="B507" s="155"/>
      <c r="C507" s="155"/>
      <c r="D507" s="155"/>
      <c r="E507" s="155"/>
      <c r="F507" s="155"/>
      <c r="AL507"/>
      <c r="AM507"/>
      <c r="AN507"/>
    </row>
    <row r="508" spans="1:40" x14ac:dyDescent="0.35">
      <c r="A508" s="155"/>
      <c r="B508" s="155"/>
      <c r="C508" s="155"/>
      <c r="D508" s="155"/>
      <c r="E508" s="155"/>
      <c r="F508" s="155"/>
      <c r="AL508"/>
      <c r="AM508"/>
      <c r="AN508"/>
    </row>
    <row r="509" spans="1:40" x14ac:dyDescent="0.35">
      <c r="A509" s="155"/>
      <c r="B509" s="155"/>
      <c r="C509" s="155"/>
      <c r="D509" s="155"/>
      <c r="E509" s="155"/>
      <c r="F509" s="155"/>
      <c r="AL509"/>
      <c r="AM509"/>
      <c r="AN509"/>
    </row>
    <row r="510" spans="1:40" x14ac:dyDescent="0.35">
      <c r="A510" s="155"/>
      <c r="B510" s="155"/>
      <c r="C510" s="155"/>
      <c r="D510" s="155"/>
      <c r="E510" s="155"/>
      <c r="F510" s="155"/>
      <c r="AL510"/>
      <c r="AM510"/>
      <c r="AN510"/>
    </row>
    <row r="511" spans="1:40" x14ac:dyDescent="0.35">
      <c r="A511" s="155"/>
      <c r="B511" s="155"/>
      <c r="C511" s="155"/>
      <c r="D511" s="155"/>
      <c r="E511" s="155"/>
      <c r="F511" s="155"/>
      <c r="AL511"/>
      <c r="AM511"/>
      <c r="AN511"/>
    </row>
    <row r="512" spans="1:40" x14ac:dyDescent="0.35">
      <c r="A512" s="155"/>
      <c r="B512" s="155"/>
      <c r="C512" s="155"/>
      <c r="D512" s="155"/>
      <c r="E512" s="155"/>
      <c r="F512" s="155"/>
      <c r="AL512"/>
      <c r="AM512"/>
      <c r="AN512"/>
    </row>
    <row r="513" spans="1:40" x14ac:dyDescent="0.35">
      <c r="A513" s="155"/>
      <c r="B513" s="155"/>
      <c r="C513" s="155"/>
      <c r="D513" s="155"/>
      <c r="E513" s="155"/>
      <c r="F513" s="155"/>
      <c r="AL513"/>
      <c r="AM513"/>
      <c r="AN513"/>
    </row>
    <row r="514" spans="1:40" x14ac:dyDescent="0.35">
      <c r="A514" s="155"/>
      <c r="B514" s="155"/>
      <c r="C514" s="155"/>
      <c r="D514" s="155"/>
      <c r="E514" s="155"/>
      <c r="F514" s="155"/>
      <c r="AL514"/>
      <c r="AM514"/>
      <c r="AN514"/>
    </row>
    <row r="515" spans="1:40" x14ac:dyDescent="0.35">
      <c r="A515" s="155"/>
      <c r="B515" s="155"/>
      <c r="C515" s="155"/>
      <c r="D515" s="155"/>
      <c r="E515" s="155"/>
      <c r="F515" s="155"/>
      <c r="AM515"/>
      <c r="AN515"/>
    </row>
    <row r="516" spans="1:40" x14ac:dyDescent="0.35">
      <c r="A516" s="155"/>
      <c r="B516" s="155"/>
      <c r="C516" s="155"/>
      <c r="D516" s="155"/>
      <c r="E516" s="155"/>
      <c r="F516" s="155"/>
      <c r="AM516"/>
      <c r="AN516"/>
    </row>
    <row r="517" spans="1:40" x14ac:dyDescent="0.35">
      <c r="A517" s="155"/>
      <c r="B517" s="155"/>
      <c r="C517" s="155"/>
      <c r="D517" s="155"/>
      <c r="E517" s="155"/>
      <c r="F517" s="155"/>
      <c r="AM517"/>
      <c r="AN517"/>
    </row>
    <row r="518" spans="1:40" x14ac:dyDescent="0.35">
      <c r="A518" s="155"/>
      <c r="B518" s="155"/>
      <c r="C518" s="155"/>
      <c r="D518" s="155"/>
      <c r="E518" s="155"/>
      <c r="F518" s="155"/>
      <c r="AM518"/>
      <c r="AN518"/>
    </row>
    <row r="519" spans="1:40" x14ac:dyDescent="0.35">
      <c r="A519" s="155"/>
      <c r="B519" s="155"/>
      <c r="C519" s="155"/>
      <c r="D519" s="155"/>
      <c r="E519" s="155"/>
      <c r="F519" s="155"/>
      <c r="AM519"/>
      <c r="AN519"/>
    </row>
    <row r="520" spans="1:40" x14ac:dyDescent="0.35">
      <c r="A520" s="155"/>
      <c r="B520" s="155"/>
      <c r="C520" s="155"/>
      <c r="D520" s="155"/>
      <c r="E520" s="155"/>
      <c r="F520" s="155"/>
      <c r="AM520"/>
      <c r="AN520"/>
    </row>
    <row r="521" spans="1:40" x14ac:dyDescent="0.35">
      <c r="A521" s="155"/>
      <c r="B521" s="155"/>
      <c r="C521" s="155"/>
      <c r="D521" s="155"/>
      <c r="E521" s="155"/>
      <c r="F521" s="155"/>
      <c r="AM521"/>
      <c r="AN521"/>
    </row>
    <row r="522" spans="1:40" x14ac:dyDescent="0.35">
      <c r="A522" s="155"/>
      <c r="B522" s="155"/>
      <c r="C522" s="155"/>
      <c r="D522" s="155"/>
      <c r="E522" s="155"/>
      <c r="F522" s="155"/>
      <c r="AM522"/>
      <c r="AN522"/>
    </row>
    <row r="523" spans="1:40" x14ac:dyDescent="0.35">
      <c r="A523" s="155"/>
      <c r="B523" s="155"/>
      <c r="C523" s="155"/>
      <c r="D523" s="155"/>
      <c r="E523" s="155"/>
      <c r="F523" s="155"/>
      <c r="AM523"/>
      <c r="AN523"/>
    </row>
    <row r="524" spans="1:40" x14ac:dyDescent="0.35">
      <c r="A524" s="155"/>
      <c r="B524" s="155"/>
      <c r="C524" s="155"/>
      <c r="D524" s="155"/>
      <c r="E524" s="155"/>
      <c r="F524" s="155"/>
      <c r="AM524"/>
      <c r="AN524"/>
    </row>
    <row r="525" spans="1:40" x14ac:dyDescent="0.35">
      <c r="A525" s="155"/>
      <c r="B525" s="155"/>
      <c r="C525" s="155"/>
      <c r="D525" s="155"/>
      <c r="E525" s="155"/>
      <c r="F525" s="155"/>
      <c r="AM525"/>
      <c r="AN525"/>
    </row>
    <row r="526" spans="1:40" x14ac:dyDescent="0.35">
      <c r="A526" s="155"/>
      <c r="B526" s="155"/>
      <c r="C526" s="155"/>
      <c r="D526" s="155"/>
      <c r="E526" s="155"/>
      <c r="F526" s="155"/>
      <c r="AM526"/>
      <c r="AN526"/>
    </row>
    <row r="527" spans="1:40" x14ac:dyDescent="0.35">
      <c r="A527" s="155"/>
      <c r="B527" s="155"/>
      <c r="C527" s="155"/>
      <c r="D527" s="155"/>
      <c r="E527" s="155"/>
      <c r="F527" s="155"/>
      <c r="AM527"/>
      <c r="AN527"/>
    </row>
    <row r="528" spans="1:40" x14ac:dyDescent="0.35">
      <c r="A528" s="155"/>
      <c r="B528" s="155"/>
      <c r="C528" s="155"/>
      <c r="D528" s="155"/>
      <c r="E528" s="155"/>
      <c r="F528" s="155"/>
      <c r="AM528"/>
      <c r="AN528"/>
    </row>
    <row r="529" spans="1:40" x14ac:dyDescent="0.35">
      <c r="A529" s="155"/>
      <c r="B529" s="155"/>
      <c r="C529" s="155"/>
      <c r="D529" s="155"/>
      <c r="E529" s="155"/>
      <c r="F529" s="155"/>
      <c r="AM529"/>
      <c r="AN529"/>
    </row>
    <row r="530" spans="1:40" x14ac:dyDescent="0.35">
      <c r="A530" s="155"/>
      <c r="B530" s="155"/>
      <c r="C530" s="155"/>
      <c r="D530" s="155"/>
      <c r="E530" s="155"/>
      <c r="F530" s="155"/>
      <c r="AM530"/>
      <c r="AN530"/>
    </row>
    <row r="531" spans="1:40" x14ac:dyDescent="0.35">
      <c r="A531" s="155"/>
      <c r="B531" s="155"/>
      <c r="C531" s="155"/>
      <c r="D531" s="155"/>
      <c r="E531" s="155"/>
      <c r="F531" s="155"/>
      <c r="AM531"/>
      <c r="AN531"/>
    </row>
    <row r="532" spans="1:40" x14ac:dyDescent="0.35">
      <c r="A532" s="155"/>
      <c r="B532" s="155"/>
      <c r="C532" s="155"/>
      <c r="D532" s="155"/>
      <c r="E532" s="155"/>
      <c r="F532" s="155"/>
      <c r="AM532"/>
      <c r="AN532"/>
    </row>
    <row r="533" spans="1:40" x14ac:dyDescent="0.35">
      <c r="A533" s="155"/>
      <c r="B533" s="155"/>
      <c r="C533" s="155"/>
      <c r="D533" s="155"/>
      <c r="E533" s="155"/>
      <c r="F533" s="155"/>
      <c r="AM533"/>
      <c r="AN533"/>
    </row>
    <row r="534" spans="1:40" x14ac:dyDescent="0.35">
      <c r="A534" s="155"/>
      <c r="B534" s="155"/>
      <c r="C534" s="155"/>
      <c r="D534" s="155"/>
      <c r="E534" s="155"/>
      <c r="F534" s="155"/>
      <c r="AM534"/>
      <c r="AN534"/>
    </row>
    <row r="535" spans="1:40" x14ac:dyDescent="0.35">
      <c r="A535" s="155"/>
      <c r="B535" s="155"/>
      <c r="C535" s="155"/>
      <c r="D535" s="155"/>
      <c r="E535" s="155"/>
      <c r="F535" s="155"/>
      <c r="AM535"/>
      <c r="AN535"/>
    </row>
    <row r="536" spans="1:40" x14ac:dyDescent="0.35">
      <c r="A536" s="155"/>
      <c r="B536" s="155"/>
      <c r="C536" s="155"/>
      <c r="D536" s="155"/>
      <c r="E536" s="155"/>
      <c r="F536" s="155"/>
      <c r="AN536"/>
    </row>
    <row r="537" spans="1:40" x14ac:dyDescent="0.35">
      <c r="A537" s="155"/>
      <c r="B537" s="155"/>
      <c r="C537" s="155"/>
      <c r="D537" s="155"/>
      <c r="E537" s="155"/>
      <c r="F537" s="155"/>
      <c r="AN537"/>
    </row>
    <row r="538" spans="1:40" x14ac:dyDescent="0.35">
      <c r="A538" s="155"/>
      <c r="B538" s="155"/>
      <c r="C538" s="155"/>
      <c r="D538" s="155"/>
      <c r="E538" s="155"/>
      <c r="F538" s="155"/>
      <c r="AN538"/>
    </row>
    <row r="539" spans="1:40" x14ac:dyDescent="0.35">
      <c r="A539" s="155"/>
      <c r="B539" s="155"/>
      <c r="C539" s="155"/>
      <c r="D539" s="155"/>
      <c r="E539" s="155"/>
      <c r="F539" s="155"/>
      <c r="AN539"/>
    </row>
    <row r="540" spans="1:40" x14ac:dyDescent="0.35">
      <c r="A540" s="155"/>
      <c r="B540" s="155"/>
      <c r="C540" s="155"/>
      <c r="D540" s="155"/>
      <c r="E540" s="155"/>
      <c r="F540" s="155"/>
      <c r="AN540"/>
    </row>
    <row r="541" spans="1:40" x14ac:dyDescent="0.35">
      <c r="A541" s="155"/>
      <c r="B541" s="155"/>
      <c r="C541" s="155"/>
      <c r="D541" s="155"/>
      <c r="E541" s="155"/>
      <c r="F541" s="155"/>
      <c r="AN541"/>
    </row>
    <row r="542" spans="1:40" x14ac:dyDescent="0.35">
      <c r="A542" s="155"/>
      <c r="B542" s="155"/>
      <c r="C542" s="155"/>
      <c r="D542" s="155"/>
      <c r="E542" s="155"/>
      <c r="F542" s="155"/>
      <c r="AN542"/>
    </row>
    <row r="543" spans="1:40" x14ac:dyDescent="0.35">
      <c r="A543" s="155"/>
      <c r="B543" s="155"/>
      <c r="C543" s="155"/>
      <c r="D543" s="155"/>
      <c r="E543" s="155"/>
      <c r="F543" s="155"/>
      <c r="AN543"/>
    </row>
    <row r="544" spans="1:40" x14ac:dyDescent="0.35">
      <c r="A544" s="155"/>
      <c r="B544" s="155"/>
      <c r="C544" s="155"/>
      <c r="D544" s="155"/>
      <c r="E544" s="155"/>
      <c r="F544" s="155"/>
      <c r="AN544"/>
    </row>
    <row r="545" spans="1:40" x14ac:dyDescent="0.35">
      <c r="A545" s="155"/>
      <c r="B545" s="155"/>
      <c r="C545" s="155"/>
      <c r="D545" s="155"/>
      <c r="E545" s="155"/>
      <c r="F545" s="155"/>
      <c r="AN545"/>
    </row>
    <row r="546" spans="1:40" x14ac:dyDescent="0.35">
      <c r="A546" s="155"/>
      <c r="B546" s="155"/>
      <c r="C546" s="155"/>
      <c r="D546" s="155"/>
      <c r="E546" s="155"/>
      <c r="F546" s="155"/>
      <c r="AN546"/>
    </row>
    <row r="547" spans="1:40" x14ac:dyDescent="0.35">
      <c r="A547" s="155"/>
      <c r="B547" s="155"/>
      <c r="C547" s="155"/>
      <c r="D547" s="155"/>
      <c r="E547" s="155"/>
      <c r="F547" s="155"/>
      <c r="AN547"/>
    </row>
    <row r="548" spans="1:40" x14ac:dyDescent="0.35">
      <c r="A548" s="155"/>
      <c r="B548" s="155"/>
      <c r="C548" s="155"/>
      <c r="D548" s="155"/>
      <c r="E548" s="155"/>
      <c r="F548" s="155"/>
      <c r="AN548"/>
    </row>
    <row r="549" spans="1:40" x14ac:dyDescent="0.35">
      <c r="A549" s="155"/>
      <c r="B549" s="155"/>
      <c r="C549" s="155"/>
      <c r="D549" s="155"/>
      <c r="E549" s="155"/>
      <c r="F549" s="155"/>
      <c r="AN549"/>
    </row>
    <row r="550" spans="1:40" x14ac:dyDescent="0.35">
      <c r="A550" s="155"/>
      <c r="B550" s="155"/>
      <c r="C550" s="155"/>
      <c r="D550" s="155"/>
      <c r="E550" s="155"/>
      <c r="F550" s="155"/>
      <c r="AN550"/>
    </row>
    <row r="551" spans="1:40" x14ac:dyDescent="0.35">
      <c r="A551" s="155"/>
      <c r="B551" s="155"/>
      <c r="C551" s="155"/>
      <c r="D551" s="155"/>
      <c r="E551" s="155"/>
      <c r="F551" s="155"/>
      <c r="AN551"/>
    </row>
    <row r="552" spans="1:40" x14ac:dyDescent="0.35">
      <c r="A552" s="155"/>
      <c r="B552" s="155"/>
      <c r="C552" s="155"/>
      <c r="D552" s="155"/>
      <c r="E552" s="155"/>
      <c r="F552" s="155"/>
      <c r="AN552"/>
    </row>
    <row r="553" spans="1:40" x14ac:dyDescent="0.35">
      <c r="A553" s="155"/>
      <c r="B553" s="155"/>
      <c r="C553" s="155"/>
      <c r="D553" s="155"/>
      <c r="E553" s="155"/>
      <c r="F553" s="155"/>
      <c r="AN553"/>
    </row>
    <row r="554" spans="1:40" x14ac:dyDescent="0.35">
      <c r="A554" s="155"/>
      <c r="B554" s="155"/>
      <c r="C554" s="155"/>
      <c r="D554" s="155"/>
      <c r="E554" s="155"/>
      <c r="F554" s="155"/>
      <c r="AN554"/>
    </row>
    <row r="555" spans="1:40" x14ac:dyDescent="0.35">
      <c r="A555" s="155"/>
      <c r="B555" s="155"/>
      <c r="C555" s="155"/>
      <c r="D555" s="155"/>
      <c r="E555" s="155"/>
      <c r="F555" s="155"/>
      <c r="AN555"/>
    </row>
    <row r="556" spans="1:40" x14ac:dyDescent="0.35">
      <c r="A556" s="155"/>
      <c r="B556" s="155"/>
      <c r="C556" s="155"/>
      <c r="D556" s="155"/>
      <c r="E556" s="155"/>
      <c r="F556" s="155"/>
      <c r="AN556"/>
    </row>
    <row r="557" spans="1:40" x14ac:dyDescent="0.35">
      <c r="A557" s="155"/>
      <c r="B557" s="155"/>
      <c r="C557" s="155"/>
      <c r="D557" s="155"/>
      <c r="E557" s="155"/>
      <c r="F557" s="155"/>
      <c r="AN557"/>
    </row>
    <row r="558" spans="1:40" x14ac:dyDescent="0.35">
      <c r="A558" s="155"/>
      <c r="B558" s="155"/>
      <c r="C558" s="155"/>
      <c r="D558" s="155"/>
      <c r="E558" s="155"/>
      <c r="F558" s="155"/>
      <c r="AN558"/>
    </row>
    <row r="559" spans="1:40" x14ac:dyDescent="0.35">
      <c r="A559" s="155"/>
      <c r="B559" s="155"/>
      <c r="C559" s="155"/>
      <c r="D559" s="155"/>
      <c r="E559" s="155"/>
      <c r="F559" s="155"/>
      <c r="AN559"/>
    </row>
    <row r="560" spans="1:40" x14ac:dyDescent="0.35">
      <c r="A560" s="155"/>
      <c r="B560" s="155"/>
      <c r="C560" s="155"/>
      <c r="D560" s="155"/>
      <c r="E560" s="155"/>
      <c r="F560" s="155"/>
      <c r="AN560"/>
    </row>
    <row r="561" spans="1:40" x14ac:dyDescent="0.35">
      <c r="A561" s="155"/>
      <c r="B561" s="155"/>
      <c r="C561" s="155"/>
      <c r="D561" s="155"/>
      <c r="E561" s="155"/>
      <c r="F561" s="155"/>
      <c r="AN561"/>
    </row>
    <row r="562" spans="1:40" x14ac:dyDescent="0.35">
      <c r="A562" s="155"/>
      <c r="B562" s="155"/>
      <c r="C562" s="155"/>
      <c r="D562" s="155"/>
      <c r="E562" s="155"/>
      <c r="F562" s="155"/>
      <c r="AN562"/>
    </row>
    <row r="563" spans="1:40" x14ac:dyDescent="0.35">
      <c r="A563" s="155"/>
      <c r="B563" s="155"/>
      <c r="C563" s="155"/>
      <c r="D563" s="155"/>
      <c r="E563" s="155"/>
      <c r="F563" s="155"/>
      <c r="AN563"/>
    </row>
    <row r="564" spans="1:40" x14ac:dyDescent="0.35">
      <c r="A564" s="155"/>
      <c r="B564" s="155"/>
      <c r="C564" s="155"/>
      <c r="D564" s="155"/>
      <c r="E564" s="155"/>
      <c r="F564" s="155"/>
      <c r="AN564"/>
    </row>
    <row r="565" spans="1:40" x14ac:dyDescent="0.35">
      <c r="A565" s="155"/>
      <c r="B565" s="155"/>
      <c r="C565" s="155"/>
      <c r="D565" s="155"/>
      <c r="E565" s="155"/>
      <c r="F565" s="155"/>
      <c r="AN565"/>
    </row>
    <row r="566" spans="1:40" x14ac:dyDescent="0.35">
      <c r="A566" s="155"/>
      <c r="B566" s="155"/>
      <c r="C566" s="155"/>
      <c r="D566" s="155"/>
      <c r="E566" s="155"/>
      <c r="F566" s="155"/>
      <c r="AN566"/>
    </row>
    <row r="567" spans="1:40" x14ac:dyDescent="0.35">
      <c r="A567" s="155"/>
      <c r="B567" s="155"/>
      <c r="C567" s="155"/>
      <c r="D567" s="155"/>
      <c r="E567" s="155"/>
      <c r="F567" s="155"/>
      <c r="AN567"/>
    </row>
    <row r="568" spans="1:40" x14ac:dyDescent="0.35">
      <c r="A568" s="155"/>
      <c r="B568" s="155"/>
      <c r="C568" s="155"/>
      <c r="D568" s="155"/>
      <c r="E568" s="155"/>
      <c r="F568" s="155"/>
      <c r="AN568"/>
    </row>
    <row r="569" spans="1:40" x14ac:dyDescent="0.35">
      <c r="A569" s="155"/>
      <c r="B569" s="155"/>
      <c r="C569" s="155"/>
      <c r="D569" s="155"/>
      <c r="E569" s="155"/>
      <c r="F569" s="155"/>
      <c r="AN569"/>
    </row>
    <row r="570" spans="1:40" x14ac:dyDescent="0.35">
      <c r="A570" s="155"/>
      <c r="B570" s="155"/>
      <c r="C570" s="155"/>
      <c r="D570" s="155"/>
      <c r="E570" s="155"/>
      <c r="F570" s="155"/>
      <c r="AN570"/>
    </row>
    <row r="571" spans="1:40" x14ac:dyDescent="0.35">
      <c r="A571" s="155"/>
      <c r="B571" s="155"/>
      <c r="C571" s="155"/>
      <c r="D571" s="155"/>
      <c r="E571" s="155"/>
      <c r="F571" s="155"/>
      <c r="AN571"/>
    </row>
    <row r="572" spans="1:40" x14ac:dyDescent="0.35">
      <c r="A572" s="155"/>
      <c r="B572" s="155"/>
      <c r="C572" s="155"/>
      <c r="D572" s="155"/>
      <c r="E572" s="155"/>
      <c r="F572" s="155"/>
      <c r="AN572"/>
    </row>
    <row r="573" spans="1:40" x14ac:dyDescent="0.35">
      <c r="A573" s="155"/>
      <c r="B573" s="155"/>
      <c r="C573" s="155"/>
      <c r="D573" s="155"/>
      <c r="E573" s="155"/>
      <c r="F573" s="155"/>
      <c r="AN573"/>
    </row>
    <row r="574" spans="1:40" x14ac:dyDescent="0.35">
      <c r="A574" s="155"/>
      <c r="B574" s="155"/>
      <c r="C574" s="155"/>
      <c r="D574" s="155"/>
      <c r="E574" s="155"/>
      <c r="F574" s="155"/>
      <c r="AN574"/>
    </row>
    <row r="575" spans="1:40" x14ac:dyDescent="0.35">
      <c r="A575" s="155"/>
      <c r="B575" s="155"/>
      <c r="C575" s="155"/>
      <c r="D575" s="155"/>
      <c r="E575" s="155"/>
      <c r="F575" s="155"/>
      <c r="AN575"/>
    </row>
    <row r="576" spans="1:40" x14ac:dyDescent="0.35">
      <c r="A576" s="155"/>
      <c r="B576" s="155"/>
      <c r="C576" s="155"/>
      <c r="D576" s="155"/>
      <c r="E576" s="155"/>
      <c r="F576" s="155"/>
      <c r="AN576"/>
    </row>
    <row r="577" spans="1:40" x14ac:dyDescent="0.35">
      <c r="A577" s="155"/>
      <c r="B577" s="155"/>
      <c r="C577" s="155"/>
      <c r="D577" s="155"/>
      <c r="E577" s="155"/>
      <c r="F577" s="155"/>
      <c r="AN577"/>
    </row>
    <row r="578" spans="1:40" x14ac:dyDescent="0.35">
      <c r="A578" s="155"/>
      <c r="B578" s="155"/>
      <c r="C578" s="155"/>
      <c r="D578" s="155"/>
      <c r="E578" s="155"/>
      <c r="F578" s="155"/>
      <c r="AN578"/>
    </row>
    <row r="579" spans="1:40" x14ac:dyDescent="0.35">
      <c r="A579" s="155"/>
      <c r="B579" s="155"/>
      <c r="C579" s="155"/>
      <c r="D579" s="155"/>
      <c r="E579" s="155"/>
      <c r="F579" s="155"/>
      <c r="AN579"/>
    </row>
    <row r="580" spans="1:40" x14ac:dyDescent="0.35">
      <c r="A580" s="155"/>
      <c r="B580" s="155"/>
      <c r="C580" s="155"/>
      <c r="D580" s="155"/>
      <c r="E580" s="155"/>
      <c r="F580" s="155"/>
      <c r="AN580"/>
    </row>
    <row r="581" spans="1:40" x14ac:dyDescent="0.35">
      <c r="A581" s="155"/>
      <c r="B581" s="155"/>
      <c r="C581" s="155"/>
      <c r="D581" s="155"/>
      <c r="E581" s="155"/>
      <c r="F581" s="155"/>
      <c r="AN581"/>
    </row>
    <row r="582" spans="1:40" x14ac:dyDescent="0.35">
      <c r="A582" s="155"/>
      <c r="B582" s="155"/>
      <c r="C582" s="155"/>
      <c r="D582" s="155"/>
      <c r="E582" s="155"/>
      <c r="F582" s="155"/>
      <c r="AN582"/>
    </row>
    <row r="583" spans="1:40" x14ac:dyDescent="0.35">
      <c r="A583" s="155"/>
      <c r="B583" s="155"/>
      <c r="C583" s="155"/>
      <c r="D583" s="155"/>
      <c r="E583" s="155"/>
      <c r="F583" s="155"/>
      <c r="AN583"/>
    </row>
    <row r="584" spans="1:40" x14ac:dyDescent="0.35">
      <c r="A584" s="155"/>
      <c r="B584" s="155"/>
      <c r="C584" s="155"/>
      <c r="D584" s="155"/>
      <c r="E584" s="155"/>
      <c r="F584" s="155"/>
      <c r="AN584"/>
    </row>
    <row r="585" spans="1:40" x14ac:dyDescent="0.35">
      <c r="A585" s="155"/>
      <c r="B585" s="155"/>
      <c r="C585" s="155"/>
      <c r="D585" s="155"/>
      <c r="E585" s="155"/>
      <c r="F585" s="155"/>
      <c r="AN585"/>
    </row>
    <row r="586" spans="1:40" x14ac:dyDescent="0.35">
      <c r="A586" s="155"/>
      <c r="B586" s="155"/>
      <c r="C586" s="155"/>
      <c r="D586" s="155"/>
      <c r="E586" s="155"/>
      <c r="F586" s="155"/>
      <c r="AN586"/>
    </row>
    <row r="587" spans="1:40" x14ac:dyDescent="0.35">
      <c r="A587" s="155"/>
      <c r="B587" s="155"/>
      <c r="C587" s="155"/>
      <c r="D587" s="155"/>
      <c r="E587" s="155"/>
      <c r="F587" s="155"/>
      <c r="AN587"/>
    </row>
    <row r="588" spans="1:40" x14ac:dyDescent="0.35">
      <c r="A588" s="155"/>
      <c r="B588" s="155"/>
      <c r="C588" s="155"/>
      <c r="D588" s="155"/>
      <c r="E588" s="155"/>
      <c r="F588" s="155"/>
      <c r="AN588"/>
    </row>
    <row r="589" spans="1:40" x14ac:dyDescent="0.35">
      <c r="A589" s="155"/>
      <c r="B589" s="155"/>
      <c r="C589" s="155"/>
      <c r="D589" s="155"/>
      <c r="E589" s="155"/>
      <c r="F589" s="155"/>
      <c r="AN589"/>
    </row>
    <row r="590" spans="1:40" x14ac:dyDescent="0.35">
      <c r="A590" s="155"/>
      <c r="B590" s="155"/>
      <c r="C590" s="155"/>
      <c r="D590" s="155"/>
      <c r="E590" s="155"/>
      <c r="F590" s="155"/>
      <c r="AN590"/>
    </row>
    <row r="591" spans="1:40" hidden="1" x14ac:dyDescent="0.35">
      <c r="A591" s="155"/>
      <c r="B591" s="155"/>
      <c r="C591" s="155"/>
      <c r="D591" s="155"/>
      <c r="E591" s="155"/>
      <c r="F591" s="155"/>
      <c r="AN591"/>
    </row>
    <row r="592" spans="1:40" hidden="1" x14ac:dyDescent="0.35">
      <c r="A592" s="155"/>
      <c r="B592" s="155"/>
      <c r="C592" s="155"/>
      <c r="D592" s="155"/>
      <c r="E592" s="155"/>
      <c r="F592" s="155"/>
      <c r="AN592"/>
    </row>
    <row r="593" spans="1:40" hidden="1" x14ac:dyDescent="0.35">
      <c r="A593" s="155"/>
      <c r="B593" s="155"/>
      <c r="C593" s="155"/>
      <c r="D593" s="155"/>
      <c r="E593" s="155"/>
      <c r="F593" s="155"/>
      <c r="AN593"/>
    </row>
    <row r="594" spans="1:40" hidden="1" x14ac:dyDescent="0.35">
      <c r="A594" s="155"/>
      <c r="B594" s="155"/>
      <c r="C594" s="155"/>
      <c r="D594" s="155"/>
      <c r="E594" s="155"/>
      <c r="F594" s="155"/>
      <c r="AN594"/>
    </row>
    <row r="595" spans="1:40" hidden="1" x14ac:dyDescent="0.35">
      <c r="A595" s="155"/>
      <c r="B595" s="155"/>
      <c r="C595" s="155"/>
      <c r="D595" s="155"/>
      <c r="E595" s="155"/>
      <c r="F595" s="155"/>
      <c r="AN595"/>
    </row>
    <row r="596" spans="1:40" hidden="1" x14ac:dyDescent="0.35">
      <c r="A596" s="155"/>
      <c r="B596" s="155"/>
      <c r="C596" s="155"/>
      <c r="D596" s="155"/>
      <c r="E596" s="155"/>
      <c r="F596" s="155"/>
      <c r="AN596"/>
    </row>
    <row r="597" spans="1:40" hidden="1" x14ac:dyDescent="0.35">
      <c r="A597" s="155"/>
      <c r="B597" s="155"/>
      <c r="C597" s="155"/>
      <c r="D597" s="155"/>
      <c r="E597" s="155"/>
      <c r="F597" s="155"/>
      <c r="AN597"/>
    </row>
    <row r="598" spans="1:40" hidden="1" x14ac:dyDescent="0.35">
      <c r="A598" s="155"/>
      <c r="B598" s="155"/>
      <c r="C598" s="155"/>
      <c r="D598" s="155"/>
      <c r="E598" s="155"/>
      <c r="F598" s="155"/>
      <c r="AN598"/>
    </row>
    <row r="599" spans="1:40" hidden="1" x14ac:dyDescent="0.35">
      <c r="A599" s="155"/>
      <c r="B599" s="155"/>
      <c r="C599" s="155"/>
      <c r="D599" s="155"/>
      <c r="E599" s="155"/>
      <c r="F599" s="155"/>
      <c r="AN599"/>
    </row>
    <row r="600" spans="1:40" hidden="1" x14ac:dyDescent="0.35">
      <c r="A600" s="155"/>
      <c r="B600" s="155"/>
      <c r="C600" s="155"/>
      <c r="D600" s="155"/>
      <c r="E600" s="155"/>
      <c r="F600" s="155"/>
      <c r="AN600"/>
    </row>
    <row r="601" spans="1:40" hidden="1" x14ac:dyDescent="0.35">
      <c r="A601" s="155"/>
      <c r="B601" s="155"/>
      <c r="C601" s="155"/>
      <c r="D601" s="155"/>
      <c r="E601" s="155"/>
      <c r="F601" s="155"/>
      <c r="AN601"/>
    </row>
    <row r="602" spans="1:40" hidden="1" x14ac:dyDescent="0.35">
      <c r="A602" s="155"/>
      <c r="B602" s="155"/>
      <c r="C602" s="155"/>
      <c r="D602" s="155"/>
      <c r="E602" s="155"/>
      <c r="F602" s="155"/>
      <c r="AN602"/>
    </row>
    <row r="603" spans="1:40" hidden="1" x14ac:dyDescent="0.35">
      <c r="A603" s="155"/>
      <c r="B603" s="155"/>
      <c r="C603" s="155"/>
      <c r="D603" s="155"/>
      <c r="E603" s="155"/>
      <c r="F603" s="155"/>
      <c r="AN603"/>
    </row>
    <row r="604" spans="1:40" hidden="1" x14ac:dyDescent="0.35">
      <c r="A604" s="155"/>
      <c r="B604" s="155"/>
      <c r="C604" s="155"/>
      <c r="D604" s="155"/>
      <c r="E604" s="155"/>
      <c r="F604" s="155"/>
      <c r="AN604"/>
    </row>
    <row r="605" spans="1:40" hidden="1" x14ac:dyDescent="0.35">
      <c r="A605" s="155"/>
      <c r="B605" s="155"/>
      <c r="C605" s="155"/>
      <c r="D605" s="155"/>
      <c r="E605" s="155"/>
      <c r="F605" s="155"/>
      <c r="AN605"/>
    </row>
    <row r="606" spans="1:40" hidden="1" x14ac:dyDescent="0.35">
      <c r="A606" s="155"/>
      <c r="B606" s="155"/>
      <c r="C606" s="155"/>
      <c r="D606" s="155"/>
      <c r="E606" s="155"/>
      <c r="F606" s="155"/>
      <c r="AN606"/>
    </row>
    <row r="607" spans="1:40" hidden="1" x14ac:dyDescent="0.35">
      <c r="A607" s="155"/>
      <c r="B607" s="155"/>
      <c r="C607" s="155"/>
      <c r="D607" s="155"/>
      <c r="E607" s="155"/>
      <c r="F607" s="155"/>
      <c r="AN607"/>
    </row>
    <row r="608" spans="1:40" hidden="1" x14ac:dyDescent="0.35">
      <c r="A608" s="155"/>
      <c r="B608" s="155"/>
      <c r="C608" s="155"/>
      <c r="D608" s="155"/>
      <c r="E608" s="155"/>
      <c r="F608" s="155"/>
      <c r="AN608"/>
    </row>
    <row r="609" spans="1:40" hidden="1" x14ac:dyDescent="0.35">
      <c r="A609" s="155"/>
      <c r="B609" s="155"/>
      <c r="C609" s="155"/>
      <c r="D609" s="155"/>
      <c r="E609" s="155"/>
      <c r="F609" s="155"/>
      <c r="AN609"/>
    </row>
    <row r="610" spans="1:40" hidden="1" x14ac:dyDescent="0.35">
      <c r="A610" s="155"/>
      <c r="B610" s="155"/>
      <c r="C610" s="155"/>
      <c r="D610" s="155"/>
      <c r="E610" s="155"/>
      <c r="F610" s="155"/>
      <c r="AN610"/>
    </row>
    <row r="611" spans="1:40" hidden="1" x14ac:dyDescent="0.35">
      <c r="A611" s="155"/>
      <c r="B611" s="155"/>
      <c r="C611" s="155"/>
      <c r="D611" s="155"/>
      <c r="E611" s="155"/>
      <c r="F611" s="155"/>
      <c r="AN611"/>
    </row>
    <row r="612" spans="1:40" hidden="1" x14ac:dyDescent="0.35">
      <c r="A612" s="155"/>
      <c r="B612" s="155"/>
      <c r="C612" s="155"/>
      <c r="D612" s="155"/>
      <c r="E612" s="155"/>
      <c r="F612" s="155"/>
      <c r="AN612"/>
    </row>
    <row r="613" spans="1:40" hidden="1" x14ac:dyDescent="0.35">
      <c r="A613" s="155"/>
      <c r="B613" s="155"/>
      <c r="C613" s="155"/>
      <c r="D613" s="155"/>
      <c r="E613" s="155"/>
      <c r="F613" s="155"/>
      <c r="AN613"/>
    </row>
    <row r="614" spans="1:40" hidden="1" x14ac:dyDescent="0.35">
      <c r="A614" s="155"/>
      <c r="B614" s="155"/>
      <c r="C614" s="155"/>
      <c r="D614" s="155"/>
      <c r="E614" s="155"/>
      <c r="F614" s="155"/>
      <c r="AN614"/>
    </row>
    <row r="615" spans="1:40" hidden="1" x14ac:dyDescent="0.35">
      <c r="A615" s="155"/>
      <c r="B615" s="155"/>
      <c r="C615" s="155"/>
      <c r="D615" s="155"/>
      <c r="E615" s="155"/>
      <c r="F615" s="155"/>
      <c r="AN615"/>
    </row>
    <row r="616" spans="1:40" hidden="1" x14ac:dyDescent="0.35">
      <c r="A616" s="155"/>
      <c r="B616" s="155"/>
      <c r="C616" s="155"/>
      <c r="D616" s="155"/>
      <c r="E616" s="155"/>
      <c r="F616" s="155"/>
      <c r="AN616"/>
    </row>
    <row r="617" spans="1:40" hidden="1" x14ac:dyDescent="0.35">
      <c r="A617" s="155"/>
      <c r="B617" s="155"/>
      <c r="C617" s="155"/>
      <c r="D617" s="155"/>
      <c r="E617" s="155"/>
      <c r="F617" s="155"/>
      <c r="AN617"/>
    </row>
    <row r="618" spans="1:40" hidden="1" x14ac:dyDescent="0.35">
      <c r="A618" s="155"/>
      <c r="B618" s="155"/>
      <c r="C618" s="155"/>
      <c r="D618" s="155"/>
      <c r="E618" s="155"/>
      <c r="F618" s="155"/>
      <c r="AN618"/>
    </row>
    <row r="619" spans="1:40" hidden="1" x14ac:dyDescent="0.35">
      <c r="A619" s="155"/>
      <c r="B619" s="155"/>
      <c r="C619" s="155"/>
      <c r="D619" s="155"/>
      <c r="E619" s="155"/>
      <c r="F619" s="155"/>
      <c r="AN619"/>
    </row>
    <row r="620" spans="1:40" hidden="1" x14ac:dyDescent="0.35">
      <c r="A620" s="155"/>
      <c r="B620" s="155"/>
      <c r="C620" s="155"/>
      <c r="D620" s="155"/>
      <c r="E620" s="155"/>
      <c r="F620" s="155"/>
      <c r="AN620"/>
    </row>
    <row r="621" spans="1:40" hidden="1" x14ac:dyDescent="0.35">
      <c r="A621" s="155"/>
      <c r="B621" s="155"/>
      <c r="C621" s="155"/>
      <c r="D621" s="155"/>
      <c r="E621" s="155"/>
      <c r="F621" s="155"/>
      <c r="AN621"/>
    </row>
    <row r="622" spans="1:40" hidden="1" x14ac:dyDescent="0.35">
      <c r="A622" s="155"/>
      <c r="B622" s="155"/>
      <c r="C622" s="155"/>
      <c r="D622" s="155"/>
      <c r="E622" s="155"/>
      <c r="F622" s="155"/>
      <c r="AN622"/>
    </row>
    <row r="623" spans="1:40" hidden="1" x14ac:dyDescent="0.35">
      <c r="A623" s="155"/>
      <c r="B623" s="155"/>
      <c r="C623" s="155"/>
      <c r="D623" s="155"/>
      <c r="E623" s="155"/>
      <c r="F623" s="155"/>
      <c r="AN623"/>
    </row>
    <row r="624" spans="1:40" hidden="1" x14ac:dyDescent="0.35">
      <c r="A624" s="155"/>
      <c r="B624" s="155"/>
      <c r="C624" s="155"/>
      <c r="D624" s="155"/>
      <c r="E624" s="155"/>
      <c r="F624" s="155"/>
      <c r="AN624"/>
    </row>
    <row r="625" spans="1:40" hidden="1" x14ac:dyDescent="0.35">
      <c r="A625" s="155"/>
      <c r="B625" s="155"/>
      <c r="C625" s="155"/>
      <c r="D625" s="155"/>
      <c r="E625" s="155"/>
      <c r="F625" s="155"/>
      <c r="AN625"/>
    </row>
    <row r="626" spans="1:40" hidden="1" x14ac:dyDescent="0.35">
      <c r="A626" s="155"/>
      <c r="B626" s="155"/>
      <c r="C626" s="155"/>
      <c r="D626" s="155"/>
      <c r="E626" s="155"/>
      <c r="F626" s="155"/>
      <c r="AN626"/>
    </row>
    <row r="627" spans="1:40" hidden="1" x14ac:dyDescent="0.35">
      <c r="A627" s="155"/>
      <c r="B627" s="155"/>
      <c r="C627" s="155"/>
      <c r="D627" s="155"/>
      <c r="E627" s="155"/>
      <c r="F627" s="155"/>
      <c r="AN627"/>
    </row>
    <row r="628" spans="1:40" hidden="1" x14ac:dyDescent="0.35">
      <c r="A628" s="155"/>
      <c r="B628" s="155"/>
      <c r="C628" s="155"/>
      <c r="D628" s="155"/>
      <c r="E628" s="155"/>
      <c r="F628" s="155"/>
      <c r="AN628"/>
    </row>
    <row r="629" spans="1:40" hidden="1" x14ac:dyDescent="0.35">
      <c r="A629" s="155"/>
      <c r="B629" s="155"/>
      <c r="C629" s="155"/>
      <c r="D629" s="155"/>
      <c r="E629" s="155"/>
      <c r="F629" s="155"/>
      <c r="AN629"/>
    </row>
    <row r="630" spans="1:40" hidden="1" x14ac:dyDescent="0.35">
      <c r="A630" s="155"/>
      <c r="B630" s="155"/>
      <c r="C630" s="155"/>
      <c r="D630" s="155"/>
      <c r="E630" s="155"/>
      <c r="F630" s="155"/>
      <c r="AN630"/>
    </row>
    <row r="631" spans="1:40" hidden="1" x14ac:dyDescent="0.35">
      <c r="A631" s="155"/>
      <c r="B631" s="155"/>
      <c r="C631" s="155"/>
      <c r="D631" s="155"/>
      <c r="E631" s="155"/>
      <c r="F631" s="155"/>
      <c r="AN631"/>
    </row>
    <row r="632" spans="1:40" hidden="1" x14ac:dyDescent="0.35">
      <c r="A632" s="155"/>
      <c r="B632" s="155"/>
      <c r="C632" s="155"/>
      <c r="D632" s="155"/>
      <c r="E632" s="155"/>
      <c r="F632" s="155"/>
      <c r="AN632"/>
    </row>
    <row r="633" spans="1:40" hidden="1" x14ac:dyDescent="0.35">
      <c r="A633" s="155"/>
      <c r="B633" s="155"/>
      <c r="C633" s="155"/>
      <c r="D633" s="155"/>
      <c r="E633" s="155"/>
      <c r="F633" s="155"/>
      <c r="AN633"/>
    </row>
    <row r="634" spans="1:40" hidden="1" x14ac:dyDescent="0.35">
      <c r="A634" s="155"/>
      <c r="B634" s="155"/>
      <c r="C634" s="155"/>
      <c r="D634" s="155"/>
      <c r="E634" s="155"/>
      <c r="F634" s="155"/>
      <c r="AN634"/>
    </row>
    <row r="635" spans="1:40" hidden="1" x14ac:dyDescent="0.35">
      <c r="A635" s="155"/>
      <c r="B635" s="155"/>
      <c r="C635" s="155"/>
      <c r="D635" s="155"/>
      <c r="E635" s="155"/>
      <c r="F635" s="155"/>
      <c r="AN635"/>
    </row>
    <row r="636" spans="1:40" hidden="1" x14ac:dyDescent="0.35">
      <c r="A636" s="155"/>
      <c r="B636" s="155"/>
      <c r="C636" s="155"/>
      <c r="D636" s="155"/>
      <c r="E636" s="155"/>
      <c r="F636" s="155"/>
      <c r="AN636"/>
    </row>
    <row r="637" spans="1:40" hidden="1" x14ac:dyDescent="0.35">
      <c r="A637" s="155"/>
      <c r="B637" s="155"/>
      <c r="C637" s="155"/>
      <c r="D637" s="155"/>
      <c r="E637" s="155"/>
      <c r="F637" s="155"/>
      <c r="AN637"/>
    </row>
    <row r="638" spans="1:40" hidden="1" x14ac:dyDescent="0.35">
      <c r="A638" s="155"/>
      <c r="B638" s="155"/>
      <c r="C638" s="155"/>
      <c r="D638" s="155"/>
      <c r="E638" s="155"/>
      <c r="F638" s="155"/>
      <c r="AN638"/>
    </row>
    <row r="639" spans="1:40" hidden="1" x14ac:dyDescent="0.35">
      <c r="A639" s="155"/>
      <c r="B639" s="155"/>
      <c r="C639" s="155"/>
      <c r="D639" s="155"/>
      <c r="E639" s="155"/>
      <c r="F639" s="155"/>
      <c r="AN639"/>
    </row>
    <row r="640" spans="1:40" hidden="1" x14ac:dyDescent="0.35">
      <c r="A640" s="155"/>
      <c r="B640" s="155"/>
      <c r="C640" s="155"/>
      <c r="D640" s="155"/>
      <c r="E640" s="155"/>
      <c r="F640" s="155"/>
      <c r="AN640"/>
    </row>
    <row r="641" spans="1:40" hidden="1" x14ac:dyDescent="0.35">
      <c r="A641" s="155"/>
      <c r="B641" s="155"/>
      <c r="C641" s="155"/>
      <c r="D641" s="155"/>
      <c r="E641" s="155"/>
      <c r="F641" s="155"/>
      <c r="AN641"/>
    </row>
    <row r="642" spans="1:40" hidden="1" x14ac:dyDescent="0.35">
      <c r="A642" s="155"/>
      <c r="B642" s="155"/>
      <c r="C642" s="155"/>
      <c r="D642" s="155"/>
      <c r="E642" s="155"/>
      <c r="F642" s="155"/>
      <c r="AN642"/>
    </row>
    <row r="643" spans="1:40" hidden="1" x14ac:dyDescent="0.35">
      <c r="A643" s="155"/>
      <c r="B643" s="155"/>
      <c r="C643" s="155"/>
      <c r="D643" s="155"/>
      <c r="E643" s="155"/>
      <c r="F643" s="155"/>
      <c r="AN643"/>
    </row>
    <row r="644" spans="1:40" hidden="1" x14ac:dyDescent="0.35">
      <c r="A644" s="155"/>
      <c r="B644" s="155"/>
      <c r="C644" s="155"/>
      <c r="D644" s="155"/>
      <c r="E644" s="155"/>
      <c r="F644" s="155"/>
      <c r="AN644"/>
    </row>
    <row r="645" spans="1:40" hidden="1" x14ac:dyDescent="0.35">
      <c r="A645" s="155"/>
      <c r="B645" s="155"/>
      <c r="C645" s="155"/>
      <c r="D645" s="155"/>
      <c r="E645" s="155"/>
      <c r="F645" s="155"/>
      <c r="AN645"/>
    </row>
    <row r="646" spans="1:40" hidden="1" x14ac:dyDescent="0.35">
      <c r="A646" s="155"/>
      <c r="B646" s="155"/>
      <c r="C646" s="155"/>
      <c r="D646" s="155"/>
      <c r="E646" s="155"/>
      <c r="F646" s="155"/>
      <c r="AN646"/>
    </row>
    <row r="647" spans="1:40" hidden="1" x14ac:dyDescent="0.35">
      <c r="A647" s="155"/>
      <c r="B647" s="155"/>
      <c r="C647" s="155"/>
      <c r="D647" s="155"/>
      <c r="E647" s="155"/>
      <c r="F647" s="155"/>
      <c r="AN647"/>
    </row>
    <row r="648" spans="1:40" hidden="1" x14ac:dyDescent="0.35">
      <c r="A648" s="155"/>
      <c r="B648" s="155"/>
      <c r="C648" s="155"/>
      <c r="D648" s="155"/>
      <c r="E648" s="155"/>
      <c r="F648" s="155"/>
      <c r="AN648"/>
    </row>
    <row r="649" spans="1:40" hidden="1" x14ac:dyDescent="0.35">
      <c r="A649" s="155"/>
      <c r="B649" s="155"/>
      <c r="C649" s="155"/>
      <c r="D649" s="155"/>
      <c r="E649" s="155"/>
      <c r="F649" s="155"/>
      <c r="AN649"/>
    </row>
    <row r="650" spans="1:40" hidden="1" x14ac:dyDescent="0.35">
      <c r="A650" s="155"/>
      <c r="B650" s="155"/>
      <c r="C650" s="155"/>
      <c r="D650" s="155"/>
      <c r="E650" s="155"/>
      <c r="F650" s="155"/>
      <c r="AN650"/>
    </row>
    <row r="651" spans="1:40" hidden="1" x14ac:dyDescent="0.35">
      <c r="A651" s="155"/>
      <c r="B651" s="155"/>
      <c r="C651" s="155"/>
      <c r="D651" s="155"/>
      <c r="E651" s="155"/>
      <c r="F651" s="155"/>
      <c r="AN651"/>
    </row>
    <row r="652" spans="1:40" hidden="1" x14ac:dyDescent="0.35">
      <c r="A652" s="155"/>
      <c r="B652" s="155"/>
      <c r="C652" s="155"/>
      <c r="D652" s="155"/>
      <c r="E652" s="155"/>
      <c r="F652" s="155"/>
      <c r="AN652"/>
    </row>
    <row r="653" spans="1:40" hidden="1" x14ac:dyDescent="0.35">
      <c r="A653" s="155"/>
      <c r="B653" s="155"/>
      <c r="C653" s="155"/>
      <c r="D653" s="155"/>
      <c r="E653" s="155"/>
      <c r="F653" s="155"/>
      <c r="AN653"/>
    </row>
    <row r="654" spans="1:40" hidden="1" x14ac:dyDescent="0.35">
      <c r="A654" s="155"/>
      <c r="B654" s="155"/>
      <c r="C654" s="155"/>
      <c r="D654" s="155"/>
      <c r="E654" s="155"/>
      <c r="F654" s="155"/>
      <c r="AN654"/>
    </row>
    <row r="655" spans="1:40" hidden="1" x14ac:dyDescent="0.35">
      <c r="A655" s="155"/>
      <c r="B655" s="155"/>
      <c r="C655" s="155"/>
      <c r="D655" s="155"/>
      <c r="E655" s="155"/>
      <c r="F655" s="155"/>
      <c r="AN655"/>
    </row>
    <row r="656" spans="1:40" hidden="1" x14ac:dyDescent="0.35">
      <c r="A656" s="155"/>
      <c r="B656" s="155"/>
      <c r="C656" s="155"/>
      <c r="D656" s="155"/>
      <c r="E656" s="155"/>
      <c r="F656" s="155"/>
      <c r="AN656"/>
    </row>
    <row r="657" spans="1:40" hidden="1" x14ac:dyDescent="0.35">
      <c r="A657" s="155"/>
      <c r="B657" s="155"/>
      <c r="C657" s="155"/>
      <c r="D657" s="155"/>
      <c r="E657" s="155"/>
      <c r="F657" s="155"/>
      <c r="AN657"/>
    </row>
    <row r="658" spans="1:40" hidden="1" x14ac:dyDescent="0.35">
      <c r="A658" s="155"/>
      <c r="B658" s="155"/>
      <c r="C658" s="155"/>
      <c r="D658" s="155"/>
      <c r="E658" s="155"/>
      <c r="F658" s="155"/>
      <c r="AN658"/>
    </row>
    <row r="659" spans="1:40" hidden="1" x14ac:dyDescent="0.35">
      <c r="A659" s="155"/>
      <c r="B659" s="155"/>
      <c r="C659" s="155"/>
      <c r="D659" s="155"/>
      <c r="E659" s="155"/>
      <c r="F659" s="155"/>
      <c r="AN659"/>
    </row>
    <row r="660" spans="1:40" hidden="1" x14ac:dyDescent="0.35">
      <c r="A660" s="155"/>
      <c r="B660" s="155"/>
      <c r="C660" s="155"/>
      <c r="D660" s="155"/>
      <c r="E660" s="155"/>
      <c r="F660" s="155"/>
      <c r="AN660"/>
    </row>
    <row r="661" spans="1:40" hidden="1" x14ac:dyDescent="0.35">
      <c r="A661" s="155"/>
      <c r="B661" s="155"/>
      <c r="C661" s="155"/>
      <c r="D661" s="155"/>
      <c r="E661" s="155"/>
      <c r="F661" s="155"/>
      <c r="AN661"/>
    </row>
    <row r="662" spans="1:40" hidden="1" x14ac:dyDescent="0.35">
      <c r="A662" s="155"/>
      <c r="B662" s="155"/>
      <c r="C662" s="155"/>
      <c r="D662" s="155"/>
      <c r="E662" s="155"/>
      <c r="F662" s="155"/>
      <c r="AN662"/>
    </row>
    <row r="663" spans="1:40" hidden="1" x14ac:dyDescent="0.35">
      <c r="A663" s="155"/>
      <c r="B663" s="155"/>
      <c r="C663" s="155"/>
      <c r="D663" s="155"/>
      <c r="E663" s="155"/>
      <c r="F663" s="155"/>
      <c r="AN663"/>
    </row>
    <row r="664" spans="1:40" hidden="1" x14ac:dyDescent="0.35">
      <c r="A664" s="155"/>
      <c r="B664" s="155"/>
      <c r="C664" s="155"/>
      <c r="D664" s="155"/>
      <c r="E664" s="155"/>
      <c r="F664" s="155"/>
      <c r="AN664"/>
    </row>
    <row r="665" spans="1:40" hidden="1" x14ac:dyDescent="0.35">
      <c r="A665" s="155"/>
      <c r="B665" s="155"/>
      <c r="C665" s="155"/>
      <c r="D665" s="155"/>
      <c r="E665" s="155"/>
      <c r="F665" s="155"/>
      <c r="AN665"/>
    </row>
    <row r="666" spans="1:40" hidden="1" x14ac:dyDescent="0.35">
      <c r="A666" s="155"/>
      <c r="B666" s="155"/>
      <c r="C666" s="155"/>
      <c r="D666" s="155"/>
      <c r="E666" s="155"/>
      <c r="F666" s="155"/>
      <c r="AN666"/>
    </row>
    <row r="667" spans="1:40" hidden="1" x14ac:dyDescent="0.35">
      <c r="A667" s="155"/>
      <c r="B667" s="155"/>
      <c r="C667" s="155"/>
      <c r="D667" s="155"/>
      <c r="E667" s="155"/>
      <c r="F667" s="155"/>
      <c r="AN667"/>
    </row>
    <row r="668" spans="1:40" hidden="1" x14ac:dyDescent="0.35">
      <c r="A668" s="155"/>
      <c r="B668" s="155"/>
      <c r="C668" s="155"/>
      <c r="D668" s="155"/>
      <c r="E668" s="155"/>
      <c r="F668" s="155"/>
      <c r="AN668"/>
    </row>
    <row r="669" spans="1:40" hidden="1" x14ac:dyDescent="0.35">
      <c r="A669" s="155"/>
      <c r="B669" s="155"/>
      <c r="C669" s="155"/>
      <c r="D669" s="155"/>
      <c r="E669" s="155"/>
      <c r="F669" s="155"/>
      <c r="AN669"/>
    </row>
    <row r="670" spans="1:40" hidden="1" x14ac:dyDescent="0.35">
      <c r="A670" s="155"/>
      <c r="B670" s="155"/>
      <c r="C670" s="155"/>
      <c r="D670" s="155"/>
      <c r="E670" s="155"/>
      <c r="F670" s="155"/>
      <c r="AN670"/>
    </row>
    <row r="671" spans="1:40" hidden="1" x14ac:dyDescent="0.35">
      <c r="A671" s="155"/>
      <c r="B671" s="155"/>
      <c r="C671" s="155"/>
      <c r="D671" s="155"/>
      <c r="E671" s="155"/>
      <c r="F671" s="155"/>
      <c r="AN671"/>
    </row>
    <row r="672" spans="1:40" hidden="1" x14ac:dyDescent="0.35">
      <c r="A672" s="155"/>
      <c r="B672" s="155"/>
      <c r="C672" s="155"/>
      <c r="D672" s="155"/>
      <c r="E672" s="155"/>
      <c r="F672" s="155"/>
      <c r="AN672"/>
    </row>
    <row r="673" spans="1:40" hidden="1" x14ac:dyDescent="0.35">
      <c r="A673" s="155"/>
      <c r="B673" s="155"/>
      <c r="C673" s="155"/>
      <c r="D673" s="155"/>
      <c r="E673" s="155"/>
      <c r="F673" s="155"/>
      <c r="AN673"/>
    </row>
    <row r="674" spans="1:40" hidden="1" x14ac:dyDescent="0.35">
      <c r="A674" s="155"/>
      <c r="B674" s="155"/>
      <c r="C674" s="155"/>
      <c r="D674" s="155"/>
      <c r="E674" s="155"/>
      <c r="F674" s="155"/>
      <c r="AN674"/>
    </row>
    <row r="675" spans="1:40" hidden="1" x14ac:dyDescent="0.35">
      <c r="A675" s="155"/>
      <c r="B675" s="155"/>
      <c r="C675" s="155"/>
      <c r="D675" s="155"/>
      <c r="E675" s="155"/>
      <c r="F675" s="155"/>
      <c r="AN675"/>
    </row>
    <row r="676" spans="1:40" hidden="1" x14ac:dyDescent="0.35">
      <c r="A676" s="155"/>
      <c r="B676" s="155"/>
      <c r="C676" s="155"/>
      <c r="D676" s="155"/>
      <c r="E676" s="155"/>
      <c r="F676" s="155"/>
      <c r="AN676"/>
    </row>
    <row r="677" spans="1:40" hidden="1" x14ac:dyDescent="0.35">
      <c r="A677" s="155"/>
      <c r="B677" s="155"/>
      <c r="C677" s="155"/>
      <c r="D677" s="155"/>
      <c r="E677" s="155"/>
      <c r="F677" s="155"/>
      <c r="AN677"/>
    </row>
    <row r="678" spans="1:40" hidden="1" x14ac:dyDescent="0.35">
      <c r="A678" s="155"/>
      <c r="B678" s="155"/>
      <c r="C678" s="155"/>
      <c r="D678" s="155"/>
      <c r="E678" s="155"/>
      <c r="F678" s="155"/>
      <c r="AN678"/>
    </row>
    <row r="679" spans="1:40" hidden="1" x14ac:dyDescent="0.35">
      <c r="A679" s="155"/>
      <c r="B679" s="155"/>
      <c r="C679" s="155"/>
      <c r="D679" s="155"/>
      <c r="E679" s="155"/>
      <c r="F679" s="155"/>
      <c r="AN679"/>
    </row>
    <row r="680" spans="1:40" hidden="1" x14ac:dyDescent="0.35">
      <c r="A680" s="155"/>
      <c r="B680" s="155"/>
      <c r="C680" s="155"/>
      <c r="D680" s="155"/>
      <c r="E680" s="155"/>
      <c r="F680" s="155"/>
      <c r="AN680"/>
    </row>
    <row r="681" spans="1:40" hidden="1" x14ac:dyDescent="0.35">
      <c r="A681" s="155"/>
      <c r="B681" s="155"/>
      <c r="C681" s="155"/>
      <c r="D681" s="155"/>
      <c r="E681" s="155"/>
      <c r="F681" s="155"/>
      <c r="AN681"/>
    </row>
    <row r="682" spans="1:40" hidden="1" x14ac:dyDescent="0.35">
      <c r="A682" s="155"/>
      <c r="B682" s="155"/>
      <c r="C682" s="155"/>
      <c r="D682" s="155"/>
      <c r="E682" s="155"/>
      <c r="F682" s="155"/>
      <c r="AN682"/>
    </row>
    <row r="683" spans="1:40" hidden="1" x14ac:dyDescent="0.35">
      <c r="A683" s="155"/>
      <c r="B683" s="155"/>
      <c r="C683" s="155"/>
      <c r="D683" s="155"/>
      <c r="E683" s="155"/>
      <c r="F683" s="155"/>
      <c r="AN683"/>
    </row>
    <row r="684" spans="1:40" hidden="1" x14ac:dyDescent="0.35">
      <c r="A684" s="155"/>
      <c r="B684" s="155"/>
      <c r="C684" s="155"/>
      <c r="D684" s="155"/>
      <c r="E684" s="155"/>
      <c r="F684" s="155"/>
      <c r="AN684"/>
    </row>
    <row r="685" spans="1:40" hidden="1" x14ac:dyDescent="0.35">
      <c r="A685" s="155"/>
      <c r="B685" s="155"/>
      <c r="C685" s="155"/>
      <c r="D685" s="155"/>
      <c r="E685" s="155"/>
      <c r="F685" s="155"/>
      <c r="AN685"/>
    </row>
    <row r="686" spans="1:40" hidden="1" x14ac:dyDescent="0.35">
      <c r="A686" s="155"/>
      <c r="B686" s="155"/>
      <c r="C686" s="155"/>
      <c r="D686" s="155"/>
      <c r="E686" s="155"/>
      <c r="F686" s="155"/>
      <c r="AN686"/>
    </row>
    <row r="687" spans="1:40" hidden="1" x14ac:dyDescent="0.35">
      <c r="A687" s="155"/>
      <c r="B687" s="155"/>
      <c r="C687" s="155"/>
      <c r="D687" s="155"/>
      <c r="E687" s="155"/>
      <c r="F687" s="155"/>
      <c r="AN687"/>
    </row>
    <row r="688" spans="1:40" hidden="1" x14ac:dyDescent="0.35">
      <c r="A688" s="155"/>
      <c r="B688" s="155"/>
      <c r="C688" s="155"/>
      <c r="D688" s="155"/>
      <c r="E688" s="155"/>
      <c r="F688" s="155"/>
      <c r="AN688"/>
    </row>
    <row r="689" spans="1:40" hidden="1" x14ac:dyDescent="0.35">
      <c r="A689" s="155"/>
      <c r="B689" s="155"/>
      <c r="C689" s="155"/>
      <c r="D689" s="155"/>
      <c r="E689" s="155"/>
      <c r="F689" s="155"/>
      <c r="AN689"/>
    </row>
    <row r="690" spans="1:40" hidden="1" x14ac:dyDescent="0.35">
      <c r="A690" s="155"/>
      <c r="B690" s="155"/>
      <c r="C690" s="155"/>
      <c r="D690" s="155"/>
      <c r="E690" s="155"/>
      <c r="F690" s="155"/>
      <c r="AN690"/>
    </row>
    <row r="691" spans="1:40" hidden="1" x14ac:dyDescent="0.35">
      <c r="A691" s="155"/>
      <c r="B691" s="155"/>
      <c r="C691" s="155"/>
      <c r="D691" s="155"/>
      <c r="E691" s="155"/>
      <c r="F691" s="155"/>
      <c r="AN691"/>
    </row>
    <row r="692" spans="1:40" hidden="1" x14ac:dyDescent="0.35">
      <c r="A692" s="155"/>
      <c r="B692" s="155"/>
      <c r="C692" s="155"/>
      <c r="D692" s="155"/>
      <c r="E692" s="155"/>
      <c r="F692" s="155"/>
      <c r="AN692"/>
    </row>
    <row r="693" spans="1:40" hidden="1" x14ac:dyDescent="0.35">
      <c r="A693" s="155"/>
      <c r="B693" s="155"/>
      <c r="C693" s="155"/>
      <c r="D693" s="155"/>
      <c r="E693" s="155"/>
      <c r="F693" s="155"/>
      <c r="AN693"/>
    </row>
    <row r="694" spans="1:40" hidden="1" x14ac:dyDescent="0.35">
      <c r="A694" s="155"/>
      <c r="B694" s="155"/>
      <c r="C694" s="155"/>
      <c r="D694" s="155"/>
      <c r="E694" s="155"/>
      <c r="F694" s="155"/>
      <c r="AN694"/>
    </row>
    <row r="695" spans="1:40" hidden="1" x14ac:dyDescent="0.35">
      <c r="A695" s="155"/>
      <c r="B695" s="155"/>
      <c r="C695" s="155"/>
      <c r="D695" s="155"/>
      <c r="E695" s="155"/>
      <c r="F695" s="155"/>
      <c r="AN695"/>
    </row>
    <row r="696" spans="1:40" hidden="1" x14ac:dyDescent="0.35">
      <c r="A696" s="155"/>
      <c r="B696" s="155"/>
      <c r="C696" s="155"/>
      <c r="D696" s="155"/>
      <c r="E696" s="155"/>
      <c r="F696" s="155"/>
      <c r="AN696"/>
    </row>
    <row r="697" spans="1:40" hidden="1" x14ac:dyDescent="0.35">
      <c r="A697" s="155"/>
      <c r="B697" s="155"/>
      <c r="C697" s="155"/>
      <c r="D697" s="155"/>
      <c r="E697" s="155"/>
      <c r="F697" s="155"/>
      <c r="AN697"/>
    </row>
    <row r="698" spans="1:40" hidden="1" x14ac:dyDescent="0.35">
      <c r="A698" s="155"/>
      <c r="B698" s="155"/>
      <c r="C698" s="155"/>
      <c r="D698" s="155"/>
      <c r="E698" s="155"/>
      <c r="F698" s="155"/>
      <c r="AN698"/>
    </row>
    <row r="699" spans="1:40" hidden="1" x14ac:dyDescent="0.35">
      <c r="A699" s="155"/>
      <c r="B699" s="155"/>
      <c r="C699" s="155"/>
      <c r="D699" s="155"/>
      <c r="E699" s="155"/>
      <c r="F699" s="155"/>
      <c r="AN699"/>
    </row>
    <row r="700" spans="1:40" hidden="1" x14ac:dyDescent="0.35">
      <c r="A700" s="155"/>
      <c r="B700" s="155"/>
      <c r="C700" s="155"/>
      <c r="D700" s="155"/>
      <c r="E700" s="155"/>
      <c r="F700" s="155"/>
      <c r="AN700"/>
    </row>
    <row r="701" spans="1:40" hidden="1" x14ac:dyDescent="0.35">
      <c r="A701" s="155"/>
      <c r="B701" s="155"/>
      <c r="C701" s="155"/>
      <c r="D701" s="155"/>
      <c r="E701" s="155"/>
      <c r="F701" s="155"/>
      <c r="AN701"/>
    </row>
    <row r="702" spans="1:40" hidden="1" x14ac:dyDescent="0.35">
      <c r="A702" s="155"/>
      <c r="B702" s="155"/>
      <c r="C702" s="155"/>
      <c r="D702" s="155"/>
      <c r="E702" s="155"/>
      <c r="F702" s="155"/>
      <c r="AN702"/>
    </row>
    <row r="703" spans="1:40" hidden="1" x14ac:dyDescent="0.35">
      <c r="A703" s="155"/>
      <c r="B703" s="155"/>
      <c r="C703" s="155"/>
      <c r="D703" s="155"/>
      <c r="E703" s="155"/>
      <c r="F703" s="155"/>
      <c r="AN703"/>
    </row>
    <row r="704" spans="1:40" hidden="1" x14ac:dyDescent="0.35">
      <c r="A704" s="155"/>
      <c r="B704" s="155"/>
      <c r="C704" s="155"/>
      <c r="D704" s="155"/>
      <c r="E704" s="155"/>
      <c r="F704" s="155"/>
      <c r="AN704"/>
    </row>
    <row r="705" spans="1:40" hidden="1" x14ac:dyDescent="0.35">
      <c r="A705" s="155"/>
      <c r="B705" s="155"/>
      <c r="C705" s="155"/>
      <c r="D705" s="155"/>
      <c r="E705" s="155"/>
      <c r="F705" s="155"/>
      <c r="AN705"/>
    </row>
    <row r="706" spans="1:40" hidden="1" x14ac:dyDescent="0.35">
      <c r="A706" s="155"/>
      <c r="B706" s="155"/>
      <c r="C706" s="155"/>
      <c r="D706" s="155"/>
      <c r="E706" s="155"/>
      <c r="F706" s="155"/>
      <c r="AN706"/>
    </row>
    <row r="707" spans="1:40" hidden="1" x14ac:dyDescent="0.35">
      <c r="A707" s="155"/>
      <c r="B707" s="155"/>
      <c r="C707" s="155"/>
      <c r="D707" s="155"/>
      <c r="E707" s="155"/>
      <c r="F707" s="155"/>
      <c r="AN707"/>
    </row>
    <row r="708" spans="1:40" hidden="1" x14ac:dyDescent="0.35">
      <c r="A708" s="155"/>
      <c r="B708" s="155"/>
      <c r="C708" s="155"/>
      <c r="D708" s="155"/>
      <c r="E708" s="155"/>
      <c r="F708" s="155"/>
      <c r="AN708"/>
    </row>
    <row r="709" spans="1:40" hidden="1" x14ac:dyDescent="0.35">
      <c r="A709" s="155"/>
      <c r="B709" s="155"/>
      <c r="C709" s="155"/>
      <c r="D709" s="155"/>
      <c r="E709" s="155"/>
      <c r="F709" s="155"/>
      <c r="AN709"/>
    </row>
    <row r="710" spans="1:40" hidden="1" x14ac:dyDescent="0.35">
      <c r="AN710"/>
    </row>
    <row r="711" spans="1:40" hidden="1" x14ac:dyDescent="0.35">
      <c r="AN711"/>
    </row>
    <row r="712" spans="1:40" hidden="1" x14ac:dyDescent="0.35">
      <c r="AN712"/>
    </row>
    <row r="713" spans="1:40" hidden="1" x14ac:dyDescent="0.35">
      <c r="AN713"/>
    </row>
    <row r="714" spans="1:40" hidden="1" x14ac:dyDescent="0.35">
      <c r="AN714"/>
    </row>
    <row r="715" spans="1:40" hidden="1" x14ac:dyDescent="0.35">
      <c r="AN715"/>
    </row>
    <row r="716" spans="1:40" hidden="1" x14ac:dyDescent="0.35">
      <c r="AN716"/>
    </row>
    <row r="717" spans="1:40" hidden="1" x14ac:dyDescent="0.35">
      <c r="AN717"/>
    </row>
    <row r="718" spans="1:40" hidden="1" x14ac:dyDescent="0.35">
      <c r="AN718"/>
    </row>
    <row r="719" spans="1:40" hidden="1" x14ac:dyDescent="0.35">
      <c r="AN719"/>
    </row>
    <row r="720" spans="1:40" hidden="1" x14ac:dyDescent="0.35">
      <c r="AN720"/>
    </row>
    <row r="721" spans="40:40" hidden="1" x14ac:dyDescent="0.35">
      <c r="AN721"/>
    </row>
    <row r="722" spans="40:40" hidden="1" x14ac:dyDescent="0.35">
      <c r="AN722"/>
    </row>
    <row r="723" spans="40:40" hidden="1" x14ac:dyDescent="0.35">
      <c r="AN723"/>
    </row>
    <row r="724" spans="40:40" hidden="1" x14ac:dyDescent="0.35">
      <c r="AN724"/>
    </row>
    <row r="725" spans="40:40" hidden="1" x14ac:dyDescent="0.35">
      <c r="AN725"/>
    </row>
    <row r="726" spans="40:40" hidden="1" x14ac:dyDescent="0.35">
      <c r="AN726"/>
    </row>
    <row r="727" spans="40:40" hidden="1" x14ac:dyDescent="0.35">
      <c r="AN727"/>
    </row>
    <row r="728" spans="40:40" hidden="1" x14ac:dyDescent="0.35">
      <c r="AN728"/>
    </row>
    <row r="729" spans="40:40" hidden="1" x14ac:dyDescent="0.35">
      <c r="AN729"/>
    </row>
    <row r="730" spans="40:40" hidden="1" x14ac:dyDescent="0.35">
      <c r="AN730"/>
    </row>
    <row r="731" spans="40:40" hidden="1" x14ac:dyDescent="0.35">
      <c r="AN731"/>
    </row>
    <row r="732" spans="40:40" hidden="1" x14ac:dyDescent="0.35">
      <c r="AN732"/>
    </row>
    <row r="733" spans="40:40" hidden="1" x14ac:dyDescent="0.35">
      <c r="AN733"/>
    </row>
    <row r="734" spans="40:40" hidden="1" x14ac:dyDescent="0.35">
      <c r="AN734"/>
    </row>
    <row r="735" spans="40:40" hidden="1" x14ac:dyDescent="0.35">
      <c r="AN735"/>
    </row>
    <row r="736" spans="40:40" hidden="1" x14ac:dyDescent="0.35">
      <c r="AN736"/>
    </row>
    <row r="737" spans="40:40" hidden="1" x14ac:dyDescent="0.35">
      <c r="AN737"/>
    </row>
    <row r="738" spans="40:40" hidden="1" x14ac:dyDescent="0.35">
      <c r="AN738"/>
    </row>
    <row r="739" spans="40:40" hidden="1" x14ac:dyDescent="0.35">
      <c r="AN739"/>
    </row>
    <row r="740" spans="40:40" hidden="1" x14ac:dyDescent="0.35">
      <c r="AN740"/>
    </row>
    <row r="741" spans="40:40" hidden="1" x14ac:dyDescent="0.35">
      <c r="AN741"/>
    </row>
    <row r="742" spans="40:40" hidden="1" x14ac:dyDescent="0.35">
      <c r="AN742"/>
    </row>
    <row r="743" spans="40:40" hidden="1" x14ac:dyDescent="0.35">
      <c r="AN743"/>
    </row>
    <row r="744" spans="40:40" hidden="1" x14ac:dyDescent="0.35">
      <c r="AN744"/>
    </row>
    <row r="745" spans="40:40" hidden="1" x14ac:dyDescent="0.35">
      <c r="AN745"/>
    </row>
    <row r="746" spans="40:40" hidden="1" x14ac:dyDescent="0.35">
      <c r="AN746"/>
    </row>
    <row r="747" spans="40:40" hidden="1" x14ac:dyDescent="0.35">
      <c r="AN747"/>
    </row>
    <row r="748" spans="40:40" hidden="1" x14ac:dyDescent="0.35">
      <c r="AN748"/>
    </row>
    <row r="749" spans="40:40" hidden="1" x14ac:dyDescent="0.35">
      <c r="AN749"/>
    </row>
    <row r="750" spans="40:40" hidden="1" x14ac:dyDescent="0.35">
      <c r="AN750"/>
    </row>
    <row r="751" spans="40:40" hidden="1" x14ac:dyDescent="0.35">
      <c r="AN751"/>
    </row>
    <row r="752" spans="40:40" hidden="1" x14ac:dyDescent="0.35">
      <c r="AN752"/>
    </row>
    <row r="753" spans="40:40" hidden="1" x14ac:dyDescent="0.35">
      <c r="AN753"/>
    </row>
    <row r="754" spans="40:40" hidden="1" x14ac:dyDescent="0.35">
      <c r="AN754"/>
    </row>
    <row r="755" spans="40:40" hidden="1" x14ac:dyDescent="0.35">
      <c r="AN755"/>
    </row>
    <row r="756" spans="40:40" hidden="1" x14ac:dyDescent="0.35">
      <c r="AN756"/>
    </row>
    <row r="757" spans="40:40" hidden="1" x14ac:dyDescent="0.35">
      <c r="AN757"/>
    </row>
    <row r="758" spans="40:40" hidden="1" x14ac:dyDescent="0.35">
      <c r="AN758"/>
    </row>
    <row r="759" spans="40:40" hidden="1" x14ac:dyDescent="0.35">
      <c r="AN759"/>
    </row>
    <row r="760" spans="40:40" hidden="1" x14ac:dyDescent="0.35">
      <c r="AN760"/>
    </row>
    <row r="761" spans="40:40" hidden="1" x14ac:dyDescent="0.35">
      <c r="AN761"/>
    </row>
    <row r="762" spans="40:40" hidden="1" x14ac:dyDescent="0.35">
      <c r="AN762"/>
    </row>
    <row r="763" spans="40:40" hidden="1" x14ac:dyDescent="0.35">
      <c r="AN763"/>
    </row>
    <row r="764" spans="40:40" hidden="1" x14ac:dyDescent="0.35">
      <c r="AN764"/>
    </row>
    <row r="765" spans="40:40" hidden="1" x14ac:dyDescent="0.35">
      <c r="AN765"/>
    </row>
    <row r="766" spans="40:40" hidden="1" x14ac:dyDescent="0.35">
      <c r="AN766"/>
    </row>
    <row r="767" spans="40:40" hidden="1" x14ac:dyDescent="0.35">
      <c r="AN767"/>
    </row>
    <row r="768" spans="40:40" hidden="1" x14ac:dyDescent="0.35">
      <c r="AN768"/>
    </row>
    <row r="769" spans="40:40" hidden="1" x14ac:dyDescent="0.35">
      <c r="AN769"/>
    </row>
    <row r="770" spans="40:40" hidden="1" x14ac:dyDescent="0.35">
      <c r="AN770"/>
    </row>
    <row r="771" spans="40:40" hidden="1" x14ac:dyDescent="0.35">
      <c r="AN771"/>
    </row>
    <row r="772" spans="40:40" hidden="1" x14ac:dyDescent="0.35">
      <c r="AN772"/>
    </row>
    <row r="773" spans="40:40" hidden="1" x14ac:dyDescent="0.35">
      <c r="AN773"/>
    </row>
    <row r="774" spans="40:40" hidden="1" x14ac:dyDescent="0.35">
      <c r="AN774"/>
    </row>
    <row r="775" spans="40:40" hidden="1" x14ac:dyDescent="0.35">
      <c r="AN775"/>
    </row>
    <row r="776" spans="40:40" hidden="1" x14ac:dyDescent="0.35">
      <c r="AN776"/>
    </row>
    <row r="777" spans="40:40" hidden="1" x14ac:dyDescent="0.35">
      <c r="AN777"/>
    </row>
    <row r="778" spans="40:40" hidden="1" x14ac:dyDescent="0.35">
      <c r="AN778"/>
    </row>
    <row r="779" spans="40:40" hidden="1" x14ac:dyDescent="0.35">
      <c r="AN779"/>
    </row>
    <row r="780" spans="40:40" hidden="1" x14ac:dyDescent="0.35">
      <c r="AN780"/>
    </row>
    <row r="781" spans="40:40" hidden="1" x14ac:dyDescent="0.35">
      <c r="AN781"/>
    </row>
    <row r="782" spans="40:40" hidden="1" x14ac:dyDescent="0.35">
      <c r="AN782"/>
    </row>
    <row r="783" spans="40:40" hidden="1" x14ac:dyDescent="0.35">
      <c r="AN783"/>
    </row>
    <row r="784" spans="40:40" hidden="1" x14ac:dyDescent="0.35">
      <c r="AN784"/>
    </row>
    <row r="785" spans="40:40" hidden="1" x14ac:dyDescent="0.35">
      <c r="AN785"/>
    </row>
    <row r="786" spans="40:40" hidden="1" x14ac:dyDescent="0.35">
      <c r="AN786"/>
    </row>
    <row r="787" spans="40:40" hidden="1" x14ac:dyDescent="0.35">
      <c r="AN787"/>
    </row>
    <row r="788" spans="40:40" hidden="1" x14ac:dyDescent="0.35">
      <c r="AN788"/>
    </row>
    <row r="789" spans="40:40" hidden="1" x14ac:dyDescent="0.35">
      <c r="AN789"/>
    </row>
    <row r="790" spans="40:40" hidden="1" x14ac:dyDescent="0.35">
      <c r="AN790"/>
    </row>
    <row r="791" spans="40:40" hidden="1" x14ac:dyDescent="0.35">
      <c r="AN791"/>
    </row>
    <row r="792" spans="40:40" hidden="1" x14ac:dyDescent="0.35">
      <c r="AN792"/>
    </row>
    <row r="793" spans="40:40" hidden="1" x14ac:dyDescent="0.35">
      <c r="AN793"/>
    </row>
    <row r="794" spans="40:40" hidden="1" x14ac:dyDescent="0.35">
      <c r="AN794"/>
    </row>
    <row r="795" spans="40:40" hidden="1" x14ac:dyDescent="0.35">
      <c r="AN795"/>
    </row>
    <row r="796" spans="40:40" hidden="1" x14ac:dyDescent="0.35">
      <c r="AN796"/>
    </row>
    <row r="797" spans="40:40" hidden="1" x14ac:dyDescent="0.35">
      <c r="AN797"/>
    </row>
    <row r="798" spans="40:40" hidden="1" x14ac:dyDescent="0.35">
      <c r="AN798"/>
    </row>
    <row r="799" spans="40:40" hidden="1" x14ac:dyDescent="0.35">
      <c r="AN799"/>
    </row>
    <row r="800" spans="40:40" hidden="1" x14ac:dyDescent="0.35">
      <c r="AN800"/>
    </row>
    <row r="801" spans="40:40" hidden="1" x14ac:dyDescent="0.35">
      <c r="AN801"/>
    </row>
    <row r="802" spans="40:40" hidden="1" x14ac:dyDescent="0.35">
      <c r="AN802"/>
    </row>
    <row r="803" spans="40:40" hidden="1" x14ac:dyDescent="0.35">
      <c r="AN803"/>
    </row>
    <row r="804" spans="40:40" hidden="1" x14ac:dyDescent="0.35">
      <c r="AN804"/>
    </row>
    <row r="805" spans="40:40" hidden="1" x14ac:dyDescent="0.35">
      <c r="AN805"/>
    </row>
    <row r="806" spans="40:40" hidden="1" x14ac:dyDescent="0.35">
      <c r="AN806"/>
    </row>
    <row r="807" spans="40:40" hidden="1" x14ac:dyDescent="0.35">
      <c r="AN807"/>
    </row>
    <row r="808" spans="40:40" hidden="1" x14ac:dyDescent="0.35">
      <c r="AN808"/>
    </row>
    <row r="809" spans="40:40" hidden="1" x14ac:dyDescent="0.35">
      <c r="AN809"/>
    </row>
    <row r="810" spans="40:40" hidden="1" x14ac:dyDescent="0.35">
      <c r="AN810"/>
    </row>
    <row r="811" spans="40:40" hidden="1" x14ac:dyDescent="0.35">
      <c r="AN811"/>
    </row>
    <row r="812" spans="40:40" hidden="1" x14ac:dyDescent="0.35">
      <c r="AN812"/>
    </row>
    <row r="813" spans="40:40" hidden="1" x14ac:dyDescent="0.35">
      <c r="AN813"/>
    </row>
    <row r="814" spans="40:40" hidden="1" x14ac:dyDescent="0.35">
      <c r="AN814"/>
    </row>
    <row r="815" spans="40:40" hidden="1" x14ac:dyDescent="0.35">
      <c r="AN815"/>
    </row>
    <row r="816" spans="40:40" hidden="1" x14ac:dyDescent="0.35">
      <c r="AN816"/>
    </row>
    <row r="817" spans="40:40" hidden="1" x14ac:dyDescent="0.35">
      <c r="AN817"/>
    </row>
    <row r="818" spans="40:40" hidden="1" x14ac:dyDescent="0.35">
      <c r="AN818"/>
    </row>
    <row r="819" spans="40:40" hidden="1" x14ac:dyDescent="0.35">
      <c r="AN819"/>
    </row>
    <row r="820" spans="40:40" hidden="1" x14ac:dyDescent="0.35">
      <c r="AN820"/>
    </row>
    <row r="821" spans="40:40" hidden="1" x14ac:dyDescent="0.35">
      <c r="AN821"/>
    </row>
    <row r="822" spans="40:40" hidden="1" x14ac:dyDescent="0.35">
      <c r="AN822"/>
    </row>
    <row r="823" spans="40:40" hidden="1" x14ac:dyDescent="0.35">
      <c r="AN823"/>
    </row>
    <row r="824" spans="40:40" hidden="1" x14ac:dyDescent="0.35">
      <c r="AN824"/>
    </row>
    <row r="825" spans="40:40" hidden="1" x14ac:dyDescent="0.35">
      <c r="AN825"/>
    </row>
    <row r="826" spans="40:40" hidden="1" x14ac:dyDescent="0.35">
      <c r="AN826"/>
    </row>
    <row r="827" spans="40:40" hidden="1" x14ac:dyDescent="0.35">
      <c r="AN827"/>
    </row>
    <row r="828" spans="40:40" hidden="1" x14ac:dyDescent="0.35">
      <c r="AN828"/>
    </row>
    <row r="829" spans="40:40" hidden="1" x14ac:dyDescent="0.35">
      <c r="AN829"/>
    </row>
    <row r="830" spans="40:40" hidden="1" x14ac:dyDescent="0.35">
      <c r="AN830"/>
    </row>
    <row r="831" spans="40:40" hidden="1" x14ac:dyDescent="0.35">
      <c r="AN831"/>
    </row>
    <row r="832" spans="40:40" hidden="1" x14ac:dyDescent="0.35">
      <c r="AN832"/>
    </row>
    <row r="833" spans="40:40" hidden="1" x14ac:dyDescent="0.35">
      <c r="AN833"/>
    </row>
    <row r="834" spans="40:40" hidden="1" x14ac:dyDescent="0.35">
      <c r="AN834"/>
    </row>
    <row r="835" spans="40:40" hidden="1" x14ac:dyDescent="0.35">
      <c r="AN835"/>
    </row>
    <row r="836" spans="40:40" hidden="1" x14ac:dyDescent="0.35">
      <c r="AN836"/>
    </row>
    <row r="837" spans="40:40" hidden="1" x14ac:dyDescent="0.35">
      <c r="AN837"/>
    </row>
    <row r="838" spans="40:40" hidden="1" x14ac:dyDescent="0.35">
      <c r="AN838"/>
    </row>
    <row r="839" spans="40:40" hidden="1" x14ac:dyDescent="0.35">
      <c r="AN839"/>
    </row>
    <row r="840" spans="40:40" hidden="1" x14ac:dyDescent="0.35">
      <c r="AN840"/>
    </row>
  </sheetData>
  <sheetProtection formatCells="0" formatColumns="0" formatRows="0" autoFilter="0"/>
  <phoneticPr fontId="2" type="noConversion"/>
  <conditionalFormatting sqref="A2:L417 M5 M10 M15 M20 M25 M30 M35 M40 M45 M368 M373 M378:AJ378 N379:AJ417 M383 M388 M399 M407 M412 M417">
    <cfRule type="expression" dxfId="423" priority="111">
      <formula>$A3=""</formula>
    </cfRule>
  </conditionalFormatting>
  <conditionalFormatting sqref="N2:AJ243 M47:M363 N244 P244:AJ244 N245:AJ248 N249 P249:AJ249 N250:AJ360 N361:N362 P361:AJ362 N363:AJ377 A418:AJ421 A422:N422 P422:AJ422 A423:AJ485">
    <cfRule type="expression" dxfId="422" priority="1">
      <formula>$A3=""</formula>
    </cfRule>
  </conditionalFormatting>
  <conditionalFormatting sqref="O244">
    <cfRule type="expression" dxfId="421" priority="115">
      <formula>$A250=""</formula>
    </cfRule>
  </conditionalFormatting>
  <conditionalFormatting sqref="O397:O398">
    <cfRule type="expression" dxfId="420" priority="117">
      <formula>$A362=""</formula>
    </cfRule>
  </conditionalFormatting>
  <conditionalFormatting sqref="O415">
    <cfRule type="expression" dxfId="419" priority="119">
      <formula>$A423=""</formula>
    </cfRule>
  </conditionalFormatting>
  <pageMargins left="0.7" right="0.7" top="0.75" bottom="0.75" header="0.3" footer="0.3"/>
  <pageSetup paperSize="9" orientation="portrait" horizontalDpi="300" verticalDpi="3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EDE1E-1331-4FB6-817F-9B14239AA59F}">
  <sheetPr codeName="Sheet1">
    <tabColor rgb="FF66FFFF"/>
  </sheetPr>
  <dimension ref="A1"/>
  <sheetViews>
    <sheetView zoomScale="80" zoomScaleNormal="80" workbookViewId="0">
      <pane xSplit="3" ySplit="3" topLeftCell="D33" activePane="bottomRight" state="frozen"/>
      <selection pane="topRight" activeCell="D1" sqref="D1"/>
      <selection pane="bottomLeft" activeCell="A4" sqref="A4"/>
      <selection pane="bottomRight" activeCell="Q62" sqref="Q62"/>
    </sheetView>
  </sheetViews>
  <sheetFormatPr defaultRowHeight="14.5" x14ac:dyDescent="0.35"/>
  <cols>
    <col min="1" max="1" width="16.26953125" bestFit="1" customWidth="1"/>
    <col min="2" max="2" width="37.453125" bestFit="1" customWidth="1"/>
    <col min="3" max="3" width="10.81640625" bestFit="1" customWidth="1"/>
    <col min="4" max="5" width="12.26953125" bestFit="1" customWidth="1"/>
    <col min="6" max="6" width="11.26953125" bestFit="1" customWidth="1"/>
    <col min="7" max="7" width="8.26953125" bestFit="1" customWidth="1"/>
    <col min="8" max="12" width="12.26953125" bestFit="1" customWidth="1"/>
    <col min="13" max="13" width="9.26953125" bestFit="1" customWidth="1"/>
    <col min="14" max="17" width="12.26953125" bestFit="1" customWidth="1"/>
    <col min="18" max="34" width="9.26953125" bestFit="1" customWidth="1"/>
  </cols>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C808B-6318-42D0-A322-9D89CFF15828}">
  <sheetPr codeName="Sheet8">
    <tabColor rgb="FF6CD2B1"/>
  </sheetPr>
  <dimension ref="B2:I30"/>
  <sheetViews>
    <sheetView showGridLines="0" topLeftCell="D1" zoomScale="90" zoomScaleNormal="90" workbookViewId="0">
      <selection activeCell="N16" sqref="N16"/>
    </sheetView>
  </sheetViews>
  <sheetFormatPr defaultRowHeight="14.5" x14ac:dyDescent="0.35"/>
  <cols>
    <col min="1" max="1" width="2" customWidth="1"/>
    <col min="2" max="2" width="16.26953125" bestFit="1" customWidth="1"/>
    <col min="3" max="3" width="32" customWidth="1"/>
    <col min="4" max="4" width="43.26953125" bestFit="1" customWidth="1"/>
    <col min="5" max="5" width="17.453125" bestFit="1" customWidth="1"/>
    <col min="6" max="6" width="12" customWidth="1"/>
    <col min="7" max="7" width="22" customWidth="1"/>
    <col min="8" max="8" width="12" customWidth="1"/>
    <col min="9" max="9" width="2" customWidth="1"/>
  </cols>
  <sheetData>
    <row r="2" spans="2:9" x14ac:dyDescent="0.35">
      <c r="B2" s="175" t="s">
        <v>830</v>
      </c>
      <c r="C2" s="176"/>
      <c r="D2" s="176"/>
      <c r="E2" s="176"/>
      <c r="F2" s="176"/>
      <c r="G2" s="176"/>
      <c r="H2" s="176"/>
      <c r="I2" s="176"/>
    </row>
    <row r="3" spans="2:9" x14ac:dyDescent="0.35">
      <c r="B3" s="176"/>
      <c r="C3" s="176"/>
      <c r="D3" s="176"/>
      <c r="E3" s="176"/>
      <c r="F3" s="176"/>
      <c r="G3" s="176"/>
      <c r="H3" s="176"/>
      <c r="I3" s="176"/>
    </row>
    <row r="5" spans="2:9" x14ac:dyDescent="0.35">
      <c r="B5" s="90" t="s">
        <v>810</v>
      </c>
      <c r="C5" s="98" t="str">
        <f>TEXT(TanggalMulai,"mmm yyyy")</f>
        <v>Sep 2026</v>
      </c>
      <c r="E5" s="90" t="s">
        <v>811</v>
      </c>
      <c r="F5" s="112">
        <v>1</v>
      </c>
      <c r="G5" s="99">
        <f>INDEX(_PERIODE!C10:C40,F5)</f>
        <v>46266</v>
      </c>
    </row>
    <row r="8" spans="2:9" ht="18.5" x14ac:dyDescent="0.45">
      <c r="B8" s="177" t="s">
        <v>812</v>
      </c>
      <c r="C8" s="176"/>
      <c r="D8" s="176"/>
      <c r="E8" s="176"/>
      <c r="F8" s="176"/>
      <c r="G8" s="176"/>
      <c r="H8" s="176"/>
      <c r="I8" s="176"/>
    </row>
    <row r="10" spans="2:9" ht="28.15" customHeight="1" x14ac:dyDescent="0.35">
      <c r="B10" s="100" t="s">
        <v>471</v>
      </c>
      <c r="C10" s="100" t="s">
        <v>752</v>
      </c>
      <c r="D10" s="100" t="s">
        <v>813</v>
      </c>
      <c r="E10" s="100" t="s">
        <v>754</v>
      </c>
      <c r="F10" s="100" t="s">
        <v>814</v>
      </c>
      <c r="G10" s="100" t="s">
        <v>757</v>
      </c>
      <c r="H10" s="100" t="s">
        <v>815</v>
      </c>
    </row>
    <row r="11" spans="2:9" ht="25.15" customHeight="1" x14ac:dyDescent="0.35">
      <c r="B11" s="101">
        <v>1</v>
      </c>
      <c r="C11" s="102" t="s">
        <v>337</v>
      </c>
      <c r="D11" s="103" t="s">
        <v>816</v>
      </c>
      <c r="E11" s="103" t="str">
        <f>PROPER(_TRACKING!D4)</f>
        <v>Progress</v>
      </c>
      <c r="F11" s="104" t="str">
        <f>_TRACKING!E4&amp;"/"&amp;_TRACKING!C4</f>
        <v>14/31</v>
      </c>
      <c r="G11" s="105">
        <f>_TRACKING!G4</f>
        <v>46279</v>
      </c>
      <c r="H11" s="106" t="s">
        <v>817</v>
      </c>
    </row>
    <row r="12" spans="2:9" ht="25.15" customHeight="1" x14ac:dyDescent="0.35">
      <c r="B12" s="101">
        <v>2</v>
      </c>
      <c r="C12" s="102" t="s">
        <v>338</v>
      </c>
      <c r="D12" s="103" t="s">
        <v>818</v>
      </c>
      <c r="E12" s="103" t="str">
        <f>PROPER(_TRACKING!D5)</f>
        <v>Progress</v>
      </c>
      <c r="F12" s="104" t="str">
        <f>_TRACKING!E5&amp;"/"&amp;_TRACKING!C5</f>
        <v>12/31</v>
      </c>
      <c r="G12" s="105">
        <f>_TRACKING!G5</f>
        <v>46279</v>
      </c>
      <c r="H12" s="106" t="s">
        <v>817</v>
      </c>
    </row>
    <row r="13" spans="2:9" ht="25.15" customHeight="1" x14ac:dyDescent="0.35">
      <c r="B13" s="101">
        <v>3</v>
      </c>
      <c r="C13" s="102" t="s">
        <v>339</v>
      </c>
      <c r="D13" s="103" t="s">
        <v>831</v>
      </c>
      <c r="E13" s="103" t="str">
        <f>PROPER(_TRACKING!D6)</f>
        <v>Progress</v>
      </c>
      <c r="F13" s="104" t="str">
        <f>_TRACKING!E6&amp;"/"&amp;_TRACKING!C6</f>
        <v>4/31</v>
      </c>
      <c r="G13" s="105">
        <f>_TRACKING!G6</f>
        <v>46275</v>
      </c>
      <c r="H13" s="106" t="s">
        <v>817</v>
      </c>
    </row>
    <row r="14" spans="2:9" ht="25.15" customHeight="1" x14ac:dyDescent="0.35">
      <c r="B14" s="101">
        <v>4</v>
      </c>
      <c r="C14" s="102" t="s">
        <v>789</v>
      </c>
      <c r="D14" s="103" t="s">
        <v>832</v>
      </c>
      <c r="E14" s="103" t="str">
        <f>PROPER(_TRACKING!D7)</f>
        <v>Progress</v>
      </c>
      <c r="F14" s="104" t="str">
        <f>_TRACKING!E7&amp;"/"&amp;_TRACKING!C7</f>
        <v>14/31</v>
      </c>
      <c r="G14" s="105">
        <f>_TRACKING!G7</f>
        <v>46279</v>
      </c>
      <c r="H14" s="106" t="s">
        <v>817</v>
      </c>
    </row>
    <row r="15" spans="2:9" ht="25.15" customHeight="1" x14ac:dyDescent="0.35">
      <c r="B15" s="101">
        <v>5</v>
      </c>
      <c r="C15" s="102" t="s">
        <v>790</v>
      </c>
      <c r="D15" s="103" t="s">
        <v>833</v>
      </c>
      <c r="E15" s="103" t="str">
        <f>PROPER(_TRACKING!D8)</f>
        <v>Belum Ada Inputan</v>
      </c>
      <c r="F15" s="104" t="str">
        <f>_TRACKING!E8&amp;"/"&amp;_TRACKING!C8</f>
        <v>0/31</v>
      </c>
      <c r="G15" s="105" t="str">
        <f>_TRACKING!G8</f>
        <v>Belum ada</v>
      </c>
      <c r="H15" s="106" t="s">
        <v>817</v>
      </c>
    </row>
    <row r="16" spans="2:9" ht="25.15" customHeight="1" x14ac:dyDescent="0.35">
      <c r="B16" s="101">
        <v>6</v>
      </c>
      <c r="C16" s="102" t="s">
        <v>791</v>
      </c>
      <c r="D16" s="103" t="s">
        <v>819</v>
      </c>
      <c r="E16" s="103" t="str">
        <f>PROPER(_TRACKING!D9)</f>
        <v>Belum Ada Inputan</v>
      </c>
      <c r="F16" s="104" t="str">
        <f>_TRACKING!E9&amp;"/"&amp;_TRACKING!C9</f>
        <v>0/31</v>
      </c>
      <c r="G16" s="105" t="str">
        <f>_TRACKING!G9</f>
        <v>Belum ada</v>
      </c>
      <c r="H16" s="106" t="s">
        <v>817</v>
      </c>
    </row>
    <row r="17" spans="2:8" ht="25.15" customHeight="1" x14ac:dyDescent="0.35">
      <c r="B17" s="101">
        <v>7</v>
      </c>
      <c r="C17" s="102" t="s">
        <v>792</v>
      </c>
      <c r="D17" s="103" t="s">
        <v>820</v>
      </c>
      <c r="E17" s="103" t="str">
        <f>PROPER(_TRACKING!D10)</f>
        <v>Belum Ada Inputan</v>
      </c>
      <c r="F17" s="104" t="str">
        <f>_TRACKING!E10&amp;"/"&amp;_TRACKING!C10</f>
        <v>0/31</v>
      </c>
      <c r="G17" s="105" t="str">
        <f>_TRACKING!G10</f>
        <v>Belum ada</v>
      </c>
      <c r="H17" s="106" t="s">
        <v>817</v>
      </c>
    </row>
    <row r="18" spans="2:8" ht="25.15" customHeight="1" x14ac:dyDescent="0.35">
      <c r="B18" s="101">
        <v>8</v>
      </c>
      <c r="C18" s="102" t="s">
        <v>307</v>
      </c>
      <c r="D18" s="103" t="s">
        <v>821</v>
      </c>
      <c r="E18" s="103" t="str">
        <f>PROPER(_TRACKING!D11)</f>
        <v>Progress</v>
      </c>
      <c r="F18" s="104" t="str">
        <f>_TRACKING!E11&amp;"/"&amp;_TRACKING!C11</f>
        <v>2/31</v>
      </c>
      <c r="G18" s="105">
        <f>_TRACKING!G11</f>
        <v>46279</v>
      </c>
      <c r="H18" s="106" t="s">
        <v>817</v>
      </c>
    </row>
    <row r="19" spans="2:8" ht="25.15" customHeight="1" x14ac:dyDescent="0.35">
      <c r="B19" s="101">
        <v>9</v>
      </c>
      <c r="C19" s="102" t="s">
        <v>793</v>
      </c>
      <c r="D19" s="103" t="s">
        <v>834</v>
      </c>
      <c r="E19" s="103" t="str">
        <f>PROPER(_TRACKING!D12)</f>
        <v>Progress</v>
      </c>
      <c r="F19" s="104" t="str">
        <f>_TRACKING!E12&amp;"/"&amp;_TRACKING!C12</f>
        <v>14/31</v>
      </c>
      <c r="G19" s="105">
        <f>_TRACKING!G12</f>
        <v>46279</v>
      </c>
      <c r="H19" s="106" t="s">
        <v>817</v>
      </c>
    </row>
    <row r="20" spans="2:8" ht="25.15" customHeight="1" x14ac:dyDescent="0.35">
      <c r="B20" s="101">
        <v>10</v>
      </c>
      <c r="C20" s="102" t="s">
        <v>312</v>
      </c>
      <c r="D20" s="103" t="s">
        <v>822</v>
      </c>
      <c r="E20" s="103" t="str">
        <f>PROPER(_TRACKING!D13)</f>
        <v>Progress</v>
      </c>
      <c r="F20" s="104" t="str">
        <f>_TRACKING!E13&amp;"/"&amp;_TRACKING!C13</f>
        <v>5/31</v>
      </c>
      <c r="G20" s="105">
        <f>_TRACKING!G13</f>
        <v>46279</v>
      </c>
      <c r="H20" s="106" t="s">
        <v>817</v>
      </c>
    </row>
    <row r="21" spans="2:8" ht="25.15" customHeight="1" x14ac:dyDescent="0.35">
      <c r="B21" s="101">
        <v>11</v>
      </c>
      <c r="C21" s="102" t="s">
        <v>306</v>
      </c>
      <c r="D21" s="103" t="s">
        <v>835</v>
      </c>
      <c r="E21" s="103" t="str">
        <f>PROPER(_TRACKING!D14)</f>
        <v>Progress</v>
      </c>
      <c r="F21" s="104" t="str">
        <f>_TRACKING!E14&amp;"/"&amp;_TRACKING!C14</f>
        <v>4/31</v>
      </c>
      <c r="G21" s="105">
        <f>_TRACKING!G14</f>
        <v>46279</v>
      </c>
      <c r="H21" s="106" t="s">
        <v>817</v>
      </c>
    </row>
    <row r="22" spans="2:8" ht="25.15" customHeight="1" x14ac:dyDescent="0.35">
      <c r="B22" s="101">
        <v>12</v>
      </c>
      <c r="C22" s="102" t="s">
        <v>173</v>
      </c>
      <c r="D22" s="103" t="s">
        <v>823</v>
      </c>
      <c r="E22" s="103" t="str">
        <f>PROPER(_TRACKING!D15)</f>
        <v>Completed</v>
      </c>
      <c r="F22" s="104" t="str">
        <f>_TRACKING!E15&amp;"/"&amp;_TRACKING!C15</f>
        <v>1/1</v>
      </c>
      <c r="G22" s="105">
        <f>_TRACKING!G15</f>
        <v>46266</v>
      </c>
      <c r="H22" s="106" t="s">
        <v>817</v>
      </c>
    </row>
    <row r="25" spans="2:8" ht="15.5" x14ac:dyDescent="0.35">
      <c r="B25" s="178" t="s">
        <v>824</v>
      </c>
      <c r="C25" s="176"/>
      <c r="D25" s="176"/>
      <c r="E25" s="176"/>
      <c r="F25" s="176"/>
      <c r="G25" s="176"/>
      <c r="H25" s="176"/>
    </row>
    <row r="26" spans="2:8" x14ac:dyDescent="0.35">
      <c r="B26" s="84" t="s">
        <v>825</v>
      </c>
      <c r="C26" s="107">
        <f>COUNTA(C11:C22)</f>
        <v>12</v>
      </c>
    </row>
    <row r="27" spans="2:8" x14ac:dyDescent="0.35">
      <c r="B27" s="84" t="s">
        <v>826</v>
      </c>
      <c r="C27" s="108">
        <f>COUNTIF(E11:E22,"COMPLETED")</f>
        <v>1</v>
      </c>
    </row>
    <row r="28" spans="2:8" x14ac:dyDescent="0.35">
      <c r="B28" s="84" t="s">
        <v>827</v>
      </c>
      <c r="C28" s="109">
        <f>COUNTIF(E11:E22,"IN PROGRESS")</f>
        <v>0</v>
      </c>
    </row>
    <row r="29" spans="2:8" x14ac:dyDescent="0.35">
      <c r="B29" s="84" t="s">
        <v>828</v>
      </c>
      <c r="C29" s="110">
        <f>COUNTIF(E11:E22,"PENDING")</f>
        <v>0</v>
      </c>
    </row>
    <row r="30" spans="2:8" x14ac:dyDescent="0.35">
      <c r="B30" s="84" t="s">
        <v>829</v>
      </c>
      <c r="C30" s="111">
        <f>IF(COUNT(G11:G22)=0,"Belum ada data",MAX(G11:G22))</f>
        <v>46279</v>
      </c>
    </row>
  </sheetData>
  <sheetProtection algorithmName="SHA-512" hashValue="OWQ+1K2JiNyUB5aDBWqhVWg9Tppalf9OmgW/UJza2ejN3cjQEADmytZP9IfJo5SG9eFZLKytP+rnOeEg/Ft3Rw==" saltValue="st8Vh/65q6vlQ+Luy7Py0g==" spinCount="100000" sheet="1" objects="1" scenarios="1"/>
  <mergeCells count="3">
    <mergeCell ref="B2:I3"/>
    <mergeCell ref="B8:I8"/>
    <mergeCell ref="B25:H25"/>
  </mergeCells>
  <conditionalFormatting sqref="E11:E22">
    <cfRule type="containsText" dxfId="415" priority="1" operator="containsText" text="Belum ada inputan">
      <formula>NOT(ISERROR(SEARCH("Belum ada inputan",E11)))</formula>
    </cfRule>
    <cfRule type="containsText" dxfId="414" priority="2" operator="containsText" text="Progres">
      <formula>NOT(ISERROR(SEARCH("Progres",E11)))</formula>
    </cfRule>
    <cfRule type="containsText" dxfId="413" priority="3" operator="containsText" text="Completed">
      <formula>NOT(ISERROR(SEARCH("Completed",E11)))</formula>
    </cfRule>
  </conditionalFormatting>
  <conditionalFormatting sqref="G11:G22">
    <cfRule type="cellIs" dxfId="412" priority="7" operator="equal">
      <formula>"Belum ada"</formula>
    </cfRule>
  </conditionalFormatting>
  <hyperlinks>
    <hyperlink ref="H11" location="'INPUT SO HARIAN'!A1" display="Open &gt;" xr:uid="{C60D558A-915C-4F0A-A0C9-46B04792F72D}"/>
    <hyperlink ref="H12" location="'INPUT BARANG MASUK'!A1" display="Open &gt;" xr:uid="{7CFE8C6A-B954-4143-8FD2-F1BA58880309}"/>
    <hyperlink ref="H13" location="'INPUT BARANG KELUAR'!A1" display="Open &gt;" xr:uid="{DA391A10-BDE6-4F1C-9087-E7FE9FB1830F}"/>
    <hyperlink ref="H14" location="'INPUT PENJUALAN 00'!A1" display="Open &gt;" xr:uid="{896AC988-417F-4154-8086-472D21EB833A}"/>
    <hyperlink ref="H15" location="'INPUT PROMIX 04'!A1" display="Open &gt;" xr:uid="{8C5EBC48-2D06-4FD7-B8AC-9B5FB2C31ACE}"/>
    <hyperlink ref="H16" location="'WASTE DINE IN KARNA HANDLING'!A1" display="Open &gt;" xr:uid="{A5ABDFD5-D97B-4241-A0B4-17FC5C6D79B2}"/>
    <hyperlink ref="H17" location="'WASTE PORSI CANCELNOTA'!A1" display="Open &gt;" xr:uid="{69CFFA1B-C8ED-4695-9C83-2A00025214C1}"/>
    <hyperlink ref="H18" location="'TRIAL PORSI'!A1" display="Open &gt;" xr:uid="{3A2B5047-F513-4711-A4B3-634A1254E653}"/>
    <hyperlink ref="H19" location="'WASTE BAHAN dan PACKAGING'!A1" display="Open &gt;" xr:uid="{9D1A0447-1D82-4D01-B7EF-63543AB48EA1}"/>
    <hyperlink ref="H20" location="'SUSUT'!A1" display="Open &gt;" xr:uid="{841E486B-C494-4E55-AEBC-3E7E36819078}"/>
    <hyperlink ref="H21" location="'TRIAL BAHAN'!A1" display="Open &gt;" xr:uid="{56929B8D-283A-4053-912E-88800F111410}"/>
    <hyperlink ref="H22" location="'STOK AWAL'!A1" display="Open &gt;" xr:uid="{0ACDDBF9-28DE-4A78-9945-25ECFA802718}"/>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4A90A-7716-4C51-A628-FB2D95B4BCA6}">
  <sheetPr codeName="Sheet22">
    <tabColor theme="9" tint="-0.249977111117893"/>
  </sheetPr>
  <dimension ref="A1:AA144"/>
  <sheetViews>
    <sheetView workbookViewId="0">
      <pane ySplit="1" topLeftCell="A79" activePane="bottomLeft" state="frozen"/>
      <selection activeCell="B4" sqref="B4:I5"/>
      <selection pane="bottomLeft" activeCell="A100" sqref="A100"/>
    </sheetView>
  </sheetViews>
  <sheetFormatPr defaultColWidth="0" defaultRowHeight="14.5" x14ac:dyDescent="0.35"/>
  <cols>
    <col min="1" max="1" width="36.7265625" bestFit="1" customWidth="1"/>
    <col min="2" max="2" width="9.7265625" bestFit="1" customWidth="1"/>
    <col min="3" max="3" width="14.7265625" bestFit="1" customWidth="1"/>
    <col min="4" max="4" width="9.7265625" customWidth="1"/>
    <col min="5" max="21" width="9.7265625" hidden="1" customWidth="1"/>
    <col min="22" max="23" width="9.7265625" style="57" hidden="1" customWidth="1"/>
    <col min="24" max="27" width="12.7265625" hidden="1" customWidth="1"/>
    <col min="28" max="16384" width="8.7265625" hidden="1"/>
  </cols>
  <sheetData>
    <row r="1" spans="1:23" x14ac:dyDescent="0.35">
      <c r="A1" t="s">
        <v>172</v>
      </c>
      <c r="B1" t="s">
        <v>1</v>
      </c>
      <c r="C1" t="s">
        <v>335</v>
      </c>
      <c r="V1"/>
      <c r="W1"/>
    </row>
    <row r="2" spans="1:23" x14ac:dyDescent="0.35">
      <c r="A2" t="s">
        <v>1316</v>
      </c>
      <c r="B2" t="s">
        <v>35</v>
      </c>
      <c r="C2">
        <v>186493</v>
      </c>
      <c r="V2"/>
      <c r="W2"/>
    </row>
    <row r="3" spans="1:23" x14ac:dyDescent="0.35">
      <c r="A3" t="s">
        <v>837</v>
      </c>
      <c r="B3" t="s">
        <v>69</v>
      </c>
      <c r="C3">
        <v>1156</v>
      </c>
      <c r="V3"/>
      <c r="W3"/>
    </row>
    <row r="4" spans="1:23" x14ac:dyDescent="0.35">
      <c r="A4" t="s">
        <v>550</v>
      </c>
      <c r="B4" t="s">
        <v>35</v>
      </c>
      <c r="C4">
        <v>585017</v>
      </c>
      <c r="V4"/>
      <c r="W4"/>
    </row>
    <row r="5" spans="1:23" x14ac:dyDescent="0.35">
      <c r="A5" t="s">
        <v>914</v>
      </c>
      <c r="B5" t="s">
        <v>35</v>
      </c>
      <c r="C5">
        <v>0</v>
      </c>
      <c r="V5"/>
      <c r="W5"/>
    </row>
    <row r="6" spans="1:23" x14ac:dyDescent="0.35">
      <c r="A6" t="s">
        <v>484</v>
      </c>
      <c r="B6" t="s">
        <v>67</v>
      </c>
      <c r="C6">
        <v>31281</v>
      </c>
      <c r="V6"/>
      <c r="W6"/>
    </row>
    <row r="7" spans="1:23" x14ac:dyDescent="0.35">
      <c r="A7" t="s">
        <v>507</v>
      </c>
      <c r="B7" t="s">
        <v>67</v>
      </c>
      <c r="C7">
        <v>3078</v>
      </c>
      <c r="V7"/>
      <c r="W7"/>
    </row>
    <row r="8" spans="1:23" x14ac:dyDescent="0.35">
      <c r="A8" t="s">
        <v>915</v>
      </c>
      <c r="B8" t="s">
        <v>35</v>
      </c>
      <c r="C8">
        <v>0</v>
      </c>
      <c r="V8"/>
      <c r="W8"/>
    </row>
    <row r="9" spans="1:23" x14ac:dyDescent="0.35">
      <c r="A9" t="s">
        <v>540</v>
      </c>
      <c r="B9" t="s">
        <v>67</v>
      </c>
      <c r="C9">
        <v>12084</v>
      </c>
      <c r="V9"/>
      <c r="W9"/>
    </row>
    <row r="10" spans="1:23" x14ac:dyDescent="0.35">
      <c r="A10" t="s">
        <v>496</v>
      </c>
      <c r="B10" t="s">
        <v>35</v>
      </c>
      <c r="C10">
        <v>35898</v>
      </c>
      <c r="V10"/>
      <c r="W10"/>
    </row>
    <row r="11" spans="1:23" x14ac:dyDescent="0.35">
      <c r="A11" t="s">
        <v>1195</v>
      </c>
      <c r="B11" t="s">
        <v>35</v>
      </c>
      <c r="C11">
        <v>18994</v>
      </c>
      <c r="V11"/>
      <c r="W11"/>
    </row>
    <row r="12" spans="1:23" x14ac:dyDescent="0.35">
      <c r="A12" t="s">
        <v>511</v>
      </c>
      <c r="B12" t="s">
        <v>35</v>
      </c>
      <c r="C12">
        <v>34800</v>
      </c>
      <c r="V12"/>
      <c r="W12"/>
    </row>
    <row r="13" spans="1:23" x14ac:dyDescent="0.35">
      <c r="A13" t="s">
        <v>509</v>
      </c>
      <c r="B13" t="s">
        <v>35</v>
      </c>
      <c r="C13">
        <v>121000</v>
      </c>
      <c r="V13"/>
      <c r="W13"/>
    </row>
    <row r="14" spans="1:23" x14ac:dyDescent="0.35">
      <c r="A14" t="s">
        <v>1345</v>
      </c>
      <c r="B14" t="s">
        <v>35</v>
      </c>
      <c r="C14">
        <v>6393</v>
      </c>
      <c r="V14"/>
      <c r="W14"/>
    </row>
    <row r="15" spans="1:23" x14ac:dyDescent="0.35">
      <c r="A15" t="s">
        <v>1344</v>
      </c>
      <c r="B15" t="s">
        <v>35</v>
      </c>
      <c r="C15">
        <v>9607</v>
      </c>
      <c r="V15"/>
      <c r="W15"/>
    </row>
    <row r="16" spans="1:23" x14ac:dyDescent="0.35">
      <c r="A16" t="s">
        <v>1343</v>
      </c>
      <c r="B16" t="s">
        <v>35</v>
      </c>
      <c r="C16">
        <v>25563</v>
      </c>
      <c r="V16"/>
      <c r="W16"/>
    </row>
    <row r="17" spans="1:23" x14ac:dyDescent="0.35">
      <c r="A17" t="s">
        <v>1196</v>
      </c>
      <c r="B17" t="s">
        <v>35</v>
      </c>
      <c r="C17">
        <v>192528.715</v>
      </c>
      <c r="V17"/>
      <c r="W17"/>
    </row>
    <row r="18" spans="1:23" x14ac:dyDescent="0.35">
      <c r="A18" t="s">
        <v>1194</v>
      </c>
      <c r="B18" t="s">
        <v>35</v>
      </c>
      <c r="C18">
        <v>290000</v>
      </c>
      <c r="V18"/>
      <c r="W18"/>
    </row>
    <row r="19" spans="1:23" x14ac:dyDescent="0.35">
      <c r="A19" t="s">
        <v>2</v>
      </c>
      <c r="B19" t="s">
        <v>35</v>
      </c>
      <c r="C19">
        <v>25307.16</v>
      </c>
      <c r="V19"/>
      <c r="W19"/>
    </row>
    <row r="20" spans="1:23" x14ac:dyDescent="0.35">
      <c r="A20" t="s">
        <v>353</v>
      </c>
      <c r="B20" t="s">
        <v>35</v>
      </c>
      <c r="C20">
        <v>0</v>
      </c>
      <c r="V20"/>
      <c r="W20"/>
    </row>
    <row r="21" spans="1:23" x14ac:dyDescent="0.35">
      <c r="A21" t="s">
        <v>352</v>
      </c>
      <c r="B21" t="s">
        <v>68</v>
      </c>
      <c r="C21">
        <v>0</v>
      </c>
      <c r="V21"/>
      <c r="W21"/>
    </row>
    <row r="22" spans="1:23" x14ac:dyDescent="0.35">
      <c r="A22" t="s">
        <v>1346</v>
      </c>
      <c r="B22" t="s">
        <v>35</v>
      </c>
      <c r="C22">
        <v>26040</v>
      </c>
      <c r="V22"/>
      <c r="W22"/>
    </row>
    <row r="23" spans="1:23" x14ac:dyDescent="0.35">
      <c r="A23" t="s">
        <v>922</v>
      </c>
      <c r="B23" t="s">
        <v>67</v>
      </c>
      <c r="C23">
        <v>5728</v>
      </c>
      <c r="V23"/>
      <c r="W23"/>
    </row>
    <row r="24" spans="1:23" x14ac:dyDescent="0.35">
      <c r="A24" t="s">
        <v>923</v>
      </c>
      <c r="B24" t="s">
        <v>67</v>
      </c>
      <c r="C24">
        <v>13</v>
      </c>
      <c r="V24"/>
      <c r="W24"/>
    </row>
    <row r="25" spans="1:23" x14ac:dyDescent="0.35">
      <c r="A25" t="s">
        <v>606</v>
      </c>
      <c r="B25" t="s">
        <v>67</v>
      </c>
      <c r="C25">
        <v>0</v>
      </c>
      <c r="V25"/>
      <c r="W25"/>
    </row>
    <row r="26" spans="1:23" x14ac:dyDescent="0.35">
      <c r="A26" t="s">
        <v>919</v>
      </c>
      <c r="B26" t="s">
        <v>67</v>
      </c>
      <c r="C26">
        <v>5628</v>
      </c>
      <c r="V26"/>
      <c r="W26"/>
    </row>
    <row r="27" spans="1:23" x14ac:dyDescent="0.35">
      <c r="A27" t="s">
        <v>497</v>
      </c>
      <c r="B27" t="s">
        <v>35</v>
      </c>
      <c r="C27">
        <v>3477</v>
      </c>
      <c r="V27"/>
      <c r="W27"/>
    </row>
    <row r="28" spans="1:23" x14ac:dyDescent="0.35">
      <c r="A28" t="s">
        <v>1168</v>
      </c>
      <c r="B28" t="s">
        <v>35</v>
      </c>
      <c r="C28">
        <v>5400</v>
      </c>
      <c r="V28"/>
      <c r="W28"/>
    </row>
    <row r="29" spans="1:23" x14ac:dyDescent="0.35">
      <c r="A29" t="s">
        <v>613</v>
      </c>
      <c r="B29" t="s">
        <v>147</v>
      </c>
      <c r="C29">
        <v>0</v>
      </c>
      <c r="V29"/>
      <c r="W29"/>
    </row>
    <row r="30" spans="1:23" x14ac:dyDescent="0.35">
      <c r="A30" t="s">
        <v>1306</v>
      </c>
      <c r="B30" t="s">
        <v>35</v>
      </c>
      <c r="C30">
        <v>305409</v>
      </c>
      <c r="V30"/>
      <c r="W30"/>
    </row>
    <row r="31" spans="1:23" x14ac:dyDescent="0.35">
      <c r="A31" t="s">
        <v>617</v>
      </c>
      <c r="B31" t="s">
        <v>618</v>
      </c>
      <c r="C31">
        <v>0</v>
      </c>
      <c r="V31"/>
      <c r="W31"/>
    </row>
    <row r="32" spans="1:23" x14ac:dyDescent="0.35">
      <c r="A32" t="s">
        <v>4</v>
      </c>
      <c r="B32" t="s">
        <v>35</v>
      </c>
      <c r="C32">
        <v>4708</v>
      </c>
      <c r="V32"/>
      <c r="W32"/>
    </row>
    <row r="33" spans="1:23" x14ac:dyDescent="0.35">
      <c r="A33" t="s">
        <v>1342</v>
      </c>
      <c r="B33" t="s">
        <v>67</v>
      </c>
      <c r="C33">
        <v>0</v>
      </c>
      <c r="V33"/>
      <c r="W33"/>
    </row>
    <row r="34" spans="1:23" x14ac:dyDescent="0.35">
      <c r="A34" t="s">
        <v>1416</v>
      </c>
      <c r="B34" t="s">
        <v>67</v>
      </c>
      <c r="C34">
        <v>29</v>
      </c>
      <c r="V34"/>
      <c r="W34"/>
    </row>
    <row r="35" spans="1:23" x14ac:dyDescent="0.35">
      <c r="A35" t="s">
        <v>1331</v>
      </c>
      <c r="B35" t="s">
        <v>35</v>
      </c>
      <c r="C35">
        <v>134500</v>
      </c>
      <c r="V35"/>
      <c r="W35"/>
    </row>
    <row r="36" spans="1:23" x14ac:dyDescent="0.35">
      <c r="A36" t="s">
        <v>598</v>
      </c>
      <c r="B36" t="s">
        <v>67</v>
      </c>
      <c r="C36">
        <v>3200</v>
      </c>
      <c r="V36"/>
      <c r="W36"/>
    </row>
    <row r="37" spans="1:23" x14ac:dyDescent="0.35">
      <c r="A37" t="s">
        <v>596</v>
      </c>
      <c r="B37" t="s">
        <v>67</v>
      </c>
      <c r="C37">
        <v>6500</v>
      </c>
      <c r="V37"/>
      <c r="W37"/>
    </row>
    <row r="38" spans="1:23" x14ac:dyDescent="0.35">
      <c r="A38" t="s">
        <v>601</v>
      </c>
      <c r="B38" t="s">
        <v>151</v>
      </c>
      <c r="C38">
        <v>0</v>
      </c>
      <c r="V38"/>
      <c r="W38"/>
    </row>
    <row r="39" spans="1:23" x14ac:dyDescent="0.35">
      <c r="A39" t="s">
        <v>586</v>
      </c>
      <c r="B39" t="s">
        <v>151</v>
      </c>
      <c r="C39">
        <v>0</v>
      </c>
      <c r="V39"/>
      <c r="W39"/>
    </row>
    <row r="40" spans="1:23" x14ac:dyDescent="0.35">
      <c r="A40" t="s">
        <v>349</v>
      </c>
      <c r="B40" t="s">
        <v>35</v>
      </c>
      <c r="C40">
        <v>22731</v>
      </c>
      <c r="V40"/>
      <c r="W40"/>
    </row>
    <row r="41" spans="1:23" x14ac:dyDescent="0.35">
      <c r="A41" t="s">
        <v>8</v>
      </c>
      <c r="B41" t="s">
        <v>67</v>
      </c>
      <c r="C41" t="e">
        <v>#N/A</v>
      </c>
      <c r="V41"/>
      <c r="W41"/>
    </row>
    <row r="42" spans="1:23" x14ac:dyDescent="0.35">
      <c r="A42" t="s">
        <v>9</v>
      </c>
      <c r="B42" t="s">
        <v>556</v>
      </c>
      <c r="C42">
        <v>25</v>
      </c>
      <c r="V42"/>
      <c r="W42"/>
    </row>
    <row r="43" spans="1:23" x14ac:dyDescent="0.35">
      <c r="A43" t="s">
        <v>985</v>
      </c>
      <c r="B43" t="s">
        <v>35</v>
      </c>
      <c r="C43">
        <v>90799</v>
      </c>
      <c r="V43"/>
      <c r="W43"/>
    </row>
    <row r="44" spans="1:23" x14ac:dyDescent="0.35">
      <c r="A44" t="s">
        <v>355</v>
      </c>
      <c r="B44" t="s">
        <v>35</v>
      </c>
      <c r="C44">
        <v>7033</v>
      </c>
      <c r="V44"/>
      <c r="W44"/>
    </row>
    <row r="45" spans="1:23" x14ac:dyDescent="0.35">
      <c r="A45" t="s">
        <v>554</v>
      </c>
      <c r="B45" t="s">
        <v>67</v>
      </c>
      <c r="C45">
        <v>17000</v>
      </c>
      <c r="V45"/>
      <c r="W45"/>
    </row>
    <row r="46" spans="1:23" x14ac:dyDescent="0.35">
      <c r="A46" t="s">
        <v>10</v>
      </c>
      <c r="B46" t="s">
        <v>556</v>
      </c>
      <c r="C46">
        <v>0</v>
      </c>
      <c r="V46"/>
      <c r="W46"/>
    </row>
    <row r="47" spans="1:23" x14ac:dyDescent="0.35">
      <c r="A47" t="s">
        <v>574</v>
      </c>
      <c r="B47" t="s">
        <v>67</v>
      </c>
      <c r="C47">
        <v>120</v>
      </c>
      <c r="V47"/>
      <c r="W47"/>
    </row>
    <row r="48" spans="1:23" x14ac:dyDescent="0.35">
      <c r="A48" t="s">
        <v>503</v>
      </c>
      <c r="B48" t="s">
        <v>150</v>
      </c>
      <c r="C48">
        <v>4100</v>
      </c>
      <c r="V48"/>
      <c r="W48"/>
    </row>
    <row r="49" spans="1:23" x14ac:dyDescent="0.35">
      <c r="A49" t="s">
        <v>11</v>
      </c>
      <c r="B49" t="s">
        <v>556</v>
      </c>
      <c r="C49">
        <v>71</v>
      </c>
      <c r="V49"/>
      <c r="W49"/>
    </row>
    <row r="50" spans="1:23" x14ac:dyDescent="0.35">
      <c r="A50" t="s">
        <v>12</v>
      </c>
      <c r="B50" t="s">
        <v>556</v>
      </c>
      <c r="C50">
        <v>45</v>
      </c>
      <c r="V50"/>
      <c r="W50"/>
    </row>
    <row r="51" spans="1:23" x14ac:dyDescent="0.35">
      <c r="A51" t="s">
        <v>13</v>
      </c>
      <c r="B51" t="s">
        <v>556</v>
      </c>
      <c r="C51">
        <v>97</v>
      </c>
      <c r="V51"/>
      <c r="W51"/>
    </row>
    <row r="52" spans="1:23" x14ac:dyDescent="0.35">
      <c r="A52" t="s">
        <v>14</v>
      </c>
      <c r="B52" t="s">
        <v>556</v>
      </c>
      <c r="C52">
        <v>147</v>
      </c>
      <c r="V52"/>
      <c r="W52"/>
    </row>
    <row r="53" spans="1:23" x14ac:dyDescent="0.35">
      <c r="A53" t="s">
        <v>498</v>
      </c>
      <c r="B53" t="s">
        <v>35</v>
      </c>
      <c r="C53">
        <v>0</v>
      </c>
      <c r="V53"/>
      <c r="W53"/>
    </row>
    <row r="54" spans="1:23" x14ac:dyDescent="0.35">
      <c r="A54" t="s">
        <v>1339</v>
      </c>
      <c r="B54" t="s">
        <v>35</v>
      </c>
      <c r="C54">
        <v>307725</v>
      </c>
      <c r="V54"/>
      <c r="W54"/>
    </row>
    <row r="55" spans="1:23" x14ac:dyDescent="0.35">
      <c r="A55" t="s">
        <v>1348</v>
      </c>
      <c r="B55" t="s">
        <v>35</v>
      </c>
      <c r="C55">
        <v>23408</v>
      </c>
      <c r="V55"/>
      <c r="W55"/>
    </row>
    <row r="56" spans="1:23" x14ac:dyDescent="0.35">
      <c r="A56" t="s">
        <v>610</v>
      </c>
      <c r="B56" t="s">
        <v>1471</v>
      </c>
      <c r="C56">
        <v>0</v>
      </c>
      <c r="V56"/>
      <c r="W56"/>
    </row>
    <row r="57" spans="1:23" x14ac:dyDescent="0.35">
      <c r="A57" t="s">
        <v>354</v>
      </c>
      <c r="B57" t="s">
        <v>35</v>
      </c>
      <c r="C57">
        <v>15169</v>
      </c>
      <c r="V57"/>
      <c r="W57"/>
    </row>
    <row r="58" spans="1:23" x14ac:dyDescent="0.35">
      <c r="A58" t="s">
        <v>918</v>
      </c>
      <c r="B58" t="s">
        <v>67</v>
      </c>
      <c r="C58">
        <v>0</v>
      </c>
      <c r="V58"/>
      <c r="W58"/>
    </row>
    <row r="59" spans="1:23" x14ac:dyDescent="0.35">
      <c r="A59" t="s">
        <v>636</v>
      </c>
      <c r="B59" t="s">
        <v>67</v>
      </c>
      <c r="C59">
        <v>9554</v>
      </c>
      <c r="V59"/>
      <c r="W59"/>
    </row>
    <row r="60" spans="1:23" x14ac:dyDescent="0.35">
      <c r="A60" t="s">
        <v>743</v>
      </c>
      <c r="B60" t="s">
        <v>35</v>
      </c>
      <c r="C60">
        <v>707480</v>
      </c>
      <c r="V60"/>
      <c r="W60"/>
    </row>
    <row r="61" spans="1:23" x14ac:dyDescent="0.35">
      <c r="A61" t="s">
        <v>593</v>
      </c>
      <c r="B61" t="s">
        <v>69</v>
      </c>
      <c r="C61">
        <v>0</v>
      </c>
      <c r="V61"/>
      <c r="W61"/>
    </row>
    <row r="62" spans="1:23" x14ac:dyDescent="0.35">
      <c r="A62" t="s">
        <v>19</v>
      </c>
      <c r="B62" t="s">
        <v>35</v>
      </c>
      <c r="C62">
        <v>78427</v>
      </c>
      <c r="V62"/>
      <c r="W62"/>
    </row>
    <row r="63" spans="1:23" x14ac:dyDescent="0.35">
      <c r="A63" t="s">
        <v>20</v>
      </c>
      <c r="B63" t="s">
        <v>35</v>
      </c>
      <c r="C63">
        <v>20380</v>
      </c>
      <c r="V63"/>
      <c r="W63"/>
    </row>
    <row r="64" spans="1:23" x14ac:dyDescent="0.35">
      <c r="A64" t="s">
        <v>499</v>
      </c>
      <c r="B64" t="s">
        <v>67</v>
      </c>
      <c r="C64">
        <v>11000</v>
      </c>
      <c r="V64"/>
      <c r="W64"/>
    </row>
    <row r="65" spans="1:23" x14ac:dyDescent="0.35">
      <c r="A65" t="s">
        <v>488</v>
      </c>
      <c r="B65" t="s">
        <v>67</v>
      </c>
      <c r="C65">
        <v>14911</v>
      </c>
      <c r="V65"/>
      <c r="W65"/>
    </row>
    <row r="66" spans="1:23" x14ac:dyDescent="0.35">
      <c r="A66" t="s">
        <v>485</v>
      </c>
      <c r="B66" t="s">
        <v>67</v>
      </c>
      <c r="C66">
        <v>5008</v>
      </c>
      <c r="V66"/>
      <c r="W66"/>
    </row>
    <row r="67" spans="1:23" x14ac:dyDescent="0.35">
      <c r="A67" t="s">
        <v>504</v>
      </c>
      <c r="B67" t="s">
        <v>67</v>
      </c>
      <c r="C67">
        <v>27000</v>
      </c>
      <c r="V67"/>
      <c r="W67"/>
    </row>
    <row r="68" spans="1:23" x14ac:dyDescent="0.35">
      <c r="A68" t="s">
        <v>921</v>
      </c>
      <c r="B68" t="s">
        <v>67</v>
      </c>
      <c r="C68">
        <v>0</v>
      </c>
      <c r="V68"/>
      <c r="W68"/>
    </row>
    <row r="69" spans="1:23" x14ac:dyDescent="0.35">
      <c r="A69" t="s">
        <v>350</v>
      </c>
      <c r="B69" t="s">
        <v>35</v>
      </c>
      <c r="C69">
        <v>9734</v>
      </c>
      <c r="V69"/>
      <c r="W69"/>
    </row>
    <row r="70" spans="1:23" x14ac:dyDescent="0.35">
      <c r="A70" t="s">
        <v>589</v>
      </c>
      <c r="B70" t="s">
        <v>151</v>
      </c>
      <c r="C70">
        <v>0</v>
      </c>
      <c r="V70"/>
      <c r="W70"/>
    </row>
    <row r="71" spans="1:23" x14ac:dyDescent="0.35">
      <c r="A71" t="s">
        <v>1347</v>
      </c>
      <c r="B71" t="s">
        <v>35</v>
      </c>
      <c r="C71">
        <v>21792</v>
      </c>
      <c r="V71"/>
      <c r="W71"/>
    </row>
    <row r="72" spans="1:23" x14ac:dyDescent="0.35">
      <c r="A72" t="s">
        <v>21</v>
      </c>
      <c r="B72" t="s">
        <v>556</v>
      </c>
      <c r="C72">
        <v>0</v>
      </c>
      <c r="V72"/>
      <c r="W72"/>
    </row>
    <row r="73" spans="1:23" x14ac:dyDescent="0.35">
      <c r="A73" t="s">
        <v>22</v>
      </c>
      <c r="B73" t="s">
        <v>556</v>
      </c>
      <c r="C73">
        <v>0</v>
      </c>
      <c r="V73"/>
      <c r="W73"/>
    </row>
    <row r="74" spans="1:23" x14ac:dyDescent="0.35">
      <c r="A74" t="s">
        <v>1340</v>
      </c>
      <c r="B74" t="s">
        <v>67</v>
      </c>
      <c r="C74">
        <v>79300</v>
      </c>
      <c r="V74"/>
      <c r="W74"/>
    </row>
    <row r="75" spans="1:23" x14ac:dyDescent="0.35">
      <c r="A75" t="s">
        <v>505</v>
      </c>
      <c r="B75" t="s">
        <v>150</v>
      </c>
      <c r="C75">
        <v>0</v>
      </c>
      <c r="V75"/>
      <c r="W75"/>
    </row>
    <row r="76" spans="1:23" x14ac:dyDescent="0.35">
      <c r="A76" t="s">
        <v>23</v>
      </c>
      <c r="B76" t="s">
        <v>556</v>
      </c>
      <c r="C76">
        <v>19</v>
      </c>
      <c r="V76"/>
      <c r="W76"/>
    </row>
    <row r="77" spans="1:23" x14ac:dyDescent="0.35">
      <c r="A77" t="s">
        <v>24</v>
      </c>
      <c r="B77" t="s">
        <v>556</v>
      </c>
      <c r="C77">
        <v>34</v>
      </c>
      <c r="V77"/>
      <c r="W77"/>
    </row>
    <row r="78" spans="1:23" x14ac:dyDescent="0.35">
      <c r="A78" t="s">
        <v>351</v>
      </c>
      <c r="B78" t="s">
        <v>35</v>
      </c>
      <c r="C78">
        <v>0</v>
      </c>
      <c r="V78"/>
      <c r="W78"/>
    </row>
    <row r="79" spans="1:23" x14ac:dyDescent="0.35">
      <c r="A79" t="s">
        <v>512</v>
      </c>
      <c r="B79" t="s">
        <v>150</v>
      </c>
      <c r="C79">
        <v>1500</v>
      </c>
      <c r="V79"/>
      <c r="W79"/>
    </row>
    <row r="80" spans="1:23" x14ac:dyDescent="0.35">
      <c r="A80" t="s">
        <v>25</v>
      </c>
      <c r="B80" t="s">
        <v>151</v>
      </c>
      <c r="C80">
        <v>3</v>
      </c>
      <c r="V80"/>
      <c r="W80"/>
    </row>
    <row r="81" spans="1:23" x14ac:dyDescent="0.35">
      <c r="A81" t="s">
        <v>583</v>
      </c>
      <c r="B81" t="s">
        <v>151</v>
      </c>
      <c r="C81">
        <v>4</v>
      </c>
      <c r="V81"/>
      <c r="W81"/>
    </row>
    <row r="82" spans="1:23" x14ac:dyDescent="0.35">
      <c r="A82" t="s">
        <v>500</v>
      </c>
      <c r="B82" t="s">
        <v>35</v>
      </c>
      <c r="C82">
        <v>161984</v>
      </c>
      <c r="V82"/>
      <c r="W82"/>
    </row>
    <row r="83" spans="1:23" x14ac:dyDescent="0.35">
      <c r="A83" t="s">
        <v>603</v>
      </c>
      <c r="B83" t="s">
        <v>151</v>
      </c>
      <c r="C83">
        <v>0</v>
      </c>
      <c r="V83"/>
      <c r="W83"/>
    </row>
    <row r="84" spans="1:23" x14ac:dyDescent="0.35">
      <c r="A84" t="s">
        <v>26</v>
      </c>
      <c r="B84" t="s">
        <v>35</v>
      </c>
      <c r="C84">
        <v>9024</v>
      </c>
      <c r="V84"/>
      <c r="W84"/>
    </row>
    <row r="85" spans="1:23" x14ac:dyDescent="0.35">
      <c r="A85" t="s">
        <v>1299</v>
      </c>
      <c r="B85" t="s">
        <v>67</v>
      </c>
      <c r="C85">
        <v>21178</v>
      </c>
      <c r="V85"/>
      <c r="W85"/>
    </row>
    <row r="86" spans="1:23" x14ac:dyDescent="0.35">
      <c r="A86" t="s">
        <v>1341</v>
      </c>
      <c r="B86" t="s">
        <v>67</v>
      </c>
      <c r="C86">
        <v>0</v>
      </c>
      <c r="V86"/>
      <c r="W86"/>
    </row>
    <row r="87" spans="1:23" x14ac:dyDescent="0.35">
      <c r="A87" t="s">
        <v>27</v>
      </c>
      <c r="B87" t="s">
        <v>67</v>
      </c>
      <c r="C87">
        <v>15540</v>
      </c>
      <c r="V87"/>
      <c r="W87"/>
    </row>
    <row r="88" spans="1:23" x14ac:dyDescent="0.35">
      <c r="A88" t="s">
        <v>501</v>
      </c>
      <c r="B88" t="s">
        <v>35</v>
      </c>
      <c r="C88">
        <v>395100</v>
      </c>
      <c r="V88"/>
      <c r="W88"/>
    </row>
    <row r="89" spans="1:23" x14ac:dyDescent="0.35">
      <c r="A89" t="s">
        <v>916</v>
      </c>
      <c r="B89" t="s">
        <v>35</v>
      </c>
      <c r="C89">
        <v>0</v>
      </c>
      <c r="V89"/>
      <c r="W89"/>
    </row>
    <row r="90" spans="1:23" x14ac:dyDescent="0.35">
      <c r="A90" t="s">
        <v>486</v>
      </c>
      <c r="B90" t="s">
        <v>67</v>
      </c>
      <c r="C90">
        <v>32666</v>
      </c>
      <c r="V90"/>
      <c r="W90"/>
    </row>
    <row r="91" spans="1:23" x14ac:dyDescent="0.35">
      <c r="A91" t="s">
        <v>1191</v>
      </c>
      <c r="B91" t="s">
        <v>67</v>
      </c>
      <c r="C91">
        <v>0</v>
      </c>
      <c r="V91"/>
      <c r="W91"/>
    </row>
    <row r="92" spans="1:23" x14ac:dyDescent="0.35">
      <c r="A92" t="s">
        <v>28</v>
      </c>
      <c r="B92" t="s">
        <v>35</v>
      </c>
      <c r="C92">
        <v>0</v>
      </c>
      <c r="V92"/>
      <c r="W92"/>
    </row>
    <row r="93" spans="1:23" x14ac:dyDescent="0.35">
      <c r="A93" t="s">
        <v>541</v>
      </c>
      <c r="B93" t="s">
        <v>67</v>
      </c>
      <c r="C93">
        <v>12372</v>
      </c>
      <c r="V93"/>
      <c r="W93"/>
    </row>
    <row r="94" spans="1:23" x14ac:dyDescent="0.35">
      <c r="A94" t="s">
        <v>920</v>
      </c>
      <c r="B94" t="s">
        <v>67</v>
      </c>
      <c r="C94">
        <v>5623</v>
      </c>
      <c r="V94"/>
      <c r="W94"/>
    </row>
    <row r="95" spans="1:23" x14ac:dyDescent="0.35">
      <c r="A95" t="s">
        <v>1318</v>
      </c>
      <c r="B95" t="s">
        <v>67</v>
      </c>
      <c r="C95">
        <v>11052</v>
      </c>
      <c r="V95"/>
      <c r="W95"/>
    </row>
    <row r="96" spans="1:23" x14ac:dyDescent="0.35">
      <c r="A96" t="s">
        <v>30</v>
      </c>
      <c r="B96" t="s">
        <v>67</v>
      </c>
      <c r="C96">
        <v>406</v>
      </c>
      <c r="V96"/>
      <c r="W96"/>
    </row>
    <row r="97" spans="1:23" x14ac:dyDescent="0.35">
      <c r="A97" t="s">
        <v>31</v>
      </c>
      <c r="B97" t="s">
        <v>35</v>
      </c>
      <c r="C97">
        <v>5310</v>
      </c>
      <c r="V97"/>
      <c r="W97"/>
    </row>
    <row r="98" spans="1:23" x14ac:dyDescent="0.35">
      <c r="A98" t="s">
        <v>72</v>
      </c>
      <c r="B98" t="s">
        <v>35</v>
      </c>
      <c r="C98">
        <v>85650</v>
      </c>
      <c r="V98"/>
      <c r="W98"/>
    </row>
    <row r="99" spans="1:23" x14ac:dyDescent="0.35">
      <c r="A99" t="s">
        <v>542</v>
      </c>
      <c r="B99" t="s">
        <v>35</v>
      </c>
      <c r="C99">
        <v>42670</v>
      </c>
      <c r="V99"/>
      <c r="W99"/>
    </row>
    <row r="100" spans="1:23" x14ac:dyDescent="0.35">
      <c r="A100" t="s">
        <v>32</v>
      </c>
      <c r="B100" t="s">
        <v>67</v>
      </c>
      <c r="C100">
        <v>268</v>
      </c>
      <c r="V100"/>
      <c r="W100"/>
    </row>
    <row r="101" spans="1:23" x14ac:dyDescent="0.35">
      <c r="A101" t="s">
        <v>33</v>
      </c>
      <c r="B101" t="s">
        <v>67</v>
      </c>
      <c r="C101">
        <v>265</v>
      </c>
      <c r="V101"/>
      <c r="W101"/>
    </row>
    <row r="102" spans="1:23" x14ac:dyDescent="0.35">
      <c r="A102" t="s">
        <v>555</v>
      </c>
      <c r="B102" t="s">
        <v>67</v>
      </c>
      <c r="C102">
        <v>0</v>
      </c>
      <c r="V102"/>
      <c r="W102"/>
    </row>
    <row r="103" spans="1:23" x14ac:dyDescent="0.35">
      <c r="A103" t="s">
        <v>34</v>
      </c>
      <c r="B103" t="s">
        <v>68</v>
      </c>
      <c r="C103">
        <v>756849.30232558143</v>
      </c>
      <c r="V103"/>
      <c r="W103"/>
    </row>
    <row r="104" spans="1:23" x14ac:dyDescent="0.35">
      <c r="V104"/>
      <c r="W104"/>
    </row>
    <row r="105" spans="1:23" x14ac:dyDescent="0.35">
      <c r="V105"/>
      <c r="W105"/>
    </row>
    <row r="106" spans="1:23" x14ac:dyDescent="0.35">
      <c r="V106"/>
      <c r="W106"/>
    </row>
    <row r="107" spans="1:23" x14ac:dyDescent="0.35">
      <c r="V107"/>
      <c r="W107"/>
    </row>
    <row r="108" spans="1:23" x14ac:dyDescent="0.35">
      <c r="V108"/>
      <c r="W108"/>
    </row>
    <row r="109" spans="1:23" x14ac:dyDescent="0.35">
      <c r="V109"/>
      <c r="W109"/>
    </row>
    <row r="110" spans="1:23" x14ac:dyDescent="0.35">
      <c r="V110"/>
      <c r="W110"/>
    </row>
    <row r="111" spans="1:23" x14ac:dyDescent="0.35">
      <c r="V111"/>
      <c r="W111"/>
    </row>
    <row r="112" spans="1:23" x14ac:dyDescent="0.35">
      <c r="V112"/>
      <c r="W112"/>
    </row>
    <row r="113" spans="22:23" x14ac:dyDescent="0.35">
      <c r="V113"/>
      <c r="W113"/>
    </row>
    <row r="114" spans="22:23" x14ac:dyDescent="0.35">
      <c r="V114"/>
      <c r="W114"/>
    </row>
    <row r="115" spans="22:23" x14ac:dyDescent="0.35">
      <c r="V115"/>
      <c r="W115"/>
    </row>
    <row r="116" spans="22:23" x14ac:dyDescent="0.35">
      <c r="V116"/>
      <c r="W116"/>
    </row>
    <row r="117" spans="22:23" x14ac:dyDescent="0.35">
      <c r="V117"/>
      <c r="W117"/>
    </row>
    <row r="118" spans="22:23" x14ac:dyDescent="0.35">
      <c r="V118"/>
      <c r="W118"/>
    </row>
    <row r="119" spans="22:23" x14ac:dyDescent="0.35">
      <c r="V119"/>
      <c r="W119"/>
    </row>
    <row r="120" spans="22:23" x14ac:dyDescent="0.35">
      <c r="V120"/>
      <c r="W120"/>
    </row>
    <row r="121" spans="22:23" x14ac:dyDescent="0.35">
      <c r="V121"/>
      <c r="W121"/>
    </row>
    <row r="122" spans="22:23" x14ac:dyDescent="0.35">
      <c r="V122"/>
      <c r="W122"/>
    </row>
    <row r="123" spans="22:23" x14ac:dyDescent="0.35">
      <c r="V123"/>
      <c r="W123"/>
    </row>
    <row r="124" spans="22:23" x14ac:dyDescent="0.35">
      <c r="V124"/>
      <c r="W124"/>
    </row>
    <row r="125" spans="22:23" x14ac:dyDescent="0.35">
      <c r="V125"/>
      <c r="W125"/>
    </row>
    <row r="126" spans="22:23" x14ac:dyDescent="0.35">
      <c r="V126"/>
      <c r="W126"/>
    </row>
    <row r="127" spans="22:23" x14ac:dyDescent="0.35">
      <c r="V127"/>
      <c r="W127"/>
    </row>
    <row r="128" spans="22:23" x14ac:dyDescent="0.35">
      <c r="V128"/>
      <c r="W128"/>
    </row>
    <row r="129" spans="22:23" x14ac:dyDescent="0.35">
      <c r="V129"/>
      <c r="W129"/>
    </row>
    <row r="130" spans="22:23" x14ac:dyDescent="0.35">
      <c r="V130"/>
      <c r="W130"/>
    </row>
    <row r="131" spans="22:23" x14ac:dyDescent="0.35">
      <c r="V131"/>
      <c r="W131"/>
    </row>
    <row r="132" spans="22:23" x14ac:dyDescent="0.35">
      <c r="V132"/>
      <c r="W132"/>
    </row>
    <row r="133" spans="22:23" x14ac:dyDescent="0.35">
      <c r="V133"/>
      <c r="W133"/>
    </row>
    <row r="134" spans="22:23" x14ac:dyDescent="0.35">
      <c r="V134"/>
      <c r="W134"/>
    </row>
    <row r="135" spans="22:23" x14ac:dyDescent="0.35">
      <c r="V135"/>
      <c r="W135"/>
    </row>
    <row r="136" spans="22:23" x14ac:dyDescent="0.35">
      <c r="V136"/>
      <c r="W136"/>
    </row>
    <row r="137" spans="22:23" x14ac:dyDescent="0.35">
      <c r="V137"/>
      <c r="W137"/>
    </row>
    <row r="138" spans="22:23" x14ac:dyDescent="0.35">
      <c r="V138"/>
      <c r="W138"/>
    </row>
    <row r="139" spans="22:23" x14ac:dyDescent="0.35">
      <c r="V139"/>
      <c r="W139"/>
    </row>
    <row r="140" spans="22:23" x14ac:dyDescent="0.35">
      <c r="V140"/>
      <c r="W140"/>
    </row>
    <row r="141" spans="22:23" x14ac:dyDescent="0.35">
      <c r="V141"/>
      <c r="W141"/>
    </row>
    <row r="142" spans="22:23" x14ac:dyDescent="0.35">
      <c r="V142"/>
      <c r="W142"/>
    </row>
    <row r="143" spans="22:23" x14ac:dyDescent="0.35">
      <c r="V143"/>
      <c r="W143"/>
    </row>
    <row r="144" spans="22:23" x14ac:dyDescent="0.35">
      <c r="V144"/>
      <c r="W144"/>
    </row>
  </sheetData>
  <phoneticPr fontId="2" type="noConversion"/>
  <pageMargins left="0.7" right="0.7" top="0.75" bottom="0.75" header="0.3" footer="0.3"/>
  <pageSetup paperSize="9" orientation="portrait" horizontalDpi="300" verticalDpi="300"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FC981-190B-47E9-803C-00F6A6C6BB98}">
  <sheetPr codeName="Sheet6"/>
  <dimension ref="A1:AL19"/>
  <sheetViews>
    <sheetView workbookViewId="0">
      <selection activeCell="F8" sqref="F8"/>
    </sheetView>
  </sheetViews>
  <sheetFormatPr defaultRowHeight="14.5" x14ac:dyDescent="0.35"/>
  <cols>
    <col min="1" max="1" width="3" bestFit="1" customWidth="1"/>
    <col min="2" max="2" width="28.54296875" bestFit="1" customWidth="1"/>
    <col min="3" max="3" width="8.7265625" bestFit="1" customWidth="1"/>
    <col min="4" max="4" width="11.7265625" bestFit="1" customWidth="1"/>
    <col min="5" max="5" width="9" bestFit="1" customWidth="1"/>
    <col min="6" max="6" width="11.7265625" bestFit="1" customWidth="1"/>
    <col min="7" max="7" width="10.7265625" bestFit="1" customWidth="1"/>
    <col min="8" max="16" width="2.26953125" bestFit="1" customWidth="1"/>
    <col min="17" max="38" width="3" bestFit="1" customWidth="1"/>
  </cols>
  <sheetData>
    <row r="1" spans="1:38" ht="15.5" x14ac:dyDescent="0.35">
      <c r="A1" s="120" t="s">
        <v>751</v>
      </c>
    </row>
    <row r="3" spans="1:38" ht="26" x14ac:dyDescent="0.35">
      <c r="A3" s="82" t="s">
        <v>471</v>
      </c>
      <c r="B3" s="82" t="s">
        <v>752</v>
      </c>
      <c r="C3" s="82" t="s">
        <v>753</v>
      </c>
      <c r="D3" s="121" t="s">
        <v>754</v>
      </c>
      <c r="E3" s="82" t="s">
        <v>755</v>
      </c>
      <c r="F3" s="82" t="s">
        <v>756</v>
      </c>
      <c r="G3" s="82" t="s">
        <v>757</v>
      </c>
      <c r="H3" s="83" t="s">
        <v>758</v>
      </c>
      <c r="I3" s="83" t="s">
        <v>759</v>
      </c>
      <c r="J3" s="83" t="s">
        <v>760</v>
      </c>
      <c r="K3" s="83" t="s">
        <v>761</v>
      </c>
      <c r="L3" s="83" t="s">
        <v>762</v>
      </c>
      <c r="M3" s="83" t="s">
        <v>763</v>
      </c>
      <c r="N3" s="83" t="s">
        <v>764</v>
      </c>
      <c r="O3" s="83" t="s">
        <v>765</v>
      </c>
      <c r="P3" s="83" t="s">
        <v>766</v>
      </c>
      <c r="Q3" s="83" t="s">
        <v>767</v>
      </c>
      <c r="R3" s="83" t="s">
        <v>768</v>
      </c>
      <c r="S3" s="83" t="s">
        <v>769</v>
      </c>
      <c r="T3" s="83" t="s">
        <v>770</v>
      </c>
      <c r="U3" s="83" t="s">
        <v>771</v>
      </c>
      <c r="V3" s="83" t="s">
        <v>772</v>
      </c>
      <c r="W3" s="83" t="s">
        <v>773</v>
      </c>
      <c r="X3" s="83" t="s">
        <v>774</v>
      </c>
      <c r="Y3" s="83" t="s">
        <v>775</v>
      </c>
      <c r="Z3" s="83" t="s">
        <v>776</v>
      </c>
      <c r="AA3" s="83" t="s">
        <v>777</v>
      </c>
      <c r="AB3" s="83" t="s">
        <v>778</v>
      </c>
      <c r="AC3" s="83" t="s">
        <v>779</v>
      </c>
      <c r="AD3" s="83" t="s">
        <v>780</v>
      </c>
      <c r="AE3" s="83" t="s">
        <v>781</v>
      </c>
      <c r="AF3" s="83" t="s">
        <v>782</v>
      </c>
      <c r="AG3" s="83" t="s">
        <v>783</v>
      </c>
      <c r="AH3" s="83" t="s">
        <v>784</v>
      </c>
      <c r="AI3" s="83" t="s">
        <v>785</v>
      </c>
      <c r="AJ3" s="83" t="s">
        <v>786</v>
      </c>
      <c r="AK3" s="83" t="s">
        <v>787</v>
      </c>
      <c r="AL3" s="83" t="s">
        <v>788</v>
      </c>
    </row>
    <row r="4" spans="1:38" ht="20.149999999999999" customHeight="1" x14ac:dyDescent="0.35">
      <c r="A4" s="78">
        <v>1</v>
      </c>
      <c r="B4" s="84" t="s">
        <v>337</v>
      </c>
      <c r="C4" s="78">
        <v>31</v>
      </c>
      <c r="D4" t="str">
        <f t="shared" ref="D4:D14" si="0">IF(C4=E4,"COMPLETED",IF(E4=0,"BELUM ADA INPUTAN","PROGRESS"))</f>
        <v>PROGRESS</v>
      </c>
      <c r="E4" s="86">
        <f>SUM(H4:U4)</f>
        <v>14</v>
      </c>
      <c r="F4" s="87" cm="1">
        <f t="array" ref="F4">IFERROR(LOOKUP(2,1/(H4:U4=1),_PERIODE!$B$10:$B$40),0)</f>
        <v>14</v>
      </c>
      <c r="G4" s="88">
        <f>IFERROR(INDEX(_PERIODE!$C$10:$C$40,MATCH(F4,_PERIODE!$B$10:$B$40,0)),"Belum ada")</f>
        <v>46279</v>
      </c>
      <c r="H4" s="89">
        <f>IF(COUNTA(IPT_SO_HARIAN[1])&gt;0,1,0)</f>
        <v>1</v>
      </c>
      <c r="I4" s="89">
        <f>IF(COUNTA(IPT_SO_HARIAN[2])&gt;0,1,0)</f>
        <v>1</v>
      </c>
      <c r="J4" s="89">
        <f>IF(COUNTA(IPT_SO_HARIAN[3])&gt;0,1,0)</f>
        <v>1</v>
      </c>
      <c r="K4" s="89">
        <f>IF(COUNTA(IPT_SO_HARIAN[4])&gt;0,1,0)</f>
        <v>1</v>
      </c>
      <c r="L4" s="89">
        <f>IF(COUNTA(IPT_SO_HARIAN[5])&gt;0,1,0)</f>
        <v>1</v>
      </c>
      <c r="M4" s="89">
        <f>IF(COUNTA(IPT_SO_HARIAN[6])&gt;0,1,0)</f>
        <v>1</v>
      </c>
      <c r="N4" s="89">
        <f>IF(COUNTA(IPT_SO_HARIAN[7])&gt;0,1,0)</f>
        <v>1</v>
      </c>
      <c r="O4" s="89">
        <f>IF(COUNTA(IPT_SO_HARIAN[8])&gt;0,1,0)</f>
        <v>1</v>
      </c>
      <c r="P4" s="89">
        <f>IF(COUNTA(IPT_SO_HARIAN[9])&gt;0,1,0)</f>
        <v>1</v>
      </c>
      <c r="Q4" s="89">
        <f>IF(COUNTA(IPT_SO_HARIAN[10])&gt;0,1,0)</f>
        <v>1</v>
      </c>
      <c r="R4" s="89">
        <f>IF(COUNTA(IPT_SO_HARIAN[11])&gt;0,1,0)</f>
        <v>1</v>
      </c>
      <c r="S4" s="89">
        <f>IF(COUNTA(IPT_SO_HARIAN[12])&gt;0,1,0)</f>
        <v>1</v>
      </c>
      <c r="T4" s="89">
        <f>IF(COUNTA(IPT_SO_HARIAN[13])&gt;0,1,0)</f>
        <v>1</v>
      </c>
      <c r="U4" s="89">
        <f>IF(COUNTA(IPT_SO_HARIAN[14])&gt;0,1,0)</f>
        <v>1</v>
      </c>
      <c r="V4" s="89">
        <f>IF(COUNTA(IPT_SO_HARIAN[15])&gt;0,1,0)</f>
        <v>0</v>
      </c>
      <c r="W4" s="89">
        <f>IF(COUNTA(IPT_SO_HARIAN[16])&gt;0,1,0)</f>
        <v>0</v>
      </c>
      <c r="X4" s="89">
        <f>IF(COUNTA(IPT_SO_HARIAN[17])&gt;0,1,0)</f>
        <v>0</v>
      </c>
      <c r="Y4" s="89">
        <f>IF(COUNTA(IPT_SO_HARIAN[18])&gt;0,1,0)</f>
        <v>0</v>
      </c>
      <c r="Z4" s="89">
        <f>IF(COUNTA(IPT_SO_HARIAN[19])&gt;0,1,0)</f>
        <v>0</v>
      </c>
      <c r="AA4" s="89">
        <f>IF(COUNTA(IPT_SO_HARIAN[20])&gt;0,1,0)</f>
        <v>0</v>
      </c>
      <c r="AB4" s="89">
        <f>IF(COUNTA(IPT_SO_HARIAN[21])&gt;0,1,0)</f>
        <v>0</v>
      </c>
      <c r="AC4" s="89">
        <f>IF(COUNTA(IPT_SO_HARIAN[22])&gt;0,1,0)</f>
        <v>0</v>
      </c>
      <c r="AD4" s="89">
        <f>IF(COUNTA(IPT_SO_HARIAN[23])&gt;0,1,0)</f>
        <v>0</v>
      </c>
      <c r="AE4" s="89">
        <f>IF(COUNTA(IPT_SO_HARIAN[24])&gt;0,1,0)</f>
        <v>0</v>
      </c>
      <c r="AF4" s="89">
        <f>IF(COUNTA(IPT_SO_HARIAN[25])&gt;0,1,0)</f>
        <v>0</v>
      </c>
      <c r="AG4" s="89">
        <f>IF(COUNTA(IPT_SO_HARIAN[26])&gt;0,1,0)</f>
        <v>0</v>
      </c>
      <c r="AH4" s="89">
        <f>IF(COUNTA(IPT_SO_HARIAN[27])&gt;0,1,0)</f>
        <v>0</v>
      </c>
      <c r="AI4" s="89">
        <f>IF(COUNTA(IPT_SO_HARIAN[28])&gt;0,1,0)</f>
        <v>0</v>
      </c>
      <c r="AJ4" s="89">
        <f>IF(COUNTA(IPT_SO_HARIAN[29])&gt;0,1,0)</f>
        <v>0</v>
      </c>
      <c r="AK4" s="89">
        <f>IF(COUNTA(IPT_SO_HARIAN[30])&gt;0,1,0)</f>
        <v>0</v>
      </c>
      <c r="AL4" s="89">
        <f>IF(COUNTA(IPT_SO_HARIAN[31])&gt;0,1,0)</f>
        <v>0</v>
      </c>
    </row>
    <row r="5" spans="1:38" ht="20.149999999999999" customHeight="1" x14ac:dyDescent="0.35">
      <c r="A5" s="78">
        <v>2</v>
      </c>
      <c r="B5" s="84" t="s">
        <v>338</v>
      </c>
      <c r="C5" s="78">
        <v>31</v>
      </c>
      <c r="D5" t="str">
        <f t="shared" si="0"/>
        <v>PROGRESS</v>
      </c>
      <c r="E5" s="86">
        <f t="shared" ref="E5:E15" si="1">SUM(H5:U5)</f>
        <v>12</v>
      </c>
      <c r="F5" s="87" cm="1">
        <f t="array" ref="F5">IFERROR(LOOKUP(2,1/(H5:U5=1),_PERIODE!$B$10:$B$40),0)</f>
        <v>14</v>
      </c>
      <c r="G5" s="88">
        <f>IFERROR(INDEX(_PERIODE!$C$10:$C$40,MATCH(F5,_PERIODE!$B$10:$B$40,0)),"Belum ada")</f>
        <v>46279</v>
      </c>
      <c r="H5" s="89">
        <f>IF(COUNTA(IPT_BARANG_MASUK[1])&gt;0,1,0)</f>
        <v>1</v>
      </c>
      <c r="I5" s="89">
        <f>IF(COUNTA(IPT_BARANG_MASUK[2])&gt;0,1,0)</f>
        <v>1</v>
      </c>
      <c r="J5" s="89">
        <f>IF(COUNTA(IPT_BARANG_MASUK[3])&gt;0,1,0)</f>
        <v>1</v>
      </c>
      <c r="K5" s="89">
        <f>IF(COUNTA(IPT_BARANG_MASUK[4])&gt;0,1,0)</f>
        <v>0</v>
      </c>
      <c r="L5" s="89">
        <f>IF(COUNTA(IPT_BARANG_MASUK[5])&gt;0,1,0)</f>
        <v>1</v>
      </c>
      <c r="M5" s="89">
        <f>IF(COUNTA(IPT_BARANG_MASUK[6])&gt;0,1,0)</f>
        <v>1</v>
      </c>
      <c r="N5" s="89">
        <f>IF(COUNTA(IPT_BARANG_MASUK[7])&gt;0,1,0)</f>
        <v>1</v>
      </c>
      <c r="O5" s="89">
        <f>IF(COUNTA(IPT_BARANG_MASUK[8])&gt;0,1,0)</f>
        <v>1</v>
      </c>
      <c r="P5" s="89">
        <f>IF(COUNTA(IPT_BARANG_MASUK[9])&gt;0,1,0)</f>
        <v>1</v>
      </c>
      <c r="Q5" s="89">
        <f>IF(COUNTA(IPT_BARANG_MASUK[10])&gt;0,1,0)</f>
        <v>1</v>
      </c>
      <c r="R5" s="89">
        <f>IF(COUNTA(IPT_BARANG_MASUK[11])&gt;0,1,0)</f>
        <v>0</v>
      </c>
      <c r="S5" s="89">
        <f>IF(COUNTA(IPT_BARANG_MASUK[12])&gt;0,1,0)</f>
        <v>1</v>
      </c>
      <c r="T5" s="89">
        <f>IF(COUNTA(IPT_BARANG_MASUK[13])&gt;0,1,0)</f>
        <v>1</v>
      </c>
      <c r="U5" s="89">
        <f>IF(COUNTA(IPT_BARANG_MASUK[14])&gt;0,1,0)</f>
        <v>1</v>
      </c>
      <c r="V5" s="89">
        <f>IF(COUNTA(IPT_BARANG_MASUK[15])&gt;0,1,0)</f>
        <v>0</v>
      </c>
      <c r="W5" s="89">
        <f>IF(COUNTA(IPT_BARANG_MASUK[16])&gt;0,1,0)</f>
        <v>0</v>
      </c>
      <c r="X5" s="89">
        <f>IF(COUNTA(IPT_BARANG_MASUK[17])&gt;0,1,0)</f>
        <v>0</v>
      </c>
      <c r="Y5" s="89">
        <f>IF(COUNTA(IPT_BARANG_MASUK[18])&gt;0,1,0)</f>
        <v>0</v>
      </c>
      <c r="Z5" s="89">
        <f>IF(COUNTA(IPT_BARANG_MASUK[19])&gt;0,1,0)</f>
        <v>0</v>
      </c>
      <c r="AA5" s="89">
        <f>IF(COUNTA(IPT_BARANG_MASUK[20])&gt;0,1,0)</f>
        <v>0</v>
      </c>
      <c r="AB5" s="89">
        <f>IF(COUNTA(IPT_BARANG_MASUK[21])&gt;0,1,0)</f>
        <v>0</v>
      </c>
      <c r="AC5" s="89">
        <f>IF(COUNTA(IPT_BARANG_MASUK[22])&gt;0,1,0)</f>
        <v>0</v>
      </c>
      <c r="AD5" s="89">
        <f>IF(COUNTA(IPT_BARANG_MASUK[23])&gt;0,1,0)</f>
        <v>0</v>
      </c>
      <c r="AE5" s="89">
        <f>IF(COUNTA(IPT_BARANG_MASUK[24])&gt;0,1,0)</f>
        <v>0</v>
      </c>
      <c r="AF5" s="89">
        <f>IF(COUNTA(IPT_BARANG_MASUK[25])&gt;0,1,0)</f>
        <v>0</v>
      </c>
      <c r="AG5" s="89">
        <f>IF(COUNTA(IPT_BARANG_MASUK[26])&gt;0,1,0)</f>
        <v>0</v>
      </c>
      <c r="AH5" s="89">
        <f>IF(COUNTA(IPT_BARANG_MASUK[27])&gt;0,1,0)</f>
        <v>0</v>
      </c>
      <c r="AI5" s="89">
        <f>IF(COUNTA(IPT_BARANG_MASUK[28])&gt;0,1,0)</f>
        <v>0</v>
      </c>
      <c r="AJ5" s="89">
        <f>IF(COUNTA(IPT_BARANG_MASUK[29])&gt;0,1,0)</f>
        <v>0</v>
      </c>
      <c r="AK5" s="89">
        <f>IF(COUNTA(IPT_BARANG_MASUK[30])&gt;0,1,0)</f>
        <v>0</v>
      </c>
      <c r="AL5" s="89">
        <f>IF(COUNTA(IPT_BARANG_MASUK[31])&gt;0,1,0)</f>
        <v>0</v>
      </c>
    </row>
    <row r="6" spans="1:38" ht="20.149999999999999" customHeight="1" x14ac:dyDescent="0.35">
      <c r="A6" s="78">
        <v>3</v>
      </c>
      <c r="B6" s="84" t="s">
        <v>339</v>
      </c>
      <c r="C6" s="78">
        <v>31</v>
      </c>
      <c r="D6" t="str">
        <f t="shared" si="0"/>
        <v>PROGRESS</v>
      </c>
      <c r="E6" s="86">
        <f t="shared" si="1"/>
        <v>4</v>
      </c>
      <c r="F6" s="87" cm="1">
        <f t="array" ref="F6">IFERROR(LOOKUP(2,1/(H6:U6=1),_PERIODE!$B$10:$B$40),0)</f>
        <v>10</v>
      </c>
      <c r="G6" s="88">
        <f>IFERROR(INDEX(_PERIODE!$C$10:$C$40,MATCH(F6,_PERIODE!$B$10:$B$40,0)),"Belum ada")</f>
        <v>46275</v>
      </c>
      <c r="H6" s="89">
        <f>IF(COUNTA(IPT_BARANG_KELUAR[1])&gt;0,1,0)</f>
        <v>1</v>
      </c>
      <c r="I6" s="89">
        <f>IF(COUNTA(IPT_BARANG_KELUAR[2])&gt;0,1,0)</f>
        <v>1</v>
      </c>
      <c r="J6" s="89">
        <f>IF(COUNTA(IPT_BARANG_KELUAR[3])&gt;0,1,0)</f>
        <v>0</v>
      </c>
      <c r="K6" s="89">
        <f>IF(COUNTA(IPT_BARANG_KELUAR[4])&gt;0,1,0)</f>
        <v>0</v>
      </c>
      <c r="L6" s="89">
        <f>IF(COUNTA(IPT_BARANG_KELUAR[5])&gt;0,1,0)</f>
        <v>0</v>
      </c>
      <c r="M6" s="89">
        <f>IF(COUNTA(IPT_BARANG_KELUAR[6])&gt;0,1,0)</f>
        <v>1</v>
      </c>
      <c r="N6" s="89">
        <f>IF(COUNTA(IPT_BARANG_KELUAR[7])&gt;0,1,0)</f>
        <v>0</v>
      </c>
      <c r="O6" s="89">
        <f>IF(COUNTA(IPT_BARANG_KELUAR[8])&gt;0,1,0)</f>
        <v>0</v>
      </c>
      <c r="P6" s="89">
        <f>IF(COUNTA(IPT_BARANG_KELUAR[9])&gt;0,1,0)</f>
        <v>0</v>
      </c>
      <c r="Q6" s="89">
        <f>IF(COUNTA(IPT_BARANG_KELUAR[10])&gt;0,1,0)</f>
        <v>1</v>
      </c>
      <c r="R6" s="89">
        <f>IF(COUNTA(IPT_BARANG_KELUAR[11])&gt;0,1,0)</f>
        <v>0</v>
      </c>
      <c r="S6" s="89">
        <f>IF(COUNTA(IPT_BARANG_KELUAR[12])&gt;0,1,0)</f>
        <v>0</v>
      </c>
      <c r="T6" s="89">
        <f>IF(COUNTA(IPT_BARANG_KELUAR[13])&gt;0,1,0)</f>
        <v>0</v>
      </c>
      <c r="U6" s="89">
        <f>IF(COUNTA(IPT_BARANG_KELUAR[14])&gt;0,1,0)</f>
        <v>0</v>
      </c>
      <c r="V6" s="89">
        <f>IF(COUNTA(IPT_BARANG_KELUAR[15])&gt;0,1,0)</f>
        <v>0</v>
      </c>
      <c r="W6" s="89">
        <f>IF(COUNTA(IPT_BARANG_KELUAR[16])&gt;0,1,0)</f>
        <v>0</v>
      </c>
      <c r="X6" s="89">
        <f>IF(COUNTA(IPT_BARANG_KELUAR[17])&gt;0,1,0)</f>
        <v>0</v>
      </c>
      <c r="Y6" s="89">
        <f>IF(COUNTA(IPT_BARANG_KELUAR[18])&gt;0,1,0)</f>
        <v>0</v>
      </c>
      <c r="Z6" s="89">
        <f>IF(COUNTA(IPT_BARANG_KELUAR[19])&gt;0,1,0)</f>
        <v>0</v>
      </c>
      <c r="AA6" s="89">
        <f>IF(COUNTA(IPT_BARANG_KELUAR[20])&gt;0,1,0)</f>
        <v>0</v>
      </c>
      <c r="AB6" s="89">
        <f>IF(COUNTA(IPT_BARANG_KELUAR[21])&gt;0,1,0)</f>
        <v>0</v>
      </c>
      <c r="AC6" s="89">
        <f>IF(COUNTA(IPT_BARANG_KELUAR[22])&gt;0,1,0)</f>
        <v>0</v>
      </c>
      <c r="AD6" s="89">
        <f>IF(COUNTA(IPT_BARANG_KELUAR[23])&gt;0,1,0)</f>
        <v>0</v>
      </c>
      <c r="AE6" s="89">
        <f>IF(COUNTA(IPT_BARANG_KELUAR[24])&gt;0,1,0)</f>
        <v>0</v>
      </c>
      <c r="AF6" s="89">
        <f>IF(COUNTA(IPT_BARANG_KELUAR[25])&gt;0,1,0)</f>
        <v>0</v>
      </c>
      <c r="AG6" s="89">
        <f>IF(COUNTA(IPT_BARANG_KELUAR[26])&gt;0,1,0)</f>
        <v>0</v>
      </c>
      <c r="AH6" s="89">
        <f>IF(COUNTA(IPT_BARANG_KELUAR[27])&gt;0,1,0)</f>
        <v>0</v>
      </c>
      <c r="AI6" s="89">
        <f>IF(COUNTA(IPT_BARANG_KELUAR[28])&gt;0,1,0)</f>
        <v>0</v>
      </c>
      <c r="AJ6" s="89">
        <f>IF(COUNTA(IPT_BARANG_KELUAR[29])&gt;0,1,0)</f>
        <v>0</v>
      </c>
      <c r="AK6" s="89">
        <f>IF(COUNTA(IPT_BARANG_KELUAR[30])&gt;0,1,0)</f>
        <v>0</v>
      </c>
      <c r="AL6" s="89">
        <f>IF(COUNTA(IPT_BARANG_KELUAR[31])&gt;0,1,0)</f>
        <v>0</v>
      </c>
    </row>
    <row r="7" spans="1:38" ht="20.149999999999999" customHeight="1" x14ac:dyDescent="0.35">
      <c r="A7" s="78">
        <v>4</v>
      </c>
      <c r="B7" s="84" t="s">
        <v>789</v>
      </c>
      <c r="C7" s="78">
        <v>31</v>
      </c>
      <c r="D7" t="str">
        <f t="shared" si="0"/>
        <v>PROGRESS</v>
      </c>
      <c r="E7" s="86">
        <f t="shared" si="1"/>
        <v>14</v>
      </c>
      <c r="F7" s="87" cm="1">
        <f t="array" ref="F7">IFERROR(LOOKUP(2,1/(H7:U7=1),_PERIODE!$B$10:$B$40),0)</f>
        <v>14</v>
      </c>
      <c r="G7" s="88">
        <f>IFERROR(INDEX(_PERIODE!$C$10:$C$40,MATCH(F7,_PERIODE!$B$10:$B$40,0)),"Belum ada")</f>
        <v>46279</v>
      </c>
      <c r="H7" s="89">
        <f>IF(COUNTA(IPT_PROMIX_00[1])&gt;0,1,0)</f>
        <v>1</v>
      </c>
      <c r="I7" s="89">
        <f>IF(COUNTA(IPT_PROMIX_00[2])&gt;0,1,0)</f>
        <v>1</v>
      </c>
      <c r="J7" s="89">
        <f>IF(COUNTA(IPT_PROMIX_00[3])&gt;0,1,0)</f>
        <v>1</v>
      </c>
      <c r="K7" s="89">
        <f>IF(COUNTA(IPT_PROMIX_00[4])&gt;0,1,0)</f>
        <v>1</v>
      </c>
      <c r="L7" s="89">
        <f>IF(COUNTA(IPT_PROMIX_00[5])&gt;0,1,0)</f>
        <v>1</v>
      </c>
      <c r="M7" s="89">
        <f>IF(COUNTA(IPT_PROMIX_00[6])&gt;0,1,0)</f>
        <v>1</v>
      </c>
      <c r="N7" s="89">
        <f>IF(COUNTA(IPT_PROMIX_00[7])&gt;0,1,0)</f>
        <v>1</v>
      </c>
      <c r="O7" s="89">
        <f>IF(COUNTA(IPT_PROMIX_00[8])&gt;0,1,0)</f>
        <v>1</v>
      </c>
      <c r="P7" s="89">
        <f>IF(COUNTA(IPT_PROMIX_00[9])&gt;0,1,0)</f>
        <v>1</v>
      </c>
      <c r="Q7" s="89">
        <f>IF(COUNTA(IPT_PROMIX_00[10])&gt;0,1,0)</f>
        <v>1</v>
      </c>
      <c r="R7" s="89">
        <f>IF(COUNTA(IPT_PROMIX_00[11])&gt;0,1,0)</f>
        <v>1</v>
      </c>
      <c r="S7" s="89">
        <f>IF(COUNTA(IPT_PROMIX_00[12])&gt;0,1,0)</f>
        <v>1</v>
      </c>
      <c r="T7" s="89">
        <f>IF(COUNTA(IPT_PROMIX_00[13])&gt;0,1,0)</f>
        <v>1</v>
      </c>
      <c r="U7" s="89">
        <f>IF(COUNTA(IPT_PROMIX_00[14])&gt;0,1,0)</f>
        <v>1</v>
      </c>
      <c r="V7" s="89">
        <f>IF(COUNTA(IPT_PROMIX_00[15])&gt;0,1,0)</f>
        <v>0</v>
      </c>
      <c r="W7" s="89">
        <f>IF(COUNTA(IPT_PROMIX_00[16])&gt;0,1,0)</f>
        <v>0</v>
      </c>
      <c r="X7" s="89">
        <f>IF(COUNTA(IPT_PROMIX_00[17])&gt;0,1,0)</f>
        <v>0</v>
      </c>
      <c r="Y7" s="89">
        <f>IF(COUNTA(IPT_PROMIX_00[18])&gt;0,1,0)</f>
        <v>0</v>
      </c>
      <c r="Z7" s="89">
        <f>IF(COUNTA(IPT_PROMIX_00[19])&gt;0,1,0)</f>
        <v>0</v>
      </c>
      <c r="AA7" s="89">
        <f>IF(COUNTA(IPT_PROMIX_00[20])&gt;0,1,0)</f>
        <v>0</v>
      </c>
      <c r="AB7" s="89">
        <f>IF(COUNTA(IPT_PROMIX_00[21])&gt;0,1,0)</f>
        <v>0</v>
      </c>
      <c r="AC7" s="89">
        <f>IF(COUNTA(IPT_PROMIX_00[22])&gt;0,1,0)</f>
        <v>0</v>
      </c>
      <c r="AD7" s="89">
        <f>IF(COUNTA(IPT_PROMIX_00[23])&gt;0,1,0)</f>
        <v>0</v>
      </c>
      <c r="AE7" s="89">
        <f>IF(COUNTA(IPT_PROMIX_00[24])&gt;0,1,0)</f>
        <v>0</v>
      </c>
      <c r="AF7" s="89">
        <f>IF(COUNTA(IPT_PROMIX_00[25])&gt;0,1,0)</f>
        <v>0</v>
      </c>
      <c r="AG7" s="89">
        <f>IF(COUNTA(IPT_PROMIX_00[26])&gt;0,1,0)</f>
        <v>0</v>
      </c>
      <c r="AH7" s="89">
        <f>IF(COUNTA(IPT_PROMIX_00[27])&gt;0,1,0)</f>
        <v>0</v>
      </c>
      <c r="AI7" s="89">
        <f>IF(COUNTA(IPT_PROMIX_00[28])&gt;0,1,0)</f>
        <v>0</v>
      </c>
      <c r="AJ7" s="89">
        <f>IF(COUNTA(IPT_PROMIX_00[29])&gt;0,1,0)</f>
        <v>0</v>
      </c>
      <c r="AK7" s="89">
        <f>IF(COUNTA(IPT_PROMIX_00[30])&gt;0,1,0)</f>
        <v>0</v>
      </c>
      <c r="AL7" s="89">
        <f>IF(COUNTA(IPT_PROMIX_00[31])&gt;0,1,0)</f>
        <v>0</v>
      </c>
    </row>
    <row r="8" spans="1:38" ht="20.149999999999999" customHeight="1" x14ac:dyDescent="0.35">
      <c r="A8" s="78">
        <v>5</v>
      </c>
      <c r="B8" s="84" t="s">
        <v>790</v>
      </c>
      <c r="C8" s="78">
        <v>31</v>
      </c>
      <c r="D8" t="str">
        <f t="shared" si="0"/>
        <v>BELUM ADA INPUTAN</v>
      </c>
      <c r="E8" s="86">
        <f t="shared" si="1"/>
        <v>0</v>
      </c>
      <c r="F8" s="87" cm="1">
        <f t="array" ref="F8">IFERROR(LOOKUP(2,1/(H8:U8=1),_PERIODE!$B$10:$B$40),0)</f>
        <v>0</v>
      </c>
      <c r="G8" s="88" t="str">
        <f>IFERROR(INDEX(_PERIODE!$C$10:$C$40,MATCH(F8,_PERIODE!$B$10:$B$40,0)),"Belum ada")</f>
        <v>Belum ada</v>
      </c>
      <c r="H8" s="89">
        <f>IF(COUNTA(IPT_PROMIX_04[2])&gt;0,1,0)</f>
        <v>0</v>
      </c>
      <c r="I8" s="89">
        <f>IF(COUNTA(IPT_PROMIX_04[3])&gt;0,1,0)</f>
        <v>0</v>
      </c>
      <c r="J8" s="89">
        <f>IF(COUNTA(IPT_PROMIX_04[4])&gt;0,1,0)</f>
        <v>0</v>
      </c>
      <c r="K8" s="89">
        <f>IF(COUNTA(IPT_PROMIX_04[5])&gt;0,1,0)</f>
        <v>0</v>
      </c>
      <c r="L8" s="89">
        <f>IF(COUNTA(IPT_PROMIX_04[6])&gt;0,1,0)</f>
        <v>0</v>
      </c>
      <c r="M8" s="89">
        <f>IF(COUNTA(IPT_PROMIX_04[7])&gt;0,1,0)</f>
        <v>0</v>
      </c>
      <c r="N8" s="89">
        <f>IF(COUNTA(IPT_PROMIX_04[8])&gt;0,1,0)</f>
        <v>0</v>
      </c>
      <c r="O8" s="89">
        <f>IF(COUNTA(IPT_PROMIX_04[9])&gt;0,1,0)</f>
        <v>0</v>
      </c>
      <c r="P8" s="89">
        <f>IF(COUNTA(IPT_PROMIX_04[10])&gt;0,1,0)</f>
        <v>0</v>
      </c>
      <c r="Q8" s="89">
        <f>IF(COUNTA(IPT_PROMIX_04[11])&gt;0,1,0)</f>
        <v>0</v>
      </c>
      <c r="R8" s="89">
        <f>IF(COUNTA(IPT_PROMIX_04[12])&gt;0,1,0)</f>
        <v>0</v>
      </c>
      <c r="S8" s="89">
        <f>IF(COUNTA(IPT_PROMIX_04[13])&gt;0,1,0)</f>
        <v>0</v>
      </c>
      <c r="T8" s="89">
        <f>IF(COUNTA(IPT_PROMIX_04[14])&gt;0,1,0)</f>
        <v>0</v>
      </c>
      <c r="U8" s="89">
        <f>IF(COUNTA(IPT_PROMIX_04[15])&gt;0,1,0)</f>
        <v>0</v>
      </c>
      <c r="V8" s="89">
        <f>IF(COUNTA(IPT_PROMIX_04[16])&gt;0,1,0)</f>
        <v>0</v>
      </c>
      <c r="W8" s="89">
        <f>IF(COUNTA(IPT_PROMIX_04[17])&gt;0,1,0)</f>
        <v>0</v>
      </c>
      <c r="X8" s="89">
        <f>IF(COUNTA(IPT_PROMIX_04[18])&gt;0,1,0)</f>
        <v>0</v>
      </c>
      <c r="Y8" s="89">
        <f>IF(COUNTA(IPT_PROMIX_04[19])&gt;0,1,0)</f>
        <v>0</v>
      </c>
      <c r="Z8" s="89">
        <f>IF(COUNTA(IPT_PROMIX_04[20])&gt;0,1,0)</f>
        <v>0</v>
      </c>
      <c r="AA8" s="89">
        <f>IF(COUNTA(IPT_PROMIX_04[21])&gt;0,1,0)</f>
        <v>0</v>
      </c>
      <c r="AB8" s="89">
        <f>IF(COUNTA(IPT_PROMIX_04[22])&gt;0,1,0)</f>
        <v>0</v>
      </c>
      <c r="AC8" s="89">
        <f>IF(COUNTA(IPT_PROMIX_04[23])&gt;0,1,0)</f>
        <v>0</v>
      </c>
      <c r="AD8" s="89">
        <f>IF(COUNTA(IPT_PROMIX_04[24])&gt;0,1,0)</f>
        <v>0</v>
      </c>
      <c r="AE8" s="89">
        <f>IF(COUNTA(IPT_PROMIX_04[25])&gt;0,1,0)</f>
        <v>0</v>
      </c>
      <c r="AF8" s="89">
        <f>IF(COUNTA(IPT_PROMIX_04[26])&gt;0,1,0)</f>
        <v>0</v>
      </c>
      <c r="AG8" s="89">
        <f>IF(COUNTA(IPT_PROMIX_04[27])&gt;0,1,0)</f>
        <v>0</v>
      </c>
      <c r="AH8" s="89">
        <f>IF(COUNTA(IPT_PROMIX_04[28])&gt;0,1,0)</f>
        <v>0</v>
      </c>
      <c r="AI8" s="89">
        <f>IF(COUNTA(IPT_PROMIX_04[29])&gt;0,1,0)</f>
        <v>0</v>
      </c>
      <c r="AJ8" s="89">
        <f>IF(COUNTA(IPT_PROMIX_04[30])&gt;0,1,0)</f>
        <v>0</v>
      </c>
      <c r="AK8" s="89">
        <f>IF(COUNTA(IPT_PROMIX_04[31])&gt;0,1,0)</f>
        <v>0</v>
      </c>
      <c r="AL8" s="89">
        <f>IF(COUNTA(IPT_PROMIX_04[1])&gt;0,1,0)</f>
        <v>0</v>
      </c>
    </row>
    <row r="9" spans="1:38" ht="20.149999999999999" customHeight="1" x14ac:dyDescent="0.35">
      <c r="A9" s="78">
        <v>6</v>
      </c>
      <c r="B9" s="84" t="s">
        <v>791</v>
      </c>
      <c r="C9" s="78">
        <v>31</v>
      </c>
      <c r="D9" t="str">
        <f t="shared" si="0"/>
        <v>BELUM ADA INPUTAN</v>
      </c>
      <c r="E9" s="86">
        <f t="shared" si="1"/>
        <v>0</v>
      </c>
      <c r="F9" s="87" cm="1">
        <f t="array" ref="F9">IFERROR(LOOKUP(2,1/(H9:U9=1),_PERIODE!$B$10:$B$40),0)</f>
        <v>0</v>
      </c>
      <c r="G9" s="88" t="str">
        <f>IFERROR(INDEX(_PERIODE!$C$10:$C$40,MATCH(F9,_PERIODE!$B$10:$B$40,0)),"Belum ada")</f>
        <v>Belum ada</v>
      </c>
      <c r="H9" s="89">
        <f>IF(COUNTA(IPT_WASTE_HANDLING_DINE_IN[1])&gt;0,1,0)</f>
        <v>0</v>
      </c>
      <c r="I9" s="89">
        <f>IF(COUNTA(IPT_WASTE_HANDLING_DINE_IN[2])&gt;0,1,0)</f>
        <v>0</v>
      </c>
      <c r="J9" s="89">
        <f>IF(COUNTA(IPT_WASTE_HANDLING_DINE_IN[3])&gt;0,1,0)</f>
        <v>0</v>
      </c>
      <c r="K9" s="89">
        <f>IF(COUNTA(IPT_WASTE_HANDLING_DINE_IN[4])&gt;0,1,0)</f>
        <v>0</v>
      </c>
      <c r="L9" s="89">
        <f>IF(COUNTA(IPT_WASTE_HANDLING_DINE_IN[5])&gt;0,1,0)</f>
        <v>0</v>
      </c>
      <c r="M9" s="89">
        <f>IF(COUNTA(IPT_WASTE_HANDLING_DINE_IN[6])&gt;0,1,0)</f>
        <v>0</v>
      </c>
      <c r="N9" s="89">
        <f>IF(COUNTA(IPT_WASTE_HANDLING_DINE_IN[7])&gt;0,1,0)</f>
        <v>0</v>
      </c>
      <c r="O9" s="89">
        <f>IF(COUNTA(IPT_WASTE_HANDLING_DINE_IN[8])&gt;0,1,0)</f>
        <v>0</v>
      </c>
      <c r="P9" s="89">
        <f>IF(COUNTA(IPT_WASTE_HANDLING_DINE_IN[9])&gt;0,1,0)</f>
        <v>0</v>
      </c>
      <c r="Q9" s="89">
        <f>IF(COUNTA(IPT_WASTE_HANDLING_DINE_IN[10])&gt;0,1,0)</f>
        <v>0</v>
      </c>
      <c r="R9" s="89">
        <f>IF(COUNTA(IPT_WASTE_HANDLING_DINE_IN[11])&gt;0,1,0)</f>
        <v>0</v>
      </c>
      <c r="S9" s="89">
        <f>IF(COUNTA(IPT_WASTE_HANDLING_DINE_IN[12])&gt;0,1,0)</f>
        <v>0</v>
      </c>
      <c r="T9" s="89">
        <f>IF(COUNTA(IPT_WASTE_HANDLING_DINE_IN[13])&gt;0,1,0)</f>
        <v>0</v>
      </c>
      <c r="U9" s="89">
        <f>IF(COUNTA(IPT_WASTE_HANDLING_DINE_IN[14])&gt;0,1,0)</f>
        <v>0</v>
      </c>
      <c r="V9" s="89">
        <f>IF(COUNTA(IPT_WASTE_HANDLING_DINE_IN[15])&gt;0,1,0)</f>
        <v>0</v>
      </c>
      <c r="W9" s="89">
        <f>IF(COUNTA(IPT_WASTE_HANDLING_DINE_IN[16])&gt;0,1,0)</f>
        <v>0</v>
      </c>
      <c r="X9" s="89">
        <f>IF(COUNTA(IPT_WASTE_HANDLING_DINE_IN[17])&gt;0,1,0)</f>
        <v>0</v>
      </c>
      <c r="Y9" s="89">
        <f>IF(COUNTA(IPT_WASTE_HANDLING_DINE_IN[18])&gt;0,1,0)</f>
        <v>0</v>
      </c>
      <c r="Z9" s="89">
        <f>IF(COUNTA(IPT_WASTE_HANDLING_DINE_IN[19])&gt;0,1,0)</f>
        <v>0</v>
      </c>
      <c r="AA9" s="89">
        <f>IF(COUNTA(IPT_WASTE_HANDLING_DINE_IN[20])&gt;0,1,0)</f>
        <v>0</v>
      </c>
      <c r="AB9" s="89">
        <f>IF(COUNTA(IPT_WASTE_HANDLING_DINE_IN[21])&gt;0,1,0)</f>
        <v>0</v>
      </c>
      <c r="AC9" s="89">
        <f>IF(COUNTA(IPT_WASTE_HANDLING_DINE_IN[22])&gt;0,1,0)</f>
        <v>0</v>
      </c>
      <c r="AD9" s="89">
        <f>IF(COUNTA(IPT_WASTE_HANDLING_DINE_IN[23])&gt;0,1,0)</f>
        <v>0</v>
      </c>
      <c r="AE9" s="89">
        <f>IF(COUNTA(IPT_WASTE_HANDLING_DINE_IN[24])&gt;0,1,0)</f>
        <v>0</v>
      </c>
      <c r="AF9" s="89">
        <f>IF(COUNTA(IPT_WASTE_HANDLING_DINE_IN[25])&gt;0,1,0)</f>
        <v>0</v>
      </c>
      <c r="AG9" s="89">
        <f>IF(COUNTA(IPT_WASTE_HANDLING_DINE_IN[26])&gt;0,1,0)</f>
        <v>0</v>
      </c>
      <c r="AH9" s="89">
        <f>IF(COUNTA(IPT_WASTE_HANDLING_DINE_IN[27])&gt;0,1,0)</f>
        <v>0</v>
      </c>
      <c r="AI9" s="89">
        <f>IF(COUNTA(IPT_WASTE_HANDLING_DINE_IN[28])&gt;0,1,0)</f>
        <v>0</v>
      </c>
      <c r="AJ9" s="89">
        <f>IF(COUNTA(IPT_WASTE_HANDLING_DINE_IN[29])&gt;0,1,0)</f>
        <v>0</v>
      </c>
      <c r="AK9" s="89">
        <f>IF(COUNTA(IPT_WASTE_HANDLING_DINE_IN[30])&gt;0,1,0)</f>
        <v>0</v>
      </c>
      <c r="AL9" s="89">
        <f>IF(COUNTA(IPT_WASTE_HANDLING_DINE_IN[31])&gt;0,1,0)</f>
        <v>0</v>
      </c>
    </row>
    <row r="10" spans="1:38" ht="20.149999999999999" customHeight="1" x14ac:dyDescent="0.35">
      <c r="A10" s="78">
        <v>7</v>
      </c>
      <c r="B10" s="84" t="s">
        <v>792</v>
      </c>
      <c r="C10" s="78">
        <v>31</v>
      </c>
      <c r="D10" t="str">
        <f t="shared" si="0"/>
        <v>BELUM ADA INPUTAN</v>
      </c>
      <c r="E10" s="86">
        <f t="shared" si="1"/>
        <v>0</v>
      </c>
      <c r="F10" s="87" cm="1">
        <f t="array" ref="F10">IFERROR(LOOKUP(2,1/(H10:U10=1),_PERIODE!$B$10:$B$40),0)</f>
        <v>0</v>
      </c>
      <c r="G10" s="88" t="str">
        <f>IFERROR(INDEX(_PERIODE!$C$10:$C$40,MATCH(F10,_PERIODE!$B$10:$B$40,0)),"Belum ada")</f>
        <v>Belum ada</v>
      </c>
      <c r="H10" s="89">
        <f>IF(COUNTA(IPT_WASTE_CN[1])&gt;0,1,0)</f>
        <v>0</v>
      </c>
      <c r="I10" s="89">
        <f>IF(COUNTA(IPT_WASTE_CN[2])&gt;0,1,0)</f>
        <v>0</v>
      </c>
      <c r="J10" s="89">
        <f>IF(COUNTA(IPT_WASTE_CN[3])&gt;0,1,0)</f>
        <v>0</v>
      </c>
      <c r="K10" s="89">
        <f>IF(COUNTA(IPT_WASTE_CN[4])&gt;0,1,0)</f>
        <v>0</v>
      </c>
      <c r="L10" s="89">
        <f>IF(COUNTA(IPT_WASTE_CN[5])&gt;0,1,0)</f>
        <v>0</v>
      </c>
      <c r="M10" s="89">
        <f>IF(COUNTA(IPT_WASTE_CN[6])&gt;0,1,0)</f>
        <v>0</v>
      </c>
      <c r="N10" s="89">
        <f>IF(COUNTA(IPT_WASTE_CN[7])&gt;0,1,0)</f>
        <v>0</v>
      </c>
      <c r="O10" s="89">
        <f>IF(COUNTA(IPT_WASTE_CN[8])&gt;0,1,0)</f>
        <v>0</v>
      </c>
      <c r="P10" s="89">
        <f>IF(COUNTA(IPT_WASTE_CN[9])&gt;0,1,0)</f>
        <v>0</v>
      </c>
      <c r="Q10" s="89">
        <f>IF(COUNTA(IPT_WASTE_CN[10])&gt;0,1,0)</f>
        <v>0</v>
      </c>
      <c r="R10" s="89">
        <f>IF(COUNTA(IPT_WASTE_CN[11])&gt;0,1,0)</f>
        <v>0</v>
      </c>
      <c r="S10" s="89">
        <f>IF(COUNTA(IPT_WASTE_CN[12])&gt;0,1,0)</f>
        <v>0</v>
      </c>
      <c r="T10" s="89">
        <f>IF(COUNTA(IPT_WASTE_CN[13])&gt;0,1,0)</f>
        <v>0</v>
      </c>
      <c r="U10" s="89">
        <f>IF(COUNTA(IPT_WASTE_CN[14])&gt;0,1,0)</f>
        <v>0</v>
      </c>
      <c r="V10" s="89">
        <f>IF(COUNTA(IPT_WASTE_CN[15])&gt;0,1,0)</f>
        <v>0</v>
      </c>
      <c r="W10" s="89">
        <f>IF(COUNTA(IPT_WASTE_CN[16])&gt;0,1,0)</f>
        <v>0</v>
      </c>
      <c r="X10" s="89">
        <f>IF(COUNTA(IPT_WASTE_CN[17])&gt;0,1,0)</f>
        <v>0</v>
      </c>
      <c r="Y10" s="89">
        <f>IF(COUNTA(IPT_WASTE_CN[18])&gt;0,1,0)</f>
        <v>0</v>
      </c>
      <c r="Z10" s="89">
        <f>IF(COUNTA(IPT_WASTE_CN[19])&gt;0,1,0)</f>
        <v>0</v>
      </c>
      <c r="AA10" s="89">
        <f>IF(COUNTA(IPT_WASTE_CN[20])&gt;0,1,0)</f>
        <v>0</v>
      </c>
      <c r="AB10" s="89">
        <f>IF(COUNTA(IPT_WASTE_CN[21])&gt;0,1,0)</f>
        <v>0</v>
      </c>
      <c r="AC10" s="89">
        <f>IF(COUNTA(IPT_WASTE_CN[22])&gt;0,1,0)</f>
        <v>0</v>
      </c>
      <c r="AD10" s="89">
        <f>IF(COUNTA(IPT_WASTE_CN[23])&gt;0,1,0)</f>
        <v>0</v>
      </c>
      <c r="AE10" s="89">
        <f>IF(COUNTA(IPT_WASTE_CN[24])&gt;0,1,0)</f>
        <v>0</v>
      </c>
      <c r="AF10" s="89">
        <f>IF(COUNTA(IPT_WASTE_CN[25])&gt;0,1,0)</f>
        <v>0</v>
      </c>
      <c r="AG10" s="89">
        <f>IF(COUNTA(IPT_WASTE_CN[26])&gt;0,1,0)</f>
        <v>0</v>
      </c>
      <c r="AH10" s="89">
        <f>IF(COUNTA(IPT_WASTE_CN[27])&gt;0,1,0)</f>
        <v>0</v>
      </c>
      <c r="AI10" s="89">
        <f>IF(COUNTA(IPT_WASTE_CN[28])&gt;0,1,0)</f>
        <v>0</v>
      </c>
      <c r="AJ10" s="89">
        <f>IF(COUNTA(IPT_WASTE_CN[29])&gt;0,1,0)</f>
        <v>0</v>
      </c>
      <c r="AK10" s="89">
        <f>IF(COUNTA(IPT_WASTE_CN[30])&gt;0,1,0)</f>
        <v>0</v>
      </c>
      <c r="AL10" s="89">
        <f>IF(COUNTA(IPT_WASTE_CN[31])&gt;0,1,0)</f>
        <v>0</v>
      </c>
    </row>
    <row r="11" spans="1:38" ht="20.149999999999999" customHeight="1" x14ac:dyDescent="0.35">
      <c r="A11" s="78">
        <v>8</v>
      </c>
      <c r="B11" s="84" t="s">
        <v>307</v>
      </c>
      <c r="C11" s="78">
        <v>31</v>
      </c>
      <c r="D11" t="str">
        <f t="shared" si="0"/>
        <v>PROGRESS</v>
      </c>
      <c r="E11" s="86">
        <f t="shared" si="1"/>
        <v>2</v>
      </c>
      <c r="F11" s="87" cm="1">
        <f t="array" ref="F11">IFERROR(LOOKUP(2,1/(H11:U11=1),_PERIODE!$B$10:$B$40),0)</f>
        <v>14</v>
      </c>
      <c r="G11" s="88">
        <f>IFERROR(INDEX(_PERIODE!$C$10:$C$40,MATCH(F11,_PERIODE!$B$10:$B$40,0)),"Belum ada")</f>
        <v>46279</v>
      </c>
      <c r="H11" s="89">
        <f>IF(COUNTA(IPT_TRIAL_PORSI[1])&gt;0,1,0)</f>
        <v>0</v>
      </c>
      <c r="I11" s="89">
        <f>IF(COUNTA(IPT_TRIAL_PORSI[2])&gt;0,1,0)</f>
        <v>0</v>
      </c>
      <c r="J11" s="89">
        <f>IF(COUNTA(IPT_TRIAL_PORSI[3])&gt;0,1,0)</f>
        <v>0</v>
      </c>
      <c r="K11" s="89">
        <f>IF(COUNTA(IPT_TRIAL_PORSI[4])&gt;0,1,0)</f>
        <v>0</v>
      </c>
      <c r="L11" s="89">
        <f>IF(COUNTA(IPT_TRIAL_PORSI[5])&gt;0,1,0)</f>
        <v>0</v>
      </c>
      <c r="M11" s="89">
        <f>IF(COUNTA(IPT_TRIAL_PORSI[6])&gt;0,1,0)</f>
        <v>0</v>
      </c>
      <c r="N11" s="89">
        <f>IF(COUNTA(IPT_TRIAL_PORSI[7])&gt;0,1,0)</f>
        <v>0</v>
      </c>
      <c r="O11" s="89">
        <f>IF(COUNTA(IPT_TRIAL_PORSI[8])&gt;0,1,0)</f>
        <v>0</v>
      </c>
      <c r="P11" s="89">
        <f>IF(COUNTA(IPT_TRIAL_PORSI[9])&gt;0,1,0)</f>
        <v>1</v>
      </c>
      <c r="Q11" s="89">
        <f>IF(COUNTA(IPT_TRIAL_PORSI[10])&gt;0,1,0)</f>
        <v>0</v>
      </c>
      <c r="R11" s="89">
        <f>IF(COUNTA(IPT_TRIAL_PORSI[11])&gt;0,1,0)</f>
        <v>0</v>
      </c>
      <c r="S11" s="89">
        <f>IF(COUNTA(IPT_TRIAL_PORSI[12])&gt;0,1,0)</f>
        <v>0</v>
      </c>
      <c r="T11" s="89">
        <f>IF(COUNTA(IPT_TRIAL_PORSI[13])&gt;0,1,0)</f>
        <v>0</v>
      </c>
      <c r="U11" s="89">
        <f>IF(COUNTA(IPT_TRIAL_PORSI[14])&gt;0,1,0)</f>
        <v>1</v>
      </c>
      <c r="V11" s="89">
        <f>IF(COUNTA(IPT_TRIAL_PORSI[15])&gt;0,1,0)</f>
        <v>0</v>
      </c>
      <c r="W11" s="89">
        <f>IF(COUNTA(IPT_TRIAL_PORSI[16])&gt;0,1,0)</f>
        <v>0</v>
      </c>
      <c r="X11" s="89">
        <f>IF(COUNTA(IPT_TRIAL_PORSI[17])&gt;0,1,0)</f>
        <v>0</v>
      </c>
      <c r="Y11" s="89">
        <f>IF(COUNTA(IPT_TRIAL_PORSI[18])&gt;0,1,0)</f>
        <v>0</v>
      </c>
      <c r="Z11" s="89">
        <f>IF(COUNTA(IPT_TRIAL_PORSI[19])&gt;0,1,0)</f>
        <v>0</v>
      </c>
      <c r="AA11" s="89">
        <f>IF(COUNTA(IPT_TRIAL_PORSI[20])&gt;0,1,0)</f>
        <v>0</v>
      </c>
      <c r="AB11" s="89">
        <f>IF(COUNTA(IPT_TRIAL_PORSI[21])&gt;0,1,0)</f>
        <v>0</v>
      </c>
      <c r="AC11" s="89">
        <f>IF(COUNTA(IPT_TRIAL_PORSI[22])&gt;0,1,0)</f>
        <v>0</v>
      </c>
      <c r="AD11" s="89">
        <f>IF(COUNTA(IPT_TRIAL_PORSI[23])&gt;0,1,0)</f>
        <v>0</v>
      </c>
      <c r="AE11" s="89">
        <f>IF(COUNTA(IPT_TRIAL_PORSI[24])&gt;0,1,0)</f>
        <v>0</v>
      </c>
      <c r="AF11" s="89">
        <f>IF(COUNTA(IPT_TRIAL_PORSI[25])&gt;0,1,0)</f>
        <v>0</v>
      </c>
      <c r="AG11" s="89">
        <f>IF(COUNTA(IPT_TRIAL_PORSI[26])&gt;0,1,0)</f>
        <v>0</v>
      </c>
      <c r="AH11" s="89">
        <f>IF(COUNTA(IPT_TRIAL_PORSI[27])&gt;0,1,0)</f>
        <v>0</v>
      </c>
      <c r="AI11" s="89">
        <f>IF(COUNTA(IPT_TRIAL_PORSI[28])&gt;0,1,0)</f>
        <v>0</v>
      </c>
      <c r="AJ11" s="89">
        <f>IF(COUNTA(IPT_TRIAL_PORSI[29])&gt;0,1,0)</f>
        <v>0</v>
      </c>
      <c r="AK11" s="89">
        <f>IF(COUNTA(IPT_TRIAL_PORSI[30])&gt;0,1,0)</f>
        <v>0</v>
      </c>
      <c r="AL11" s="89">
        <f>IF(COUNTA(IPT_TRIAL_PORSI[31])&gt;0,1,0)</f>
        <v>0</v>
      </c>
    </row>
    <row r="12" spans="1:38" ht="20.149999999999999" customHeight="1" x14ac:dyDescent="0.35">
      <c r="A12" s="78">
        <v>9</v>
      </c>
      <c r="B12" s="84" t="s">
        <v>793</v>
      </c>
      <c r="C12" s="78">
        <v>31</v>
      </c>
      <c r="D12" t="str">
        <f t="shared" si="0"/>
        <v>PROGRESS</v>
      </c>
      <c r="E12" s="86">
        <f t="shared" si="1"/>
        <v>14</v>
      </c>
      <c r="F12" s="87" cm="1">
        <f t="array" ref="F12">IFERROR(LOOKUP(2,1/(H12:U12=1),_PERIODE!$B$10:$B$40),0)</f>
        <v>14</v>
      </c>
      <c r="G12" s="88">
        <f>IFERROR(INDEX(_PERIODE!$C$10:$C$40,MATCH(F12,_PERIODE!$B$10:$B$40,0)),"Belum ada")</f>
        <v>46279</v>
      </c>
      <c r="H12" s="89">
        <f>IF(COUNTA(IPT_WASTE_BAHAN_DAN_PACKAGING[1])&gt;0,1,0)</f>
        <v>1</v>
      </c>
      <c r="I12" s="89">
        <f>IF(COUNTA(IPT_WASTE_BAHAN_DAN_PACKAGING[2])&gt;0,1,0)</f>
        <v>1</v>
      </c>
      <c r="J12" s="89">
        <f>IF(COUNTA(IPT_WASTE_BAHAN_DAN_PACKAGING[3])&gt;0,1,0)</f>
        <v>1</v>
      </c>
      <c r="K12" s="89">
        <f>IF(COUNTA(IPT_WASTE_BAHAN_DAN_PACKAGING[4])&gt;0,1,0)</f>
        <v>1</v>
      </c>
      <c r="L12" s="89">
        <f>IF(COUNTA(IPT_WASTE_BAHAN_DAN_PACKAGING[5])&gt;0,1,0)</f>
        <v>1</v>
      </c>
      <c r="M12" s="89">
        <f>IF(COUNTA(IPT_WASTE_BAHAN_DAN_PACKAGING[6])&gt;0,1,0)</f>
        <v>1</v>
      </c>
      <c r="N12" s="89">
        <f>IF(COUNTA(IPT_WASTE_BAHAN_DAN_PACKAGING[7])&gt;0,1,0)</f>
        <v>1</v>
      </c>
      <c r="O12" s="89">
        <f>IF(COUNTA(IPT_WASTE_BAHAN_DAN_PACKAGING[8])&gt;0,1,0)</f>
        <v>1</v>
      </c>
      <c r="P12" s="89">
        <f>IF(COUNTA(IPT_WASTE_BAHAN_DAN_PACKAGING[9])&gt;0,1,0)</f>
        <v>1</v>
      </c>
      <c r="Q12" s="89">
        <f>IF(COUNTA(IPT_WASTE_BAHAN_DAN_PACKAGING[10])&gt;0,1,0)</f>
        <v>1</v>
      </c>
      <c r="R12" s="89">
        <f>IF(COUNTA(IPT_WASTE_BAHAN_DAN_PACKAGING[11])&gt;0,1,0)</f>
        <v>1</v>
      </c>
      <c r="S12" s="89">
        <f>IF(COUNTA(IPT_WASTE_BAHAN_DAN_PACKAGING[12])&gt;0,1,0)</f>
        <v>1</v>
      </c>
      <c r="T12" s="89">
        <f>IF(COUNTA(IPT_WASTE_BAHAN_DAN_PACKAGING[13])&gt;0,1,0)</f>
        <v>1</v>
      </c>
      <c r="U12" s="89">
        <f>IF(COUNTA(IPT_WASTE_BAHAN_DAN_PACKAGING[14])&gt;0,1,0)</f>
        <v>1</v>
      </c>
      <c r="V12" s="89">
        <f>IF(COUNTA(IPT_WASTE_BAHAN_DAN_PACKAGING[15])&gt;0,1,0)</f>
        <v>0</v>
      </c>
      <c r="W12" s="89">
        <f>IF(COUNTA(IPT_WASTE_BAHAN_DAN_PACKAGING[16])&gt;0,1,0)</f>
        <v>0</v>
      </c>
      <c r="X12" s="89">
        <f>IF(COUNTA(IPT_WASTE_BAHAN_DAN_PACKAGING[17])&gt;0,1,0)</f>
        <v>0</v>
      </c>
      <c r="Y12" s="89">
        <f>IF(COUNTA(IPT_WASTE_BAHAN_DAN_PACKAGING[18])&gt;0,1,0)</f>
        <v>0</v>
      </c>
      <c r="Z12" s="89">
        <f>IF(COUNTA(IPT_WASTE_BAHAN_DAN_PACKAGING[19])&gt;0,1,0)</f>
        <v>0</v>
      </c>
      <c r="AA12" s="89">
        <f>IF(COUNTA(IPT_WASTE_BAHAN_DAN_PACKAGING[20])&gt;0,1,0)</f>
        <v>0</v>
      </c>
      <c r="AB12" s="89">
        <f>IF(COUNTA(IPT_WASTE_BAHAN_DAN_PACKAGING[21])&gt;0,1,0)</f>
        <v>0</v>
      </c>
      <c r="AC12" s="89">
        <f>IF(COUNTA(IPT_WASTE_BAHAN_DAN_PACKAGING[22])&gt;0,1,0)</f>
        <v>0</v>
      </c>
      <c r="AD12" s="89">
        <f>IF(COUNTA(IPT_WASTE_BAHAN_DAN_PACKAGING[23])&gt;0,1,0)</f>
        <v>0</v>
      </c>
      <c r="AE12" s="89">
        <f>IF(COUNTA(IPT_WASTE_BAHAN_DAN_PACKAGING[24])&gt;0,1,0)</f>
        <v>0</v>
      </c>
      <c r="AF12" s="89">
        <f>IF(COUNTA(IPT_WASTE_BAHAN_DAN_PACKAGING[25])&gt;0,1,0)</f>
        <v>0</v>
      </c>
      <c r="AG12" s="89">
        <f>IF(COUNTA(IPT_WASTE_BAHAN_DAN_PACKAGING[26])&gt;0,1,0)</f>
        <v>0</v>
      </c>
      <c r="AH12" s="89">
        <f>IF(COUNTA(IPT_WASTE_BAHAN_DAN_PACKAGING[27])&gt;0,1,0)</f>
        <v>0</v>
      </c>
      <c r="AI12" s="89">
        <f>IF(COUNTA(IPT_WASTE_BAHAN_DAN_PACKAGING[28])&gt;0,1,0)</f>
        <v>0</v>
      </c>
      <c r="AJ12" s="89">
        <f>IF(COUNTA(IPT_WASTE_BAHAN_DAN_PACKAGING[29])&gt;0,1,0)</f>
        <v>0</v>
      </c>
      <c r="AK12" s="89">
        <f>IF(COUNTA(IPT_WASTE_BAHAN_DAN_PACKAGING[30])&gt;0,1,0)</f>
        <v>0</v>
      </c>
      <c r="AL12" s="89">
        <f>IF(COUNTA(IPT_WASTE_BAHAN_DAN_PACKAGING[31])&gt;0,1,0)</f>
        <v>0</v>
      </c>
    </row>
    <row r="13" spans="1:38" ht="20.149999999999999" customHeight="1" x14ac:dyDescent="0.35">
      <c r="A13" s="78">
        <v>10</v>
      </c>
      <c r="B13" s="84" t="s">
        <v>312</v>
      </c>
      <c r="C13" s="78">
        <v>31</v>
      </c>
      <c r="D13" t="str">
        <f t="shared" si="0"/>
        <v>PROGRESS</v>
      </c>
      <c r="E13" s="86">
        <f t="shared" si="1"/>
        <v>5</v>
      </c>
      <c r="F13" s="87" cm="1">
        <f t="array" ref="F13">IFERROR(LOOKUP(2,1/(H13:U13=1),_PERIODE!$B$10:$B$40),0)</f>
        <v>14</v>
      </c>
      <c r="G13" s="88">
        <f>IFERROR(INDEX(_PERIODE!$C$10:$C$40,MATCH(F13,_PERIODE!$B$10:$B$40,0)),"Belum ada")</f>
        <v>46279</v>
      </c>
      <c r="H13" s="89">
        <f>IF(COUNTA(SUSUT[1])&gt;0,1,0)</f>
        <v>1</v>
      </c>
      <c r="I13" s="89">
        <f>IF(COUNTA(SUSUT[2])&gt;0,1,0)</f>
        <v>0</v>
      </c>
      <c r="J13" s="89">
        <f>IF(COUNTA(SUSUT[3])&gt;0,1,0)</f>
        <v>0</v>
      </c>
      <c r="K13" s="89">
        <f>IF(COUNTA(SUSUT[4])&gt;0,1,0)</f>
        <v>0</v>
      </c>
      <c r="L13" s="89">
        <f>IF(COUNTA(SUSUT[5])&gt;0,1,0)</f>
        <v>1</v>
      </c>
      <c r="M13" s="89">
        <f>IF(COUNTA(SUSUT[6])&gt;0,1,0)</f>
        <v>0</v>
      </c>
      <c r="N13" s="89">
        <f>IF(COUNTA(SUSUT[7])&gt;0,1,0)</f>
        <v>1</v>
      </c>
      <c r="O13" s="89">
        <f>IF(COUNTA(SUSUT[8])&gt;0,1,0)</f>
        <v>0</v>
      </c>
      <c r="P13" s="89">
        <f>IF(COUNTA(SUSUT[9])&gt;0,1,0)</f>
        <v>0</v>
      </c>
      <c r="Q13" s="89">
        <f>IF(COUNTA(SUSUT[10])&gt;0,1,0)</f>
        <v>0</v>
      </c>
      <c r="R13" s="89">
        <f>IF(COUNTA(SUSUT[11])&gt;0,1,0)</f>
        <v>0</v>
      </c>
      <c r="S13" s="89">
        <f>IF(COUNTA(SUSUT[12])&gt;0,1,0)</f>
        <v>0</v>
      </c>
      <c r="T13" s="89">
        <f>IF(COUNTA(SUSUT[13])&gt;0,1,0)</f>
        <v>1</v>
      </c>
      <c r="U13" s="89">
        <f>IF(COUNTA(SUSUT[14])&gt;0,1,0)</f>
        <v>1</v>
      </c>
      <c r="V13" s="89">
        <f>IF(COUNTA(SUSUT[15])&gt;0,1,0)</f>
        <v>0</v>
      </c>
      <c r="W13" s="89">
        <f>IF(COUNTA(SUSUT[16])&gt;0,1,0)</f>
        <v>0</v>
      </c>
      <c r="X13" s="89">
        <f>IF(COUNTA(SUSUT[17])&gt;0,1,0)</f>
        <v>0</v>
      </c>
      <c r="Y13" s="89">
        <f>IF(COUNTA(SUSUT[18])&gt;0,1,0)</f>
        <v>0</v>
      </c>
      <c r="Z13" s="89">
        <f>IF(COUNTA(SUSUT[19])&gt;0,1,0)</f>
        <v>0</v>
      </c>
      <c r="AA13" s="89">
        <f>IF(COUNTA(SUSUT[20])&gt;0,1,0)</f>
        <v>0</v>
      </c>
      <c r="AB13" s="89">
        <f>IF(COUNTA(SUSUT[21])&gt;0,1,0)</f>
        <v>0</v>
      </c>
      <c r="AC13" s="89">
        <f>IF(COUNTA(SUSUT[22])&gt;0,1,0)</f>
        <v>0</v>
      </c>
      <c r="AD13" s="89">
        <f>IF(COUNTA(SUSUT[23])&gt;0,1,0)</f>
        <v>0</v>
      </c>
      <c r="AE13" s="89">
        <f>IF(COUNTA(SUSUT[24])&gt;0,1,0)</f>
        <v>0</v>
      </c>
      <c r="AF13" s="89">
        <f>IF(COUNTA(SUSUT[25])&gt;0,1,0)</f>
        <v>0</v>
      </c>
      <c r="AG13" s="89">
        <f>IF(COUNTA(SUSUT[26])&gt;0,1,0)</f>
        <v>0</v>
      </c>
      <c r="AH13" s="89">
        <f>IF(COUNTA(SUSUT[27])&gt;0,1,0)</f>
        <v>0</v>
      </c>
      <c r="AI13" s="89">
        <f>IF(COUNTA(SUSUT[28])&gt;0,1,0)</f>
        <v>0</v>
      </c>
      <c r="AJ13" s="89">
        <f>IF(COUNTA(SUSUT[29])&gt;0,1,0)</f>
        <v>0</v>
      </c>
      <c r="AK13" s="89">
        <f>IF(COUNTA(SUSUT[30])&gt;0,1,0)</f>
        <v>0</v>
      </c>
      <c r="AL13" s="89">
        <f>IF(COUNTA(SUSUT[31])&gt;0,1,0)</f>
        <v>0</v>
      </c>
    </row>
    <row r="14" spans="1:38" ht="20.149999999999999" customHeight="1" x14ac:dyDescent="0.35">
      <c r="A14" s="78">
        <v>11</v>
      </c>
      <c r="B14" s="84" t="s">
        <v>306</v>
      </c>
      <c r="C14" s="78">
        <v>31</v>
      </c>
      <c r="D14" t="str">
        <f t="shared" si="0"/>
        <v>PROGRESS</v>
      </c>
      <c r="E14" s="86">
        <f t="shared" si="1"/>
        <v>4</v>
      </c>
      <c r="F14" s="87" cm="1">
        <f t="array" ref="F14">IFERROR(LOOKUP(2,1/(H14:U14=1),_PERIODE!$B$10:$B$40),0)</f>
        <v>14</v>
      </c>
      <c r="G14" s="88">
        <f>IFERROR(INDEX(_PERIODE!$C$10:$C$40,MATCH(F14,_PERIODE!$B$10:$B$40,0)),"Belum ada")</f>
        <v>46279</v>
      </c>
      <c r="H14" s="89">
        <f>IF(COUNTA(TRIAL_BAHAN[1])&gt;0,1,0)</f>
        <v>1</v>
      </c>
      <c r="I14" s="89">
        <f>IF(COUNTA(TRIAL_BAHAN[2])&gt;0,1,0)</f>
        <v>0</v>
      </c>
      <c r="J14" s="89">
        <f>IF(COUNTA(TRIAL_BAHAN[3])&gt;0,1,0)</f>
        <v>0</v>
      </c>
      <c r="K14" s="89">
        <f>IF(COUNTA(TRIAL_BAHAN[4])&gt;0,1,0)</f>
        <v>0</v>
      </c>
      <c r="L14" s="89">
        <f>IF(COUNTA(TRIAL_BAHAN[5])&gt;0,1,0)</f>
        <v>0</v>
      </c>
      <c r="M14" s="89">
        <f>IF(COUNTA(TRIAL_BAHAN[6])&gt;0,1,0)</f>
        <v>1</v>
      </c>
      <c r="N14" s="89">
        <f>IF(COUNTA(TRIAL_BAHAN[7])&gt;0,1,0)</f>
        <v>0</v>
      </c>
      <c r="O14" s="89">
        <f>IF(COUNTA(TRIAL_BAHAN[8])&gt;0,1,0)</f>
        <v>0</v>
      </c>
      <c r="P14" s="89">
        <f>IF(COUNTA(TRIAL_BAHAN[9])&gt;0,1,0)</f>
        <v>1</v>
      </c>
      <c r="Q14" s="89">
        <f>IF(COUNTA(TRIAL_BAHAN[10])&gt;0,1,0)</f>
        <v>0</v>
      </c>
      <c r="R14" s="89">
        <f>IF(COUNTA(TRIAL_BAHAN[11])&gt;0,1,0)</f>
        <v>0</v>
      </c>
      <c r="S14" s="89">
        <f>IF(COUNTA(TRIAL_BAHAN[12])&gt;0,1,0)</f>
        <v>0</v>
      </c>
      <c r="T14" s="89">
        <f>IF(COUNTA(TRIAL_BAHAN[13])&gt;0,1,0)</f>
        <v>0</v>
      </c>
      <c r="U14" s="89">
        <f>IF(COUNTA(TRIAL_BAHAN[14])&gt;0,1,0)</f>
        <v>1</v>
      </c>
      <c r="V14" s="89">
        <f>IF(COUNTA(TRIAL_BAHAN[15])&gt;0,1,0)</f>
        <v>0</v>
      </c>
      <c r="W14" s="89">
        <f>IF(COUNTA(TRIAL_BAHAN[16])&gt;0,1,0)</f>
        <v>0</v>
      </c>
      <c r="X14" s="89">
        <f>IF(COUNTA(TRIAL_BAHAN[17])&gt;0,1,0)</f>
        <v>0</v>
      </c>
      <c r="Y14" s="89">
        <f>IF(COUNTA(TRIAL_BAHAN[18])&gt;0,1,0)</f>
        <v>0</v>
      </c>
      <c r="Z14" s="89">
        <f>IF(COUNTA(TRIAL_BAHAN[19])&gt;0,1,0)</f>
        <v>0</v>
      </c>
      <c r="AA14" s="89">
        <f>IF(COUNTA(TRIAL_BAHAN[20])&gt;0,1,0)</f>
        <v>0</v>
      </c>
      <c r="AB14" s="89">
        <f>IF(COUNTA(TRIAL_BAHAN[21])&gt;0,1,0)</f>
        <v>0</v>
      </c>
      <c r="AC14" s="89">
        <f>IF(COUNTA(TRIAL_BAHAN[22])&gt;0,1,0)</f>
        <v>0</v>
      </c>
      <c r="AD14" s="89">
        <f>IF(COUNTA(TRIAL_BAHAN[23])&gt;0,1,0)</f>
        <v>0</v>
      </c>
      <c r="AE14" s="89">
        <f>IF(COUNTA(TRIAL_BAHAN[24])&gt;0,1,0)</f>
        <v>0</v>
      </c>
      <c r="AF14" s="89">
        <f>IF(COUNTA(TRIAL_BAHAN[25])&gt;0,1,0)</f>
        <v>0</v>
      </c>
      <c r="AG14" s="89">
        <f>IF(COUNTA(TRIAL_BAHAN[26])&gt;0,1,0)</f>
        <v>0</v>
      </c>
      <c r="AH14" s="89">
        <f>IF(COUNTA(TRIAL_BAHAN[27])&gt;0,1,0)</f>
        <v>0</v>
      </c>
      <c r="AI14" s="89">
        <f>IF(COUNTA(TRIAL_BAHAN[28])&gt;0,1,0)</f>
        <v>0</v>
      </c>
      <c r="AJ14" s="89">
        <f>IF(COUNTA(TRIAL_BAHAN[29])&gt;0,1,0)</f>
        <v>0</v>
      </c>
      <c r="AK14" s="89">
        <f>IF(COUNTA(TRIAL_BAHAN[30])&gt;0,1,0)</f>
        <v>0</v>
      </c>
      <c r="AL14" s="89">
        <f>IF(COUNTA(TRIAL_BAHAN[31])&gt;0,1,0)</f>
        <v>0</v>
      </c>
    </row>
    <row r="15" spans="1:38" ht="20.149999999999999" customHeight="1" x14ac:dyDescent="0.35">
      <c r="A15" s="78">
        <v>12</v>
      </c>
      <c r="B15" s="84" t="s">
        <v>173</v>
      </c>
      <c r="C15" s="78">
        <v>1</v>
      </c>
      <c r="D15" t="str">
        <f>IF(C15=E15,"COMPLETED",IF(E15=0,"BELUM ADA INPUTAN","PROGRESS"))</f>
        <v>COMPLETED</v>
      </c>
      <c r="E15" s="86">
        <f t="shared" si="1"/>
        <v>1</v>
      </c>
      <c r="F15" s="87" cm="1">
        <f t="array" ref="F15">IFERROR(LOOKUP(2,1/(H15:U15=1),_PERIODE!$B$10:$B$40),0)</f>
        <v>1</v>
      </c>
      <c r="G15" s="88">
        <f>IFERROR(INDEX(_PERIODE!$C$10:$C$40,MATCH(F15,_PERIODE!$B$10:$B$40,0)),"Belum ada")</f>
        <v>46266</v>
      </c>
      <c r="H15" s="89">
        <f>IF(COUNTA(IPT_STOCK_AWAL[STOCK AWAL])&gt;0,1,0)</f>
        <v>1</v>
      </c>
      <c r="I15" s="89">
        <v>0</v>
      </c>
      <c r="J15" s="89">
        <v>0</v>
      </c>
      <c r="K15" s="89">
        <v>0</v>
      </c>
      <c r="L15" s="89">
        <v>0</v>
      </c>
      <c r="M15" s="89">
        <v>0</v>
      </c>
      <c r="N15" s="89">
        <v>0</v>
      </c>
      <c r="O15" s="89">
        <v>0</v>
      </c>
      <c r="P15" s="89">
        <v>0</v>
      </c>
      <c r="Q15" s="89">
        <v>0</v>
      </c>
      <c r="R15" s="89">
        <v>0</v>
      </c>
      <c r="S15" s="89">
        <v>0</v>
      </c>
      <c r="T15" s="89">
        <v>0</v>
      </c>
      <c r="U15" s="89">
        <v>0</v>
      </c>
      <c r="V15" s="89">
        <v>0</v>
      </c>
      <c r="W15" s="89">
        <v>0</v>
      </c>
      <c r="X15" s="89">
        <v>0</v>
      </c>
      <c r="Y15" s="89">
        <v>0</v>
      </c>
      <c r="Z15" s="89">
        <v>0</v>
      </c>
      <c r="AA15" s="89">
        <v>0</v>
      </c>
      <c r="AB15" s="89">
        <v>0</v>
      </c>
      <c r="AC15" s="89">
        <v>0</v>
      </c>
      <c r="AD15" s="89">
        <v>0</v>
      </c>
      <c r="AE15" s="89">
        <v>0</v>
      </c>
      <c r="AF15" s="89">
        <v>0</v>
      </c>
      <c r="AG15" s="89">
        <v>0</v>
      </c>
      <c r="AH15" s="89">
        <v>0</v>
      </c>
      <c r="AI15" s="89">
        <v>0</v>
      </c>
      <c r="AJ15" s="89">
        <v>0</v>
      </c>
      <c r="AK15" s="89">
        <v>0</v>
      </c>
      <c r="AL15" s="89">
        <v>0</v>
      </c>
    </row>
    <row r="19" spans="2:2" x14ac:dyDescent="0.35">
      <c r="B19" s="85" t="str">
        <f>IF(C19=A19,"COMPLETED",IF(C19=0,"PENDING","IN PROGRESS"))</f>
        <v>COMPLETED</v>
      </c>
    </row>
  </sheetData>
  <sheetProtection algorithmName="SHA-512" hashValue="l8+QkJbjXe1bYYHV3OcSrCAaJ3s5Mmwax1Uw2w+ZpCHlXFBLYL22y4mptaVKGU4UPwfRi9uilDQw4AisBx4Hzw==" saltValue="K+zKKC+nKCkf8+h7APsdIA==" spinCount="100000"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1A65B-FD39-4CD8-9D76-65B2F59C03DB}">
  <sheetPr codeName="Sheet15"/>
  <dimension ref="B2:F40"/>
  <sheetViews>
    <sheetView workbookViewId="0">
      <selection activeCell="C20" sqref="C20"/>
    </sheetView>
  </sheetViews>
  <sheetFormatPr defaultRowHeight="14.5" x14ac:dyDescent="0.35"/>
  <cols>
    <col min="1" max="1" width="2" customWidth="1"/>
    <col min="2" max="2" width="8" customWidth="1"/>
    <col min="3" max="4" width="14" customWidth="1"/>
    <col min="5" max="5" width="2" customWidth="1"/>
    <col min="6" max="6" width="50" customWidth="1"/>
  </cols>
  <sheetData>
    <row r="2" spans="2:6" x14ac:dyDescent="0.35">
      <c r="B2" s="179" t="s">
        <v>794</v>
      </c>
      <c r="C2" s="176"/>
      <c r="D2" s="176"/>
      <c r="E2" s="176"/>
    </row>
    <row r="3" spans="2:6" x14ac:dyDescent="0.35">
      <c r="B3" s="176"/>
      <c r="C3" s="176"/>
      <c r="D3" s="176"/>
      <c r="E3" s="176"/>
    </row>
    <row r="5" spans="2:6" ht="15.5" x14ac:dyDescent="0.35">
      <c r="B5" s="90" t="s">
        <v>795</v>
      </c>
      <c r="C5" s="91">
        <v>46266</v>
      </c>
      <c r="E5" s="92" t="s">
        <v>796</v>
      </c>
    </row>
    <row r="8" spans="2:6" ht="15.5" x14ac:dyDescent="0.35">
      <c r="B8" s="178" t="s">
        <v>797</v>
      </c>
      <c r="C8" s="176"/>
      <c r="D8" s="176"/>
    </row>
    <row r="9" spans="2:6" x14ac:dyDescent="0.35">
      <c r="B9" s="93" t="s">
        <v>798</v>
      </c>
      <c r="C9" s="93" t="s">
        <v>799</v>
      </c>
      <c r="D9" s="93" t="s">
        <v>800</v>
      </c>
      <c r="F9" s="94" t="s">
        <v>801</v>
      </c>
    </row>
    <row r="10" spans="2:6" x14ac:dyDescent="0.35">
      <c r="B10" s="95">
        <v>1</v>
      </c>
      <c r="C10" s="96">
        <f t="shared" ref="C10:C40" si="0">TanggalMulai+B10-1</f>
        <v>46266</v>
      </c>
      <c r="D10" s="95" t="str">
        <f t="shared" ref="D10:D40" si="1">TEXT(C10,"dddd")</f>
        <v>Tuesday</v>
      </c>
      <c r="F10" s="97" t="s">
        <v>802</v>
      </c>
    </row>
    <row r="11" spans="2:6" x14ac:dyDescent="0.35">
      <c r="B11" s="95">
        <v>2</v>
      </c>
      <c r="C11" s="96">
        <f t="shared" si="0"/>
        <v>46267</v>
      </c>
      <c r="D11" s="95" t="str">
        <f t="shared" si="1"/>
        <v>Wednesday</v>
      </c>
      <c r="F11" s="97" t="s">
        <v>803</v>
      </c>
    </row>
    <row r="12" spans="2:6" x14ac:dyDescent="0.35">
      <c r="B12" s="95">
        <v>3</v>
      </c>
      <c r="C12" s="96">
        <f t="shared" si="0"/>
        <v>46268</v>
      </c>
      <c r="D12" s="95" t="str">
        <f t="shared" si="1"/>
        <v>Thursday</v>
      </c>
      <c r="F12" s="97" t="s">
        <v>804</v>
      </c>
    </row>
    <row r="13" spans="2:6" x14ac:dyDescent="0.35">
      <c r="B13" s="95">
        <v>4</v>
      </c>
      <c r="C13" s="96">
        <f t="shared" si="0"/>
        <v>46269</v>
      </c>
      <c r="D13" s="95" t="str">
        <f t="shared" si="1"/>
        <v>Friday</v>
      </c>
      <c r="F13" s="97" t="s">
        <v>805</v>
      </c>
    </row>
    <row r="14" spans="2:6" x14ac:dyDescent="0.35">
      <c r="B14" s="95">
        <v>5</v>
      </c>
      <c r="C14" s="96">
        <f t="shared" si="0"/>
        <v>46270</v>
      </c>
      <c r="D14" s="95" t="str">
        <f t="shared" si="1"/>
        <v>Saturday</v>
      </c>
      <c r="F14" s="97" t="s">
        <v>806</v>
      </c>
    </row>
    <row r="15" spans="2:6" x14ac:dyDescent="0.35">
      <c r="B15" s="95">
        <v>6</v>
      </c>
      <c r="C15" s="96">
        <f t="shared" si="0"/>
        <v>46271</v>
      </c>
      <c r="D15" s="95" t="str">
        <f t="shared" si="1"/>
        <v>Sunday</v>
      </c>
      <c r="F15" s="97"/>
    </row>
    <row r="16" spans="2:6" x14ac:dyDescent="0.35">
      <c r="B16" s="95">
        <v>7</v>
      </c>
      <c r="C16" s="96">
        <f t="shared" si="0"/>
        <v>46272</v>
      </c>
      <c r="D16" s="95" t="str">
        <f t="shared" si="1"/>
        <v>Monday</v>
      </c>
      <c r="F16" s="97" t="s">
        <v>807</v>
      </c>
    </row>
    <row r="17" spans="2:6" x14ac:dyDescent="0.35">
      <c r="B17" s="95">
        <v>8</v>
      </c>
      <c r="C17" s="96">
        <f t="shared" si="0"/>
        <v>46273</v>
      </c>
      <c r="D17" s="95" t="str">
        <f t="shared" si="1"/>
        <v>Tuesday</v>
      </c>
      <c r="F17" s="97" t="s">
        <v>808</v>
      </c>
    </row>
    <row r="18" spans="2:6" x14ac:dyDescent="0.35">
      <c r="B18" s="95">
        <v>9</v>
      </c>
      <c r="C18" s="96">
        <f t="shared" si="0"/>
        <v>46274</v>
      </c>
      <c r="D18" s="95" t="str">
        <f t="shared" si="1"/>
        <v>Wednesday</v>
      </c>
      <c r="F18" s="97" t="s">
        <v>809</v>
      </c>
    </row>
    <row r="19" spans="2:6" x14ac:dyDescent="0.35">
      <c r="B19" s="95">
        <v>10</v>
      </c>
      <c r="C19" s="96">
        <f t="shared" si="0"/>
        <v>46275</v>
      </c>
      <c r="D19" s="95" t="str">
        <f t="shared" si="1"/>
        <v>Thursday</v>
      </c>
      <c r="F19" s="97"/>
    </row>
    <row r="20" spans="2:6" x14ac:dyDescent="0.35">
      <c r="B20" s="95">
        <v>11</v>
      </c>
      <c r="C20" s="96">
        <f t="shared" si="0"/>
        <v>46276</v>
      </c>
      <c r="D20" s="95" t="str">
        <f t="shared" si="1"/>
        <v>Friday</v>
      </c>
      <c r="F20" s="97"/>
    </row>
    <row r="21" spans="2:6" x14ac:dyDescent="0.35">
      <c r="B21" s="95">
        <v>12</v>
      </c>
      <c r="C21" s="96">
        <f t="shared" si="0"/>
        <v>46277</v>
      </c>
      <c r="D21" s="95" t="str">
        <f t="shared" si="1"/>
        <v>Saturday</v>
      </c>
      <c r="F21" s="97"/>
    </row>
    <row r="22" spans="2:6" x14ac:dyDescent="0.35">
      <c r="B22" s="95">
        <v>13</v>
      </c>
      <c r="C22" s="96">
        <f t="shared" si="0"/>
        <v>46278</v>
      </c>
      <c r="D22" s="95" t="str">
        <f t="shared" si="1"/>
        <v>Sunday</v>
      </c>
    </row>
    <row r="23" spans="2:6" x14ac:dyDescent="0.35">
      <c r="B23" s="95">
        <v>14</v>
      </c>
      <c r="C23" s="96">
        <f t="shared" si="0"/>
        <v>46279</v>
      </c>
      <c r="D23" s="95" t="str">
        <f t="shared" si="1"/>
        <v>Monday</v>
      </c>
    </row>
    <row r="24" spans="2:6" x14ac:dyDescent="0.35">
      <c r="B24" s="95">
        <v>15</v>
      </c>
      <c r="C24" s="96">
        <f t="shared" si="0"/>
        <v>46280</v>
      </c>
      <c r="D24" s="95" t="str">
        <f t="shared" si="1"/>
        <v>Tuesday</v>
      </c>
    </row>
    <row r="25" spans="2:6" x14ac:dyDescent="0.35">
      <c r="B25" s="95">
        <v>16</v>
      </c>
      <c r="C25" s="96">
        <f t="shared" si="0"/>
        <v>46281</v>
      </c>
      <c r="D25" s="95" t="str">
        <f t="shared" si="1"/>
        <v>Wednesday</v>
      </c>
    </row>
    <row r="26" spans="2:6" x14ac:dyDescent="0.35">
      <c r="B26" s="95">
        <v>17</v>
      </c>
      <c r="C26" s="96">
        <f t="shared" si="0"/>
        <v>46282</v>
      </c>
      <c r="D26" s="95" t="str">
        <f t="shared" si="1"/>
        <v>Thursday</v>
      </c>
    </row>
    <row r="27" spans="2:6" x14ac:dyDescent="0.35">
      <c r="B27" s="95">
        <v>18</v>
      </c>
      <c r="C27" s="96">
        <f t="shared" si="0"/>
        <v>46283</v>
      </c>
      <c r="D27" s="95" t="str">
        <f t="shared" si="1"/>
        <v>Friday</v>
      </c>
    </row>
    <row r="28" spans="2:6" x14ac:dyDescent="0.35">
      <c r="B28" s="95">
        <v>19</v>
      </c>
      <c r="C28" s="96">
        <f t="shared" si="0"/>
        <v>46284</v>
      </c>
      <c r="D28" s="95" t="str">
        <f t="shared" si="1"/>
        <v>Saturday</v>
      </c>
    </row>
    <row r="29" spans="2:6" x14ac:dyDescent="0.35">
      <c r="B29" s="95">
        <v>20</v>
      </c>
      <c r="C29" s="96">
        <f t="shared" si="0"/>
        <v>46285</v>
      </c>
      <c r="D29" s="95" t="str">
        <f t="shared" si="1"/>
        <v>Sunday</v>
      </c>
    </row>
    <row r="30" spans="2:6" x14ac:dyDescent="0.35">
      <c r="B30" s="95">
        <v>21</v>
      </c>
      <c r="C30" s="96">
        <f t="shared" si="0"/>
        <v>46286</v>
      </c>
      <c r="D30" s="95" t="str">
        <f t="shared" si="1"/>
        <v>Monday</v>
      </c>
    </row>
    <row r="31" spans="2:6" x14ac:dyDescent="0.35">
      <c r="B31" s="95">
        <v>22</v>
      </c>
      <c r="C31" s="96">
        <f t="shared" si="0"/>
        <v>46287</v>
      </c>
      <c r="D31" s="95" t="str">
        <f t="shared" si="1"/>
        <v>Tuesday</v>
      </c>
    </row>
    <row r="32" spans="2:6" x14ac:dyDescent="0.35">
      <c r="B32" s="95">
        <v>23</v>
      </c>
      <c r="C32" s="96">
        <f t="shared" si="0"/>
        <v>46288</v>
      </c>
      <c r="D32" s="95" t="str">
        <f t="shared" si="1"/>
        <v>Wednesday</v>
      </c>
    </row>
    <row r="33" spans="2:4" x14ac:dyDescent="0.35">
      <c r="B33" s="95">
        <v>24</v>
      </c>
      <c r="C33" s="96">
        <f t="shared" si="0"/>
        <v>46289</v>
      </c>
      <c r="D33" s="95" t="str">
        <f t="shared" si="1"/>
        <v>Thursday</v>
      </c>
    </row>
    <row r="34" spans="2:4" x14ac:dyDescent="0.35">
      <c r="B34" s="95">
        <v>25</v>
      </c>
      <c r="C34" s="96">
        <f t="shared" si="0"/>
        <v>46290</v>
      </c>
      <c r="D34" s="95" t="str">
        <f t="shared" si="1"/>
        <v>Friday</v>
      </c>
    </row>
    <row r="35" spans="2:4" x14ac:dyDescent="0.35">
      <c r="B35" s="95">
        <v>26</v>
      </c>
      <c r="C35" s="96">
        <f t="shared" si="0"/>
        <v>46291</v>
      </c>
      <c r="D35" s="95" t="str">
        <f t="shared" si="1"/>
        <v>Saturday</v>
      </c>
    </row>
    <row r="36" spans="2:4" x14ac:dyDescent="0.35">
      <c r="B36" s="95">
        <v>27</v>
      </c>
      <c r="C36" s="96">
        <f t="shared" si="0"/>
        <v>46292</v>
      </c>
      <c r="D36" s="95" t="str">
        <f t="shared" si="1"/>
        <v>Sunday</v>
      </c>
    </row>
    <row r="37" spans="2:4" x14ac:dyDescent="0.35">
      <c r="B37" s="95">
        <v>28</v>
      </c>
      <c r="C37" s="96">
        <f t="shared" si="0"/>
        <v>46293</v>
      </c>
      <c r="D37" s="95" t="str">
        <f t="shared" si="1"/>
        <v>Monday</v>
      </c>
    </row>
    <row r="38" spans="2:4" x14ac:dyDescent="0.35">
      <c r="B38" s="95">
        <v>29</v>
      </c>
      <c r="C38" s="96">
        <f t="shared" si="0"/>
        <v>46294</v>
      </c>
      <c r="D38" s="95" t="str">
        <f t="shared" si="1"/>
        <v>Tuesday</v>
      </c>
    </row>
    <row r="39" spans="2:4" x14ac:dyDescent="0.35">
      <c r="B39" s="95">
        <v>30</v>
      </c>
      <c r="C39" s="96">
        <f t="shared" si="0"/>
        <v>46295</v>
      </c>
      <c r="D39" s="95" t="str">
        <f t="shared" si="1"/>
        <v>Wednesday</v>
      </c>
    </row>
    <row r="40" spans="2:4" x14ac:dyDescent="0.35">
      <c r="B40" s="95">
        <v>31</v>
      </c>
      <c r="C40" s="96">
        <f t="shared" si="0"/>
        <v>46296</v>
      </c>
      <c r="D40" s="95" t="str">
        <f t="shared" si="1"/>
        <v>Thursday</v>
      </c>
    </row>
  </sheetData>
  <sheetProtection algorithmName="SHA-512" hashValue="4zpgP6AQE4EdTTaveJMPTkcD9jlOo+mt+qfZ4LK6qrTyHDu6IKra+myswbYur+aVsq0BZ0tYerjEwJf7+oAj0Q==" saltValue="lv46BE1nBYRO9jpa9JJIuQ==" spinCount="100000" sheet="1" objects="1" scenarios="1"/>
  <mergeCells count="2">
    <mergeCell ref="B2:E3"/>
    <mergeCell ref="B8:D8"/>
  </mergeCells>
  <conditionalFormatting sqref="D10:D40">
    <cfRule type="expression" dxfId="409" priority="1">
      <formula>OR(D10="Saturday",D10="Sunday")</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7C4C1-86CB-48A6-96CA-E0395122215D}">
  <sheetPr codeName="Sheet10">
    <tabColor theme="9" tint="-0.249977111117893"/>
  </sheetPr>
  <dimension ref="A1:AN1000"/>
  <sheetViews>
    <sheetView topLeftCell="C1" zoomScale="70" zoomScaleNormal="70" workbookViewId="0">
      <pane xSplit="3" ySplit="1" topLeftCell="F79" activePane="bottomRight" state="frozen"/>
      <selection activeCell="C1" sqref="C1"/>
      <selection pane="topRight" activeCell="F1" sqref="F1"/>
      <selection pane="bottomLeft" activeCell="C2" sqref="C2"/>
      <selection pane="bottomRight" activeCell="R60" sqref="R60"/>
    </sheetView>
  </sheetViews>
  <sheetFormatPr defaultRowHeight="14.65" customHeight="1" zeroHeight="1" x14ac:dyDescent="0.35"/>
  <cols>
    <col min="1" max="1" width="21.453125" hidden="1" customWidth="1"/>
    <col min="2" max="2" width="19.26953125" hidden="1" customWidth="1"/>
    <col min="3" max="3" width="46.453125" bestFit="1" customWidth="1" collapsed="1"/>
    <col min="4" max="5" width="14.54296875" bestFit="1" customWidth="1"/>
    <col min="6" max="6" width="8.7265625" customWidth="1"/>
    <col min="7" max="7" width="5" bestFit="1" customWidth="1"/>
    <col min="8" max="8" width="7.453125" customWidth="1"/>
    <col min="9" max="9" width="7.54296875" customWidth="1"/>
    <col min="10" max="10" width="5" bestFit="1" customWidth="1"/>
    <col min="11" max="11" width="5.7265625" style="1" bestFit="1" customWidth="1"/>
    <col min="12" max="18" width="5" style="1" bestFit="1" customWidth="1"/>
    <col min="19" max="22" width="5.7265625" style="1" bestFit="1" customWidth="1"/>
    <col min="23" max="23" width="8.7265625" style="1" bestFit="1" customWidth="1"/>
    <col min="24" max="40" width="5.7265625" style="1" bestFit="1" customWidth="1"/>
    <col min="41" max="41" width="1.7265625" bestFit="1" customWidth="1"/>
    <col min="42" max="42" width="8.453125" bestFit="1" customWidth="1"/>
    <col min="43" max="43" width="15.26953125" bestFit="1" customWidth="1"/>
    <col min="44" max="44" width="8.453125" bestFit="1" customWidth="1"/>
    <col min="45" max="45" width="15.26953125" bestFit="1" customWidth="1"/>
    <col min="46" max="46" width="8.453125" bestFit="1" customWidth="1"/>
    <col min="47" max="47" width="15.26953125" bestFit="1" customWidth="1"/>
    <col min="48" max="48" width="8.453125" bestFit="1" customWidth="1"/>
    <col min="49" max="49" width="15.26953125" bestFit="1" customWidth="1"/>
    <col min="50" max="50" width="8.453125" bestFit="1" customWidth="1"/>
    <col min="51" max="51" width="15.26953125" bestFit="1" customWidth="1"/>
    <col min="52" max="52" width="8.453125" bestFit="1" customWidth="1"/>
    <col min="53" max="53" width="15.26953125" bestFit="1" customWidth="1"/>
    <col min="54" max="54" width="8.453125" bestFit="1" customWidth="1"/>
    <col min="55" max="55" width="15.26953125" bestFit="1" customWidth="1"/>
    <col min="56" max="56" width="8.453125" bestFit="1" customWidth="1"/>
    <col min="57" max="57" width="15.26953125" bestFit="1" customWidth="1"/>
    <col min="58" max="58" width="8.453125" bestFit="1" customWidth="1"/>
    <col min="59" max="60" width="15.26953125" bestFit="1" customWidth="1"/>
  </cols>
  <sheetData>
    <row r="1" spans="1:40" ht="14.5" x14ac:dyDescent="0.35">
      <c r="A1" s="61" t="s">
        <v>172</v>
      </c>
      <c r="B1" s="61" t="s">
        <v>0</v>
      </c>
      <c r="C1" s="62" t="s">
        <v>170</v>
      </c>
      <c r="D1" s="63" t="s">
        <v>1</v>
      </c>
      <c r="E1" s="64" t="s">
        <v>168</v>
      </c>
      <c r="F1" s="156" t="s">
        <v>36</v>
      </c>
      <c r="G1" s="156" t="s">
        <v>37</v>
      </c>
      <c r="H1" s="156" t="s">
        <v>38</v>
      </c>
      <c r="I1" s="156" t="s">
        <v>39</v>
      </c>
      <c r="J1" s="156" t="s">
        <v>40</v>
      </c>
      <c r="K1" s="156" t="s">
        <v>41</v>
      </c>
      <c r="L1" s="156" t="s">
        <v>42</v>
      </c>
      <c r="M1" s="156" t="s">
        <v>43</v>
      </c>
      <c r="N1" s="156" t="s">
        <v>44</v>
      </c>
      <c r="O1" s="156" t="s">
        <v>45</v>
      </c>
      <c r="P1" s="156" t="s">
        <v>46</v>
      </c>
      <c r="Q1" s="156" t="s">
        <v>47</v>
      </c>
      <c r="R1" s="156" t="s">
        <v>48</v>
      </c>
      <c r="S1" s="156" t="s">
        <v>49</v>
      </c>
      <c r="T1" s="156" t="s">
        <v>50</v>
      </c>
      <c r="U1" s="156" t="s">
        <v>51</v>
      </c>
      <c r="V1" s="156" t="s">
        <v>52</v>
      </c>
      <c r="W1" s="156" t="s">
        <v>53</v>
      </c>
      <c r="X1" s="156" t="s">
        <v>54</v>
      </c>
      <c r="Y1" s="156" t="s">
        <v>55</v>
      </c>
      <c r="Z1" s="156" t="s">
        <v>56</v>
      </c>
      <c r="AA1" s="156" t="s">
        <v>57</v>
      </c>
      <c r="AB1" s="156" t="s">
        <v>58</v>
      </c>
      <c r="AC1" s="156" t="s">
        <v>59</v>
      </c>
      <c r="AD1" s="156" t="s">
        <v>60</v>
      </c>
      <c r="AE1" s="156" t="s">
        <v>61</v>
      </c>
      <c r="AF1" s="156" t="s">
        <v>62</v>
      </c>
      <c r="AG1" s="156" t="s">
        <v>63</v>
      </c>
      <c r="AH1" s="156" t="s">
        <v>64</v>
      </c>
      <c r="AI1" s="156" t="s">
        <v>65</v>
      </c>
      <c r="AJ1" s="156" t="s">
        <v>66</v>
      </c>
      <c r="AK1"/>
      <c r="AL1"/>
      <c r="AM1"/>
      <c r="AN1"/>
    </row>
    <row r="2" spans="1:40" ht="14.5" x14ac:dyDescent="0.35">
      <c r="A2" t="s">
        <v>1316</v>
      </c>
      <c r="C2" t="s">
        <v>1432</v>
      </c>
      <c r="D2" t="s">
        <v>103</v>
      </c>
      <c r="E2">
        <v>15000</v>
      </c>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c r="AL2"/>
      <c r="AM2"/>
      <c r="AN2"/>
    </row>
    <row r="3" spans="1:40" ht="14.5" x14ac:dyDescent="0.35">
      <c r="A3" t="s">
        <v>1316</v>
      </c>
      <c r="C3" t="s">
        <v>1433</v>
      </c>
      <c r="D3" t="s">
        <v>101</v>
      </c>
      <c r="E3">
        <v>1000</v>
      </c>
      <c r="F3" s="68"/>
      <c r="G3" s="68"/>
      <c r="H3" s="68"/>
      <c r="I3" s="68"/>
      <c r="J3" s="68"/>
      <c r="K3" s="68"/>
      <c r="L3" s="68"/>
      <c r="M3" s="68"/>
      <c r="N3" s="68"/>
      <c r="O3" s="68">
        <v>69</v>
      </c>
      <c r="P3" s="68"/>
      <c r="Q3" s="68"/>
      <c r="R3" s="68"/>
      <c r="S3" s="68"/>
      <c r="T3" s="68"/>
      <c r="U3" s="68"/>
      <c r="V3" s="68"/>
      <c r="W3" s="68"/>
      <c r="X3" s="68"/>
      <c r="Y3" s="68"/>
      <c r="Z3" s="68"/>
      <c r="AA3" s="68"/>
      <c r="AB3" s="68"/>
      <c r="AC3" s="68"/>
      <c r="AD3" s="68"/>
      <c r="AE3" s="68"/>
      <c r="AF3" s="68"/>
      <c r="AG3" s="68"/>
      <c r="AH3" s="68"/>
      <c r="AI3" s="68"/>
      <c r="AJ3" s="68"/>
      <c r="AK3"/>
      <c r="AL3"/>
      <c r="AM3"/>
      <c r="AN3"/>
    </row>
    <row r="4" spans="1:40" ht="14.5" x14ac:dyDescent="0.35">
      <c r="A4" t="s">
        <v>1316</v>
      </c>
      <c r="C4" t="s">
        <v>1317</v>
      </c>
      <c r="D4" t="s">
        <v>29</v>
      </c>
      <c r="E4">
        <v>1</v>
      </c>
      <c r="F4" s="68"/>
      <c r="G4" s="68"/>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c r="AL4"/>
      <c r="AM4"/>
      <c r="AN4"/>
    </row>
    <row r="5" spans="1:40" ht="14.5" x14ac:dyDescent="0.35">
      <c r="A5" t="s">
        <v>1316</v>
      </c>
      <c r="B5" t="s">
        <v>1322</v>
      </c>
      <c r="C5" t="s">
        <v>1316</v>
      </c>
      <c r="D5" t="s">
        <v>35</v>
      </c>
      <c r="F5" s="68"/>
      <c r="G5" s="68"/>
      <c r="H5" s="68"/>
      <c r="I5" s="68"/>
      <c r="J5" s="68"/>
      <c r="K5" s="68"/>
      <c r="L5" s="68"/>
      <c r="M5" s="68"/>
      <c r="N5" s="68"/>
      <c r="O5" s="68"/>
      <c r="P5" s="68"/>
      <c r="Q5" s="68"/>
      <c r="R5" s="68"/>
      <c r="S5" s="68"/>
      <c r="T5" s="68"/>
      <c r="U5" s="68"/>
      <c r="V5" s="68"/>
      <c r="W5" s="68"/>
      <c r="X5" s="68"/>
      <c r="Y5" s="68"/>
      <c r="Z5" s="68"/>
      <c r="AA5" s="68"/>
      <c r="AB5" s="68"/>
      <c r="AC5" s="68"/>
      <c r="AD5" s="68"/>
      <c r="AE5" s="68"/>
      <c r="AF5" s="68"/>
      <c r="AG5" s="68"/>
      <c r="AH5" s="68"/>
      <c r="AI5" s="68"/>
      <c r="AJ5" s="68"/>
      <c r="AK5"/>
      <c r="AL5"/>
      <c r="AM5"/>
      <c r="AN5"/>
    </row>
    <row r="6" spans="1:40" ht="14.5" x14ac:dyDescent="0.35">
      <c r="A6" t="s">
        <v>837</v>
      </c>
      <c r="C6" t="s">
        <v>841</v>
      </c>
      <c r="D6" t="s">
        <v>103</v>
      </c>
      <c r="E6">
        <v>24</v>
      </c>
      <c r="F6" s="68"/>
      <c r="G6" s="68"/>
      <c r="H6" s="68"/>
      <c r="I6" s="68"/>
      <c r="J6" s="68"/>
      <c r="K6" s="68"/>
      <c r="L6" s="68"/>
      <c r="M6" s="68"/>
      <c r="N6" s="68"/>
      <c r="O6" s="68"/>
      <c r="P6" s="68"/>
      <c r="Q6" s="68"/>
      <c r="R6" s="68"/>
      <c r="S6" s="68"/>
      <c r="T6" s="68"/>
      <c r="U6" s="68"/>
      <c r="V6" s="68"/>
      <c r="W6" s="68"/>
      <c r="X6" s="68"/>
      <c r="Y6" s="68"/>
      <c r="Z6" s="68"/>
      <c r="AA6" s="68"/>
      <c r="AB6" s="68"/>
      <c r="AC6" s="68"/>
      <c r="AD6" s="68"/>
      <c r="AE6" s="68"/>
      <c r="AF6" s="68"/>
      <c r="AG6" s="68"/>
      <c r="AH6" s="68"/>
      <c r="AI6" s="68"/>
      <c r="AJ6" s="68"/>
      <c r="AK6"/>
      <c r="AL6"/>
      <c r="AM6"/>
      <c r="AN6"/>
    </row>
    <row r="7" spans="1:40" ht="14.5" x14ac:dyDescent="0.35">
      <c r="A7" t="s">
        <v>837</v>
      </c>
      <c r="C7" t="s">
        <v>1123</v>
      </c>
      <c r="D7" t="s">
        <v>358</v>
      </c>
      <c r="E7">
        <v>1</v>
      </c>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c r="AL7"/>
      <c r="AM7"/>
      <c r="AN7"/>
    </row>
    <row r="8" spans="1:40" ht="14.5" x14ac:dyDescent="0.35">
      <c r="A8" t="s">
        <v>837</v>
      </c>
      <c r="B8" t="s">
        <v>842</v>
      </c>
      <c r="C8" t="s">
        <v>837</v>
      </c>
      <c r="D8" t="s">
        <v>69</v>
      </c>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c r="AL8"/>
      <c r="AM8"/>
      <c r="AN8"/>
    </row>
    <row r="9" spans="1:40" ht="14.5" x14ac:dyDescent="0.35">
      <c r="A9" t="s">
        <v>550</v>
      </c>
      <c r="C9" t="s">
        <v>1116</v>
      </c>
      <c r="D9" t="s">
        <v>103</v>
      </c>
      <c r="E9">
        <v>10000</v>
      </c>
      <c r="F9" s="68"/>
      <c r="G9" s="68"/>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68"/>
      <c r="AJ9" s="68"/>
      <c r="AK9"/>
      <c r="AL9"/>
      <c r="AM9"/>
      <c r="AN9"/>
    </row>
    <row r="10" spans="1:40" ht="14.5" x14ac:dyDescent="0.35">
      <c r="A10" t="s">
        <v>550</v>
      </c>
      <c r="C10" t="s">
        <v>1072</v>
      </c>
      <c r="D10" t="s">
        <v>29</v>
      </c>
      <c r="E10">
        <v>1</v>
      </c>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c r="AJ10" s="68"/>
      <c r="AK10"/>
      <c r="AL10"/>
      <c r="AM10"/>
      <c r="AN10"/>
    </row>
    <row r="11" spans="1:40" ht="14.5" x14ac:dyDescent="0.35">
      <c r="A11" t="s">
        <v>550</v>
      </c>
      <c r="B11" t="s">
        <v>627</v>
      </c>
      <c r="C11" t="s">
        <v>550</v>
      </c>
      <c r="D11" t="s">
        <v>35</v>
      </c>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c r="AL11"/>
      <c r="AM11"/>
      <c r="AN11"/>
    </row>
    <row r="12" spans="1:40" ht="14.5" x14ac:dyDescent="0.35">
      <c r="A12" t="s">
        <v>914</v>
      </c>
      <c r="C12" t="s">
        <v>987</v>
      </c>
      <c r="D12" t="s">
        <v>103</v>
      </c>
      <c r="E12">
        <v>12000</v>
      </c>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c r="AJ12" s="68"/>
      <c r="AK12"/>
      <c r="AL12"/>
      <c r="AM12"/>
      <c r="AN12"/>
    </row>
    <row r="13" spans="1:40" ht="14.5" x14ac:dyDescent="0.35">
      <c r="A13" t="s">
        <v>914</v>
      </c>
      <c r="C13" t="s">
        <v>988</v>
      </c>
      <c r="D13" t="s">
        <v>101</v>
      </c>
      <c r="E13">
        <v>1000</v>
      </c>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c r="AL13"/>
      <c r="AM13"/>
      <c r="AN13"/>
    </row>
    <row r="14" spans="1:40" ht="14.5" x14ac:dyDescent="0.35">
      <c r="A14" t="s">
        <v>914</v>
      </c>
      <c r="C14" t="s">
        <v>989</v>
      </c>
      <c r="D14" t="s">
        <v>29</v>
      </c>
      <c r="E14">
        <v>1</v>
      </c>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68"/>
      <c r="AK14"/>
      <c r="AL14"/>
      <c r="AM14"/>
      <c r="AN14"/>
    </row>
    <row r="15" spans="1:40" ht="14.5" x14ac:dyDescent="0.35">
      <c r="A15" t="s">
        <v>914</v>
      </c>
      <c r="B15" t="s">
        <v>1017</v>
      </c>
      <c r="C15" t="s">
        <v>914</v>
      </c>
      <c r="D15" t="s">
        <v>35</v>
      </c>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c r="AL15"/>
      <c r="AM15"/>
      <c r="AN15"/>
    </row>
    <row r="16" spans="1:40" ht="14.5" x14ac:dyDescent="0.35">
      <c r="A16" t="s">
        <v>484</v>
      </c>
      <c r="C16" t="s">
        <v>1031</v>
      </c>
      <c r="D16" t="s">
        <v>103</v>
      </c>
      <c r="E16">
        <v>480</v>
      </c>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c r="AL16"/>
      <c r="AM16"/>
      <c r="AN16"/>
    </row>
    <row r="17" spans="1:40" ht="14.5" x14ac:dyDescent="0.35">
      <c r="A17" t="s">
        <v>484</v>
      </c>
      <c r="C17" t="s">
        <v>1043</v>
      </c>
      <c r="D17" t="s">
        <v>101</v>
      </c>
      <c r="E17">
        <v>40</v>
      </c>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c r="AL17"/>
      <c r="AM17"/>
      <c r="AN17"/>
    </row>
    <row r="18" spans="1:40" ht="14.5" x14ac:dyDescent="0.35">
      <c r="A18" t="s">
        <v>484</v>
      </c>
      <c r="C18" t="s">
        <v>1029</v>
      </c>
      <c r="D18" t="s">
        <v>102</v>
      </c>
      <c r="E18">
        <v>1</v>
      </c>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c r="AL18"/>
      <c r="AM18"/>
      <c r="AN18"/>
    </row>
    <row r="19" spans="1:40" ht="14.5" x14ac:dyDescent="0.35">
      <c r="A19" t="s">
        <v>484</v>
      </c>
      <c r="B19" t="s">
        <v>538</v>
      </c>
      <c r="C19" t="s">
        <v>484</v>
      </c>
      <c r="D19" t="s">
        <v>67</v>
      </c>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c r="AL19"/>
      <c r="AM19"/>
      <c r="AN19"/>
    </row>
    <row r="20" spans="1:40" ht="14.5" x14ac:dyDescent="0.35">
      <c r="A20" t="s">
        <v>507</v>
      </c>
      <c r="C20" t="s">
        <v>1032</v>
      </c>
      <c r="D20" t="s">
        <v>103</v>
      </c>
      <c r="E20">
        <v>480</v>
      </c>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c r="AL20"/>
      <c r="AM20"/>
      <c r="AN20"/>
    </row>
    <row r="21" spans="1:40" ht="14.5" x14ac:dyDescent="0.35">
      <c r="A21" t="s">
        <v>507</v>
      </c>
      <c r="C21" t="s">
        <v>1044</v>
      </c>
      <c r="D21" t="s">
        <v>101</v>
      </c>
      <c r="E21">
        <v>40</v>
      </c>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c r="AL21"/>
      <c r="AM21"/>
      <c r="AN21"/>
    </row>
    <row r="22" spans="1:40" ht="14.5" x14ac:dyDescent="0.35">
      <c r="A22" t="s">
        <v>507</v>
      </c>
      <c r="C22" t="s">
        <v>1030</v>
      </c>
      <c r="D22" t="s">
        <v>102</v>
      </c>
      <c r="E22">
        <v>1</v>
      </c>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c r="AL22"/>
      <c r="AM22"/>
      <c r="AN22"/>
    </row>
    <row r="23" spans="1:40" ht="14.5" x14ac:dyDescent="0.35">
      <c r="A23" t="s">
        <v>507</v>
      </c>
      <c r="B23" t="s">
        <v>537</v>
      </c>
      <c r="C23" t="s">
        <v>507</v>
      </c>
      <c r="D23" t="s">
        <v>67</v>
      </c>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c r="AL23"/>
      <c r="AM23"/>
      <c r="AN23"/>
    </row>
    <row r="24" spans="1:40" ht="14.5" x14ac:dyDescent="0.35">
      <c r="A24" t="s">
        <v>915</v>
      </c>
      <c r="C24" t="s">
        <v>990</v>
      </c>
      <c r="D24" t="s">
        <v>101</v>
      </c>
      <c r="E24">
        <v>1000</v>
      </c>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8"/>
      <c r="AF24" s="68"/>
      <c r="AG24" s="68"/>
      <c r="AH24" s="68"/>
      <c r="AI24" s="68"/>
      <c r="AJ24" s="68"/>
      <c r="AK24"/>
      <c r="AL24"/>
      <c r="AM24"/>
      <c r="AN24"/>
    </row>
    <row r="25" spans="1:40" ht="14.5" x14ac:dyDescent="0.35">
      <c r="A25" t="s">
        <v>915</v>
      </c>
      <c r="C25" t="s">
        <v>991</v>
      </c>
      <c r="D25" t="s">
        <v>29</v>
      </c>
      <c r="E25">
        <v>1</v>
      </c>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c r="AL25"/>
      <c r="AM25"/>
      <c r="AN25"/>
    </row>
    <row r="26" spans="1:40" ht="14.5" x14ac:dyDescent="0.35">
      <c r="A26" t="s">
        <v>915</v>
      </c>
      <c r="B26" t="s">
        <v>1018</v>
      </c>
      <c r="C26" t="s">
        <v>915</v>
      </c>
      <c r="D26" t="s">
        <v>35</v>
      </c>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c r="AL26"/>
      <c r="AM26"/>
      <c r="AN26"/>
    </row>
    <row r="27" spans="1:40" ht="14.5" x14ac:dyDescent="0.35">
      <c r="A27" t="s">
        <v>540</v>
      </c>
      <c r="C27" t="s">
        <v>1067</v>
      </c>
      <c r="D27" t="s">
        <v>103</v>
      </c>
      <c r="E27">
        <v>150</v>
      </c>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8"/>
      <c r="AF27" s="68"/>
      <c r="AG27" s="68"/>
      <c r="AH27" s="68"/>
      <c r="AI27" s="68"/>
      <c r="AJ27" s="68"/>
      <c r="AK27"/>
      <c r="AL27"/>
      <c r="AM27"/>
      <c r="AN27"/>
    </row>
    <row r="28" spans="1:40" ht="14.5" x14ac:dyDescent="0.35">
      <c r="A28" t="s">
        <v>540</v>
      </c>
      <c r="C28" t="s">
        <v>1066</v>
      </c>
      <c r="D28" t="s">
        <v>101</v>
      </c>
      <c r="E28">
        <v>15</v>
      </c>
      <c r="F28" s="68"/>
      <c r="G28" s="68"/>
      <c r="H28" s="68"/>
      <c r="I28" s="68"/>
      <c r="J28" s="68"/>
      <c r="K28" s="68"/>
      <c r="L28" s="68"/>
      <c r="M28" s="68"/>
      <c r="N28" s="68"/>
      <c r="O28" s="68">
        <v>654</v>
      </c>
      <c r="P28" s="68"/>
      <c r="Q28" s="68"/>
      <c r="R28" s="68"/>
      <c r="S28" s="68"/>
      <c r="T28" s="68"/>
      <c r="U28" s="68"/>
      <c r="V28" s="68"/>
      <c r="W28" s="68"/>
      <c r="X28" s="68"/>
      <c r="Y28" s="68"/>
      <c r="Z28" s="68"/>
      <c r="AA28" s="68"/>
      <c r="AB28" s="68"/>
      <c r="AC28" s="68"/>
      <c r="AD28" s="68"/>
      <c r="AE28" s="68"/>
      <c r="AF28" s="68"/>
      <c r="AG28" s="68"/>
      <c r="AH28" s="68"/>
      <c r="AI28" s="68"/>
      <c r="AJ28" s="68"/>
      <c r="AK28"/>
      <c r="AL28"/>
      <c r="AM28"/>
      <c r="AN28"/>
    </row>
    <row r="29" spans="1:40" ht="14.5" x14ac:dyDescent="0.35">
      <c r="A29" t="s">
        <v>540</v>
      </c>
      <c r="C29" t="s">
        <v>548</v>
      </c>
      <c r="D29" t="s">
        <v>101</v>
      </c>
      <c r="E29">
        <v>1</v>
      </c>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c r="AF29" s="68"/>
      <c r="AG29" s="68"/>
      <c r="AH29" s="68"/>
      <c r="AI29" s="68"/>
      <c r="AJ29" s="68"/>
      <c r="AK29"/>
      <c r="AL29"/>
      <c r="AM29"/>
      <c r="AN29"/>
    </row>
    <row r="30" spans="1:40" ht="14.5" x14ac:dyDescent="0.35">
      <c r="A30" t="s">
        <v>540</v>
      </c>
      <c r="B30" t="s">
        <v>544</v>
      </c>
      <c r="C30" t="s">
        <v>540</v>
      </c>
      <c r="D30" t="s">
        <v>67</v>
      </c>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c r="AL30"/>
      <c r="AM30"/>
      <c r="AN30"/>
    </row>
    <row r="31" spans="1:40" ht="14.5" x14ac:dyDescent="0.35">
      <c r="A31" t="s">
        <v>496</v>
      </c>
      <c r="C31" t="s">
        <v>1033</v>
      </c>
      <c r="D31" t="s">
        <v>103</v>
      </c>
      <c r="E31">
        <v>7500</v>
      </c>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c r="AL31"/>
      <c r="AM31"/>
      <c r="AN31"/>
    </row>
    <row r="32" spans="1:40" ht="14.5" x14ac:dyDescent="0.35">
      <c r="A32" t="s">
        <v>496</v>
      </c>
      <c r="C32" t="s">
        <v>1068</v>
      </c>
      <c r="D32" t="s">
        <v>101</v>
      </c>
      <c r="E32">
        <v>500</v>
      </c>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c r="AG32" s="68"/>
      <c r="AH32" s="68"/>
      <c r="AI32" s="68"/>
      <c r="AJ32" s="68"/>
      <c r="AK32"/>
      <c r="AL32"/>
      <c r="AM32"/>
      <c r="AN32"/>
    </row>
    <row r="33" spans="1:40" ht="14.5" x14ac:dyDescent="0.35">
      <c r="A33" t="s">
        <v>496</v>
      </c>
      <c r="C33" t="s">
        <v>1069</v>
      </c>
      <c r="D33" t="s">
        <v>29</v>
      </c>
      <c r="E33">
        <v>1</v>
      </c>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c r="AL33"/>
      <c r="AM33"/>
      <c r="AN33"/>
    </row>
    <row r="34" spans="1:40" ht="14.5" x14ac:dyDescent="0.35">
      <c r="A34" t="s">
        <v>496</v>
      </c>
      <c r="B34" t="s">
        <v>528</v>
      </c>
      <c r="C34" t="s">
        <v>496</v>
      </c>
      <c r="D34" t="s">
        <v>35</v>
      </c>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c r="AL34"/>
      <c r="AM34"/>
      <c r="AN34"/>
    </row>
    <row r="35" spans="1:40" ht="14.5" x14ac:dyDescent="0.35">
      <c r="A35" t="s">
        <v>1195</v>
      </c>
      <c r="C35" t="s">
        <v>1034</v>
      </c>
      <c r="D35" t="s">
        <v>557</v>
      </c>
      <c r="E35">
        <v>7500</v>
      </c>
      <c r="F35" s="68"/>
      <c r="G35" s="68"/>
      <c r="H35" s="68"/>
      <c r="I35" s="68"/>
      <c r="J35" s="68"/>
      <c r="K35" s="68"/>
      <c r="L35" s="68"/>
      <c r="M35" s="68"/>
      <c r="N35" s="68"/>
      <c r="O35" s="68"/>
      <c r="P35" s="68"/>
      <c r="Q35" s="68"/>
      <c r="R35" s="68"/>
      <c r="S35" s="68"/>
      <c r="T35" s="68"/>
      <c r="U35" s="68"/>
      <c r="V35" s="68"/>
      <c r="W35" s="68"/>
      <c r="X35" s="68"/>
      <c r="Y35" s="68"/>
      <c r="Z35" s="68"/>
      <c r="AA35" s="68"/>
      <c r="AB35" s="68"/>
      <c r="AC35" s="68"/>
      <c r="AD35" s="68"/>
      <c r="AE35" s="68"/>
      <c r="AF35" s="68"/>
      <c r="AG35" s="68"/>
      <c r="AH35" s="68"/>
      <c r="AI35" s="68"/>
      <c r="AJ35" s="68"/>
      <c r="AK35"/>
      <c r="AL35"/>
      <c r="AM35"/>
      <c r="AN35"/>
    </row>
    <row r="36" spans="1:40" ht="14.5" x14ac:dyDescent="0.35">
      <c r="A36" t="s">
        <v>1195</v>
      </c>
      <c r="C36" t="s">
        <v>1045</v>
      </c>
      <c r="D36" t="s">
        <v>101</v>
      </c>
      <c r="E36">
        <v>500</v>
      </c>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c r="AL36"/>
      <c r="AM36"/>
      <c r="AN36"/>
    </row>
    <row r="37" spans="1:40" ht="14.5" x14ac:dyDescent="0.35">
      <c r="A37" t="s">
        <v>1195</v>
      </c>
      <c r="C37" t="s">
        <v>1070</v>
      </c>
      <c r="D37" t="s">
        <v>29</v>
      </c>
      <c r="E37">
        <v>1</v>
      </c>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c r="AL37"/>
      <c r="AM37"/>
      <c r="AN37"/>
    </row>
    <row r="38" spans="1:40" ht="14.5" x14ac:dyDescent="0.35">
      <c r="A38" t="s">
        <v>1195</v>
      </c>
      <c r="B38" t="s">
        <v>1197</v>
      </c>
      <c r="C38" t="s">
        <v>1195</v>
      </c>
      <c r="D38" t="s">
        <v>35</v>
      </c>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c r="AL38"/>
      <c r="AM38"/>
      <c r="AN38"/>
    </row>
    <row r="39" spans="1:40" ht="14.5" x14ac:dyDescent="0.35">
      <c r="A39" t="s">
        <v>511</v>
      </c>
      <c r="C39" t="s">
        <v>551</v>
      </c>
      <c r="D39" t="s">
        <v>136</v>
      </c>
      <c r="E39">
        <v>25000</v>
      </c>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c r="AJ39" s="68"/>
      <c r="AK39"/>
      <c r="AL39"/>
      <c r="AM39"/>
      <c r="AN39"/>
    </row>
    <row r="40" spans="1:40" ht="14.5" x14ac:dyDescent="0.35">
      <c r="A40" t="s">
        <v>511</v>
      </c>
      <c r="C40" t="s">
        <v>1071</v>
      </c>
      <c r="D40" t="s">
        <v>29</v>
      </c>
      <c r="E40">
        <v>1</v>
      </c>
      <c r="F40" s="68"/>
      <c r="G40" s="68"/>
      <c r="H40" s="68"/>
      <c r="I40" s="68"/>
      <c r="J40" s="68"/>
      <c r="K40" s="68"/>
      <c r="L40" s="68"/>
      <c r="M40" s="68"/>
      <c r="N40" s="68"/>
      <c r="O40" s="68"/>
      <c r="P40" s="68"/>
      <c r="Q40" s="68"/>
      <c r="R40" s="68"/>
      <c r="S40" s="68"/>
      <c r="T40" s="68"/>
      <c r="U40" s="68"/>
      <c r="V40" s="68"/>
      <c r="W40" s="68"/>
      <c r="X40" s="68"/>
      <c r="Y40" s="68"/>
      <c r="Z40" s="68"/>
      <c r="AA40" s="68"/>
      <c r="AB40" s="68"/>
      <c r="AC40" s="68"/>
      <c r="AD40" s="68"/>
      <c r="AE40" s="68"/>
      <c r="AF40" s="68"/>
      <c r="AG40" s="68"/>
      <c r="AH40" s="68"/>
      <c r="AI40" s="68"/>
      <c r="AJ40" s="68"/>
      <c r="AK40"/>
      <c r="AL40"/>
      <c r="AM40"/>
      <c r="AN40"/>
    </row>
    <row r="41" spans="1:40" ht="14.5" x14ac:dyDescent="0.35">
      <c r="A41" t="s">
        <v>511</v>
      </c>
      <c r="B41" t="s">
        <v>535</v>
      </c>
      <c r="C41" t="s">
        <v>511</v>
      </c>
      <c r="D41" t="s">
        <v>35</v>
      </c>
      <c r="F41" s="68"/>
      <c r="G41" s="68"/>
      <c r="H41" s="68"/>
      <c r="I41" s="68"/>
      <c r="J41" s="68"/>
      <c r="K41" s="68"/>
      <c r="L41" s="68"/>
      <c r="M41" s="68"/>
      <c r="N41" s="68"/>
      <c r="O41" s="68"/>
      <c r="P41" s="68"/>
      <c r="Q41" s="68"/>
      <c r="R41" s="68"/>
      <c r="S41" s="68"/>
      <c r="T41" s="68"/>
      <c r="U41" s="68"/>
      <c r="V41" s="68"/>
      <c r="W41" s="68"/>
      <c r="X41" s="68"/>
      <c r="Y41" s="68"/>
      <c r="Z41" s="68"/>
      <c r="AA41" s="68"/>
      <c r="AB41" s="68"/>
      <c r="AC41" s="68"/>
      <c r="AD41" s="68"/>
      <c r="AE41" s="68"/>
      <c r="AF41" s="68"/>
      <c r="AG41" s="68"/>
      <c r="AH41" s="68"/>
      <c r="AI41" s="68"/>
      <c r="AJ41" s="68"/>
      <c r="AK41"/>
      <c r="AL41"/>
      <c r="AM41"/>
      <c r="AN41"/>
    </row>
    <row r="42" spans="1:40" ht="14.5" x14ac:dyDescent="0.35">
      <c r="A42" t="s">
        <v>509</v>
      </c>
      <c r="C42" t="s">
        <v>1086</v>
      </c>
      <c r="D42" t="s">
        <v>101</v>
      </c>
      <c r="E42">
        <v>810</v>
      </c>
      <c r="F42" s="68"/>
      <c r="G42" s="68"/>
      <c r="H42" s="68"/>
      <c r="I42" s="68"/>
      <c r="J42" s="68"/>
      <c r="K42" s="68"/>
      <c r="L42" s="68"/>
      <c r="M42" s="68"/>
      <c r="N42" s="68"/>
      <c r="O42" s="68"/>
      <c r="P42" s="68"/>
      <c r="Q42" s="68"/>
      <c r="R42" s="68"/>
      <c r="S42" s="68"/>
      <c r="T42" s="68"/>
      <c r="U42" s="68"/>
      <c r="V42" s="68"/>
      <c r="W42" s="68"/>
      <c r="X42" s="68"/>
      <c r="Y42" s="68"/>
      <c r="Z42" s="68"/>
      <c r="AA42" s="68"/>
      <c r="AB42" s="68"/>
      <c r="AC42" s="68"/>
      <c r="AD42" s="68"/>
      <c r="AE42" s="68"/>
      <c r="AF42" s="68"/>
      <c r="AG42" s="68"/>
      <c r="AH42" s="68"/>
      <c r="AI42" s="68"/>
      <c r="AJ42" s="68"/>
      <c r="AK42"/>
      <c r="AL42"/>
      <c r="AM42"/>
      <c r="AN42"/>
    </row>
    <row r="43" spans="1:40" ht="14.5" x14ac:dyDescent="0.35">
      <c r="A43" t="s">
        <v>509</v>
      </c>
      <c r="C43" t="s">
        <v>1117</v>
      </c>
      <c r="D43" t="s">
        <v>29</v>
      </c>
      <c r="E43">
        <v>1</v>
      </c>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68"/>
      <c r="AI43" s="68"/>
      <c r="AJ43" s="68"/>
      <c r="AK43"/>
      <c r="AL43"/>
      <c r="AM43"/>
      <c r="AN43"/>
    </row>
    <row r="44" spans="1:40" ht="14.5" x14ac:dyDescent="0.35">
      <c r="A44" t="s">
        <v>509</v>
      </c>
      <c r="B44" t="s">
        <v>536</v>
      </c>
      <c r="C44" t="s">
        <v>509</v>
      </c>
      <c r="D44" t="s">
        <v>35</v>
      </c>
      <c r="F44" s="68"/>
      <c r="G44" s="68"/>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c r="AJ44" s="68"/>
      <c r="AK44"/>
      <c r="AL44"/>
      <c r="AM44"/>
      <c r="AN44"/>
    </row>
    <row r="45" spans="1:40" ht="14.5" x14ac:dyDescent="0.35">
      <c r="A45" t="s">
        <v>1345</v>
      </c>
      <c r="C45" t="s">
        <v>1387</v>
      </c>
      <c r="D45" t="s">
        <v>103</v>
      </c>
      <c r="E45">
        <v>7740</v>
      </c>
      <c r="F45" s="68"/>
      <c r="G45" s="68"/>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c r="AL45"/>
      <c r="AM45"/>
      <c r="AN45"/>
    </row>
    <row r="46" spans="1:40" ht="14.5" x14ac:dyDescent="0.35">
      <c r="A46" t="s">
        <v>1345</v>
      </c>
      <c r="C46" t="s">
        <v>1388</v>
      </c>
      <c r="D46" t="s">
        <v>101</v>
      </c>
      <c r="E46">
        <v>1290</v>
      </c>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c r="AL46"/>
      <c r="AM46"/>
      <c r="AN46"/>
    </row>
    <row r="47" spans="1:40" ht="14.5" x14ac:dyDescent="0.35">
      <c r="A47" t="s">
        <v>1345</v>
      </c>
      <c r="C47" t="s">
        <v>1389</v>
      </c>
      <c r="D47" t="s">
        <v>29</v>
      </c>
      <c r="E47">
        <v>1</v>
      </c>
      <c r="F47" s="68"/>
      <c r="G47" s="68"/>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c r="AL47"/>
      <c r="AM47"/>
      <c r="AN47"/>
    </row>
    <row r="48" spans="1:40" ht="14.5" x14ac:dyDescent="0.35">
      <c r="A48" t="s">
        <v>1345</v>
      </c>
      <c r="B48" t="s">
        <v>1390</v>
      </c>
      <c r="C48" t="s">
        <v>1345</v>
      </c>
      <c r="D48" t="s">
        <v>35</v>
      </c>
      <c r="F48" s="68"/>
      <c r="G48" s="68"/>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c r="AL48"/>
      <c r="AM48"/>
      <c r="AN48"/>
    </row>
    <row r="49" spans="1:40" ht="14.5" x14ac:dyDescent="0.35">
      <c r="A49" t="s">
        <v>1344</v>
      </c>
      <c r="C49" t="s">
        <v>1383</v>
      </c>
      <c r="D49" t="s">
        <v>103</v>
      </c>
      <c r="E49">
        <v>6000</v>
      </c>
      <c r="F49" s="68"/>
      <c r="G49" s="68"/>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8"/>
      <c r="AI49" s="68"/>
      <c r="AJ49" s="68"/>
      <c r="AK49"/>
      <c r="AL49"/>
      <c r="AM49"/>
      <c r="AN49"/>
    </row>
    <row r="50" spans="1:40" ht="14.5" x14ac:dyDescent="0.35">
      <c r="A50" t="s">
        <v>1344</v>
      </c>
      <c r="C50" t="s">
        <v>1384</v>
      </c>
      <c r="D50" t="s">
        <v>101</v>
      </c>
      <c r="E50">
        <v>250</v>
      </c>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c r="AL50"/>
      <c r="AM50"/>
      <c r="AN50"/>
    </row>
    <row r="51" spans="1:40" ht="14.5" x14ac:dyDescent="0.35">
      <c r="A51" t="s">
        <v>1344</v>
      </c>
      <c r="C51" t="s">
        <v>1385</v>
      </c>
      <c r="D51" t="s">
        <v>29</v>
      </c>
      <c r="E51">
        <v>1</v>
      </c>
      <c r="F51" s="68"/>
      <c r="G51" s="68"/>
      <c r="H51" s="68"/>
      <c r="I51" s="68"/>
      <c r="J51" s="68"/>
      <c r="K51" s="68"/>
      <c r="L51" s="68"/>
      <c r="M51" s="68"/>
      <c r="N51" s="68"/>
      <c r="O51" s="68"/>
      <c r="P51" s="68"/>
      <c r="Q51" s="68"/>
      <c r="R51" s="68"/>
      <c r="S51" s="68"/>
      <c r="T51" s="68"/>
      <c r="U51" s="68"/>
      <c r="V51" s="68"/>
      <c r="W51" s="68"/>
      <c r="X51" s="68"/>
      <c r="Y51" s="68"/>
      <c r="Z51" s="68"/>
      <c r="AA51" s="68"/>
      <c r="AB51" s="68"/>
      <c r="AC51" s="68"/>
      <c r="AD51" s="68"/>
      <c r="AE51" s="68"/>
      <c r="AF51" s="68"/>
      <c r="AG51" s="68"/>
      <c r="AH51" s="68"/>
      <c r="AI51" s="68"/>
      <c r="AJ51" s="68"/>
      <c r="AK51"/>
      <c r="AL51"/>
      <c r="AM51"/>
      <c r="AN51"/>
    </row>
    <row r="52" spans="1:40" ht="14.5" x14ac:dyDescent="0.35">
      <c r="A52" t="s">
        <v>1344</v>
      </c>
      <c r="B52" t="s">
        <v>1386</v>
      </c>
      <c r="C52" t="s">
        <v>1344</v>
      </c>
      <c r="D52" t="s">
        <v>35</v>
      </c>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c r="AL52"/>
      <c r="AM52"/>
      <c r="AN52"/>
    </row>
    <row r="53" spans="1:40" ht="14.5" x14ac:dyDescent="0.35">
      <c r="A53" t="s">
        <v>1343</v>
      </c>
      <c r="C53" t="s">
        <v>1379</v>
      </c>
      <c r="D53" t="s">
        <v>103</v>
      </c>
      <c r="E53">
        <v>12000</v>
      </c>
      <c r="F53" s="68"/>
      <c r="G53" s="68"/>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c r="AL53"/>
      <c r="AM53"/>
      <c r="AN53"/>
    </row>
    <row r="54" spans="1:40" ht="14.5" x14ac:dyDescent="0.35">
      <c r="A54" t="s">
        <v>1343</v>
      </c>
      <c r="C54" t="s">
        <v>1380</v>
      </c>
      <c r="D54" t="s">
        <v>101</v>
      </c>
      <c r="E54">
        <v>100</v>
      </c>
      <c r="F54" s="68"/>
      <c r="G54" s="68"/>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c r="AL54"/>
      <c r="AM54"/>
      <c r="AN54"/>
    </row>
    <row r="55" spans="1:40" ht="14.5" x14ac:dyDescent="0.35">
      <c r="A55" t="s">
        <v>1343</v>
      </c>
      <c r="C55" t="s">
        <v>1381</v>
      </c>
      <c r="D55" t="s">
        <v>29</v>
      </c>
      <c r="E55">
        <v>1</v>
      </c>
      <c r="F55" s="68"/>
      <c r="G55" s="68"/>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c r="AL55"/>
      <c r="AM55"/>
      <c r="AN55"/>
    </row>
    <row r="56" spans="1:40" ht="14.5" x14ac:dyDescent="0.35">
      <c r="A56" t="s">
        <v>1343</v>
      </c>
      <c r="B56" t="s">
        <v>1382</v>
      </c>
      <c r="C56" t="s">
        <v>1343</v>
      </c>
      <c r="D56" t="s">
        <v>35</v>
      </c>
      <c r="F56" s="68"/>
      <c r="G56" s="68"/>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c r="AL56"/>
      <c r="AM56"/>
      <c r="AN56"/>
    </row>
    <row r="57" spans="1:40" ht="14.5" x14ac:dyDescent="0.35">
      <c r="A57" t="s">
        <v>1196</v>
      </c>
      <c r="C57" t="s">
        <v>1087</v>
      </c>
      <c r="D57" t="s">
        <v>557</v>
      </c>
      <c r="E57">
        <v>21000</v>
      </c>
      <c r="F57" s="68"/>
      <c r="G57" s="68"/>
      <c r="H57" s="68"/>
      <c r="I57" s="68"/>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68"/>
      <c r="AK57"/>
      <c r="AL57"/>
      <c r="AM57"/>
      <c r="AN57"/>
    </row>
    <row r="58" spans="1:40" ht="14.5" x14ac:dyDescent="0.35">
      <c r="A58" t="s">
        <v>1196</v>
      </c>
      <c r="C58" t="s">
        <v>1088</v>
      </c>
      <c r="D58" t="s">
        <v>101</v>
      </c>
      <c r="E58">
        <v>1500</v>
      </c>
      <c r="F58" s="68"/>
      <c r="G58" s="68"/>
      <c r="H58" s="68"/>
      <c r="I58" s="68"/>
      <c r="J58" s="68"/>
      <c r="K58" s="68"/>
      <c r="L58" s="68"/>
      <c r="M58" s="68"/>
      <c r="N58" s="68"/>
      <c r="O58" s="68">
        <v>91.5</v>
      </c>
      <c r="P58" s="68"/>
      <c r="Q58" s="68"/>
      <c r="R58" s="68"/>
      <c r="S58" s="68"/>
      <c r="T58" s="68"/>
      <c r="U58" s="68"/>
      <c r="V58" s="68"/>
      <c r="W58" s="68"/>
      <c r="X58" s="68"/>
      <c r="Y58" s="68"/>
      <c r="Z58" s="68"/>
      <c r="AA58" s="68"/>
      <c r="AB58" s="68"/>
      <c r="AC58" s="68"/>
      <c r="AD58" s="68"/>
      <c r="AE58" s="68"/>
      <c r="AF58" s="68"/>
      <c r="AG58" s="68"/>
      <c r="AH58" s="68"/>
      <c r="AI58" s="68"/>
      <c r="AJ58" s="68"/>
      <c r="AK58"/>
      <c r="AL58"/>
      <c r="AM58"/>
      <c r="AN58"/>
    </row>
    <row r="59" spans="1:40" ht="14.5" x14ac:dyDescent="0.35">
      <c r="A59" t="s">
        <v>1196</v>
      </c>
      <c r="C59" t="s">
        <v>1089</v>
      </c>
      <c r="D59" t="s">
        <v>29</v>
      </c>
      <c r="E59">
        <v>1000</v>
      </c>
      <c r="F59" s="68"/>
      <c r="G59" s="68"/>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c r="AL59"/>
      <c r="AM59"/>
      <c r="AN59"/>
    </row>
    <row r="60" spans="1:40" ht="14.5" x14ac:dyDescent="0.35">
      <c r="A60" t="s">
        <v>1196</v>
      </c>
      <c r="B60" t="s">
        <v>1198</v>
      </c>
      <c r="C60" t="s">
        <v>1196</v>
      </c>
      <c r="D60" t="s">
        <v>35</v>
      </c>
      <c r="F60" s="68"/>
      <c r="G60" s="68"/>
      <c r="H60" s="68"/>
      <c r="I60" s="68"/>
      <c r="J60" s="68"/>
      <c r="K60" s="68"/>
      <c r="L60" s="68"/>
      <c r="M60" s="68"/>
      <c r="N60" s="68"/>
      <c r="O60" s="68"/>
      <c r="P60" s="68"/>
      <c r="Q60" s="68"/>
      <c r="R60" s="68"/>
      <c r="S60" s="68"/>
      <c r="T60" s="68"/>
      <c r="U60" s="68"/>
      <c r="V60" s="68"/>
      <c r="W60" s="68"/>
      <c r="X60" s="68"/>
      <c r="Y60" s="68"/>
      <c r="Z60" s="68"/>
      <c r="AA60" s="68"/>
      <c r="AB60" s="68"/>
      <c r="AC60" s="68"/>
      <c r="AD60" s="68"/>
      <c r="AE60" s="68"/>
      <c r="AF60" s="68"/>
      <c r="AG60" s="68"/>
      <c r="AH60" s="68"/>
      <c r="AI60" s="68"/>
      <c r="AJ60" s="68"/>
      <c r="AK60"/>
      <c r="AL60"/>
      <c r="AM60"/>
      <c r="AN60"/>
    </row>
    <row r="61" spans="1:40" ht="14.5" x14ac:dyDescent="0.35">
      <c r="A61" t="s">
        <v>1194</v>
      </c>
      <c r="C61" t="s">
        <v>1090</v>
      </c>
      <c r="D61" t="s">
        <v>103</v>
      </c>
      <c r="E61">
        <v>14000</v>
      </c>
      <c r="F61" s="68"/>
      <c r="G61" s="68"/>
      <c r="H61" s="68"/>
      <c r="I61" s="68"/>
      <c r="J61" s="68"/>
      <c r="K61" s="68">
        <v>16</v>
      </c>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c r="AL61"/>
      <c r="AM61"/>
      <c r="AN61"/>
    </row>
    <row r="62" spans="1:40" ht="14.5" x14ac:dyDescent="0.35">
      <c r="A62" t="s">
        <v>1194</v>
      </c>
      <c r="C62" t="s">
        <v>1091</v>
      </c>
      <c r="D62" t="s">
        <v>101</v>
      </c>
      <c r="E62">
        <v>1000</v>
      </c>
      <c r="F62" s="68"/>
      <c r="G62" s="68"/>
      <c r="H62" s="68"/>
      <c r="I62" s="68"/>
      <c r="J62" s="68"/>
      <c r="K62" s="68"/>
      <c r="L62" s="68"/>
      <c r="M62" s="68"/>
      <c r="N62" s="68"/>
      <c r="O62" s="68">
        <v>57</v>
      </c>
      <c r="P62" s="68"/>
      <c r="Q62" s="68"/>
      <c r="R62" s="68"/>
      <c r="S62" s="68"/>
      <c r="T62" s="68"/>
      <c r="U62" s="68"/>
      <c r="V62" s="68"/>
      <c r="W62" s="68"/>
      <c r="X62" s="68"/>
      <c r="Y62" s="68"/>
      <c r="Z62" s="68"/>
      <c r="AA62" s="68"/>
      <c r="AB62" s="68"/>
      <c r="AC62" s="68"/>
      <c r="AD62" s="68"/>
      <c r="AE62" s="68"/>
      <c r="AF62" s="68"/>
      <c r="AG62" s="68"/>
      <c r="AH62" s="68"/>
      <c r="AI62" s="68"/>
      <c r="AJ62" s="68"/>
      <c r="AK62"/>
      <c r="AL62"/>
      <c r="AM62"/>
      <c r="AN62"/>
    </row>
    <row r="63" spans="1:40" ht="14.5" x14ac:dyDescent="0.35">
      <c r="A63" t="s">
        <v>1194</v>
      </c>
      <c r="C63" t="s">
        <v>1124</v>
      </c>
      <c r="D63" t="s">
        <v>29</v>
      </c>
      <c r="E63">
        <v>1</v>
      </c>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c r="AL63"/>
      <c r="AM63"/>
      <c r="AN63"/>
    </row>
    <row r="64" spans="1:40" ht="14.5" x14ac:dyDescent="0.35">
      <c r="A64" t="s">
        <v>1194</v>
      </c>
      <c r="B64" t="s">
        <v>1199</v>
      </c>
      <c r="C64" t="s">
        <v>1194</v>
      </c>
      <c r="D64" t="s">
        <v>35</v>
      </c>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c r="AL64"/>
      <c r="AM64"/>
      <c r="AN64"/>
    </row>
    <row r="65" spans="1:40" ht="14.5" x14ac:dyDescent="0.35">
      <c r="A65" t="s">
        <v>2</v>
      </c>
      <c r="C65" t="s">
        <v>1093</v>
      </c>
      <c r="D65" t="s">
        <v>29</v>
      </c>
      <c r="E65">
        <v>1</v>
      </c>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c r="AL65"/>
      <c r="AM65"/>
      <c r="AN65"/>
    </row>
    <row r="66" spans="1:40" ht="14.5" x14ac:dyDescent="0.35">
      <c r="A66" t="s">
        <v>2</v>
      </c>
      <c r="B66" t="s">
        <v>73</v>
      </c>
      <c r="C66" t="s">
        <v>2</v>
      </c>
      <c r="D66" t="s">
        <v>35</v>
      </c>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c r="AL66"/>
      <c r="AM66"/>
      <c r="AN66"/>
    </row>
    <row r="67" spans="1:40" ht="14.5" x14ac:dyDescent="0.35">
      <c r="A67" t="s">
        <v>353</v>
      </c>
      <c r="C67" t="s">
        <v>368</v>
      </c>
      <c r="D67" t="s">
        <v>103</v>
      </c>
      <c r="E67">
        <v>1800</v>
      </c>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c r="AJ67" s="68"/>
      <c r="AK67"/>
      <c r="AL67"/>
      <c r="AM67"/>
      <c r="AN67"/>
    </row>
    <row r="68" spans="1:40" ht="14.5" x14ac:dyDescent="0.35">
      <c r="A68" t="s">
        <v>353</v>
      </c>
      <c r="C68" t="s">
        <v>369</v>
      </c>
      <c r="D68" t="s">
        <v>358</v>
      </c>
      <c r="E68">
        <v>60</v>
      </c>
      <c r="F68" s="68"/>
      <c r="G68" s="68"/>
      <c r="H68" s="68"/>
      <c r="I68" s="68"/>
      <c r="J68" s="68"/>
      <c r="K68" s="68"/>
      <c r="L68" s="68"/>
      <c r="M68" s="68"/>
      <c r="N68" s="68"/>
      <c r="O68" s="68"/>
      <c r="P68" s="68"/>
      <c r="Q68" s="68"/>
      <c r="R68" s="68"/>
      <c r="S68" s="68"/>
      <c r="T68" s="68"/>
      <c r="U68" s="68"/>
      <c r="V68" s="68"/>
      <c r="W68" s="68"/>
      <c r="X68" s="68"/>
      <c r="Y68" s="68"/>
      <c r="Z68" s="68"/>
      <c r="AA68" s="68"/>
      <c r="AB68" s="68"/>
      <c r="AC68" s="68"/>
      <c r="AD68" s="68"/>
      <c r="AE68" s="68"/>
      <c r="AF68" s="68"/>
      <c r="AG68" s="68"/>
      <c r="AH68" s="68"/>
      <c r="AI68" s="68"/>
      <c r="AJ68" s="68"/>
      <c r="AK68"/>
      <c r="AL68"/>
      <c r="AM68"/>
      <c r="AN68"/>
    </row>
    <row r="69" spans="1:40" ht="14.5" x14ac:dyDescent="0.35">
      <c r="A69" t="s">
        <v>353</v>
      </c>
      <c r="C69" t="s">
        <v>1094</v>
      </c>
      <c r="D69" t="s">
        <v>29</v>
      </c>
      <c r="E69">
        <v>1</v>
      </c>
      <c r="F69" s="68"/>
      <c r="G69" s="68"/>
      <c r="H69" s="68"/>
      <c r="I69" s="68"/>
      <c r="J69" s="68"/>
      <c r="K69" s="68"/>
      <c r="L69" s="68"/>
      <c r="M69" s="68"/>
      <c r="N69" s="68"/>
      <c r="O69" s="68"/>
      <c r="P69" s="68"/>
      <c r="Q69" s="68"/>
      <c r="R69" s="68"/>
      <c r="S69" s="68"/>
      <c r="T69" s="68"/>
      <c r="U69" s="68"/>
      <c r="V69" s="68"/>
      <c r="W69" s="68"/>
      <c r="X69" s="68"/>
      <c r="Y69" s="68"/>
      <c r="Z69" s="68"/>
      <c r="AA69" s="68"/>
      <c r="AB69" s="68"/>
      <c r="AC69" s="68"/>
      <c r="AD69" s="68"/>
      <c r="AE69" s="68"/>
      <c r="AF69" s="68"/>
      <c r="AG69" s="68"/>
      <c r="AH69" s="68"/>
      <c r="AI69" s="68"/>
      <c r="AJ69" s="68"/>
      <c r="AK69"/>
      <c r="AL69"/>
      <c r="AM69"/>
      <c r="AN69"/>
    </row>
    <row r="70" spans="1:40" ht="14.5" x14ac:dyDescent="0.35">
      <c r="A70" t="s">
        <v>353</v>
      </c>
      <c r="B70" t="s">
        <v>383</v>
      </c>
      <c r="C70" t="s">
        <v>353</v>
      </c>
      <c r="D70" t="s">
        <v>35</v>
      </c>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8"/>
      <c r="AK70"/>
      <c r="AL70"/>
      <c r="AM70"/>
      <c r="AN70"/>
    </row>
    <row r="71" spans="1:40" ht="14.5" x14ac:dyDescent="0.35">
      <c r="A71" t="s">
        <v>352</v>
      </c>
      <c r="C71" t="s">
        <v>365</v>
      </c>
      <c r="D71" t="s">
        <v>103</v>
      </c>
      <c r="E71">
        <v>6000</v>
      </c>
      <c r="F71" s="68"/>
      <c r="G71" s="68"/>
      <c r="H71" s="68"/>
      <c r="I71" s="68"/>
      <c r="J71" s="68"/>
      <c r="K71" s="68"/>
      <c r="L71" s="68"/>
      <c r="M71" s="68"/>
      <c r="N71" s="68"/>
      <c r="O71" s="68"/>
      <c r="P71" s="68"/>
      <c r="Q71" s="68"/>
      <c r="R71" s="68"/>
      <c r="S71" s="68"/>
      <c r="T71" s="68"/>
      <c r="U71" s="68"/>
      <c r="V71" s="68"/>
      <c r="W71" s="68"/>
      <c r="X71" s="68"/>
      <c r="Y71" s="68"/>
      <c r="Z71" s="68"/>
      <c r="AA71" s="68"/>
      <c r="AB71" s="68"/>
      <c r="AC71" s="68"/>
      <c r="AD71" s="68"/>
      <c r="AE71" s="68"/>
      <c r="AF71" s="68"/>
      <c r="AG71" s="68"/>
      <c r="AH71" s="68"/>
      <c r="AI71" s="68"/>
      <c r="AJ71" s="68"/>
      <c r="AK71"/>
      <c r="AL71"/>
      <c r="AM71"/>
      <c r="AN71"/>
    </row>
    <row r="72" spans="1:40" ht="14.5" x14ac:dyDescent="0.35">
      <c r="A72" t="s">
        <v>352</v>
      </c>
      <c r="C72" t="s">
        <v>366</v>
      </c>
      <c r="D72" t="s">
        <v>358</v>
      </c>
      <c r="E72">
        <v>1000</v>
      </c>
      <c r="F72" s="68"/>
      <c r="G72" s="68"/>
      <c r="H72" s="68"/>
      <c r="I72" s="68"/>
      <c r="J72" s="68"/>
      <c r="K72" s="68"/>
      <c r="L72" s="68"/>
      <c r="M72" s="68"/>
      <c r="N72" s="68"/>
      <c r="O72" s="68"/>
      <c r="P72" s="68"/>
      <c r="Q72" s="68"/>
      <c r="R72" s="68"/>
      <c r="S72" s="68"/>
      <c r="T72" s="68"/>
      <c r="U72" s="68"/>
      <c r="V72" s="68"/>
      <c r="W72" s="68"/>
      <c r="X72" s="68"/>
      <c r="Y72" s="68"/>
      <c r="Z72" s="68"/>
      <c r="AA72" s="68"/>
      <c r="AB72" s="68"/>
      <c r="AC72" s="68"/>
      <c r="AD72" s="68"/>
      <c r="AE72" s="68"/>
      <c r="AF72" s="68"/>
      <c r="AG72" s="68"/>
      <c r="AH72" s="68"/>
      <c r="AI72" s="68"/>
      <c r="AJ72" s="68"/>
      <c r="AK72"/>
      <c r="AL72"/>
      <c r="AM72"/>
      <c r="AN72"/>
    </row>
    <row r="73" spans="1:40" ht="14.5" x14ac:dyDescent="0.35">
      <c r="A73" t="s">
        <v>352</v>
      </c>
      <c r="C73" t="s">
        <v>367</v>
      </c>
      <c r="D73" t="s">
        <v>29</v>
      </c>
      <c r="E73">
        <v>0.75142771265404273</v>
      </c>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c r="AF73" s="68"/>
      <c r="AG73" s="68"/>
      <c r="AH73" s="68"/>
      <c r="AI73" s="68"/>
      <c r="AJ73" s="68"/>
      <c r="AK73"/>
      <c r="AL73"/>
      <c r="AM73"/>
      <c r="AN73"/>
    </row>
    <row r="74" spans="1:40" ht="14.5" x14ac:dyDescent="0.35">
      <c r="A74" t="s">
        <v>352</v>
      </c>
      <c r="B74" t="s">
        <v>382</v>
      </c>
      <c r="C74" t="s">
        <v>352</v>
      </c>
      <c r="D74" t="s">
        <v>68</v>
      </c>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c r="AG74" s="68"/>
      <c r="AH74" s="68"/>
      <c r="AI74" s="68"/>
      <c r="AJ74" s="68"/>
      <c r="AK74"/>
      <c r="AL74"/>
      <c r="AM74"/>
      <c r="AN74"/>
    </row>
    <row r="75" spans="1:40" ht="14.5" x14ac:dyDescent="0.35">
      <c r="A75" t="s">
        <v>1346</v>
      </c>
      <c r="C75" t="s">
        <v>1391</v>
      </c>
      <c r="D75" t="s">
        <v>103</v>
      </c>
      <c r="E75">
        <v>4200</v>
      </c>
      <c r="F75" s="68"/>
      <c r="G75" s="68"/>
      <c r="H75" s="68"/>
      <c r="I75" s="68"/>
      <c r="J75" s="68"/>
      <c r="K75" s="68"/>
      <c r="L75" s="68"/>
      <c r="M75" s="68"/>
      <c r="N75" s="68"/>
      <c r="O75" s="68"/>
      <c r="P75" s="68"/>
      <c r="Q75" s="68"/>
      <c r="R75" s="68"/>
      <c r="S75" s="68"/>
      <c r="T75" s="68"/>
      <c r="U75" s="68"/>
      <c r="V75" s="68"/>
      <c r="W75" s="68"/>
      <c r="X75" s="68"/>
      <c r="Y75" s="68"/>
      <c r="Z75" s="68"/>
      <c r="AA75" s="68"/>
      <c r="AB75" s="68"/>
      <c r="AC75" s="68"/>
      <c r="AD75" s="68"/>
      <c r="AE75" s="68"/>
      <c r="AF75" s="68"/>
      <c r="AG75" s="68"/>
      <c r="AH75" s="68"/>
      <c r="AI75" s="68"/>
      <c r="AJ75" s="68"/>
      <c r="AK75"/>
      <c r="AL75"/>
      <c r="AM75"/>
      <c r="AN75"/>
    </row>
    <row r="76" spans="1:40" ht="14.5" x14ac:dyDescent="0.35">
      <c r="A76" t="s">
        <v>1346</v>
      </c>
      <c r="C76" t="s">
        <v>1392</v>
      </c>
      <c r="D76" t="s">
        <v>101</v>
      </c>
      <c r="E76">
        <v>35</v>
      </c>
      <c r="F76" s="68"/>
      <c r="G76" s="68"/>
      <c r="H76" s="68"/>
      <c r="I76" s="68"/>
      <c r="J76" s="68"/>
      <c r="K76" s="68"/>
      <c r="L76" s="68"/>
      <c r="M76" s="68"/>
      <c r="N76" s="68"/>
      <c r="O76" s="68"/>
      <c r="P76" s="68"/>
      <c r="Q76" s="68"/>
      <c r="R76" s="68"/>
      <c r="S76" s="68"/>
      <c r="T76" s="68"/>
      <c r="U76" s="68"/>
      <c r="V76" s="68"/>
      <c r="W76" s="68"/>
      <c r="X76" s="68"/>
      <c r="Y76" s="68"/>
      <c r="Z76" s="68"/>
      <c r="AA76" s="68"/>
      <c r="AB76" s="68"/>
      <c r="AC76" s="68"/>
      <c r="AD76" s="68"/>
      <c r="AE76" s="68"/>
      <c r="AF76" s="68"/>
      <c r="AG76" s="68"/>
      <c r="AH76" s="68"/>
      <c r="AI76" s="68"/>
      <c r="AJ76" s="68"/>
      <c r="AK76"/>
      <c r="AL76"/>
      <c r="AM76"/>
      <c r="AN76"/>
    </row>
    <row r="77" spans="1:40" ht="14.5" x14ac:dyDescent="0.35">
      <c r="A77" t="s">
        <v>1346</v>
      </c>
      <c r="C77" t="s">
        <v>1393</v>
      </c>
      <c r="D77" t="s">
        <v>29</v>
      </c>
      <c r="E77">
        <v>1</v>
      </c>
      <c r="F77" s="68"/>
      <c r="G77" s="68"/>
      <c r="H77" s="68"/>
      <c r="I77" s="68"/>
      <c r="J77" s="68"/>
      <c r="K77" s="68"/>
      <c r="L77" s="68"/>
      <c r="M77" s="68"/>
      <c r="N77" s="68"/>
      <c r="O77" s="68"/>
      <c r="P77" s="68"/>
      <c r="Q77" s="68"/>
      <c r="R77" s="68"/>
      <c r="S77" s="68"/>
      <c r="T77" s="68"/>
      <c r="U77" s="68"/>
      <c r="V77" s="68"/>
      <c r="W77" s="68"/>
      <c r="X77" s="68"/>
      <c r="Y77" s="68"/>
      <c r="Z77" s="68"/>
      <c r="AA77" s="68"/>
      <c r="AB77" s="68"/>
      <c r="AC77" s="68"/>
      <c r="AD77" s="68"/>
      <c r="AE77" s="68"/>
      <c r="AF77" s="68"/>
      <c r="AG77" s="68"/>
      <c r="AH77" s="68"/>
      <c r="AI77" s="68"/>
      <c r="AJ77" s="68"/>
      <c r="AK77"/>
      <c r="AL77"/>
      <c r="AM77"/>
      <c r="AN77"/>
    </row>
    <row r="78" spans="1:40" ht="14.5" x14ac:dyDescent="0.35">
      <c r="A78" t="s">
        <v>1346</v>
      </c>
      <c r="B78" t="s">
        <v>1394</v>
      </c>
      <c r="C78" t="s">
        <v>1346</v>
      </c>
      <c r="D78" t="s">
        <v>35</v>
      </c>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8"/>
      <c r="AF78" s="68"/>
      <c r="AG78" s="68"/>
      <c r="AH78" s="68"/>
      <c r="AI78" s="68"/>
      <c r="AJ78" s="68"/>
      <c r="AK78"/>
      <c r="AL78"/>
      <c r="AM78"/>
      <c r="AN78"/>
    </row>
    <row r="79" spans="1:40" ht="14.5" x14ac:dyDescent="0.35">
      <c r="A79" t="s">
        <v>922</v>
      </c>
      <c r="C79" t="s">
        <v>1002</v>
      </c>
      <c r="D79" t="s">
        <v>557</v>
      </c>
      <c r="E79">
        <v>500</v>
      </c>
      <c r="F79" s="68"/>
      <c r="G79" s="68"/>
      <c r="H79" s="68"/>
      <c r="I79" s="68"/>
      <c r="J79" s="68"/>
      <c r="K79" s="68"/>
      <c r="L79" s="68"/>
      <c r="M79" s="68"/>
      <c r="N79" s="68"/>
      <c r="O79" s="68"/>
      <c r="P79" s="68"/>
      <c r="Q79" s="68"/>
      <c r="R79" s="68"/>
      <c r="S79" s="68"/>
      <c r="T79" s="68"/>
      <c r="U79" s="68"/>
      <c r="V79" s="68"/>
      <c r="W79" s="68"/>
      <c r="X79" s="68"/>
      <c r="Y79" s="68"/>
      <c r="Z79" s="68"/>
      <c r="AA79" s="68"/>
      <c r="AB79" s="68"/>
      <c r="AC79" s="68"/>
      <c r="AD79" s="68"/>
      <c r="AE79" s="68"/>
      <c r="AF79" s="68"/>
      <c r="AG79" s="68"/>
      <c r="AH79" s="68"/>
      <c r="AI79" s="68"/>
      <c r="AJ79" s="68"/>
      <c r="AK79"/>
      <c r="AL79"/>
      <c r="AM79"/>
      <c r="AN79"/>
    </row>
    <row r="80" spans="1:40" ht="14.5" x14ac:dyDescent="0.35">
      <c r="A80" t="s">
        <v>922</v>
      </c>
      <c r="C80" t="s">
        <v>1003</v>
      </c>
      <c r="D80" t="s">
        <v>101</v>
      </c>
      <c r="E80">
        <v>50</v>
      </c>
      <c r="F80" s="68"/>
      <c r="G80" s="68"/>
      <c r="H80" s="68"/>
      <c r="I80" s="68"/>
      <c r="J80" s="68"/>
      <c r="K80" s="68"/>
      <c r="L80" s="68"/>
      <c r="M80" s="68"/>
      <c r="N80" s="68"/>
      <c r="O80" s="68"/>
      <c r="P80" s="68"/>
      <c r="Q80" s="68"/>
      <c r="R80" s="68"/>
      <c r="S80" s="68"/>
      <c r="T80" s="68"/>
      <c r="U80" s="68"/>
      <c r="V80" s="68"/>
      <c r="W80" s="68"/>
      <c r="X80" s="68"/>
      <c r="Y80" s="68"/>
      <c r="Z80" s="68"/>
      <c r="AA80" s="68"/>
      <c r="AB80" s="68"/>
      <c r="AC80" s="68"/>
      <c r="AD80" s="68"/>
      <c r="AE80" s="68"/>
      <c r="AF80" s="68"/>
      <c r="AG80" s="68"/>
      <c r="AH80" s="68"/>
      <c r="AI80" s="68"/>
      <c r="AJ80" s="68"/>
      <c r="AK80"/>
      <c r="AL80"/>
      <c r="AM80"/>
      <c r="AN80"/>
    </row>
    <row r="81" spans="1:40" ht="14.5" x14ac:dyDescent="0.35">
      <c r="A81" t="s">
        <v>922</v>
      </c>
      <c r="C81" t="s">
        <v>1004</v>
      </c>
      <c r="D81" t="s">
        <v>102</v>
      </c>
      <c r="E81">
        <v>1</v>
      </c>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c r="AF81" s="68"/>
      <c r="AG81" s="68"/>
      <c r="AH81" s="68"/>
      <c r="AI81" s="68"/>
      <c r="AJ81" s="68"/>
      <c r="AK81"/>
      <c r="AL81"/>
      <c r="AM81"/>
      <c r="AN81"/>
    </row>
    <row r="82" spans="1:40" ht="14.5" x14ac:dyDescent="0.35">
      <c r="A82" t="s">
        <v>922</v>
      </c>
      <c r="B82" t="s">
        <v>1022</v>
      </c>
      <c r="C82" t="s">
        <v>922</v>
      </c>
      <c r="D82" t="s">
        <v>67</v>
      </c>
      <c r="F82" s="68"/>
      <c r="G82" s="68"/>
      <c r="H82" s="68"/>
      <c r="I82" s="68"/>
      <c r="J82" s="68"/>
      <c r="K82" s="68"/>
      <c r="L82" s="68"/>
      <c r="M82" s="68"/>
      <c r="N82" s="68"/>
      <c r="O82" s="68"/>
      <c r="P82" s="68"/>
      <c r="Q82" s="68"/>
      <c r="R82" s="68"/>
      <c r="S82" s="68"/>
      <c r="T82" s="68"/>
      <c r="U82" s="68"/>
      <c r="V82" s="68"/>
      <c r="W82" s="68"/>
      <c r="X82" s="68"/>
      <c r="Y82" s="68"/>
      <c r="Z82" s="68"/>
      <c r="AA82" s="68"/>
      <c r="AB82" s="68"/>
      <c r="AC82" s="68"/>
      <c r="AD82" s="68"/>
      <c r="AE82" s="68"/>
      <c r="AF82" s="68"/>
      <c r="AG82" s="68"/>
      <c r="AH82" s="68"/>
      <c r="AI82" s="68"/>
      <c r="AJ82" s="68"/>
      <c r="AK82"/>
      <c r="AL82"/>
      <c r="AM82"/>
      <c r="AN82"/>
    </row>
    <row r="83" spans="1:40" ht="14.5" x14ac:dyDescent="0.35">
      <c r="A83" t="s">
        <v>923</v>
      </c>
      <c r="C83" t="s">
        <v>1006</v>
      </c>
      <c r="D83" t="s">
        <v>101</v>
      </c>
      <c r="E83">
        <v>12</v>
      </c>
      <c r="F83" s="68"/>
      <c r="G83" s="68"/>
      <c r="H83" s="68"/>
      <c r="I83" s="68"/>
      <c r="J83" s="68"/>
      <c r="K83" s="68"/>
      <c r="L83" s="68"/>
      <c r="M83" s="68"/>
      <c r="N83" s="68"/>
      <c r="O83" s="68"/>
      <c r="P83" s="68"/>
      <c r="Q83" s="68"/>
      <c r="R83" s="68"/>
      <c r="S83" s="68"/>
      <c r="T83" s="68"/>
      <c r="U83" s="68"/>
      <c r="V83" s="68"/>
      <c r="W83" s="68"/>
      <c r="X83" s="68"/>
      <c r="Y83" s="68"/>
      <c r="Z83" s="68"/>
      <c r="AA83" s="68"/>
      <c r="AB83" s="68"/>
      <c r="AC83" s="68"/>
      <c r="AD83" s="68"/>
      <c r="AE83" s="68"/>
      <c r="AF83" s="68"/>
      <c r="AG83" s="68"/>
      <c r="AH83" s="68"/>
      <c r="AI83" s="68"/>
      <c r="AJ83" s="68"/>
      <c r="AK83"/>
      <c r="AL83"/>
      <c r="AM83"/>
      <c r="AN83"/>
    </row>
    <row r="84" spans="1:40" ht="14.5" x14ac:dyDescent="0.35">
      <c r="A84" t="s">
        <v>923</v>
      </c>
      <c r="C84" t="s">
        <v>1007</v>
      </c>
      <c r="D84" t="s">
        <v>102</v>
      </c>
      <c r="E84">
        <v>1</v>
      </c>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c r="AF84" s="68"/>
      <c r="AG84" s="68"/>
      <c r="AH84" s="68"/>
      <c r="AI84" s="68"/>
      <c r="AJ84" s="68"/>
      <c r="AK84"/>
      <c r="AL84"/>
      <c r="AM84"/>
      <c r="AN84"/>
    </row>
    <row r="85" spans="1:40" ht="14.5" x14ac:dyDescent="0.35">
      <c r="A85" t="s">
        <v>923</v>
      </c>
      <c r="B85" t="s">
        <v>1023</v>
      </c>
      <c r="C85" t="s">
        <v>923</v>
      </c>
      <c r="D85" t="s">
        <v>67</v>
      </c>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c r="AG85" s="68"/>
      <c r="AH85" s="68"/>
      <c r="AI85" s="68"/>
      <c r="AJ85" s="68"/>
      <c r="AK85"/>
      <c r="AL85"/>
      <c r="AM85"/>
      <c r="AN85"/>
    </row>
    <row r="86" spans="1:40" ht="14.5" x14ac:dyDescent="0.35">
      <c r="A86" t="s">
        <v>606</v>
      </c>
      <c r="C86" t="s">
        <v>604</v>
      </c>
      <c r="D86" t="s">
        <v>568</v>
      </c>
      <c r="E86">
        <v>1</v>
      </c>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c r="AF86" s="68"/>
      <c r="AG86" s="68"/>
      <c r="AH86" s="68"/>
      <c r="AI86" s="68"/>
      <c r="AJ86" s="68"/>
      <c r="AK86"/>
      <c r="AL86"/>
      <c r="AM86"/>
      <c r="AN86"/>
    </row>
    <row r="87" spans="1:40" ht="14.5" x14ac:dyDescent="0.35">
      <c r="A87" t="s">
        <v>606</v>
      </c>
      <c r="B87" t="s">
        <v>605</v>
      </c>
      <c r="C87" t="s">
        <v>606</v>
      </c>
      <c r="D87" t="s">
        <v>67</v>
      </c>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c r="AF87" s="68"/>
      <c r="AG87" s="68"/>
      <c r="AH87" s="68"/>
      <c r="AI87" s="68"/>
      <c r="AJ87" s="68"/>
      <c r="AK87"/>
      <c r="AL87"/>
      <c r="AM87"/>
      <c r="AN87"/>
    </row>
    <row r="88" spans="1:40" ht="14.5" x14ac:dyDescent="0.35">
      <c r="A88" t="s">
        <v>919</v>
      </c>
      <c r="C88" t="s">
        <v>996</v>
      </c>
      <c r="D88" t="s">
        <v>557</v>
      </c>
      <c r="E88">
        <v>500</v>
      </c>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8"/>
      <c r="AI88" s="68"/>
      <c r="AJ88" s="68"/>
      <c r="AK88"/>
      <c r="AL88"/>
      <c r="AM88"/>
      <c r="AN88"/>
    </row>
    <row r="89" spans="1:40" ht="14.5" x14ac:dyDescent="0.35">
      <c r="A89" t="s">
        <v>919</v>
      </c>
      <c r="C89" t="s">
        <v>997</v>
      </c>
      <c r="D89" t="s">
        <v>101</v>
      </c>
      <c r="E89">
        <v>50</v>
      </c>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c r="AG89" s="68"/>
      <c r="AH89" s="68"/>
      <c r="AI89" s="68"/>
      <c r="AJ89" s="68"/>
      <c r="AK89"/>
      <c r="AL89"/>
      <c r="AM89"/>
      <c r="AN89"/>
    </row>
    <row r="90" spans="1:40" ht="14.5" x14ac:dyDescent="0.35">
      <c r="A90" t="s">
        <v>919</v>
      </c>
      <c r="C90" t="s">
        <v>998</v>
      </c>
      <c r="D90" t="s">
        <v>102</v>
      </c>
      <c r="E90">
        <v>1</v>
      </c>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c r="AF90" s="68"/>
      <c r="AG90" s="68"/>
      <c r="AH90" s="68"/>
      <c r="AI90" s="68"/>
      <c r="AJ90" s="68"/>
      <c r="AK90"/>
      <c r="AL90"/>
      <c r="AM90"/>
      <c r="AN90"/>
    </row>
    <row r="91" spans="1:40" ht="14.5" x14ac:dyDescent="0.35">
      <c r="A91" t="s">
        <v>919</v>
      </c>
      <c r="B91" t="s">
        <v>1020</v>
      </c>
      <c r="C91" t="s">
        <v>919</v>
      </c>
      <c r="D91" t="s">
        <v>67</v>
      </c>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c r="AG91" s="68"/>
      <c r="AH91" s="68"/>
      <c r="AI91" s="68"/>
      <c r="AJ91" s="68"/>
      <c r="AK91"/>
      <c r="AL91"/>
      <c r="AM91"/>
      <c r="AN91"/>
    </row>
    <row r="92" spans="1:40" ht="14.5" x14ac:dyDescent="0.35">
      <c r="A92" t="s">
        <v>497</v>
      </c>
      <c r="C92" t="s">
        <v>516</v>
      </c>
      <c r="D92" t="s">
        <v>125</v>
      </c>
      <c r="E92">
        <v>1000</v>
      </c>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c r="AI92" s="68"/>
      <c r="AJ92" s="68"/>
      <c r="AK92"/>
      <c r="AL92"/>
      <c r="AM92"/>
      <c r="AN92"/>
    </row>
    <row r="93" spans="1:40" ht="14.5" x14ac:dyDescent="0.35">
      <c r="A93" t="s">
        <v>497</v>
      </c>
      <c r="C93" t="s">
        <v>967</v>
      </c>
      <c r="D93" t="s">
        <v>29</v>
      </c>
      <c r="E93">
        <v>1</v>
      </c>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68"/>
      <c r="AK93"/>
      <c r="AL93"/>
      <c r="AM93"/>
      <c r="AN93"/>
    </row>
    <row r="94" spans="1:40" ht="14.5" x14ac:dyDescent="0.35">
      <c r="A94" t="s">
        <v>497</v>
      </c>
      <c r="B94" t="s">
        <v>534</v>
      </c>
      <c r="C94" t="s">
        <v>497</v>
      </c>
      <c r="D94" t="s">
        <v>35</v>
      </c>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c r="AG94" s="68"/>
      <c r="AH94" s="68"/>
      <c r="AI94" s="68"/>
      <c r="AJ94" s="68"/>
      <c r="AK94"/>
      <c r="AL94"/>
      <c r="AM94"/>
      <c r="AN94"/>
    </row>
    <row r="95" spans="1:40" ht="14.5" x14ac:dyDescent="0.35">
      <c r="A95" t="s">
        <v>1168</v>
      </c>
      <c r="C95" t="s">
        <v>1165</v>
      </c>
      <c r="D95" t="s">
        <v>103</v>
      </c>
      <c r="E95">
        <v>5400</v>
      </c>
      <c r="F95" s="68"/>
      <c r="G95" s="68"/>
      <c r="H95" s="68"/>
      <c r="I95" s="68"/>
      <c r="J95" s="68"/>
      <c r="K95" s="68"/>
      <c r="L95" s="68"/>
      <c r="M95" s="68"/>
      <c r="N95" s="68"/>
      <c r="O95" s="68"/>
      <c r="P95" s="68"/>
      <c r="Q95" s="68"/>
      <c r="R95" s="68"/>
      <c r="S95" s="68"/>
      <c r="T95" s="68"/>
      <c r="U95" s="68"/>
      <c r="V95" s="68"/>
      <c r="W95" s="68"/>
      <c r="X95" s="68"/>
      <c r="Y95" s="68"/>
      <c r="Z95" s="68"/>
      <c r="AA95" s="68"/>
      <c r="AB95" s="68"/>
      <c r="AC95" s="68"/>
      <c r="AD95" s="68"/>
      <c r="AE95" s="68"/>
      <c r="AF95" s="68"/>
      <c r="AG95" s="68"/>
      <c r="AH95" s="68"/>
      <c r="AI95" s="68"/>
      <c r="AJ95" s="68"/>
      <c r="AK95"/>
      <c r="AL95"/>
      <c r="AM95"/>
      <c r="AN95"/>
    </row>
    <row r="96" spans="1:40" ht="14.5" x14ac:dyDescent="0.35">
      <c r="A96" t="s">
        <v>1168</v>
      </c>
      <c r="C96" t="s">
        <v>1166</v>
      </c>
      <c r="D96" t="s">
        <v>102</v>
      </c>
      <c r="E96">
        <v>9</v>
      </c>
      <c r="F96" s="68"/>
      <c r="G96" s="68"/>
      <c r="H96" s="68"/>
      <c r="I96" s="68"/>
      <c r="J96" s="68"/>
      <c r="K96" s="68"/>
      <c r="L96" s="68"/>
      <c r="M96" s="68"/>
      <c r="N96" s="68"/>
      <c r="O96" s="68"/>
      <c r="P96" s="68"/>
      <c r="Q96" s="68"/>
      <c r="R96" s="68"/>
      <c r="S96" s="68"/>
      <c r="T96" s="68"/>
      <c r="U96" s="68"/>
      <c r="V96" s="68"/>
      <c r="W96" s="68"/>
      <c r="X96" s="68"/>
      <c r="Y96" s="68"/>
      <c r="Z96" s="68"/>
      <c r="AA96" s="68"/>
      <c r="AB96" s="68"/>
      <c r="AC96" s="68"/>
      <c r="AD96" s="68"/>
      <c r="AE96" s="68"/>
      <c r="AF96" s="68"/>
      <c r="AG96" s="68"/>
      <c r="AH96" s="68"/>
      <c r="AI96" s="68"/>
      <c r="AJ96" s="68"/>
      <c r="AK96"/>
      <c r="AL96"/>
      <c r="AM96"/>
      <c r="AN96"/>
    </row>
    <row r="97" spans="1:40" ht="14.5" x14ac:dyDescent="0.35">
      <c r="A97" t="s">
        <v>1168</v>
      </c>
      <c r="B97" t="s">
        <v>1167</v>
      </c>
      <c r="C97" t="s">
        <v>1168</v>
      </c>
      <c r="D97" t="s">
        <v>35</v>
      </c>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c r="AF97" s="68"/>
      <c r="AG97" s="68"/>
      <c r="AH97" s="68"/>
      <c r="AI97" s="68"/>
      <c r="AJ97" s="68"/>
      <c r="AK97"/>
      <c r="AL97"/>
      <c r="AM97"/>
      <c r="AN97"/>
    </row>
    <row r="98" spans="1:40" ht="14.5" x14ac:dyDescent="0.35">
      <c r="A98" t="s">
        <v>613</v>
      </c>
      <c r="C98" t="s">
        <v>612</v>
      </c>
      <c r="D98" t="s">
        <v>517</v>
      </c>
      <c r="E98">
        <v>1</v>
      </c>
      <c r="F98" s="68"/>
      <c r="G98" s="68"/>
      <c r="H98" s="68"/>
      <c r="I98" s="68"/>
      <c r="J98" s="68"/>
      <c r="K98" s="68"/>
      <c r="L98" s="68"/>
      <c r="M98" s="68"/>
      <c r="N98" s="68"/>
      <c r="O98" s="68"/>
      <c r="P98" s="68"/>
      <c r="Q98" s="68"/>
      <c r="R98" s="68"/>
      <c r="S98" s="68"/>
      <c r="T98" s="68"/>
      <c r="U98" s="68"/>
      <c r="V98" s="68"/>
      <c r="W98" s="68"/>
      <c r="X98" s="68"/>
      <c r="Y98" s="68"/>
      <c r="Z98" s="68"/>
      <c r="AA98" s="68"/>
      <c r="AB98" s="68"/>
      <c r="AC98" s="68"/>
      <c r="AD98" s="68"/>
      <c r="AE98" s="68"/>
      <c r="AF98" s="68"/>
      <c r="AG98" s="68"/>
      <c r="AH98" s="68"/>
      <c r="AI98" s="68"/>
      <c r="AJ98" s="68"/>
      <c r="AK98"/>
      <c r="AL98"/>
      <c r="AM98"/>
      <c r="AN98"/>
    </row>
    <row r="99" spans="1:40" ht="14.5" x14ac:dyDescent="0.35">
      <c r="A99" t="s">
        <v>613</v>
      </c>
      <c r="B99" t="s">
        <v>632</v>
      </c>
      <c r="C99" t="s">
        <v>613</v>
      </c>
      <c r="D99" t="s">
        <v>147</v>
      </c>
      <c r="F99" s="68"/>
      <c r="G99" s="68"/>
      <c r="H99" s="68"/>
      <c r="I99" s="68"/>
      <c r="J99" s="68"/>
      <c r="K99" s="68"/>
      <c r="L99" s="68"/>
      <c r="M99" s="68"/>
      <c r="N99" s="68"/>
      <c r="O99" s="68"/>
      <c r="P99" s="68"/>
      <c r="Q99" s="68"/>
      <c r="R99" s="68"/>
      <c r="S99" s="68"/>
      <c r="T99" s="68"/>
      <c r="U99" s="68"/>
      <c r="V99" s="68"/>
      <c r="W99" s="68"/>
      <c r="X99" s="68"/>
      <c r="Y99" s="68"/>
      <c r="Z99" s="68"/>
      <c r="AA99" s="68"/>
      <c r="AB99" s="68"/>
      <c r="AC99" s="68"/>
      <c r="AD99" s="68"/>
      <c r="AE99" s="68"/>
      <c r="AF99" s="68"/>
      <c r="AG99" s="68"/>
      <c r="AH99" s="68"/>
      <c r="AI99" s="68"/>
      <c r="AJ99" s="68"/>
      <c r="AK99"/>
      <c r="AL99"/>
      <c r="AM99"/>
      <c r="AN99"/>
    </row>
    <row r="100" spans="1:40" ht="14.5" x14ac:dyDescent="0.35">
      <c r="A100" t="s">
        <v>1306</v>
      </c>
      <c r="C100" t="s">
        <v>1026</v>
      </c>
      <c r="D100" t="s">
        <v>1027</v>
      </c>
      <c r="E100">
        <v>30000</v>
      </c>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c r="AD100" s="68"/>
      <c r="AE100" s="68"/>
      <c r="AF100" s="68"/>
      <c r="AG100" s="68"/>
      <c r="AH100" s="68"/>
      <c r="AI100" s="68"/>
      <c r="AJ100" s="68"/>
      <c r="AK100"/>
      <c r="AL100"/>
      <c r="AM100"/>
      <c r="AN100"/>
    </row>
    <row r="101" spans="1:40" ht="14.5" x14ac:dyDescent="0.35">
      <c r="A101" t="s">
        <v>1306</v>
      </c>
      <c r="C101" t="s">
        <v>995</v>
      </c>
      <c r="D101" t="s">
        <v>29</v>
      </c>
      <c r="E101">
        <v>1</v>
      </c>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c r="AF101" s="68"/>
      <c r="AG101" s="68"/>
      <c r="AH101" s="68"/>
      <c r="AI101" s="68"/>
      <c r="AJ101" s="68"/>
      <c r="AK101"/>
      <c r="AL101"/>
      <c r="AM101"/>
      <c r="AN101"/>
    </row>
    <row r="102" spans="1:40" ht="14.5" x14ac:dyDescent="0.35">
      <c r="A102" t="s">
        <v>1306</v>
      </c>
      <c r="B102" t="s">
        <v>1307</v>
      </c>
      <c r="C102" t="s">
        <v>1306</v>
      </c>
      <c r="D102" t="s">
        <v>35</v>
      </c>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68"/>
      <c r="AG102" s="68"/>
      <c r="AH102" s="68"/>
      <c r="AI102" s="68"/>
      <c r="AJ102" s="68"/>
      <c r="AK102"/>
      <c r="AL102"/>
      <c r="AM102"/>
      <c r="AN102"/>
    </row>
    <row r="103" spans="1:40" ht="14.5" x14ac:dyDescent="0.35">
      <c r="A103" t="s">
        <v>617</v>
      </c>
      <c r="C103" t="s">
        <v>614</v>
      </c>
      <c r="D103" t="s">
        <v>615</v>
      </c>
      <c r="E103">
        <v>1</v>
      </c>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c r="AG103" s="68"/>
      <c r="AH103" s="68"/>
      <c r="AI103" s="68"/>
      <c r="AJ103" s="68"/>
      <c r="AK103"/>
      <c r="AL103"/>
      <c r="AM103"/>
      <c r="AN103"/>
    </row>
    <row r="104" spans="1:40" ht="14.5" x14ac:dyDescent="0.35">
      <c r="A104" t="s">
        <v>617</v>
      </c>
      <c r="B104" t="s">
        <v>633</v>
      </c>
      <c r="C104" t="s">
        <v>617</v>
      </c>
      <c r="D104" t="s">
        <v>618</v>
      </c>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68"/>
      <c r="AG104" s="68"/>
      <c r="AH104" s="68"/>
      <c r="AI104" s="68"/>
      <c r="AJ104" s="68"/>
      <c r="AK104"/>
      <c r="AL104"/>
      <c r="AM104"/>
      <c r="AN104"/>
    </row>
    <row r="105" spans="1:40" ht="14.5" x14ac:dyDescent="0.35">
      <c r="A105" t="s">
        <v>4</v>
      </c>
      <c r="C105" t="s">
        <v>1046</v>
      </c>
      <c r="D105" t="s">
        <v>101</v>
      </c>
      <c r="E105">
        <v>250</v>
      </c>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68"/>
      <c r="AG105" s="68"/>
      <c r="AH105" s="68"/>
      <c r="AI105" s="68"/>
      <c r="AJ105" s="68"/>
      <c r="AK105"/>
      <c r="AL105"/>
      <c r="AM105"/>
      <c r="AN105"/>
    </row>
    <row r="106" spans="1:40" ht="14.5" x14ac:dyDescent="0.35">
      <c r="A106" t="s">
        <v>4</v>
      </c>
      <c r="C106" t="s">
        <v>1081</v>
      </c>
      <c r="D106" t="s">
        <v>29</v>
      </c>
      <c r="E106">
        <v>1</v>
      </c>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c r="AF106" s="68"/>
      <c r="AG106" s="68"/>
      <c r="AH106" s="68"/>
      <c r="AI106" s="68"/>
      <c r="AJ106" s="68"/>
      <c r="AK106"/>
      <c r="AL106"/>
      <c r="AM106"/>
      <c r="AN106"/>
    </row>
    <row r="107" spans="1:40" ht="14.5" x14ac:dyDescent="0.35">
      <c r="A107" t="s">
        <v>4</v>
      </c>
      <c r="B107" t="s">
        <v>611</v>
      </c>
      <c r="C107" t="s">
        <v>4</v>
      </c>
      <c r="D107" t="s">
        <v>35</v>
      </c>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c r="AF107" s="68"/>
      <c r="AG107" s="68"/>
      <c r="AH107" s="68"/>
      <c r="AI107" s="68"/>
      <c r="AJ107" s="68"/>
      <c r="AK107"/>
      <c r="AL107"/>
      <c r="AM107"/>
      <c r="AN107"/>
    </row>
    <row r="108" spans="1:40" ht="14.5" x14ac:dyDescent="0.35">
      <c r="A108" t="s">
        <v>1342</v>
      </c>
      <c r="C108" t="s">
        <v>1425</v>
      </c>
      <c r="D108" t="s">
        <v>101</v>
      </c>
      <c r="E108">
        <v>193</v>
      </c>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c r="AD108" s="68"/>
      <c r="AE108" s="68"/>
      <c r="AF108" s="68"/>
      <c r="AG108" s="68"/>
      <c r="AH108" s="68"/>
      <c r="AI108" s="68"/>
      <c r="AJ108" s="68"/>
      <c r="AK108"/>
      <c r="AL108"/>
      <c r="AM108"/>
      <c r="AN108"/>
    </row>
    <row r="109" spans="1:40" ht="14.5" x14ac:dyDescent="0.35">
      <c r="A109" t="s">
        <v>1342</v>
      </c>
      <c r="C109" t="s">
        <v>1426</v>
      </c>
      <c r="D109" t="s">
        <v>102</v>
      </c>
      <c r="E109">
        <v>1</v>
      </c>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68"/>
      <c r="AE109" s="68"/>
      <c r="AF109" s="68"/>
      <c r="AG109" s="68"/>
      <c r="AH109" s="68"/>
      <c r="AI109" s="68"/>
      <c r="AJ109" s="68"/>
      <c r="AK109"/>
      <c r="AL109"/>
      <c r="AM109"/>
      <c r="AN109"/>
    </row>
    <row r="110" spans="1:40" ht="14.5" x14ac:dyDescent="0.35">
      <c r="A110" t="s">
        <v>1342</v>
      </c>
      <c r="B110" t="s">
        <v>1415</v>
      </c>
      <c r="C110" t="s">
        <v>1342</v>
      </c>
      <c r="D110" t="s">
        <v>67</v>
      </c>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68"/>
      <c r="AG110" s="68"/>
      <c r="AH110" s="68"/>
      <c r="AI110" s="68"/>
      <c r="AJ110" s="68"/>
      <c r="AK110"/>
      <c r="AL110"/>
      <c r="AM110"/>
      <c r="AN110"/>
    </row>
    <row r="111" spans="1:40" ht="14.5" x14ac:dyDescent="0.35">
      <c r="A111" t="s">
        <v>1331</v>
      </c>
      <c r="C111" t="s">
        <v>135</v>
      </c>
      <c r="D111" t="s">
        <v>29</v>
      </c>
      <c r="E111">
        <v>50000</v>
      </c>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c r="AF111" s="68"/>
      <c r="AG111" s="68"/>
      <c r="AH111" s="68"/>
      <c r="AI111" s="68"/>
      <c r="AJ111" s="68"/>
      <c r="AK111"/>
      <c r="AL111"/>
      <c r="AM111"/>
      <c r="AN111"/>
    </row>
    <row r="112" spans="1:40" ht="14.5" x14ac:dyDescent="0.35">
      <c r="A112" t="s">
        <v>1331</v>
      </c>
      <c r="C112" t="s">
        <v>137</v>
      </c>
      <c r="D112" t="s">
        <v>29</v>
      </c>
      <c r="E112">
        <v>1000</v>
      </c>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c r="AG112" s="68"/>
      <c r="AH112" s="68"/>
      <c r="AI112" s="68"/>
      <c r="AJ112" s="68"/>
      <c r="AK112"/>
      <c r="AL112"/>
      <c r="AM112"/>
      <c r="AN112"/>
    </row>
    <row r="113" spans="1:40" ht="14.5" x14ac:dyDescent="0.35">
      <c r="A113" t="s">
        <v>1331</v>
      </c>
      <c r="C113" t="s">
        <v>134</v>
      </c>
      <c r="D113" t="s">
        <v>29</v>
      </c>
      <c r="E113">
        <v>1</v>
      </c>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68"/>
      <c r="AG113" s="68"/>
      <c r="AH113" s="68"/>
      <c r="AI113" s="68"/>
      <c r="AJ113" s="68"/>
      <c r="AK113"/>
      <c r="AL113"/>
      <c r="AM113"/>
      <c r="AN113"/>
    </row>
    <row r="114" spans="1:40" ht="14.5" x14ac:dyDescent="0.35">
      <c r="A114" t="s">
        <v>1331</v>
      </c>
      <c r="B114" t="s">
        <v>1332</v>
      </c>
      <c r="C114" t="s">
        <v>1331</v>
      </c>
      <c r="D114" t="s">
        <v>35</v>
      </c>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68"/>
      <c r="AG114" s="68"/>
      <c r="AH114" s="68"/>
      <c r="AI114" s="68"/>
      <c r="AJ114" s="68"/>
      <c r="AK114"/>
      <c r="AL114"/>
      <c r="AM114"/>
      <c r="AN114"/>
    </row>
    <row r="115" spans="1:40" ht="14.5" x14ac:dyDescent="0.35">
      <c r="A115" t="s">
        <v>598</v>
      </c>
      <c r="C115" t="s">
        <v>1047</v>
      </c>
      <c r="D115" t="s">
        <v>101</v>
      </c>
      <c r="E115">
        <v>100</v>
      </c>
      <c r="F115" s="68">
        <v>8</v>
      </c>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8"/>
      <c r="AI115" s="68"/>
      <c r="AJ115" s="68"/>
      <c r="AK115"/>
      <c r="AL115"/>
      <c r="AM115"/>
      <c r="AN115"/>
    </row>
    <row r="116" spans="1:40" ht="14.5" x14ac:dyDescent="0.35">
      <c r="A116" t="s">
        <v>598</v>
      </c>
      <c r="B116" t="s">
        <v>597</v>
      </c>
      <c r="C116" t="s">
        <v>598</v>
      </c>
      <c r="D116" t="s">
        <v>67</v>
      </c>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68"/>
      <c r="AG116" s="68"/>
      <c r="AH116" s="68"/>
      <c r="AI116" s="68"/>
      <c r="AJ116" s="68"/>
      <c r="AK116"/>
      <c r="AL116"/>
      <c r="AM116"/>
      <c r="AN116"/>
    </row>
    <row r="117" spans="1:40" ht="14.5" x14ac:dyDescent="0.35">
      <c r="A117" t="s">
        <v>596</v>
      </c>
      <c r="C117" t="s">
        <v>1048</v>
      </c>
      <c r="D117" t="s">
        <v>101</v>
      </c>
      <c r="E117">
        <v>100</v>
      </c>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c r="AF117" s="68"/>
      <c r="AG117" s="68"/>
      <c r="AH117" s="68"/>
      <c r="AI117" s="68"/>
      <c r="AJ117" s="68"/>
      <c r="AK117"/>
      <c r="AL117"/>
      <c r="AM117"/>
      <c r="AN117"/>
    </row>
    <row r="118" spans="1:40" ht="14.5" x14ac:dyDescent="0.35">
      <c r="A118" t="s">
        <v>596</v>
      </c>
      <c r="C118" t="s">
        <v>594</v>
      </c>
      <c r="D118" t="s">
        <v>568</v>
      </c>
      <c r="E118">
        <v>1</v>
      </c>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c r="AD118" s="68"/>
      <c r="AE118" s="68"/>
      <c r="AF118" s="68"/>
      <c r="AG118" s="68"/>
      <c r="AH118" s="68"/>
      <c r="AI118" s="68"/>
      <c r="AJ118" s="68"/>
      <c r="AK118"/>
      <c r="AL118"/>
      <c r="AM118"/>
      <c r="AN118"/>
    </row>
    <row r="119" spans="1:40" ht="14.5" x14ac:dyDescent="0.35">
      <c r="A119" t="s">
        <v>596</v>
      </c>
      <c r="B119" t="s">
        <v>595</v>
      </c>
      <c r="C119" t="s">
        <v>596</v>
      </c>
      <c r="D119" t="s">
        <v>67</v>
      </c>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68"/>
      <c r="AG119" s="68"/>
      <c r="AH119" s="68"/>
      <c r="AI119" s="68"/>
      <c r="AJ119" s="68"/>
      <c r="AK119"/>
      <c r="AL119"/>
      <c r="AM119"/>
      <c r="AN119"/>
    </row>
    <row r="120" spans="1:40" ht="14.5" x14ac:dyDescent="0.35">
      <c r="A120" t="s">
        <v>601</v>
      </c>
      <c r="C120" t="s">
        <v>599</v>
      </c>
      <c r="D120" t="s">
        <v>580</v>
      </c>
      <c r="E120">
        <v>1</v>
      </c>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68"/>
      <c r="AG120" s="68"/>
      <c r="AH120" s="68"/>
      <c r="AI120" s="68"/>
      <c r="AJ120" s="68"/>
      <c r="AK120"/>
      <c r="AL120"/>
      <c r="AM120"/>
      <c r="AN120"/>
    </row>
    <row r="121" spans="1:40" ht="14.5" x14ac:dyDescent="0.35">
      <c r="A121" t="s">
        <v>601</v>
      </c>
      <c r="B121" t="s">
        <v>600</v>
      </c>
      <c r="C121" t="s">
        <v>601</v>
      </c>
      <c r="D121" t="s">
        <v>151</v>
      </c>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c r="AD121" s="68"/>
      <c r="AE121" s="68"/>
      <c r="AF121" s="68"/>
      <c r="AG121" s="68"/>
      <c r="AH121" s="68"/>
      <c r="AI121" s="68"/>
      <c r="AJ121" s="68"/>
      <c r="AK121"/>
      <c r="AL121"/>
      <c r="AM121"/>
      <c r="AN121"/>
    </row>
    <row r="122" spans="1:40" ht="14.5" x14ac:dyDescent="0.35">
      <c r="A122" t="s">
        <v>586</v>
      </c>
      <c r="C122" t="s">
        <v>584</v>
      </c>
      <c r="D122" t="s">
        <v>580</v>
      </c>
      <c r="E122">
        <v>1</v>
      </c>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c r="AD122" s="68"/>
      <c r="AE122" s="68"/>
      <c r="AF122" s="68"/>
      <c r="AG122" s="68"/>
      <c r="AH122" s="68"/>
      <c r="AI122" s="68"/>
      <c r="AJ122" s="68"/>
      <c r="AK122"/>
      <c r="AL122"/>
      <c r="AM122"/>
      <c r="AN122"/>
    </row>
    <row r="123" spans="1:40" ht="14.5" x14ac:dyDescent="0.35">
      <c r="A123" t="s">
        <v>586</v>
      </c>
      <c r="B123" t="s">
        <v>585</v>
      </c>
      <c r="C123" t="s">
        <v>586</v>
      </c>
      <c r="D123" t="s">
        <v>151</v>
      </c>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c r="AE123" s="68"/>
      <c r="AF123" s="68"/>
      <c r="AG123" s="68"/>
      <c r="AH123" s="68"/>
      <c r="AI123" s="68"/>
      <c r="AJ123" s="68"/>
      <c r="AK123"/>
      <c r="AL123"/>
      <c r="AM123"/>
      <c r="AN123"/>
    </row>
    <row r="124" spans="1:40" ht="14.5" x14ac:dyDescent="0.35">
      <c r="A124" t="s">
        <v>349</v>
      </c>
      <c r="C124" t="s">
        <v>356</v>
      </c>
      <c r="D124" t="s">
        <v>103</v>
      </c>
      <c r="E124">
        <v>6600</v>
      </c>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c r="AE124" s="68"/>
      <c r="AF124" s="68"/>
      <c r="AG124" s="68"/>
      <c r="AH124" s="68"/>
      <c r="AI124" s="68"/>
      <c r="AJ124" s="68"/>
      <c r="AK124"/>
      <c r="AL124"/>
      <c r="AM124"/>
      <c r="AN124"/>
    </row>
    <row r="125" spans="1:40" ht="14.5" x14ac:dyDescent="0.35">
      <c r="A125" t="s">
        <v>349</v>
      </c>
      <c r="C125" t="s">
        <v>357</v>
      </c>
      <c r="D125" t="s">
        <v>358</v>
      </c>
      <c r="E125">
        <v>550</v>
      </c>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68"/>
      <c r="AE125" s="68"/>
      <c r="AF125" s="68"/>
      <c r="AG125" s="68"/>
      <c r="AH125" s="68"/>
      <c r="AI125" s="68"/>
      <c r="AJ125" s="68"/>
      <c r="AK125"/>
      <c r="AL125"/>
      <c r="AM125"/>
      <c r="AN125"/>
    </row>
    <row r="126" spans="1:40" ht="14.5" x14ac:dyDescent="0.35">
      <c r="A126" t="s">
        <v>349</v>
      </c>
      <c r="C126" t="s">
        <v>359</v>
      </c>
      <c r="D126" t="s">
        <v>29</v>
      </c>
      <c r="E126">
        <v>1</v>
      </c>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c r="AD126" s="68"/>
      <c r="AE126" s="68"/>
      <c r="AF126" s="68"/>
      <c r="AG126" s="68"/>
      <c r="AH126" s="68"/>
      <c r="AI126" s="68"/>
      <c r="AJ126" s="68"/>
      <c r="AK126"/>
      <c r="AL126"/>
      <c r="AM126"/>
      <c r="AN126"/>
    </row>
    <row r="127" spans="1:40" ht="14.5" x14ac:dyDescent="0.35">
      <c r="A127" t="s">
        <v>349</v>
      </c>
      <c r="B127" t="s">
        <v>379</v>
      </c>
      <c r="C127" t="s">
        <v>349</v>
      </c>
      <c r="D127" t="s">
        <v>35</v>
      </c>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68"/>
      <c r="AG127" s="68"/>
      <c r="AH127" s="68"/>
      <c r="AI127" s="68"/>
      <c r="AJ127" s="68"/>
      <c r="AK127"/>
      <c r="AL127"/>
      <c r="AM127"/>
      <c r="AN127"/>
    </row>
    <row r="128" spans="1:40" ht="14.5" x14ac:dyDescent="0.35">
      <c r="A128" t="s">
        <v>8</v>
      </c>
      <c r="C128" t="s">
        <v>1100</v>
      </c>
      <c r="D128" t="s">
        <v>101</v>
      </c>
      <c r="E128">
        <v>1</v>
      </c>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68"/>
      <c r="AG128" s="68"/>
      <c r="AH128" s="68"/>
      <c r="AI128" s="68"/>
      <c r="AJ128" s="68"/>
      <c r="AK128"/>
      <c r="AL128"/>
      <c r="AM128"/>
      <c r="AN128"/>
    </row>
    <row r="129" spans="1:40" ht="14.5" x14ac:dyDescent="0.35">
      <c r="A129" t="s">
        <v>8</v>
      </c>
      <c r="B129" t="s">
        <v>631</v>
      </c>
      <c r="C129" t="s">
        <v>1465</v>
      </c>
      <c r="D129" t="s">
        <v>67</v>
      </c>
      <c r="F129" s="68"/>
      <c r="G129" s="68"/>
      <c r="H129" s="68"/>
      <c r="I129" s="68"/>
      <c r="J129" s="68"/>
      <c r="K129" s="68"/>
      <c r="L129" s="68"/>
      <c r="M129" s="68"/>
      <c r="N129" s="68"/>
      <c r="O129" s="68"/>
      <c r="P129" s="68"/>
      <c r="Q129" s="68"/>
      <c r="R129" s="68"/>
      <c r="S129" s="68"/>
      <c r="T129" s="68"/>
      <c r="U129" s="68"/>
      <c r="V129" s="68"/>
      <c r="W129" s="68"/>
      <c r="X129" s="68"/>
      <c r="Y129" s="68"/>
      <c r="Z129" s="68"/>
      <c r="AA129" s="68"/>
      <c r="AB129" s="68"/>
      <c r="AC129" s="68"/>
      <c r="AD129" s="68"/>
      <c r="AE129" s="68"/>
      <c r="AF129" s="68"/>
      <c r="AG129" s="68"/>
      <c r="AH129" s="68"/>
      <c r="AI129" s="68"/>
      <c r="AJ129" s="68"/>
      <c r="AK129"/>
      <c r="AL129"/>
      <c r="AM129"/>
      <c r="AN129"/>
    </row>
    <row r="130" spans="1:40" ht="14.5" x14ac:dyDescent="0.35">
      <c r="A130" t="s">
        <v>9</v>
      </c>
      <c r="C130" t="s">
        <v>1049</v>
      </c>
      <c r="D130" t="s">
        <v>462</v>
      </c>
      <c r="E130">
        <v>1</v>
      </c>
      <c r="F130" s="68"/>
      <c r="G130" s="68"/>
      <c r="H130" s="68"/>
      <c r="I130" s="68"/>
      <c r="J130" s="68"/>
      <c r="K130" s="68"/>
      <c r="L130" s="68"/>
      <c r="M130" s="68"/>
      <c r="N130" s="68"/>
      <c r="O130" s="68"/>
      <c r="P130" s="68"/>
      <c r="Q130" s="68"/>
      <c r="R130" s="68"/>
      <c r="S130" s="68"/>
      <c r="T130" s="68"/>
      <c r="U130" s="68"/>
      <c r="V130" s="68"/>
      <c r="W130" s="68"/>
      <c r="X130" s="68"/>
      <c r="Y130" s="68"/>
      <c r="Z130" s="68"/>
      <c r="AA130" s="68"/>
      <c r="AB130" s="68"/>
      <c r="AC130" s="68"/>
      <c r="AD130" s="68"/>
      <c r="AE130" s="68"/>
      <c r="AF130" s="68"/>
      <c r="AG130" s="68"/>
      <c r="AH130" s="68"/>
      <c r="AI130" s="68"/>
      <c r="AJ130" s="68"/>
      <c r="AK130"/>
      <c r="AL130"/>
      <c r="AM130"/>
      <c r="AN130"/>
    </row>
    <row r="131" spans="1:40" ht="14.5" x14ac:dyDescent="0.35">
      <c r="A131" t="s">
        <v>9</v>
      </c>
      <c r="B131" t="s">
        <v>569</v>
      </c>
      <c r="C131" t="s">
        <v>9</v>
      </c>
      <c r="D131" t="s">
        <v>556</v>
      </c>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c r="AD131" s="68"/>
      <c r="AE131" s="68"/>
      <c r="AF131" s="68"/>
      <c r="AG131" s="68"/>
      <c r="AH131" s="68"/>
      <c r="AI131" s="68"/>
      <c r="AJ131" s="68"/>
      <c r="AK131"/>
      <c r="AL131"/>
      <c r="AM131"/>
      <c r="AN131"/>
    </row>
    <row r="132" spans="1:40" ht="14.5" x14ac:dyDescent="0.35">
      <c r="A132" t="s">
        <v>985</v>
      </c>
      <c r="C132" t="s">
        <v>1011</v>
      </c>
      <c r="D132" t="s">
        <v>103</v>
      </c>
      <c r="E132">
        <v>12000</v>
      </c>
      <c r="F132" s="68"/>
      <c r="G132" s="68"/>
      <c r="H132" s="68"/>
      <c r="I132" s="68"/>
      <c r="J132" s="68"/>
      <c r="K132" s="68"/>
      <c r="L132" s="68"/>
      <c r="M132" s="68"/>
      <c r="N132" s="68"/>
      <c r="O132" s="68"/>
      <c r="P132" s="68"/>
      <c r="Q132" s="68"/>
      <c r="R132" s="68"/>
      <c r="S132" s="68"/>
      <c r="T132" s="68"/>
      <c r="U132" s="68"/>
      <c r="V132" s="68"/>
      <c r="W132" s="68"/>
      <c r="X132" s="68"/>
      <c r="Y132" s="68"/>
      <c r="Z132" s="68"/>
      <c r="AA132" s="68"/>
      <c r="AB132" s="68"/>
      <c r="AC132" s="68"/>
      <c r="AD132" s="68"/>
      <c r="AE132" s="68"/>
      <c r="AF132" s="68"/>
      <c r="AG132" s="68"/>
      <c r="AH132" s="68"/>
      <c r="AI132" s="68"/>
      <c r="AJ132" s="68"/>
      <c r="AK132"/>
      <c r="AL132"/>
      <c r="AM132"/>
      <c r="AN132"/>
    </row>
    <row r="133" spans="1:40" ht="14.5" x14ac:dyDescent="0.35">
      <c r="A133" t="s">
        <v>985</v>
      </c>
      <c r="C133" t="s">
        <v>1200</v>
      </c>
      <c r="D133" t="s">
        <v>1027</v>
      </c>
      <c r="E133">
        <v>6000</v>
      </c>
      <c r="F133" s="68"/>
      <c r="G133" s="68"/>
      <c r="H133" s="68"/>
      <c r="I133" s="68"/>
      <c r="J133" s="68"/>
      <c r="K133" s="68"/>
      <c r="L133" s="68"/>
      <c r="M133" s="68"/>
      <c r="N133" s="68"/>
      <c r="O133" s="68"/>
      <c r="P133" s="68"/>
      <c r="Q133" s="68"/>
      <c r="R133" s="68"/>
      <c r="S133" s="68"/>
      <c r="T133" s="68"/>
      <c r="U133" s="68"/>
      <c r="V133" s="68"/>
      <c r="W133" s="68"/>
      <c r="X133" s="68"/>
      <c r="Y133" s="68"/>
      <c r="Z133" s="68"/>
      <c r="AA133" s="68"/>
      <c r="AB133" s="68"/>
      <c r="AC133" s="68"/>
      <c r="AD133" s="68"/>
      <c r="AE133" s="68"/>
      <c r="AF133" s="68"/>
      <c r="AG133" s="68"/>
      <c r="AH133" s="68"/>
      <c r="AI133" s="68"/>
      <c r="AJ133" s="68"/>
      <c r="AK133"/>
      <c r="AL133"/>
      <c r="AM133"/>
      <c r="AN133"/>
    </row>
    <row r="134" spans="1:40" ht="14.5" x14ac:dyDescent="0.35">
      <c r="A134" t="s">
        <v>985</v>
      </c>
      <c r="C134" t="s">
        <v>1012</v>
      </c>
      <c r="D134" t="s">
        <v>29</v>
      </c>
      <c r="E134">
        <v>1</v>
      </c>
      <c r="F134" s="68"/>
      <c r="G134" s="68"/>
      <c r="H134" s="68"/>
      <c r="I134" s="68"/>
      <c r="J134" s="68"/>
      <c r="K134" s="68"/>
      <c r="L134" s="68"/>
      <c r="M134" s="68"/>
      <c r="N134" s="68"/>
      <c r="O134" s="68"/>
      <c r="P134" s="68"/>
      <c r="Q134" s="68"/>
      <c r="R134" s="68"/>
      <c r="S134" s="68"/>
      <c r="T134" s="68"/>
      <c r="U134" s="68"/>
      <c r="V134" s="68"/>
      <c r="W134" s="68"/>
      <c r="X134" s="68"/>
      <c r="Y134" s="68"/>
      <c r="Z134" s="68"/>
      <c r="AA134" s="68"/>
      <c r="AB134" s="68"/>
      <c r="AC134" s="68"/>
      <c r="AD134" s="68"/>
      <c r="AE134" s="68"/>
      <c r="AF134" s="68"/>
      <c r="AG134" s="68"/>
      <c r="AH134" s="68"/>
      <c r="AI134" s="68"/>
      <c r="AJ134" s="68"/>
      <c r="AK134"/>
      <c r="AL134"/>
      <c r="AM134"/>
      <c r="AN134"/>
    </row>
    <row r="135" spans="1:40" ht="14.5" x14ac:dyDescent="0.35">
      <c r="A135" t="s">
        <v>985</v>
      </c>
      <c r="B135" t="s">
        <v>1025</v>
      </c>
      <c r="C135" t="s">
        <v>985</v>
      </c>
      <c r="D135" t="s">
        <v>35</v>
      </c>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8"/>
      <c r="AK135"/>
      <c r="AL135"/>
      <c r="AM135"/>
      <c r="AN135"/>
    </row>
    <row r="136" spans="1:40" ht="14.5" x14ac:dyDescent="0.35">
      <c r="A136" t="s">
        <v>355</v>
      </c>
      <c r="C136" t="s">
        <v>374</v>
      </c>
      <c r="D136" t="s">
        <v>103</v>
      </c>
      <c r="E136">
        <v>5400</v>
      </c>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c r="AD136" s="68"/>
      <c r="AE136" s="68"/>
      <c r="AF136" s="68"/>
      <c r="AG136" s="68"/>
      <c r="AH136" s="68"/>
      <c r="AI136" s="68"/>
      <c r="AJ136" s="68"/>
      <c r="AK136"/>
      <c r="AL136"/>
      <c r="AM136"/>
      <c r="AN136"/>
    </row>
    <row r="137" spans="1:40" ht="14.5" x14ac:dyDescent="0.35">
      <c r="A137" t="s">
        <v>355</v>
      </c>
      <c r="C137" t="s">
        <v>1096</v>
      </c>
      <c r="D137" t="s">
        <v>101</v>
      </c>
      <c r="E137">
        <v>300</v>
      </c>
      <c r="F137" s="68"/>
      <c r="G137" s="68"/>
      <c r="H137" s="68"/>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c r="AF137" s="68"/>
      <c r="AG137" s="68"/>
      <c r="AH137" s="68"/>
      <c r="AI137" s="68"/>
      <c r="AJ137" s="68"/>
      <c r="AK137"/>
      <c r="AL137"/>
      <c r="AM137"/>
      <c r="AN137"/>
    </row>
    <row r="138" spans="1:40" ht="14.5" x14ac:dyDescent="0.35">
      <c r="A138" t="s">
        <v>355</v>
      </c>
      <c r="C138" t="s">
        <v>375</v>
      </c>
      <c r="D138" t="s">
        <v>29</v>
      </c>
      <c r="E138">
        <v>1</v>
      </c>
      <c r="F138" s="68"/>
      <c r="G138" s="68"/>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c r="AE138" s="68"/>
      <c r="AF138" s="68"/>
      <c r="AG138" s="68"/>
      <c r="AH138" s="68"/>
      <c r="AI138" s="68"/>
      <c r="AJ138" s="68"/>
      <c r="AK138"/>
      <c r="AL138"/>
      <c r="AM138"/>
      <c r="AN138"/>
    </row>
    <row r="139" spans="1:40" ht="14.5" x14ac:dyDescent="0.35">
      <c r="A139" t="s">
        <v>355</v>
      </c>
      <c r="B139" t="s">
        <v>385</v>
      </c>
      <c r="C139" t="s">
        <v>355</v>
      </c>
      <c r="D139" t="s">
        <v>35</v>
      </c>
      <c r="F139" s="68"/>
      <c r="G139" s="68"/>
      <c r="H139" s="68"/>
      <c r="I139" s="68"/>
      <c r="J139" s="68"/>
      <c r="K139" s="68"/>
      <c r="L139" s="68"/>
      <c r="M139" s="68"/>
      <c r="N139" s="68"/>
      <c r="O139" s="68"/>
      <c r="P139" s="68"/>
      <c r="Q139" s="68"/>
      <c r="R139" s="68"/>
      <c r="S139" s="68"/>
      <c r="T139" s="68"/>
      <c r="U139" s="68"/>
      <c r="V139" s="68"/>
      <c r="W139" s="68"/>
      <c r="X139" s="68"/>
      <c r="Y139" s="68"/>
      <c r="Z139" s="68"/>
      <c r="AA139" s="68"/>
      <c r="AB139" s="68"/>
      <c r="AC139" s="68"/>
      <c r="AD139" s="68"/>
      <c r="AE139" s="68"/>
      <c r="AF139" s="68"/>
      <c r="AG139" s="68"/>
      <c r="AH139" s="68"/>
      <c r="AI139" s="68"/>
      <c r="AJ139" s="68"/>
      <c r="AK139"/>
      <c r="AL139"/>
      <c r="AM139"/>
      <c r="AN139"/>
    </row>
    <row r="140" spans="1:40" ht="14.5" x14ac:dyDescent="0.35">
      <c r="A140" t="s">
        <v>554</v>
      </c>
      <c r="C140" t="s">
        <v>1035</v>
      </c>
      <c r="D140" t="s">
        <v>557</v>
      </c>
      <c r="E140">
        <v>20000</v>
      </c>
      <c r="F140" s="68"/>
      <c r="G140" s="68"/>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c r="AF140" s="68"/>
      <c r="AG140" s="68"/>
      <c r="AH140" s="68"/>
      <c r="AI140" s="68"/>
      <c r="AJ140" s="68"/>
      <c r="AK140"/>
      <c r="AL140"/>
      <c r="AM140"/>
      <c r="AN140"/>
    </row>
    <row r="141" spans="1:40" ht="14.5" x14ac:dyDescent="0.35">
      <c r="A141" t="s">
        <v>554</v>
      </c>
      <c r="C141" t="s">
        <v>1050</v>
      </c>
      <c r="D141" t="s">
        <v>101</v>
      </c>
      <c r="E141">
        <v>500</v>
      </c>
      <c r="F141" s="68"/>
      <c r="G141" s="68"/>
      <c r="H141" s="68"/>
      <c r="I141" s="68"/>
      <c r="J141" s="68"/>
      <c r="K141" s="68"/>
      <c r="L141" s="68"/>
      <c r="M141" s="68"/>
      <c r="N141" s="68"/>
      <c r="O141" s="68"/>
      <c r="P141" s="68"/>
      <c r="Q141" s="68"/>
      <c r="R141" s="68"/>
      <c r="S141" s="68"/>
      <c r="T141" s="68"/>
      <c r="U141" s="68"/>
      <c r="V141" s="68"/>
      <c r="W141" s="68"/>
      <c r="X141" s="68"/>
      <c r="Y141" s="68"/>
      <c r="Z141" s="68"/>
      <c r="AA141" s="68"/>
      <c r="AB141" s="68"/>
      <c r="AC141" s="68"/>
      <c r="AD141" s="68"/>
      <c r="AE141" s="68"/>
      <c r="AF141" s="68"/>
      <c r="AG141" s="68"/>
      <c r="AH141" s="68"/>
      <c r="AI141" s="68"/>
      <c r="AJ141" s="68"/>
      <c r="AK141"/>
      <c r="AL141"/>
      <c r="AM141"/>
      <c r="AN141"/>
    </row>
    <row r="142" spans="1:40" ht="14.5" x14ac:dyDescent="0.35">
      <c r="A142" t="s">
        <v>554</v>
      </c>
      <c r="C142" t="s">
        <v>640</v>
      </c>
      <c r="D142" t="s">
        <v>102</v>
      </c>
      <c r="E142">
        <v>1</v>
      </c>
      <c r="F142" s="68"/>
      <c r="G142" s="68"/>
      <c r="H142" s="68"/>
      <c r="I142" s="68"/>
      <c r="J142" s="68"/>
      <c r="K142" s="68"/>
      <c r="L142" s="68"/>
      <c r="M142" s="68"/>
      <c r="N142" s="68"/>
      <c r="O142" s="68"/>
      <c r="P142" s="68"/>
      <c r="Q142" s="68"/>
      <c r="R142" s="68"/>
      <c r="S142" s="68"/>
      <c r="T142" s="68"/>
      <c r="U142" s="68"/>
      <c r="V142" s="68"/>
      <c r="W142" s="68"/>
      <c r="X142" s="68"/>
      <c r="Y142" s="68"/>
      <c r="Z142" s="68"/>
      <c r="AA142" s="68"/>
      <c r="AB142" s="68"/>
      <c r="AC142" s="68"/>
      <c r="AD142" s="68"/>
      <c r="AE142" s="68"/>
      <c r="AF142" s="68"/>
      <c r="AG142" s="68"/>
      <c r="AH142" s="68"/>
      <c r="AI142" s="68"/>
      <c r="AJ142" s="68"/>
      <c r="AK142"/>
      <c r="AL142"/>
      <c r="AM142"/>
      <c r="AN142"/>
    </row>
    <row r="143" spans="1:40" ht="14.5" x14ac:dyDescent="0.35">
      <c r="A143" t="s">
        <v>554</v>
      </c>
      <c r="B143" t="s">
        <v>558</v>
      </c>
      <c r="C143" t="s">
        <v>554</v>
      </c>
      <c r="D143" t="s">
        <v>67</v>
      </c>
      <c r="F143" s="68"/>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8"/>
      <c r="AF143" s="68"/>
      <c r="AG143" s="68"/>
      <c r="AH143" s="68"/>
      <c r="AI143" s="68"/>
      <c r="AJ143" s="68"/>
      <c r="AK143"/>
      <c r="AL143"/>
      <c r="AM143"/>
      <c r="AN143"/>
    </row>
    <row r="144" spans="1:40" ht="14.5" x14ac:dyDescent="0.35">
      <c r="A144" t="s">
        <v>10</v>
      </c>
      <c r="C144" t="s">
        <v>1051</v>
      </c>
      <c r="D144" t="s">
        <v>101</v>
      </c>
      <c r="E144">
        <v>1</v>
      </c>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c r="AE144" s="68"/>
      <c r="AF144" s="68"/>
      <c r="AG144" s="68"/>
      <c r="AH144" s="68"/>
      <c r="AI144" s="68"/>
      <c r="AJ144" s="68"/>
      <c r="AK144"/>
      <c r="AL144"/>
      <c r="AM144"/>
      <c r="AN144"/>
    </row>
    <row r="145" spans="1:40" ht="14.5" x14ac:dyDescent="0.35">
      <c r="A145" t="s">
        <v>10</v>
      </c>
      <c r="B145" t="s">
        <v>560</v>
      </c>
      <c r="C145" t="s">
        <v>10</v>
      </c>
      <c r="D145" t="s">
        <v>556</v>
      </c>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c r="AD145" s="68"/>
      <c r="AE145" s="68"/>
      <c r="AF145" s="68"/>
      <c r="AG145" s="68"/>
      <c r="AH145" s="68"/>
      <c r="AI145" s="68"/>
      <c r="AJ145" s="68"/>
      <c r="AK145"/>
      <c r="AL145"/>
      <c r="AM145"/>
      <c r="AN145"/>
    </row>
    <row r="146" spans="1:40" ht="14.5" x14ac:dyDescent="0.35">
      <c r="A146" t="s">
        <v>574</v>
      </c>
      <c r="C146" t="s">
        <v>1118</v>
      </c>
      <c r="D146" t="s">
        <v>103</v>
      </c>
      <c r="E146">
        <v>50</v>
      </c>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c r="AF146" s="68"/>
      <c r="AG146" s="68"/>
      <c r="AH146" s="68"/>
      <c r="AI146" s="68"/>
      <c r="AJ146" s="68"/>
      <c r="AK146"/>
      <c r="AL146"/>
      <c r="AM146"/>
      <c r="AN146"/>
    </row>
    <row r="147" spans="1:40" ht="14.5" x14ac:dyDescent="0.35">
      <c r="A147" t="s">
        <v>574</v>
      </c>
      <c r="C147" t="s">
        <v>572</v>
      </c>
      <c r="D147" t="s">
        <v>102</v>
      </c>
      <c r="E147">
        <v>1</v>
      </c>
      <c r="F147" s="68"/>
      <c r="G147" s="68"/>
      <c r="H147" s="68"/>
      <c r="I147" s="68"/>
      <c r="J147" s="68"/>
      <c r="K147" s="68"/>
      <c r="L147" s="68"/>
      <c r="M147" s="68"/>
      <c r="N147" s="68"/>
      <c r="O147" s="68"/>
      <c r="P147" s="68"/>
      <c r="Q147" s="68"/>
      <c r="R147" s="68"/>
      <c r="S147" s="68"/>
      <c r="T147" s="68"/>
      <c r="U147" s="68"/>
      <c r="V147" s="68"/>
      <c r="W147" s="68"/>
      <c r="X147" s="68"/>
      <c r="Y147" s="68"/>
      <c r="Z147" s="68"/>
      <c r="AA147" s="68"/>
      <c r="AB147" s="68"/>
      <c r="AC147" s="68"/>
      <c r="AD147" s="68"/>
      <c r="AE147" s="68"/>
      <c r="AF147" s="68"/>
      <c r="AG147" s="68"/>
      <c r="AH147" s="68"/>
      <c r="AI147" s="68"/>
      <c r="AJ147" s="68"/>
      <c r="AK147"/>
      <c r="AL147"/>
      <c r="AM147"/>
      <c r="AN147"/>
    </row>
    <row r="148" spans="1:40" ht="14.5" x14ac:dyDescent="0.35">
      <c r="A148" t="s">
        <v>574</v>
      </c>
      <c r="B148" t="s">
        <v>573</v>
      </c>
      <c r="C148" t="s">
        <v>574</v>
      </c>
      <c r="D148" t="s">
        <v>67</v>
      </c>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c r="AE148" s="68"/>
      <c r="AF148" s="68"/>
      <c r="AG148" s="68"/>
      <c r="AH148" s="68"/>
      <c r="AI148" s="68"/>
      <c r="AJ148" s="68"/>
      <c r="AK148"/>
      <c r="AL148"/>
      <c r="AM148"/>
      <c r="AN148"/>
    </row>
    <row r="149" spans="1:40" ht="14.5" x14ac:dyDescent="0.35">
      <c r="A149" t="s">
        <v>503</v>
      </c>
      <c r="C149" t="s">
        <v>1119</v>
      </c>
      <c r="D149" t="s">
        <v>101</v>
      </c>
      <c r="E149">
        <v>100</v>
      </c>
      <c r="F149" s="68"/>
      <c r="G149" s="68"/>
      <c r="H149" s="68"/>
      <c r="I149" s="68"/>
      <c r="J149" s="68"/>
      <c r="K149" s="68"/>
      <c r="L149" s="68"/>
      <c r="M149" s="68"/>
      <c r="N149" s="68"/>
      <c r="O149" s="68"/>
      <c r="P149" s="68"/>
      <c r="Q149" s="68"/>
      <c r="R149" s="68"/>
      <c r="S149" s="68"/>
      <c r="T149" s="68"/>
      <c r="U149" s="68"/>
      <c r="V149" s="68"/>
      <c r="W149" s="68"/>
      <c r="X149" s="68"/>
      <c r="Y149" s="68"/>
      <c r="Z149" s="68"/>
      <c r="AA149" s="68"/>
      <c r="AB149" s="68"/>
      <c r="AC149" s="68"/>
      <c r="AD149" s="68"/>
      <c r="AE149" s="68"/>
      <c r="AF149" s="68"/>
      <c r="AG149" s="68"/>
      <c r="AH149" s="68"/>
      <c r="AI149" s="68"/>
      <c r="AJ149" s="68"/>
      <c r="AK149"/>
      <c r="AL149"/>
      <c r="AM149"/>
      <c r="AN149"/>
    </row>
    <row r="150" spans="1:40" ht="14.5" x14ac:dyDescent="0.35">
      <c r="A150" t="s">
        <v>503</v>
      </c>
      <c r="C150" t="s">
        <v>525</v>
      </c>
      <c r="D150" t="s">
        <v>549</v>
      </c>
      <c r="E150">
        <v>1</v>
      </c>
      <c r="F150" s="68"/>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c r="AF150" s="68"/>
      <c r="AG150" s="68"/>
      <c r="AH150" s="68"/>
      <c r="AI150" s="68"/>
      <c r="AJ150" s="68"/>
      <c r="AK150"/>
      <c r="AL150"/>
      <c r="AM150"/>
      <c r="AN150"/>
    </row>
    <row r="151" spans="1:40" ht="14.5" x14ac:dyDescent="0.35">
      <c r="A151" t="s">
        <v>503</v>
      </c>
      <c r="B151" t="s">
        <v>521</v>
      </c>
      <c r="C151" t="s">
        <v>503</v>
      </c>
      <c r="D151" t="s">
        <v>150</v>
      </c>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c r="AF151" s="68"/>
      <c r="AG151" s="68"/>
      <c r="AH151" s="68"/>
      <c r="AI151" s="68"/>
      <c r="AJ151" s="68"/>
      <c r="AK151"/>
      <c r="AL151"/>
      <c r="AM151"/>
      <c r="AN151"/>
    </row>
    <row r="152" spans="1:40" ht="14.5" x14ac:dyDescent="0.35">
      <c r="A152" t="s">
        <v>11</v>
      </c>
      <c r="C152" t="s">
        <v>1052</v>
      </c>
      <c r="D152" t="s">
        <v>101</v>
      </c>
      <c r="E152">
        <v>1</v>
      </c>
      <c r="F152" s="68"/>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c r="AD152" s="68"/>
      <c r="AE152" s="68"/>
      <c r="AF152" s="68"/>
      <c r="AG152" s="68"/>
      <c r="AH152" s="68"/>
      <c r="AI152" s="68"/>
      <c r="AJ152" s="68"/>
      <c r="AK152"/>
      <c r="AL152"/>
      <c r="AM152"/>
      <c r="AN152"/>
    </row>
    <row r="153" spans="1:40" ht="14.5" x14ac:dyDescent="0.35">
      <c r="A153" t="s">
        <v>11</v>
      </c>
      <c r="B153" t="s">
        <v>566</v>
      </c>
      <c r="C153" t="s">
        <v>11</v>
      </c>
      <c r="D153" t="s">
        <v>556</v>
      </c>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c r="AF153" s="68"/>
      <c r="AG153" s="68"/>
      <c r="AH153" s="68"/>
      <c r="AI153" s="68"/>
      <c r="AJ153" s="68"/>
      <c r="AK153"/>
      <c r="AL153"/>
      <c r="AM153"/>
      <c r="AN153"/>
    </row>
    <row r="154" spans="1:40" ht="14.5" x14ac:dyDescent="0.35">
      <c r="A154" t="s">
        <v>12</v>
      </c>
      <c r="C154" t="s">
        <v>1053</v>
      </c>
      <c r="D154" t="s">
        <v>101</v>
      </c>
      <c r="E154">
        <v>1</v>
      </c>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c r="AF154" s="68"/>
      <c r="AG154" s="68"/>
      <c r="AH154" s="68"/>
      <c r="AI154" s="68"/>
      <c r="AJ154" s="68"/>
      <c r="AK154"/>
      <c r="AL154"/>
      <c r="AM154"/>
      <c r="AN154"/>
    </row>
    <row r="155" spans="1:40" ht="14.5" x14ac:dyDescent="0.35">
      <c r="A155" t="s">
        <v>12</v>
      </c>
      <c r="B155" t="s">
        <v>567</v>
      </c>
      <c r="C155" t="s">
        <v>12</v>
      </c>
      <c r="D155" t="s">
        <v>556</v>
      </c>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c r="AE155" s="68"/>
      <c r="AF155" s="68"/>
      <c r="AG155" s="68"/>
      <c r="AH155" s="68"/>
      <c r="AI155" s="68"/>
      <c r="AJ155" s="68"/>
      <c r="AK155"/>
      <c r="AL155"/>
      <c r="AM155"/>
      <c r="AN155"/>
    </row>
    <row r="156" spans="1:40" ht="14.5" x14ac:dyDescent="0.35">
      <c r="A156" t="s">
        <v>13</v>
      </c>
      <c r="C156" t="s">
        <v>1054</v>
      </c>
      <c r="D156" t="s">
        <v>101</v>
      </c>
      <c r="E156">
        <v>1</v>
      </c>
      <c r="F156" s="68"/>
      <c r="G156" s="68"/>
      <c r="H156" s="68"/>
      <c r="I156" s="68"/>
      <c r="J156" s="68"/>
      <c r="K156" s="68"/>
      <c r="L156" s="68"/>
      <c r="M156" s="68"/>
      <c r="N156" s="68"/>
      <c r="O156" s="68"/>
      <c r="P156" s="68"/>
      <c r="Q156" s="68"/>
      <c r="R156" s="68"/>
      <c r="S156" s="68"/>
      <c r="T156" s="68"/>
      <c r="U156" s="68"/>
      <c r="V156" s="68"/>
      <c r="W156" s="68"/>
      <c r="X156" s="68"/>
      <c r="Y156" s="68"/>
      <c r="Z156" s="68"/>
      <c r="AA156" s="68"/>
      <c r="AB156" s="68"/>
      <c r="AC156" s="68"/>
      <c r="AD156" s="68"/>
      <c r="AE156" s="68"/>
      <c r="AF156" s="68"/>
      <c r="AG156" s="68"/>
      <c r="AH156" s="68"/>
      <c r="AI156" s="68"/>
      <c r="AJ156" s="68"/>
      <c r="AK156"/>
      <c r="AL156"/>
      <c r="AM156"/>
      <c r="AN156"/>
    </row>
    <row r="157" spans="1:40" ht="14.5" x14ac:dyDescent="0.35">
      <c r="A157" t="s">
        <v>13</v>
      </c>
      <c r="B157" t="s">
        <v>564</v>
      </c>
      <c r="C157" t="s">
        <v>13</v>
      </c>
      <c r="D157" t="s">
        <v>556</v>
      </c>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c r="AD157" s="68"/>
      <c r="AE157" s="68"/>
      <c r="AF157" s="68"/>
      <c r="AG157" s="68"/>
      <c r="AH157" s="68"/>
      <c r="AI157" s="68"/>
      <c r="AJ157" s="68"/>
      <c r="AK157"/>
      <c r="AL157"/>
      <c r="AM157"/>
      <c r="AN157"/>
    </row>
    <row r="158" spans="1:40" ht="14.5" x14ac:dyDescent="0.35">
      <c r="A158" t="s">
        <v>14</v>
      </c>
      <c r="C158" t="s">
        <v>1055</v>
      </c>
      <c r="D158" t="s">
        <v>101</v>
      </c>
      <c r="E158">
        <v>1</v>
      </c>
      <c r="F158" s="68"/>
      <c r="G158" s="68">
        <v>20</v>
      </c>
      <c r="H158" s="68"/>
      <c r="I158" s="68"/>
      <c r="J158" s="68"/>
      <c r="K158" s="68"/>
      <c r="L158" s="68"/>
      <c r="M158" s="68"/>
      <c r="N158" s="68"/>
      <c r="O158" s="68"/>
      <c r="P158" s="68"/>
      <c r="Q158" s="68"/>
      <c r="R158" s="68"/>
      <c r="S158" s="68"/>
      <c r="T158" s="68"/>
      <c r="U158" s="68"/>
      <c r="V158" s="68"/>
      <c r="W158" s="68"/>
      <c r="X158" s="68"/>
      <c r="Y158" s="68"/>
      <c r="Z158" s="68"/>
      <c r="AA158" s="68"/>
      <c r="AB158" s="68"/>
      <c r="AC158" s="68"/>
      <c r="AD158" s="68"/>
      <c r="AE158" s="68"/>
      <c r="AF158" s="68"/>
      <c r="AG158" s="68"/>
      <c r="AH158" s="68"/>
      <c r="AI158" s="68"/>
      <c r="AJ158" s="68"/>
      <c r="AK158"/>
      <c r="AL158"/>
      <c r="AM158"/>
      <c r="AN158"/>
    </row>
    <row r="159" spans="1:40" ht="14.5" x14ac:dyDescent="0.35">
      <c r="A159" t="s">
        <v>14</v>
      </c>
      <c r="B159" t="s">
        <v>565</v>
      </c>
      <c r="C159" t="s">
        <v>14</v>
      </c>
      <c r="D159" t="s">
        <v>556</v>
      </c>
      <c r="F159" s="68"/>
      <c r="G159" s="68"/>
      <c r="H159" s="68"/>
      <c r="I159" s="68"/>
      <c r="J159" s="68"/>
      <c r="K159" s="68"/>
      <c r="L159" s="68"/>
      <c r="M159" s="68"/>
      <c r="N159" s="68"/>
      <c r="O159" s="68"/>
      <c r="P159" s="68"/>
      <c r="Q159" s="68"/>
      <c r="R159" s="68"/>
      <c r="S159" s="68"/>
      <c r="T159" s="68"/>
      <c r="U159" s="68"/>
      <c r="V159" s="68"/>
      <c r="W159" s="68"/>
      <c r="X159" s="68"/>
      <c r="Y159" s="68"/>
      <c r="Z159" s="68"/>
      <c r="AA159" s="68"/>
      <c r="AB159" s="68"/>
      <c r="AC159" s="68"/>
      <c r="AD159" s="68"/>
      <c r="AE159" s="68"/>
      <c r="AF159" s="68"/>
      <c r="AG159" s="68"/>
      <c r="AH159" s="68"/>
      <c r="AI159" s="68"/>
      <c r="AJ159" s="68"/>
      <c r="AK159"/>
      <c r="AL159"/>
      <c r="AM159"/>
      <c r="AN159"/>
    </row>
    <row r="160" spans="1:40" ht="14.5" x14ac:dyDescent="0.35">
      <c r="A160" t="s">
        <v>498</v>
      </c>
      <c r="C160" t="s">
        <v>1073</v>
      </c>
      <c r="D160" t="s">
        <v>29</v>
      </c>
      <c r="E160">
        <v>1</v>
      </c>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c r="AF160" s="68"/>
      <c r="AG160" s="68"/>
      <c r="AH160" s="68"/>
      <c r="AI160" s="68"/>
      <c r="AJ160" s="68"/>
      <c r="AK160"/>
      <c r="AL160"/>
      <c r="AM160"/>
      <c r="AN160"/>
    </row>
    <row r="161" spans="1:40" ht="14.5" x14ac:dyDescent="0.35">
      <c r="A161" t="s">
        <v>498</v>
      </c>
      <c r="C161" t="s">
        <v>1301</v>
      </c>
      <c r="D161" t="s">
        <v>29</v>
      </c>
      <c r="E161">
        <v>1</v>
      </c>
      <c r="F161" s="68"/>
      <c r="G161" s="68"/>
      <c r="H161" s="68"/>
      <c r="I161" s="68"/>
      <c r="J161" s="68"/>
      <c r="K161" s="68"/>
      <c r="L161" s="68"/>
      <c r="M161" s="68"/>
      <c r="N161" s="68"/>
      <c r="O161" s="68"/>
      <c r="P161" s="68"/>
      <c r="Q161" s="68"/>
      <c r="R161" s="68"/>
      <c r="S161" s="68"/>
      <c r="T161" s="68"/>
      <c r="U161" s="68"/>
      <c r="V161" s="68"/>
      <c r="W161" s="68"/>
      <c r="X161" s="68"/>
      <c r="Y161" s="68"/>
      <c r="Z161" s="68"/>
      <c r="AA161" s="68"/>
      <c r="AB161" s="68"/>
      <c r="AC161" s="68"/>
      <c r="AD161" s="68"/>
      <c r="AE161" s="68"/>
      <c r="AF161" s="68"/>
      <c r="AG161" s="68"/>
      <c r="AH161" s="68"/>
      <c r="AI161" s="68"/>
      <c r="AJ161" s="68"/>
      <c r="AK161"/>
      <c r="AL161"/>
      <c r="AM161"/>
      <c r="AN161"/>
    </row>
    <row r="162" spans="1:40" ht="14.5" x14ac:dyDescent="0.35">
      <c r="A162" t="s">
        <v>498</v>
      </c>
      <c r="B162" t="s">
        <v>520</v>
      </c>
      <c r="C162" t="s">
        <v>498</v>
      </c>
      <c r="D162" t="s">
        <v>35</v>
      </c>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c r="AF162" s="68"/>
      <c r="AG162" s="68"/>
      <c r="AH162" s="68"/>
      <c r="AI162" s="68"/>
      <c r="AJ162" s="68"/>
      <c r="AK162"/>
      <c r="AL162"/>
      <c r="AM162"/>
      <c r="AN162"/>
    </row>
    <row r="163" spans="1:40" ht="14.5" x14ac:dyDescent="0.35">
      <c r="A163" t="s">
        <v>1339</v>
      </c>
      <c r="C163" t="s">
        <v>1376</v>
      </c>
      <c r="D163" t="s">
        <v>557</v>
      </c>
      <c r="E163">
        <v>21000</v>
      </c>
      <c r="F163" s="68"/>
      <c r="G163" s="68"/>
      <c r="H163" s="68"/>
      <c r="I163" s="68"/>
      <c r="J163" s="68"/>
      <c r="K163" s="68"/>
      <c r="L163" s="68"/>
      <c r="M163" s="68"/>
      <c r="N163" s="68"/>
      <c r="O163" s="68"/>
      <c r="P163" s="68"/>
      <c r="Q163" s="68"/>
      <c r="R163" s="68"/>
      <c r="S163" s="68"/>
      <c r="T163" s="68"/>
      <c r="U163" s="68"/>
      <c r="V163" s="68"/>
      <c r="W163" s="68"/>
      <c r="X163" s="68"/>
      <c r="Y163" s="68"/>
      <c r="Z163" s="68"/>
      <c r="AA163" s="68"/>
      <c r="AB163" s="68"/>
      <c r="AC163" s="68"/>
      <c r="AD163" s="68"/>
      <c r="AE163" s="68"/>
      <c r="AF163" s="68"/>
      <c r="AG163" s="68"/>
      <c r="AH163" s="68"/>
      <c r="AI163" s="68"/>
      <c r="AJ163" s="68"/>
      <c r="AK163"/>
      <c r="AL163"/>
      <c r="AM163"/>
      <c r="AN163"/>
    </row>
    <row r="164" spans="1:40" ht="14.5" x14ac:dyDescent="0.35">
      <c r="A164" t="s">
        <v>1339</v>
      </c>
      <c r="C164" t="s">
        <v>1377</v>
      </c>
      <c r="D164" t="s">
        <v>101</v>
      </c>
      <c r="E164">
        <v>1000</v>
      </c>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c r="AF164" s="68"/>
      <c r="AG164" s="68"/>
      <c r="AH164" s="68"/>
      <c r="AI164" s="68"/>
      <c r="AJ164" s="68"/>
      <c r="AK164"/>
      <c r="AL164"/>
      <c r="AM164"/>
      <c r="AN164"/>
    </row>
    <row r="165" spans="1:40" ht="14.5" x14ac:dyDescent="0.35">
      <c r="A165" t="s">
        <v>1339</v>
      </c>
      <c r="C165" t="s">
        <v>1457</v>
      </c>
      <c r="D165" t="s">
        <v>29</v>
      </c>
      <c r="E165">
        <v>1</v>
      </c>
      <c r="F165" s="68"/>
      <c r="G165" s="68"/>
      <c r="H165" s="68"/>
      <c r="I165" s="68"/>
      <c r="J165" s="68"/>
      <c r="K165" s="68"/>
      <c r="L165" s="68"/>
      <c r="M165" s="68"/>
      <c r="N165" s="68"/>
      <c r="O165" s="68"/>
      <c r="P165" s="68"/>
      <c r="Q165" s="68"/>
      <c r="R165" s="68"/>
      <c r="S165" s="68"/>
      <c r="T165" s="68"/>
      <c r="U165" s="68"/>
      <c r="V165" s="68"/>
      <c r="W165" s="68"/>
      <c r="X165" s="68"/>
      <c r="Y165" s="68"/>
      <c r="Z165" s="68"/>
      <c r="AA165" s="68"/>
      <c r="AB165" s="68"/>
      <c r="AC165" s="68"/>
      <c r="AD165" s="68"/>
      <c r="AE165" s="68"/>
      <c r="AF165" s="68"/>
      <c r="AG165" s="68"/>
      <c r="AH165" s="68"/>
      <c r="AI165" s="68"/>
      <c r="AJ165" s="68"/>
      <c r="AK165"/>
      <c r="AL165"/>
      <c r="AM165"/>
      <c r="AN165"/>
    </row>
    <row r="166" spans="1:40" ht="14.5" x14ac:dyDescent="0.35">
      <c r="A166" t="s">
        <v>1339</v>
      </c>
      <c r="B166" t="s">
        <v>1378</v>
      </c>
      <c r="C166" t="s">
        <v>1339</v>
      </c>
      <c r="D166" t="s">
        <v>35</v>
      </c>
      <c r="F166" s="68"/>
      <c r="G166" s="68"/>
      <c r="H166" s="68"/>
      <c r="I166" s="68"/>
      <c r="J166" s="68"/>
      <c r="K166" s="68"/>
      <c r="L166" s="68"/>
      <c r="M166" s="68"/>
      <c r="N166" s="68"/>
      <c r="O166" s="68"/>
      <c r="P166" s="68"/>
      <c r="Q166" s="68"/>
      <c r="R166" s="68"/>
      <c r="S166" s="68"/>
      <c r="T166" s="68"/>
      <c r="U166" s="68"/>
      <c r="V166" s="68"/>
      <c r="W166" s="68"/>
      <c r="X166" s="68"/>
      <c r="Y166" s="68"/>
      <c r="Z166" s="68"/>
      <c r="AA166" s="68"/>
      <c r="AB166" s="68"/>
      <c r="AC166" s="68"/>
      <c r="AD166" s="68"/>
      <c r="AE166" s="68"/>
      <c r="AF166" s="68"/>
      <c r="AG166" s="68"/>
      <c r="AH166" s="68"/>
      <c r="AI166" s="68"/>
      <c r="AJ166" s="68"/>
      <c r="AK166"/>
      <c r="AL166"/>
      <c r="AM166"/>
      <c r="AN166"/>
    </row>
    <row r="167" spans="1:40" ht="14.5" x14ac:dyDescent="0.35">
      <c r="A167" t="s">
        <v>1348</v>
      </c>
      <c r="C167" t="s">
        <v>1419</v>
      </c>
      <c r="D167" t="s">
        <v>103</v>
      </c>
      <c r="E167">
        <v>15000</v>
      </c>
      <c r="F167" s="68"/>
      <c r="G167" s="68"/>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68"/>
      <c r="AG167" s="68"/>
      <c r="AH167" s="68"/>
      <c r="AI167" s="68"/>
      <c r="AJ167" s="68"/>
      <c r="AK167"/>
      <c r="AL167"/>
      <c r="AM167"/>
      <c r="AN167"/>
    </row>
    <row r="168" spans="1:40" ht="14.5" x14ac:dyDescent="0.35">
      <c r="A168" t="s">
        <v>1348</v>
      </c>
      <c r="C168" t="s">
        <v>1420</v>
      </c>
      <c r="D168" t="s">
        <v>101</v>
      </c>
      <c r="E168">
        <v>1000</v>
      </c>
      <c r="F168" s="68"/>
      <c r="G168" s="68"/>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68"/>
      <c r="AG168" s="68"/>
      <c r="AH168" s="68"/>
      <c r="AI168" s="68"/>
      <c r="AJ168" s="68"/>
      <c r="AK168"/>
      <c r="AL168"/>
      <c r="AM168"/>
      <c r="AN168"/>
    </row>
    <row r="169" spans="1:40" ht="14.5" x14ac:dyDescent="0.35">
      <c r="A169" t="s">
        <v>1348</v>
      </c>
      <c r="C169" t="s">
        <v>1421</v>
      </c>
      <c r="D169" t="s">
        <v>29</v>
      </c>
      <c r="E169">
        <v>1</v>
      </c>
      <c r="F169" s="68"/>
      <c r="G169" s="68"/>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68"/>
      <c r="AG169" s="68"/>
      <c r="AH169" s="68"/>
      <c r="AI169" s="68"/>
      <c r="AJ169" s="68"/>
      <c r="AK169"/>
      <c r="AL169"/>
      <c r="AM169"/>
      <c r="AN169"/>
    </row>
    <row r="170" spans="1:40" ht="14.5" x14ac:dyDescent="0.35">
      <c r="A170" t="s">
        <v>1348</v>
      </c>
      <c r="B170" t="s">
        <v>1399</v>
      </c>
      <c r="C170" t="s">
        <v>1348</v>
      </c>
      <c r="D170" t="s">
        <v>35</v>
      </c>
      <c r="F170" s="68"/>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c r="AD170" s="68"/>
      <c r="AE170" s="68"/>
      <c r="AF170" s="68"/>
      <c r="AG170" s="68"/>
      <c r="AH170" s="68"/>
      <c r="AI170" s="68"/>
      <c r="AJ170" s="68"/>
      <c r="AK170"/>
      <c r="AL170"/>
      <c r="AM170"/>
      <c r="AN170"/>
    </row>
    <row r="171" spans="1:40" ht="14.5" x14ac:dyDescent="0.35">
      <c r="A171" t="s">
        <v>610</v>
      </c>
      <c r="C171" t="s">
        <v>607</v>
      </c>
      <c r="D171" t="s">
        <v>608</v>
      </c>
      <c r="E171">
        <v>1</v>
      </c>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c r="AF171" s="68"/>
      <c r="AG171" s="68"/>
      <c r="AH171" s="68"/>
      <c r="AI171" s="68"/>
      <c r="AJ171" s="68"/>
      <c r="AK171"/>
      <c r="AL171"/>
      <c r="AM171"/>
      <c r="AN171"/>
    </row>
    <row r="172" spans="1:40" ht="14.5" x14ac:dyDescent="0.35">
      <c r="A172" t="s">
        <v>610</v>
      </c>
      <c r="B172" t="s">
        <v>609</v>
      </c>
      <c r="C172" t="s">
        <v>610</v>
      </c>
      <c r="D172" t="s">
        <v>1471</v>
      </c>
      <c r="F172" s="68"/>
      <c r="G172" s="68"/>
      <c r="H172" s="68"/>
      <c r="I172" s="68"/>
      <c r="J172" s="68"/>
      <c r="K172" s="68"/>
      <c r="L172" s="68"/>
      <c r="M172" s="68"/>
      <c r="N172" s="68"/>
      <c r="O172" s="68"/>
      <c r="P172" s="68"/>
      <c r="Q172" s="68"/>
      <c r="R172" s="68"/>
      <c r="S172" s="68"/>
      <c r="T172" s="68"/>
      <c r="U172" s="68"/>
      <c r="V172" s="68"/>
      <c r="W172" s="68"/>
      <c r="X172" s="68"/>
      <c r="Y172" s="68"/>
      <c r="Z172" s="68"/>
      <c r="AA172" s="68"/>
      <c r="AB172" s="68"/>
      <c r="AC172" s="68"/>
      <c r="AD172" s="68"/>
      <c r="AE172" s="68"/>
      <c r="AF172" s="68"/>
      <c r="AG172" s="68"/>
      <c r="AH172" s="68"/>
      <c r="AI172" s="68"/>
      <c r="AJ172" s="68"/>
      <c r="AK172"/>
      <c r="AL172"/>
      <c r="AM172"/>
      <c r="AN172"/>
    </row>
    <row r="173" spans="1:40" ht="14.5" x14ac:dyDescent="0.35">
      <c r="A173" t="s">
        <v>354</v>
      </c>
      <c r="C173" t="s">
        <v>370</v>
      </c>
      <c r="D173" t="s">
        <v>103</v>
      </c>
      <c r="E173">
        <v>13800</v>
      </c>
      <c r="F173" s="68"/>
      <c r="G173" s="68"/>
      <c r="H173" s="68"/>
      <c r="I173" s="68"/>
      <c r="J173" s="68"/>
      <c r="K173" s="68"/>
      <c r="L173" s="68"/>
      <c r="M173" s="68"/>
      <c r="N173" s="68"/>
      <c r="O173" s="68"/>
      <c r="P173" s="68"/>
      <c r="Q173" s="68"/>
      <c r="R173" s="68"/>
      <c r="S173" s="68"/>
      <c r="T173" s="68"/>
      <c r="U173" s="68"/>
      <c r="V173" s="68"/>
      <c r="W173" s="68"/>
      <c r="X173" s="68"/>
      <c r="Y173" s="68"/>
      <c r="Z173" s="68"/>
      <c r="AA173" s="68"/>
      <c r="AB173" s="68"/>
      <c r="AC173" s="68"/>
      <c r="AD173" s="68"/>
      <c r="AE173" s="68"/>
      <c r="AF173" s="68"/>
      <c r="AG173" s="68"/>
      <c r="AH173" s="68"/>
      <c r="AI173" s="68"/>
      <c r="AJ173" s="68"/>
      <c r="AK173"/>
      <c r="AL173"/>
      <c r="AM173"/>
      <c r="AN173"/>
    </row>
    <row r="174" spans="1:40" ht="14.5" x14ac:dyDescent="0.35">
      <c r="A174" t="s">
        <v>354</v>
      </c>
      <c r="C174" t="s">
        <v>371</v>
      </c>
      <c r="D174" t="s">
        <v>372</v>
      </c>
      <c r="E174">
        <v>2300</v>
      </c>
      <c r="F174" s="68"/>
      <c r="G174" s="68"/>
      <c r="H174" s="68"/>
      <c r="I174" s="68"/>
      <c r="J174" s="68"/>
      <c r="K174" s="68"/>
      <c r="L174" s="68"/>
      <c r="M174" s="68"/>
      <c r="N174" s="68"/>
      <c r="O174" s="68"/>
      <c r="P174" s="68"/>
      <c r="Q174" s="68"/>
      <c r="R174" s="68"/>
      <c r="S174" s="68"/>
      <c r="T174" s="68"/>
      <c r="U174" s="68"/>
      <c r="V174" s="68"/>
      <c r="W174" s="68"/>
      <c r="X174" s="68"/>
      <c r="Y174" s="68"/>
      <c r="Z174" s="68"/>
      <c r="AA174" s="68"/>
      <c r="AB174" s="68"/>
      <c r="AC174" s="68"/>
      <c r="AD174" s="68"/>
      <c r="AE174" s="68"/>
      <c r="AF174" s="68"/>
      <c r="AG174" s="68"/>
      <c r="AH174" s="68"/>
      <c r="AI174" s="68"/>
      <c r="AJ174" s="68"/>
      <c r="AK174"/>
      <c r="AL174"/>
      <c r="AM174"/>
      <c r="AN174"/>
    </row>
    <row r="175" spans="1:40" ht="14.5" x14ac:dyDescent="0.35">
      <c r="A175" t="s">
        <v>354</v>
      </c>
      <c r="C175" t="s">
        <v>373</v>
      </c>
      <c r="D175" t="s">
        <v>29</v>
      </c>
      <c r="E175">
        <v>1</v>
      </c>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c r="AD175" s="68"/>
      <c r="AE175" s="68"/>
      <c r="AF175" s="68"/>
      <c r="AG175" s="68"/>
      <c r="AH175" s="68"/>
      <c r="AI175" s="68"/>
      <c r="AJ175" s="68"/>
      <c r="AK175"/>
      <c r="AL175"/>
      <c r="AM175"/>
      <c r="AN175"/>
    </row>
    <row r="176" spans="1:40" ht="14.5" x14ac:dyDescent="0.35">
      <c r="A176" t="s">
        <v>354</v>
      </c>
      <c r="B176" t="s">
        <v>384</v>
      </c>
      <c r="C176" t="s">
        <v>354</v>
      </c>
      <c r="D176" t="s">
        <v>35</v>
      </c>
      <c r="F176" s="68"/>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c r="AD176" s="68"/>
      <c r="AE176" s="68"/>
      <c r="AF176" s="68"/>
      <c r="AG176" s="68"/>
      <c r="AH176" s="68"/>
      <c r="AI176" s="68"/>
      <c r="AJ176" s="68"/>
      <c r="AK176"/>
      <c r="AL176"/>
      <c r="AM176"/>
      <c r="AN176"/>
    </row>
    <row r="177" spans="1:40" ht="14.5" x14ac:dyDescent="0.35">
      <c r="A177" t="s">
        <v>918</v>
      </c>
      <c r="C177" t="s">
        <v>1008</v>
      </c>
      <c r="D177" t="s">
        <v>557</v>
      </c>
      <c r="E177">
        <v>2800</v>
      </c>
      <c r="F177" s="68"/>
      <c r="G177" s="68"/>
      <c r="H177" s="68"/>
      <c r="I177" s="68"/>
      <c r="J177" s="68"/>
      <c r="K177" s="68"/>
      <c r="L177" s="68"/>
      <c r="M177" s="68"/>
      <c r="N177" s="68"/>
      <c r="O177" s="68"/>
      <c r="P177" s="68"/>
      <c r="Q177" s="68"/>
      <c r="R177" s="68"/>
      <c r="S177" s="68"/>
      <c r="T177" s="68"/>
      <c r="U177" s="68"/>
      <c r="V177" s="68"/>
      <c r="W177" s="68"/>
      <c r="X177" s="68"/>
      <c r="Y177" s="68"/>
      <c r="Z177" s="68"/>
      <c r="AA177" s="68"/>
      <c r="AB177" s="68"/>
      <c r="AC177" s="68"/>
      <c r="AD177" s="68"/>
      <c r="AE177" s="68"/>
      <c r="AF177" s="68"/>
      <c r="AG177" s="68"/>
      <c r="AH177" s="68"/>
      <c r="AI177" s="68"/>
      <c r="AJ177" s="68"/>
      <c r="AK177"/>
      <c r="AL177"/>
      <c r="AM177"/>
      <c r="AN177"/>
    </row>
    <row r="178" spans="1:40" ht="14.5" x14ac:dyDescent="0.35">
      <c r="A178" t="s">
        <v>918</v>
      </c>
      <c r="C178" t="s">
        <v>1009</v>
      </c>
      <c r="D178" t="s">
        <v>101</v>
      </c>
      <c r="E178">
        <v>40</v>
      </c>
      <c r="F178" s="68"/>
      <c r="G178" s="68"/>
      <c r="H178" s="68"/>
      <c r="I178" s="68"/>
      <c r="J178" s="68"/>
      <c r="K178" s="68"/>
      <c r="L178" s="68"/>
      <c r="M178" s="68"/>
      <c r="N178" s="68"/>
      <c r="O178" s="68"/>
      <c r="P178" s="68"/>
      <c r="Q178" s="68"/>
      <c r="R178" s="68"/>
      <c r="S178" s="68"/>
      <c r="T178" s="68"/>
      <c r="U178" s="68"/>
      <c r="V178" s="68"/>
      <c r="W178" s="68"/>
      <c r="X178" s="68"/>
      <c r="Y178" s="68"/>
      <c r="Z178" s="68"/>
      <c r="AA178" s="68"/>
      <c r="AB178" s="68"/>
      <c r="AC178" s="68"/>
      <c r="AD178" s="68"/>
      <c r="AE178" s="68"/>
      <c r="AF178" s="68"/>
      <c r="AG178" s="68"/>
      <c r="AH178" s="68"/>
      <c r="AI178" s="68"/>
      <c r="AJ178" s="68"/>
      <c r="AK178"/>
      <c r="AL178"/>
      <c r="AM178"/>
      <c r="AN178"/>
    </row>
    <row r="179" spans="1:40" ht="14.5" x14ac:dyDescent="0.35">
      <c r="A179" t="s">
        <v>918</v>
      </c>
      <c r="C179" t="s">
        <v>1010</v>
      </c>
      <c r="D179" t="s">
        <v>102</v>
      </c>
      <c r="E179">
        <v>1</v>
      </c>
      <c r="F179" s="68"/>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c r="AD179" s="68"/>
      <c r="AE179" s="68"/>
      <c r="AF179" s="68"/>
      <c r="AG179" s="68"/>
      <c r="AH179" s="68"/>
      <c r="AI179" s="68"/>
      <c r="AJ179" s="68"/>
      <c r="AK179"/>
      <c r="AL179"/>
      <c r="AM179"/>
      <c r="AN179"/>
    </row>
    <row r="180" spans="1:40" ht="14.5" x14ac:dyDescent="0.35">
      <c r="A180" t="s">
        <v>918</v>
      </c>
      <c r="B180" t="s">
        <v>1024</v>
      </c>
      <c r="C180" t="s">
        <v>918</v>
      </c>
      <c r="D180" t="s">
        <v>67</v>
      </c>
      <c r="F180" s="68"/>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c r="AD180" s="68"/>
      <c r="AE180" s="68"/>
      <c r="AF180" s="68"/>
      <c r="AG180" s="68"/>
      <c r="AH180" s="68"/>
      <c r="AI180" s="68"/>
      <c r="AJ180" s="68"/>
      <c r="AK180"/>
      <c r="AL180"/>
      <c r="AM180"/>
      <c r="AN180"/>
    </row>
    <row r="181" spans="1:40" ht="14.5" x14ac:dyDescent="0.35">
      <c r="A181" t="s">
        <v>636</v>
      </c>
      <c r="C181" t="s">
        <v>1250</v>
      </c>
      <c r="D181" t="s">
        <v>103</v>
      </c>
      <c r="E181">
        <v>12000</v>
      </c>
      <c r="F181" s="68"/>
      <c r="G181" s="68"/>
      <c r="H181" s="68"/>
      <c r="I181" s="68"/>
      <c r="J181" s="68"/>
      <c r="K181" s="68"/>
      <c r="L181" s="68"/>
      <c r="M181" s="68"/>
      <c r="N181" s="68"/>
      <c r="O181" s="68"/>
      <c r="P181" s="68"/>
      <c r="Q181" s="68"/>
      <c r="R181" s="68"/>
      <c r="S181" s="68"/>
      <c r="T181" s="68"/>
      <c r="U181" s="68"/>
      <c r="V181" s="68"/>
      <c r="W181" s="68"/>
      <c r="X181" s="68"/>
      <c r="Y181" s="68"/>
      <c r="Z181" s="68"/>
      <c r="AA181" s="68"/>
      <c r="AB181" s="68"/>
      <c r="AC181" s="68"/>
      <c r="AD181" s="68"/>
      <c r="AE181" s="68"/>
      <c r="AF181" s="68"/>
      <c r="AG181" s="68"/>
      <c r="AH181" s="68"/>
      <c r="AI181" s="68"/>
      <c r="AJ181" s="68"/>
      <c r="AK181"/>
      <c r="AL181"/>
      <c r="AM181"/>
      <c r="AN181"/>
    </row>
    <row r="182" spans="1:40" ht="14.5" x14ac:dyDescent="0.35">
      <c r="A182" t="s">
        <v>636</v>
      </c>
      <c r="C182" t="s">
        <v>637</v>
      </c>
      <c r="D182" t="s">
        <v>102</v>
      </c>
      <c r="E182">
        <v>1</v>
      </c>
      <c r="F182" s="68"/>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c r="AD182" s="68"/>
      <c r="AE182" s="68"/>
      <c r="AF182" s="68"/>
      <c r="AG182" s="68"/>
      <c r="AH182" s="68"/>
      <c r="AI182" s="68"/>
      <c r="AJ182" s="68"/>
      <c r="AK182"/>
      <c r="AL182"/>
      <c r="AM182"/>
      <c r="AN182"/>
    </row>
    <row r="183" spans="1:40" ht="14.5" x14ac:dyDescent="0.35">
      <c r="A183" t="s">
        <v>636</v>
      </c>
      <c r="B183" t="s">
        <v>635</v>
      </c>
      <c r="C183" t="s">
        <v>636</v>
      </c>
      <c r="D183" t="s">
        <v>67</v>
      </c>
      <c r="F183" s="68"/>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c r="AD183" s="68"/>
      <c r="AE183" s="68"/>
      <c r="AF183" s="68"/>
      <c r="AG183" s="68"/>
      <c r="AH183" s="68"/>
      <c r="AI183" s="68"/>
      <c r="AJ183" s="68"/>
      <c r="AK183"/>
      <c r="AL183"/>
      <c r="AM183"/>
      <c r="AN183"/>
    </row>
    <row r="184" spans="1:40" ht="14.5" x14ac:dyDescent="0.35">
      <c r="A184" t="s">
        <v>743</v>
      </c>
      <c r="C184" t="s">
        <v>739</v>
      </c>
      <c r="D184" t="s">
        <v>103</v>
      </c>
      <c r="E184">
        <v>16200</v>
      </c>
      <c r="F184" s="68"/>
      <c r="G184" s="68"/>
      <c r="H184" s="68"/>
      <c r="I184" s="68"/>
      <c r="J184" s="68"/>
      <c r="K184" s="68"/>
      <c r="L184" s="68"/>
      <c r="M184" s="68"/>
      <c r="N184" s="68"/>
      <c r="O184" s="68"/>
      <c r="P184" s="68"/>
      <c r="Q184" s="68"/>
      <c r="R184" s="68"/>
      <c r="S184" s="68"/>
      <c r="T184" s="68"/>
      <c r="U184" s="68"/>
      <c r="V184" s="68"/>
      <c r="W184" s="68"/>
      <c r="X184" s="68"/>
      <c r="Y184" s="68"/>
      <c r="Z184" s="68"/>
      <c r="AA184" s="68"/>
      <c r="AB184" s="68"/>
      <c r="AC184" s="68"/>
      <c r="AD184" s="68"/>
      <c r="AE184" s="68"/>
      <c r="AF184" s="68"/>
      <c r="AG184" s="68"/>
      <c r="AH184" s="68"/>
      <c r="AI184" s="68"/>
      <c r="AJ184" s="68"/>
      <c r="AK184"/>
      <c r="AL184"/>
      <c r="AM184"/>
      <c r="AN184"/>
    </row>
    <row r="185" spans="1:40" ht="14.5" x14ac:dyDescent="0.35">
      <c r="A185" t="s">
        <v>743</v>
      </c>
      <c r="C185" t="s">
        <v>740</v>
      </c>
      <c r="D185" t="s">
        <v>125</v>
      </c>
      <c r="E185">
        <v>1000</v>
      </c>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8"/>
      <c r="AF185" s="68"/>
      <c r="AG185" s="68"/>
      <c r="AH185" s="68"/>
      <c r="AI185" s="68"/>
      <c r="AJ185" s="68"/>
      <c r="AK185"/>
      <c r="AL185"/>
      <c r="AM185"/>
      <c r="AN185"/>
    </row>
    <row r="186" spans="1:40" ht="14.5" x14ac:dyDescent="0.35">
      <c r="A186" t="s">
        <v>743</v>
      </c>
      <c r="C186" t="s">
        <v>741</v>
      </c>
      <c r="D186" t="s">
        <v>461</v>
      </c>
      <c r="E186">
        <v>1</v>
      </c>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c r="AF186" s="68"/>
      <c r="AG186" s="68"/>
      <c r="AH186" s="68"/>
      <c r="AI186" s="68"/>
      <c r="AJ186" s="68"/>
      <c r="AK186"/>
      <c r="AL186"/>
      <c r="AM186"/>
      <c r="AN186"/>
    </row>
    <row r="187" spans="1:40" ht="14.5" x14ac:dyDescent="0.35">
      <c r="A187" t="s">
        <v>743</v>
      </c>
      <c r="B187" t="s">
        <v>742</v>
      </c>
      <c r="C187" t="s">
        <v>743</v>
      </c>
      <c r="D187" t="s">
        <v>35</v>
      </c>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68"/>
      <c r="AG187" s="68"/>
      <c r="AH187" s="68"/>
      <c r="AI187" s="68"/>
      <c r="AJ187" s="68"/>
      <c r="AK187"/>
      <c r="AL187"/>
      <c r="AM187"/>
      <c r="AN187"/>
    </row>
    <row r="188" spans="1:40" ht="14.5" x14ac:dyDescent="0.35">
      <c r="A188" t="s">
        <v>593</v>
      </c>
      <c r="C188" t="s">
        <v>590</v>
      </c>
      <c r="D188" t="s">
        <v>591</v>
      </c>
      <c r="E188">
        <v>1</v>
      </c>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68"/>
      <c r="AG188" s="68"/>
      <c r="AH188" s="68"/>
      <c r="AI188" s="68"/>
      <c r="AJ188" s="68"/>
      <c r="AK188"/>
      <c r="AL188"/>
      <c r="AM188"/>
      <c r="AN188"/>
    </row>
    <row r="189" spans="1:40" ht="14.5" x14ac:dyDescent="0.35">
      <c r="A189" t="s">
        <v>593</v>
      </c>
      <c r="B189" t="s">
        <v>592</v>
      </c>
      <c r="C189" t="s">
        <v>593</v>
      </c>
      <c r="D189" t="s">
        <v>69</v>
      </c>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68"/>
      <c r="AG189" s="68"/>
      <c r="AH189" s="68"/>
      <c r="AI189" s="68"/>
      <c r="AJ189" s="68"/>
      <c r="AK189"/>
      <c r="AL189"/>
      <c r="AM189"/>
      <c r="AN189"/>
    </row>
    <row r="190" spans="1:40" ht="14.5" x14ac:dyDescent="0.35">
      <c r="A190" t="s">
        <v>19</v>
      </c>
      <c r="C190" t="s">
        <v>117</v>
      </c>
      <c r="D190" t="s">
        <v>103</v>
      </c>
      <c r="E190">
        <v>6720</v>
      </c>
      <c r="F190" s="68"/>
      <c r="G190" s="68"/>
      <c r="H190" s="68"/>
      <c r="I190" s="68"/>
      <c r="J190" s="68"/>
      <c r="K190" s="68"/>
      <c r="L190" s="68"/>
      <c r="M190" s="68"/>
      <c r="N190" s="68"/>
      <c r="O190" s="68"/>
      <c r="P190" s="68"/>
      <c r="Q190" s="68"/>
      <c r="R190" s="68"/>
      <c r="S190" s="68"/>
      <c r="T190" s="68"/>
      <c r="U190" s="68"/>
      <c r="V190" s="68"/>
      <c r="W190" s="68"/>
      <c r="X190" s="68"/>
      <c r="Y190" s="68"/>
      <c r="Z190" s="68"/>
      <c r="AA190" s="68"/>
      <c r="AB190" s="68"/>
      <c r="AC190" s="68"/>
      <c r="AD190" s="68"/>
      <c r="AE190" s="68"/>
      <c r="AF190" s="68"/>
      <c r="AG190" s="68"/>
      <c r="AH190" s="68"/>
      <c r="AI190" s="68"/>
      <c r="AJ190" s="68"/>
      <c r="AK190"/>
      <c r="AL190"/>
      <c r="AM190"/>
      <c r="AN190"/>
    </row>
    <row r="191" spans="1:40" ht="14.5" x14ac:dyDescent="0.35">
      <c r="A191" t="s">
        <v>19</v>
      </c>
      <c r="C191" t="s">
        <v>118</v>
      </c>
      <c r="D191" t="s">
        <v>101</v>
      </c>
      <c r="E191">
        <v>560</v>
      </c>
      <c r="F191" s="68"/>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8"/>
      <c r="AE191" s="68"/>
      <c r="AF191" s="68"/>
      <c r="AG191" s="68"/>
      <c r="AH191" s="68"/>
      <c r="AI191" s="68"/>
      <c r="AJ191" s="68"/>
      <c r="AK191"/>
      <c r="AL191"/>
      <c r="AM191"/>
      <c r="AN191"/>
    </row>
    <row r="192" spans="1:40" ht="14.5" x14ac:dyDescent="0.35">
      <c r="A192" t="s">
        <v>19</v>
      </c>
      <c r="B192" t="s">
        <v>74</v>
      </c>
      <c r="C192" t="s">
        <v>19</v>
      </c>
      <c r="D192" t="s">
        <v>35</v>
      </c>
      <c r="F192" s="68"/>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c r="AD192" s="68"/>
      <c r="AE192" s="68"/>
      <c r="AF192" s="68"/>
      <c r="AG192" s="68"/>
      <c r="AH192" s="68"/>
      <c r="AI192" s="68"/>
      <c r="AJ192" s="68"/>
      <c r="AK192"/>
      <c r="AL192"/>
      <c r="AM192"/>
      <c r="AN192"/>
    </row>
    <row r="193" spans="1:40" ht="14.5" x14ac:dyDescent="0.35">
      <c r="A193" t="s">
        <v>20</v>
      </c>
      <c r="C193" t="s">
        <v>1036</v>
      </c>
      <c r="D193" t="s">
        <v>103</v>
      </c>
      <c r="E193">
        <v>12000</v>
      </c>
      <c r="F193" s="68"/>
      <c r="G193" s="68"/>
      <c r="H193" s="68"/>
      <c r="I193" s="68"/>
      <c r="J193" s="68"/>
      <c r="K193" s="68"/>
      <c r="L193" s="68"/>
      <c r="M193" s="68"/>
      <c r="N193" s="68"/>
      <c r="O193" s="68"/>
      <c r="P193" s="68"/>
      <c r="Q193" s="68"/>
      <c r="R193" s="68"/>
      <c r="S193" s="68"/>
      <c r="T193" s="68"/>
      <c r="U193" s="68"/>
      <c r="V193" s="68"/>
      <c r="W193" s="68"/>
      <c r="X193" s="68"/>
      <c r="Y193" s="68"/>
      <c r="Z193" s="68"/>
      <c r="AA193" s="68"/>
      <c r="AB193" s="68"/>
      <c r="AC193" s="68"/>
      <c r="AD193" s="68"/>
      <c r="AE193" s="68"/>
      <c r="AF193" s="68"/>
      <c r="AG193" s="68"/>
      <c r="AH193" s="68"/>
      <c r="AI193" s="68"/>
      <c r="AJ193" s="68"/>
      <c r="AK193"/>
      <c r="AL193"/>
      <c r="AM193"/>
      <c r="AN193"/>
    </row>
    <row r="194" spans="1:40" ht="14.5" x14ac:dyDescent="0.35">
      <c r="A194" t="s">
        <v>20</v>
      </c>
      <c r="C194" t="s">
        <v>1056</v>
      </c>
      <c r="D194" t="s">
        <v>101</v>
      </c>
      <c r="E194">
        <v>1000</v>
      </c>
      <c r="F194" s="68"/>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c r="AD194" s="68"/>
      <c r="AE194" s="68"/>
      <c r="AF194" s="68"/>
      <c r="AG194" s="68"/>
      <c r="AH194" s="68"/>
      <c r="AI194" s="68"/>
      <c r="AJ194" s="68"/>
      <c r="AK194"/>
      <c r="AL194"/>
      <c r="AM194"/>
      <c r="AN194"/>
    </row>
    <row r="195" spans="1:40" ht="14.5" x14ac:dyDescent="0.35">
      <c r="A195" t="s">
        <v>20</v>
      </c>
      <c r="C195" t="s">
        <v>1082</v>
      </c>
      <c r="D195" t="s">
        <v>29</v>
      </c>
      <c r="E195">
        <v>1</v>
      </c>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8"/>
      <c r="AF195" s="68"/>
      <c r="AG195" s="68"/>
      <c r="AH195" s="68"/>
      <c r="AI195" s="68"/>
      <c r="AJ195" s="68"/>
      <c r="AK195"/>
      <c r="AL195"/>
      <c r="AM195"/>
      <c r="AN195"/>
    </row>
    <row r="196" spans="1:40" ht="14.5" x14ac:dyDescent="0.35">
      <c r="A196" t="s">
        <v>20</v>
      </c>
      <c r="B196" t="s">
        <v>97</v>
      </c>
      <c r="C196" t="s">
        <v>20</v>
      </c>
      <c r="D196" t="s">
        <v>35</v>
      </c>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8"/>
      <c r="AF196" s="68"/>
      <c r="AG196" s="68"/>
      <c r="AH196" s="68"/>
      <c r="AI196" s="68"/>
      <c r="AJ196" s="68"/>
      <c r="AK196"/>
      <c r="AL196"/>
      <c r="AM196"/>
      <c r="AN196"/>
    </row>
    <row r="197" spans="1:40" ht="14.5" x14ac:dyDescent="0.35">
      <c r="A197" t="s">
        <v>499</v>
      </c>
      <c r="C197" t="s">
        <v>973</v>
      </c>
      <c r="D197" t="s">
        <v>103</v>
      </c>
      <c r="E197">
        <v>500</v>
      </c>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c r="AF197" s="68"/>
      <c r="AG197" s="68"/>
      <c r="AH197" s="68"/>
      <c r="AI197" s="68"/>
      <c r="AJ197" s="68"/>
      <c r="AK197"/>
      <c r="AL197"/>
      <c r="AM197"/>
      <c r="AN197"/>
    </row>
    <row r="198" spans="1:40" ht="14.5" x14ac:dyDescent="0.35">
      <c r="A198" t="s">
        <v>499</v>
      </c>
      <c r="C198" t="s">
        <v>974</v>
      </c>
      <c r="D198" t="s">
        <v>969</v>
      </c>
      <c r="E198">
        <v>25</v>
      </c>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68"/>
      <c r="AG198" s="68"/>
      <c r="AH198" s="68"/>
      <c r="AI198" s="68"/>
      <c r="AJ198" s="68"/>
      <c r="AK198"/>
      <c r="AL198"/>
      <c r="AM198"/>
      <c r="AN198"/>
    </row>
    <row r="199" spans="1:40" ht="14.5" x14ac:dyDescent="0.35">
      <c r="A199" t="s">
        <v>499</v>
      </c>
      <c r="C199" t="s">
        <v>975</v>
      </c>
      <c r="D199" t="s">
        <v>102</v>
      </c>
      <c r="E199">
        <v>1</v>
      </c>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68"/>
      <c r="AG199" s="68"/>
      <c r="AH199" s="68"/>
      <c r="AI199" s="68"/>
      <c r="AJ199" s="68"/>
      <c r="AK199"/>
      <c r="AL199"/>
      <c r="AM199"/>
      <c r="AN199"/>
    </row>
    <row r="200" spans="1:40" ht="14.5" x14ac:dyDescent="0.35">
      <c r="A200" t="s">
        <v>499</v>
      </c>
      <c r="B200" t="s">
        <v>531</v>
      </c>
      <c r="C200" t="s">
        <v>499</v>
      </c>
      <c r="D200" t="s">
        <v>67</v>
      </c>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8"/>
      <c r="AF200" s="68"/>
      <c r="AG200" s="68"/>
      <c r="AH200" s="68"/>
      <c r="AI200" s="68"/>
      <c r="AJ200" s="68"/>
      <c r="AK200"/>
      <c r="AL200"/>
      <c r="AM200"/>
      <c r="AN200"/>
    </row>
    <row r="201" spans="1:40" ht="14.5" x14ac:dyDescent="0.35">
      <c r="A201" t="s">
        <v>488</v>
      </c>
      <c r="C201" t="s">
        <v>972</v>
      </c>
      <c r="D201" t="s">
        <v>557</v>
      </c>
      <c r="E201">
        <v>500</v>
      </c>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8"/>
      <c r="AF201" s="68"/>
      <c r="AG201" s="68"/>
      <c r="AH201" s="68"/>
      <c r="AI201" s="68"/>
      <c r="AJ201" s="68"/>
      <c r="AK201"/>
      <c r="AL201"/>
      <c r="AM201"/>
      <c r="AN201"/>
    </row>
    <row r="202" spans="1:40" ht="14.5" x14ac:dyDescent="0.35">
      <c r="A202" t="s">
        <v>488</v>
      </c>
      <c r="C202" t="s">
        <v>971</v>
      </c>
      <c r="D202" t="s">
        <v>101</v>
      </c>
      <c r="E202">
        <v>25</v>
      </c>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c r="AF202" s="68"/>
      <c r="AG202" s="68"/>
      <c r="AH202" s="68"/>
      <c r="AI202" s="68"/>
      <c r="AJ202" s="68"/>
      <c r="AK202"/>
      <c r="AL202"/>
      <c r="AM202"/>
      <c r="AN202"/>
    </row>
    <row r="203" spans="1:40" ht="14.5" x14ac:dyDescent="0.35">
      <c r="A203" t="s">
        <v>488</v>
      </c>
      <c r="C203" t="s">
        <v>970</v>
      </c>
      <c r="D203" t="s">
        <v>102</v>
      </c>
      <c r="E203">
        <v>1</v>
      </c>
      <c r="F203" s="68"/>
      <c r="G203" s="68"/>
      <c r="H203" s="68"/>
      <c r="I203" s="68"/>
      <c r="J203" s="68"/>
      <c r="K203" s="68"/>
      <c r="L203" s="68"/>
      <c r="M203" s="68"/>
      <c r="N203" s="68"/>
      <c r="O203" s="68"/>
      <c r="P203" s="68"/>
      <c r="Q203" s="68"/>
      <c r="R203" s="68"/>
      <c r="S203" s="68"/>
      <c r="T203" s="68"/>
      <c r="U203" s="68"/>
      <c r="V203" s="68"/>
      <c r="W203" s="68"/>
      <c r="X203" s="68"/>
      <c r="Y203" s="68"/>
      <c r="Z203" s="68"/>
      <c r="AA203" s="68"/>
      <c r="AB203" s="68"/>
      <c r="AC203" s="68"/>
      <c r="AD203" s="68"/>
      <c r="AE203" s="68"/>
      <c r="AF203" s="68"/>
      <c r="AG203" s="68"/>
      <c r="AH203" s="68"/>
      <c r="AI203" s="68"/>
      <c r="AJ203" s="68"/>
      <c r="AK203"/>
      <c r="AL203"/>
      <c r="AM203"/>
      <c r="AN203"/>
    </row>
    <row r="204" spans="1:40" ht="14.5" x14ac:dyDescent="0.35">
      <c r="A204" t="s">
        <v>488</v>
      </c>
      <c r="B204" t="s">
        <v>519</v>
      </c>
      <c r="C204" t="s">
        <v>488</v>
      </c>
      <c r="D204" t="s">
        <v>67</v>
      </c>
      <c r="F204" s="68"/>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c r="AD204" s="68"/>
      <c r="AE204" s="68"/>
      <c r="AF204" s="68"/>
      <c r="AG204" s="68"/>
      <c r="AH204" s="68"/>
      <c r="AI204" s="68"/>
      <c r="AJ204" s="68"/>
      <c r="AK204"/>
      <c r="AL204"/>
      <c r="AM204"/>
      <c r="AN204"/>
    </row>
    <row r="205" spans="1:40" ht="14.5" x14ac:dyDescent="0.35">
      <c r="A205" t="s">
        <v>485</v>
      </c>
      <c r="C205" t="s">
        <v>1127</v>
      </c>
      <c r="D205" t="s">
        <v>103</v>
      </c>
      <c r="E205">
        <v>1000</v>
      </c>
      <c r="F205" s="68"/>
      <c r="G205" s="68"/>
      <c r="H205" s="68"/>
      <c r="I205" s="68"/>
      <c r="J205" s="68"/>
      <c r="K205" s="68"/>
      <c r="L205" s="68"/>
      <c r="M205" s="68"/>
      <c r="N205" s="68"/>
      <c r="O205" s="68"/>
      <c r="P205" s="68"/>
      <c r="Q205" s="68"/>
      <c r="R205" s="68"/>
      <c r="S205" s="68"/>
      <c r="T205" s="68"/>
      <c r="U205" s="68"/>
      <c r="V205" s="68"/>
      <c r="W205" s="68"/>
      <c r="X205" s="68"/>
      <c r="Y205" s="68"/>
      <c r="Z205" s="68"/>
      <c r="AA205" s="68"/>
      <c r="AB205" s="68"/>
      <c r="AC205" s="68"/>
      <c r="AD205" s="68"/>
      <c r="AE205" s="68"/>
      <c r="AF205" s="68"/>
      <c r="AG205" s="68"/>
      <c r="AH205" s="68"/>
      <c r="AI205" s="68"/>
      <c r="AJ205" s="68"/>
      <c r="AK205"/>
      <c r="AL205"/>
      <c r="AM205"/>
      <c r="AN205"/>
    </row>
    <row r="206" spans="1:40" ht="14.5" x14ac:dyDescent="0.35">
      <c r="A206" t="s">
        <v>485</v>
      </c>
      <c r="C206" t="s">
        <v>1251</v>
      </c>
      <c r="D206" t="s">
        <v>969</v>
      </c>
      <c r="E206">
        <v>250</v>
      </c>
      <c r="F206" s="68"/>
      <c r="G206" s="68"/>
      <c r="H206" s="68"/>
      <c r="I206" s="68"/>
      <c r="J206" s="68"/>
      <c r="K206" s="68"/>
      <c r="L206" s="68"/>
      <c r="M206" s="68"/>
      <c r="N206" s="68"/>
      <c r="O206" s="68"/>
      <c r="P206" s="68"/>
      <c r="Q206" s="68"/>
      <c r="R206" s="68"/>
      <c r="S206" s="68"/>
      <c r="T206" s="68"/>
      <c r="U206" s="68"/>
      <c r="V206" s="68"/>
      <c r="W206" s="68"/>
      <c r="X206" s="68"/>
      <c r="Y206" s="68"/>
      <c r="Z206" s="68"/>
      <c r="AA206" s="68"/>
      <c r="AB206" s="68"/>
      <c r="AC206" s="68"/>
      <c r="AD206" s="68"/>
      <c r="AE206" s="68"/>
      <c r="AF206" s="68"/>
      <c r="AG206" s="68"/>
      <c r="AH206" s="68"/>
      <c r="AI206" s="68"/>
      <c r="AJ206" s="68"/>
      <c r="AK206"/>
      <c r="AL206"/>
      <c r="AM206"/>
      <c r="AN206"/>
    </row>
    <row r="207" spans="1:40" ht="14.5" x14ac:dyDescent="0.35">
      <c r="A207" t="s">
        <v>485</v>
      </c>
      <c r="C207" t="s">
        <v>524</v>
      </c>
      <c r="D207" t="s">
        <v>102</v>
      </c>
      <c r="E207">
        <v>1</v>
      </c>
      <c r="F207" s="68"/>
      <c r="G207" s="68"/>
      <c r="H207" s="68"/>
      <c r="I207" s="68"/>
      <c r="J207" s="68"/>
      <c r="K207" s="68"/>
      <c r="L207" s="68"/>
      <c r="M207" s="68"/>
      <c r="N207" s="68"/>
      <c r="O207" s="68"/>
      <c r="P207" s="68"/>
      <c r="Q207" s="68"/>
      <c r="R207" s="68"/>
      <c r="S207" s="68"/>
      <c r="T207" s="68"/>
      <c r="U207" s="68"/>
      <c r="V207" s="68"/>
      <c r="W207" s="68"/>
      <c r="X207" s="68"/>
      <c r="Y207" s="68"/>
      <c r="Z207" s="68"/>
      <c r="AA207" s="68"/>
      <c r="AB207" s="68"/>
      <c r="AC207" s="68"/>
      <c r="AD207" s="68"/>
      <c r="AE207" s="68"/>
      <c r="AF207" s="68"/>
      <c r="AG207" s="68"/>
      <c r="AH207" s="68"/>
      <c r="AI207" s="68"/>
      <c r="AJ207" s="68"/>
      <c r="AK207"/>
      <c r="AL207"/>
      <c r="AM207"/>
      <c r="AN207"/>
    </row>
    <row r="208" spans="1:40" ht="14.5" x14ac:dyDescent="0.35">
      <c r="A208" t="s">
        <v>485</v>
      </c>
      <c r="B208" t="s">
        <v>518</v>
      </c>
      <c r="C208" t="s">
        <v>485</v>
      </c>
      <c r="D208" t="s">
        <v>67</v>
      </c>
      <c r="F208" s="68"/>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c r="AD208" s="68"/>
      <c r="AE208" s="68"/>
      <c r="AF208" s="68"/>
      <c r="AG208" s="68"/>
      <c r="AH208" s="68"/>
      <c r="AI208" s="68"/>
      <c r="AJ208" s="68"/>
      <c r="AK208"/>
      <c r="AL208"/>
      <c r="AM208"/>
      <c r="AN208"/>
    </row>
    <row r="209" spans="1:40" ht="14.5" x14ac:dyDescent="0.35">
      <c r="A209" t="s">
        <v>504</v>
      </c>
      <c r="C209" t="s">
        <v>1037</v>
      </c>
      <c r="D209" t="s">
        <v>103</v>
      </c>
      <c r="E209">
        <v>500</v>
      </c>
      <c r="F209" s="68"/>
      <c r="G209" s="68"/>
      <c r="H209" s="68"/>
      <c r="I209" s="68"/>
      <c r="J209" s="68"/>
      <c r="K209" s="68"/>
      <c r="L209" s="68"/>
      <c r="M209" s="68"/>
      <c r="N209" s="68"/>
      <c r="O209" s="68"/>
      <c r="P209" s="68"/>
      <c r="Q209" s="68"/>
      <c r="R209" s="68"/>
      <c r="S209" s="68"/>
      <c r="T209" s="68"/>
      <c r="U209" s="68"/>
      <c r="V209" s="68"/>
      <c r="W209" s="68"/>
      <c r="X209" s="68"/>
      <c r="Y209" s="68"/>
      <c r="Z209" s="68"/>
      <c r="AA209" s="68"/>
      <c r="AB209" s="68"/>
      <c r="AC209" s="68"/>
      <c r="AD209" s="68"/>
      <c r="AE209" s="68"/>
      <c r="AF209" s="68"/>
      <c r="AG209" s="68"/>
      <c r="AH209" s="68"/>
      <c r="AI209" s="68"/>
      <c r="AJ209" s="68"/>
      <c r="AK209"/>
      <c r="AL209"/>
      <c r="AM209"/>
      <c r="AN209"/>
    </row>
    <row r="210" spans="1:40" ht="14.5" x14ac:dyDescent="0.35">
      <c r="A210" t="s">
        <v>504</v>
      </c>
      <c r="C210" t="s">
        <v>1120</v>
      </c>
      <c r="D210" t="s">
        <v>101</v>
      </c>
      <c r="E210">
        <v>25</v>
      </c>
      <c r="F210" s="68"/>
      <c r="G210" s="68"/>
      <c r="H210" s="68"/>
      <c r="I210" s="68"/>
      <c r="J210" s="68"/>
      <c r="K210" s="68"/>
      <c r="L210" s="68"/>
      <c r="M210" s="68"/>
      <c r="N210" s="68"/>
      <c r="O210" s="68"/>
      <c r="P210" s="68"/>
      <c r="Q210" s="68"/>
      <c r="R210" s="68"/>
      <c r="S210" s="68"/>
      <c r="T210" s="68"/>
      <c r="U210" s="68"/>
      <c r="V210" s="68"/>
      <c r="W210" s="68"/>
      <c r="X210" s="68"/>
      <c r="Y210" s="68"/>
      <c r="Z210" s="68"/>
      <c r="AA210" s="68"/>
      <c r="AB210" s="68"/>
      <c r="AC210" s="68"/>
      <c r="AD210" s="68"/>
      <c r="AE210" s="68"/>
      <c r="AF210" s="68"/>
      <c r="AG210" s="68"/>
      <c r="AH210" s="68"/>
      <c r="AI210" s="68"/>
      <c r="AJ210" s="68"/>
      <c r="AK210"/>
      <c r="AL210"/>
      <c r="AM210"/>
      <c r="AN210"/>
    </row>
    <row r="211" spans="1:40" ht="14.5" x14ac:dyDescent="0.35">
      <c r="A211" t="s">
        <v>504</v>
      </c>
      <c r="C211" t="s">
        <v>1121</v>
      </c>
      <c r="D211" t="s">
        <v>102</v>
      </c>
      <c r="E211">
        <v>1</v>
      </c>
      <c r="F211" s="68"/>
      <c r="G211" s="68"/>
      <c r="H211" s="68"/>
      <c r="I211" s="68"/>
      <c r="J211" s="68"/>
      <c r="K211" s="68"/>
      <c r="L211" s="68"/>
      <c r="M211" s="68"/>
      <c r="N211" s="68"/>
      <c r="O211" s="68"/>
      <c r="P211" s="68"/>
      <c r="Q211" s="68"/>
      <c r="R211" s="68"/>
      <c r="S211" s="68"/>
      <c r="T211" s="68"/>
      <c r="U211" s="68"/>
      <c r="V211" s="68"/>
      <c r="W211" s="68"/>
      <c r="X211" s="68"/>
      <c r="Y211" s="68"/>
      <c r="Z211" s="68"/>
      <c r="AA211" s="68"/>
      <c r="AB211" s="68"/>
      <c r="AC211" s="68"/>
      <c r="AD211" s="68"/>
      <c r="AE211" s="68"/>
      <c r="AF211" s="68"/>
      <c r="AG211" s="68"/>
      <c r="AH211" s="68"/>
      <c r="AI211" s="68"/>
      <c r="AJ211" s="68"/>
      <c r="AK211"/>
      <c r="AL211"/>
      <c r="AM211"/>
      <c r="AN211"/>
    </row>
    <row r="212" spans="1:40" ht="14.5" x14ac:dyDescent="0.35">
      <c r="A212" t="s">
        <v>504</v>
      </c>
      <c r="B212" t="s">
        <v>532</v>
      </c>
      <c r="C212" t="s">
        <v>504</v>
      </c>
      <c r="D212" t="s">
        <v>67</v>
      </c>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c r="AF212" s="68"/>
      <c r="AG212" s="68"/>
      <c r="AH212" s="68"/>
      <c r="AI212" s="68"/>
      <c r="AJ212" s="68"/>
      <c r="AK212"/>
      <c r="AL212"/>
      <c r="AM212"/>
      <c r="AN212"/>
    </row>
    <row r="213" spans="1:40" ht="14.5" x14ac:dyDescent="0.35">
      <c r="A213" t="s">
        <v>921</v>
      </c>
      <c r="C213" t="s">
        <v>1016</v>
      </c>
      <c r="D213" t="s">
        <v>102</v>
      </c>
      <c r="E213">
        <v>1</v>
      </c>
      <c r="F213" s="68"/>
      <c r="G213" s="68"/>
      <c r="H213" s="68"/>
      <c r="I213" s="68"/>
      <c r="J213" s="68"/>
      <c r="K213" s="68"/>
      <c r="L213" s="68"/>
      <c r="M213" s="68"/>
      <c r="N213" s="68"/>
      <c r="O213" s="68"/>
      <c r="P213" s="68"/>
      <c r="Q213" s="68"/>
      <c r="R213" s="68"/>
      <c r="S213" s="68"/>
      <c r="T213" s="68"/>
      <c r="U213" s="68"/>
      <c r="V213" s="68"/>
      <c r="W213" s="68"/>
      <c r="X213" s="68"/>
      <c r="Y213" s="68"/>
      <c r="Z213" s="68"/>
      <c r="AA213" s="68"/>
      <c r="AB213" s="68"/>
      <c r="AC213" s="68"/>
      <c r="AD213" s="68"/>
      <c r="AE213" s="68"/>
      <c r="AF213" s="68"/>
      <c r="AG213" s="68"/>
      <c r="AH213" s="68"/>
      <c r="AI213" s="68"/>
      <c r="AJ213" s="68"/>
      <c r="AK213"/>
      <c r="AL213"/>
      <c r="AM213"/>
      <c r="AN213"/>
    </row>
    <row r="214" spans="1:40" ht="14.5" x14ac:dyDescent="0.35">
      <c r="A214" t="s">
        <v>921</v>
      </c>
      <c r="B214" t="s">
        <v>628</v>
      </c>
      <c r="C214" t="s">
        <v>921</v>
      </c>
      <c r="D214" t="s">
        <v>67</v>
      </c>
      <c r="F214" s="68"/>
      <c r="G214" s="68"/>
      <c r="H214" s="68"/>
      <c r="I214" s="68"/>
      <c r="J214" s="68"/>
      <c r="K214" s="68"/>
      <c r="L214" s="68"/>
      <c r="M214" s="68"/>
      <c r="N214" s="68"/>
      <c r="O214" s="68"/>
      <c r="P214" s="68"/>
      <c r="Q214" s="68"/>
      <c r="R214" s="68"/>
      <c r="S214" s="68"/>
      <c r="T214" s="68"/>
      <c r="U214" s="68"/>
      <c r="V214" s="68"/>
      <c r="W214" s="68"/>
      <c r="X214" s="68"/>
      <c r="Y214" s="68"/>
      <c r="Z214" s="68"/>
      <c r="AA214" s="68"/>
      <c r="AB214" s="68"/>
      <c r="AC214" s="68"/>
      <c r="AD214" s="68"/>
      <c r="AE214" s="68"/>
      <c r="AF214" s="68"/>
      <c r="AG214" s="68"/>
      <c r="AH214" s="68"/>
      <c r="AI214" s="68"/>
      <c r="AJ214" s="68"/>
      <c r="AK214"/>
      <c r="AL214"/>
      <c r="AM214"/>
      <c r="AN214"/>
    </row>
    <row r="215" spans="1:40" ht="14.5" x14ac:dyDescent="0.35">
      <c r="A215" t="s">
        <v>350</v>
      </c>
      <c r="C215" t="s">
        <v>360</v>
      </c>
      <c r="D215" t="s">
        <v>103</v>
      </c>
      <c r="E215">
        <v>5000</v>
      </c>
      <c r="F215" s="68"/>
      <c r="G215" s="68"/>
      <c r="H215" s="68"/>
      <c r="I215" s="68"/>
      <c r="J215" s="68"/>
      <c r="K215" s="68"/>
      <c r="L215" s="68"/>
      <c r="M215" s="68"/>
      <c r="N215" s="68"/>
      <c r="O215" s="68"/>
      <c r="P215" s="68"/>
      <c r="Q215" s="68"/>
      <c r="R215" s="68"/>
      <c r="S215" s="68"/>
      <c r="T215" s="68"/>
      <c r="U215" s="68"/>
      <c r="V215" s="68"/>
      <c r="W215" s="68"/>
      <c r="X215" s="68"/>
      <c r="Y215" s="68"/>
      <c r="Z215" s="68"/>
      <c r="AA215" s="68"/>
      <c r="AB215" s="68"/>
      <c r="AC215" s="68"/>
      <c r="AD215" s="68"/>
      <c r="AE215" s="68"/>
      <c r="AF215" s="68"/>
      <c r="AG215" s="68"/>
      <c r="AH215" s="68"/>
      <c r="AI215" s="68"/>
      <c r="AJ215" s="68"/>
      <c r="AK215"/>
      <c r="AL215"/>
      <c r="AM215"/>
      <c r="AN215"/>
    </row>
    <row r="216" spans="1:40" ht="14.5" x14ac:dyDescent="0.35">
      <c r="A216" t="s">
        <v>350</v>
      </c>
      <c r="C216" t="s">
        <v>1057</v>
      </c>
      <c r="D216" t="s">
        <v>101</v>
      </c>
      <c r="E216">
        <v>1000</v>
      </c>
      <c r="F216" s="68"/>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c r="AD216" s="68"/>
      <c r="AE216" s="68"/>
      <c r="AF216" s="68"/>
      <c r="AG216" s="68"/>
      <c r="AH216" s="68"/>
      <c r="AI216" s="68"/>
      <c r="AJ216" s="68"/>
      <c r="AK216"/>
      <c r="AL216"/>
      <c r="AM216"/>
      <c r="AN216"/>
    </row>
    <row r="217" spans="1:40" ht="14.5" x14ac:dyDescent="0.35">
      <c r="A217" t="s">
        <v>350</v>
      </c>
      <c r="C217" t="s">
        <v>361</v>
      </c>
      <c r="D217" t="s">
        <v>29</v>
      </c>
      <c r="E217">
        <v>1</v>
      </c>
      <c r="F217" s="68"/>
      <c r="G217" s="68"/>
      <c r="H217" s="68"/>
      <c r="I217" s="68"/>
      <c r="J217" s="68"/>
      <c r="K217" s="68"/>
      <c r="L217" s="68"/>
      <c r="M217" s="68"/>
      <c r="N217" s="68"/>
      <c r="O217" s="68"/>
      <c r="P217" s="68"/>
      <c r="Q217" s="68"/>
      <c r="R217" s="68"/>
      <c r="S217" s="68"/>
      <c r="T217" s="68"/>
      <c r="U217" s="68"/>
      <c r="V217" s="68"/>
      <c r="W217" s="68"/>
      <c r="X217" s="68"/>
      <c r="Y217" s="68"/>
      <c r="Z217" s="68"/>
      <c r="AA217" s="68"/>
      <c r="AB217" s="68"/>
      <c r="AC217" s="68"/>
      <c r="AD217" s="68"/>
      <c r="AE217" s="68"/>
      <c r="AF217" s="68"/>
      <c r="AG217" s="68"/>
      <c r="AH217" s="68"/>
      <c r="AI217" s="68"/>
      <c r="AJ217" s="68"/>
      <c r="AK217"/>
      <c r="AL217"/>
      <c r="AM217"/>
      <c r="AN217"/>
    </row>
    <row r="218" spans="1:40" ht="14.5" x14ac:dyDescent="0.35">
      <c r="A218" t="s">
        <v>350</v>
      </c>
      <c r="B218" t="s">
        <v>380</v>
      </c>
      <c r="C218" t="s">
        <v>350</v>
      </c>
      <c r="D218" t="s">
        <v>35</v>
      </c>
      <c r="F218" s="68"/>
      <c r="G218" s="68"/>
      <c r="H218" s="68"/>
      <c r="I218" s="68"/>
      <c r="J218" s="68"/>
      <c r="K218" s="68"/>
      <c r="L218" s="68"/>
      <c r="M218" s="68"/>
      <c r="N218" s="68"/>
      <c r="O218" s="68"/>
      <c r="P218" s="68"/>
      <c r="Q218" s="68"/>
      <c r="R218" s="68"/>
      <c r="S218" s="68"/>
      <c r="T218" s="68"/>
      <c r="U218" s="68"/>
      <c r="V218" s="68"/>
      <c r="W218" s="68"/>
      <c r="X218" s="68"/>
      <c r="Y218" s="68"/>
      <c r="Z218" s="68"/>
      <c r="AA218" s="68"/>
      <c r="AB218" s="68"/>
      <c r="AC218" s="68"/>
      <c r="AD218" s="68"/>
      <c r="AE218" s="68"/>
      <c r="AF218" s="68"/>
      <c r="AG218" s="68"/>
      <c r="AH218" s="68"/>
      <c r="AI218" s="68"/>
      <c r="AJ218" s="68"/>
      <c r="AK218"/>
      <c r="AL218"/>
      <c r="AM218"/>
      <c r="AN218"/>
    </row>
    <row r="219" spans="1:40" ht="14.5" x14ac:dyDescent="0.35">
      <c r="A219" t="s">
        <v>589</v>
      </c>
      <c r="C219" t="s">
        <v>587</v>
      </c>
      <c r="D219" t="s">
        <v>580</v>
      </c>
      <c r="E219">
        <v>1</v>
      </c>
      <c r="F219" s="68"/>
      <c r="G219" s="68"/>
      <c r="H219" s="68"/>
      <c r="I219" s="68"/>
      <c r="J219" s="68"/>
      <c r="K219" s="68"/>
      <c r="L219" s="68"/>
      <c r="M219" s="68"/>
      <c r="N219" s="68"/>
      <c r="O219" s="68"/>
      <c r="P219" s="68"/>
      <c r="Q219" s="68"/>
      <c r="R219" s="68"/>
      <c r="S219" s="68"/>
      <c r="T219" s="68"/>
      <c r="U219" s="68"/>
      <c r="V219" s="68"/>
      <c r="W219" s="68"/>
      <c r="X219" s="68"/>
      <c r="Y219" s="68"/>
      <c r="Z219" s="68"/>
      <c r="AA219" s="68"/>
      <c r="AB219" s="68"/>
      <c r="AC219" s="68"/>
      <c r="AD219" s="68"/>
      <c r="AE219" s="68"/>
      <c r="AF219" s="68"/>
      <c r="AG219" s="68"/>
      <c r="AH219" s="68"/>
      <c r="AI219" s="68"/>
      <c r="AJ219" s="68"/>
      <c r="AK219"/>
      <c r="AL219"/>
      <c r="AM219"/>
      <c r="AN219"/>
    </row>
    <row r="220" spans="1:40" ht="14.5" x14ac:dyDescent="0.35">
      <c r="A220" t="s">
        <v>589</v>
      </c>
      <c r="B220" t="s">
        <v>588</v>
      </c>
      <c r="C220" t="s">
        <v>589</v>
      </c>
      <c r="D220" t="s">
        <v>151</v>
      </c>
      <c r="F220" s="68"/>
      <c r="G220" s="68"/>
      <c r="H220" s="68"/>
      <c r="I220" s="68"/>
      <c r="J220" s="68"/>
      <c r="K220" s="68"/>
      <c r="L220" s="68"/>
      <c r="M220" s="68"/>
      <c r="N220" s="68"/>
      <c r="O220" s="68"/>
      <c r="P220" s="68"/>
      <c r="Q220" s="68"/>
      <c r="R220" s="68"/>
      <c r="S220" s="68"/>
      <c r="T220" s="68"/>
      <c r="U220" s="68"/>
      <c r="V220" s="68"/>
      <c r="W220" s="68"/>
      <c r="X220" s="68"/>
      <c r="Y220" s="68"/>
      <c r="Z220" s="68"/>
      <c r="AA220" s="68"/>
      <c r="AB220" s="68"/>
      <c r="AC220" s="68"/>
      <c r="AD220" s="68"/>
      <c r="AE220" s="68"/>
      <c r="AF220" s="68"/>
      <c r="AG220" s="68"/>
      <c r="AH220" s="68"/>
      <c r="AI220" s="68"/>
      <c r="AJ220" s="68"/>
      <c r="AK220"/>
      <c r="AL220"/>
      <c r="AM220"/>
      <c r="AN220"/>
    </row>
    <row r="221" spans="1:40" ht="14.5" x14ac:dyDescent="0.35">
      <c r="A221" t="s">
        <v>1347</v>
      </c>
      <c r="C221" t="s">
        <v>1395</v>
      </c>
      <c r="D221" t="s">
        <v>103</v>
      </c>
      <c r="E221">
        <v>7332</v>
      </c>
      <c r="F221" s="68"/>
      <c r="G221" s="68"/>
      <c r="H221" s="68"/>
      <c r="I221" s="68"/>
      <c r="J221" s="68"/>
      <c r="K221" s="68"/>
      <c r="L221" s="68"/>
      <c r="M221" s="68"/>
      <c r="N221" s="68"/>
      <c r="O221" s="68"/>
      <c r="P221" s="68"/>
      <c r="Q221" s="68"/>
      <c r="R221" s="68"/>
      <c r="S221" s="68"/>
      <c r="T221" s="68"/>
      <c r="U221" s="68"/>
      <c r="V221" s="68"/>
      <c r="W221" s="68"/>
      <c r="X221" s="68"/>
      <c r="Y221" s="68"/>
      <c r="Z221" s="68"/>
      <c r="AA221" s="68"/>
      <c r="AB221" s="68"/>
      <c r="AC221" s="68"/>
      <c r="AD221" s="68"/>
      <c r="AE221" s="68"/>
      <c r="AF221" s="68"/>
      <c r="AG221" s="68"/>
      <c r="AH221" s="68"/>
      <c r="AI221" s="68"/>
      <c r="AJ221" s="68"/>
      <c r="AK221"/>
      <c r="AL221"/>
      <c r="AM221"/>
      <c r="AN221"/>
    </row>
    <row r="222" spans="1:40" ht="14.5" x14ac:dyDescent="0.35">
      <c r="A222" t="s">
        <v>1347</v>
      </c>
      <c r="C222" t="s">
        <v>1396</v>
      </c>
      <c r="D222" t="s">
        <v>101</v>
      </c>
      <c r="E222">
        <v>1222</v>
      </c>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68"/>
      <c r="AG222" s="68"/>
      <c r="AH222" s="68"/>
      <c r="AI222" s="68"/>
      <c r="AJ222" s="68"/>
      <c r="AK222"/>
      <c r="AL222"/>
      <c r="AM222"/>
      <c r="AN222"/>
    </row>
    <row r="223" spans="1:40" ht="14.5" x14ac:dyDescent="0.35">
      <c r="A223" t="s">
        <v>1347</v>
      </c>
      <c r="C223" t="s">
        <v>1397</v>
      </c>
      <c r="D223" t="s">
        <v>29</v>
      </c>
      <c r="E223">
        <v>1</v>
      </c>
      <c r="F223" s="68"/>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c r="AD223" s="68"/>
      <c r="AE223" s="68"/>
      <c r="AF223" s="68"/>
      <c r="AG223" s="68"/>
      <c r="AH223" s="68"/>
      <c r="AI223" s="68"/>
      <c r="AJ223" s="68"/>
      <c r="AK223"/>
      <c r="AL223"/>
      <c r="AM223"/>
      <c r="AN223"/>
    </row>
    <row r="224" spans="1:40" ht="14.5" x14ac:dyDescent="0.35">
      <c r="A224" t="s">
        <v>1347</v>
      </c>
      <c r="B224" t="s">
        <v>1398</v>
      </c>
      <c r="C224" t="s">
        <v>1347</v>
      </c>
      <c r="D224" t="s">
        <v>35</v>
      </c>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c r="AF224" s="68"/>
      <c r="AG224" s="68"/>
      <c r="AH224" s="68"/>
      <c r="AI224" s="68"/>
      <c r="AJ224" s="68"/>
      <c r="AK224"/>
      <c r="AL224"/>
      <c r="AM224"/>
      <c r="AN224"/>
    </row>
    <row r="225" spans="1:40" ht="14.5" x14ac:dyDescent="0.35">
      <c r="A225" t="s">
        <v>21</v>
      </c>
      <c r="C225" t="s">
        <v>1058</v>
      </c>
      <c r="D225" t="s">
        <v>462</v>
      </c>
      <c r="E225">
        <v>1</v>
      </c>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c r="AF225" s="68"/>
      <c r="AG225" s="68"/>
      <c r="AH225" s="68"/>
      <c r="AI225" s="68"/>
      <c r="AJ225" s="68"/>
      <c r="AK225"/>
      <c r="AL225"/>
      <c r="AM225"/>
      <c r="AN225"/>
    </row>
    <row r="226" spans="1:40" ht="14.5" x14ac:dyDescent="0.35">
      <c r="A226" t="s">
        <v>21</v>
      </c>
      <c r="B226" t="s">
        <v>571</v>
      </c>
      <c r="C226" t="s">
        <v>21</v>
      </c>
      <c r="D226" t="s">
        <v>556</v>
      </c>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c r="AF226" s="68"/>
      <c r="AG226" s="68"/>
      <c r="AH226" s="68"/>
      <c r="AI226" s="68"/>
      <c r="AJ226" s="68"/>
      <c r="AK226"/>
      <c r="AL226"/>
      <c r="AM226"/>
      <c r="AN226"/>
    </row>
    <row r="227" spans="1:40" ht="14.5" x14ac:dyDescent="0.35">
      <c r="A227" t="s">
        <v>22</v>
      </c>
      <c r="C227" t="s">
        <v>1059</v>
      </c>
      <c r="D227" t="s">
        <v>462</v>
      </c>
      <c r="E227">
        <v>1</v>
      </c>
      <c r="F227" s="68"/>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c r="AD227" s="68"/>
      <c r="AE227" s="68"/>
      <c r="AF227" s="68"/>
      <c r="AG227" s="68"/>
      <c r="AH227" s="68"/>
      <c r="AI227" s="68"/>
      <c r="AJ227" s="68"/>
      <c r="AK227"/>
      <c r="AL227"/>
      <c r="AM227"/>
      <c r="AN227"/>
    </row>
    <row r="228" spans="1:40" ht="14.5" x14ac:dyDescent="0.35">
      <c r="A228" t="s">
        <v>22</v>
      </c>
      <c r="B228" t="s">
        <v>570</v>
      </c>
      <c r="C228" t="s">
        <v>22</v>
      </c>
      <c r="D228" t="s">
        <v>556</v>
      </c>
      <c r="F228" s="68"/>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c r="AD228" s="68"/>
      <c r="AE228" s="68"/>
      <c r="AF228" s="68"/>
      <c r="AG228" s="68"/>
      <c r="AH228" s="68"/>
      <c r="AI228" s="68"/>
      <c r="AJ228" s="68"/>
      <c r="AK228"/>
      <c r="AL228"/>
      <c r="AM228"/>
      <c r="AN228"/>
    </row>
    <row r="229" spans="1:40" ht="14.5" x14ac:dyDescent="0.35">
      <c r="A229" t="s">
        <v>1340</v>
      </c>
      <c r="C229" t="s">
        <v>1413</v>
      </c>
      <c r="D229" t="s">
        <v>101</v>
      </c>
      <c r="E229">
        <v>193</v>
      </c>
      <c r="F229" s="68"/>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c r="AD229" s="68"/>
      <c r="AE229" s="68"/>
      <c r="AF229" s="68"/>
      <c r="AG229" s="68"/>
      <c r="AH229" s="68"/>
      <c r="AI229" s="68"/>
      <c r="AJ229" s="68"/>
      <c r="AK229"/>
      <c r="AL229"/>
      <c r="AM229"/>
      <c r="AN229"/>
    </row>
    <row r="230" spans="1:40" ht="14.5" x14ac:dyDescent="0.35">
      <c r="A230" t="s">
        <v>1340</v>
      </c>
      <c r="C230" t="s">
        <v>1414</v>
      </c>
      <c r="D230" t="s">
        <v>102</v>
      </c>
      <c r="E230">
        <v>1</v>
      </c>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68"/>
      <c r="AG230" s="68"/>
      <c r="AH230" s="68"/>
      <c r="AI230" s="68"/>
      <c r="AJ230" s="68"/>
      <c r="AK230"/>
      <c r="AL230"/>
      <c r="AM230"/>
      <c r="AN230"/>
    </row>
    <row r="231" spans="1:40" ht="14.5" x14ac:dyDescent="0.35">
      <c r="A231" t="s">
        <v>1340</v>
      </c>
      <c r="B231" t="s">
        <v>1412</v>
      </c>
      <c r="C231" t="s">
        <v>1340</v>
      </c>
      <c r="D231" t="s">
        <v>67</v>
      </c>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68"/>
      <c r="AG231" s="68"/>
      <c r="AH231" s="68"/>
      <c r="AI231" s="68"/>
      <c r="AJ231" s="68"/>
      <c r="AK231"/>
      <c r="AL231"/>
      <c r="AM231"/>
      <c r="AN231"/>
    </row>
    <row r="232" spans="1:40" ht="14.5" x14ac:dyDescent="0.35">
      <c r="A232" t="s">
        <v>505</v>
      </c>
      <c r="C232" t="s">
        <v>1315</v>
      </c>
      <c r="D232" t="s">
        <v>1185</v>
      </c>
      <c r="E232">
        <v>100</v>
      </c>
      <c r="F232" s="68"/>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c r="AD232" s="68"/>
      <c r="AE232" s="68"/>
      <c r="AF232" s="68"/>
      <c r="AG232" s="68"/>
      <c r="AH232" s="68"/>
      <c r="AI232" s="68"/>
      <c r="AJ232" s="68"/>
      <c r="AK232"/>
      <c r="AL232"/>
      <c r="AM232"/>
      <c r="AN232"/>
    </row>
    <row r="233" spans="1:40" ht="14.5" x14ac:dyDescent="0.35">
      <c r="A233" t="s">
        <v>505</v>
      </c>
      <c r="C233" t="s">
        <v>526</v>
      </c>
      <c r="D233" t="s">
        <v>549</v>
      </c>
      <c r="E233">
        <v>1</v>
      </c>
      <c r="F233" s="68"/>
      <c r="G233" s="68"/>
      <c r="H233" s="68"/>
      <c r="I233" s="68"/>
      <c r="J233" s="68"/>
      <c r="K233" s="68"/>
      <c r="L233" s="68"/>
      <c r="M233" s="68"/>
      <c r="N233" s="68"/>
      <c r="O233" s="68"/>
      <c r="P233" s="68"/>
      <c r="Q233" s="68"/>
      <c r="R233" s="68"/>
      <c r="S233" s="68"/>
      <c r="T233" s="68"/>
      <c r="U233" s="68"/>
      <c r="V233" s="68"/>
      <c r="W233" s="68"/>
      <c r="X233" s="68"/>
      <c r="Y233" s="68"/>
      <c r="Z233" s="68"/>
      <c r="AA233" s="68"/>
      <c r="AB233" s="68"/>
      <c r="AC233" s="68"/>
      <c r="AD233" s="68"/>
      <c r="AE233" s="68"/>
      <c r="AF233" s="68"/>
      <c r="AG233" s="68"/>
      <c r="AH233" s="68"/>
      <c r="AI233" s="68"/>
      <c r="AJ233" s="68"/>
      <c r="AK233"/>
      <c r="AL233"/>
      <c r="AM233"/>
      <c r="AN233"/>
    </row>
    <row r="234" spans="1:40" ht="14.5" x14ac:dyDescent="0.35">
      <c r="A234" t="s">
        <v>505</v>
      </c>
      <c r="B234" t="s">
        <v>522</v>
      </c>
      <c r="C234" t="s">
        <v>505</v>
      </c>
      <c r="D234" t="s">
        <v>150</v>
      </c>
      <c r="F234" s="68"/>
      <c r="G234" s="68"/>
      <c r="H234" s="68"/>
      <c r="I234" s="68"/>
      <c r="J234" s="68"/>
      <c r="K234" s="68"/>
      <c r="L234" s="68"/>
      <c r="M234" s="68"/>
      <c r="N234" s="68"/>
      <c r="O234" s="68"/>
      <c r="P234" s="68"/>
      <c r="Q234" s="68"/>
      <c r="R234" s="68"/>
      <c r="S234" s="68"/>
      <c r="T234" s="68"/>
      <c r="U234" s="68"/>
      <c r="V234" s="68"/>
      <c r="W234" s="68"/>
      <c r="X234" s="68"/>
      <c r="Y234" s="68"/>
      <c r="Z234" s="68"/>
      <c r="AA234" s="68"/>
      <c r="AB234" s="68"/>
      <c r="AC234" s="68"/>
      <c r="AD234" s="68"/>
      <c r="AE234" s="68"/>
      <c r="AF234" s="68"/>
      <c r="AG234" s="68"/>
      <c r="AH234" s="68"/>
      <c r="AI234" s="68"/>
      <c r="AJ234" s="68"/>
      <c r="AK234"/>
      <c r="AL234"/>
      <c r="AM234"/>
      <c r="AN234"/>
    </row>
    <row r="235" spans="1:40" ht="14.5" x14ac:dyDescent="0.35">
      <c r="A235" t="s">
        <v>23</v>
      </c>
      <c r="C235" t="s">
        <v>1060</v>
      </c>
      <c r="D235" t="s">
        <v>101</v>
      </c>
      <c r="E235">
        <v>1</v>
      </c>
      <c r="F235" s="68"/>
      <c r="G235" s="68"/>
      <c r="H235" s="68"/>
      <c r="I235" s="68"/>
      <c r="J235" s="68"/>
      <c r="K235" s="68"/>
      <c r="L235" s="68"/>
      <c r="M235" s="68"/>
      <c r="N235" s="68"/>
      <c r="O235" s="68"/>
      <c r="P235" s="68"/>
      <c r="Q235" s="68"/>
      <c r="R235" s="68"/>
      <c r="S235" s="68"/>
      <c r="T235" s="68"/>
      <c r="U235" s="68"/>
      <c r="V235" s="68"/>
      <c r="W235" s="68"/>
      <c r="X235" s="68"/>
      <c r="Y235" s="68"/>
      <c r="Z235" s="68"/>
      <c r="AA235" s="68"/>
      <c r="AB235" s="68"/>
      <c r="AC235" s="68"/>
      <c r="AD235" s="68"/>
      <c r="AE235" s="68"/>
      <c r="AF235" s="68"/>
      <c r="AG235" s="68"/>
      <c r="AH235" s="68"/>
      <c r="AI235" s="68"/>
      <c r="AJ235" s="68"/>
      <c r="AK235"/>
      <c r="AL235"/>
      <c r="AM235"/>
      <c r="AN235"/>
    </row>
    <row r="236" spans="1:40" ht="14.5" x14ac:dyDescent="0.35">
      <c r="A236" t="s">
        <v>23</v>
      </c>
      <c r="B236" t="s">
        <v>619</v>
      </c>
      <c r="C236" t="s">
        <v>23</v>
      </c>
      <c r="D236" t="s">
        <v>556</v>
      </c>
      <c r="F236" s="68"/>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c r="AD236" s="68"/>
      <c r="AE236" s="68"/>
      <c r="AF236" s="68"/>
      <c r="AG236" s="68"/>
      <c r="AH236" s="68"/>
      <c r="AI236" s="68"/>
      <c r="AJ236" s="68"/>
      <c r="AK236"/>
      <c r="AL236"/>
      <c r="AM236"/>
      <c r="AN236"/>
    </row>
    <row r="237" spans="1:40" ht="14.5" x14ac:dyDescent="0.35">
      <c r="A237" t="s">
        <v>24</v>
      </c>
      <c r="C237" t="s">
        <v>1061</v>
      </c>
      <c r="D237" t="s">
        <v>462</v>
      </c>
      <c r="E237">
        <v>1</v>
      </c>
      <c r="F237" s="68"/>
      <c r="G237" s="68"/>
      <c r="H237" s="68"/>
      <c r="I237" s="68"/>
      <c r="J237" s="68"/>
      <c r="K237" s="68"/>
      <c r="L237" s="68"/>
      <c r="M237" s="68"/>
      <c r="N237" s="68"/>
      <c r="O237" s="68"/>
      <c r="P237" s="68"/>
      <c r="Q237" s="68"/>
      <c r="R237" s="68"/>
      <c r="S237" s="68"/>
      <c r="T237" s="68"/>
      <c r="U237" s="68"/>
      <c r="V237" s="68"/>
      <c r="W237" s="68"/>
      <c r="X237" s="68"/>
      <c r="Y237" s="68"/>
      <c r="Z237" s="68"/>
      <c r="AA237" s="68"/>
      <c r="AB237" s="68"/>
      <c r="AC237" s="68"/>
      <c r="AD237" s="68"/>
      <c r="AE237" s="68"/>
      <c r="AF237" s="68"/>
      <c r="AG237" s="68"/>
      <c r="AH237" s="68"/>
      <c r="AI237" s="68"/>
      <c r="AJ237" s="68"/>
      <c r="AK237"/>
      <c r="AL237"/>
      <c r="AM237"/>
      <c r="AN237"/>
    </row>
    <row r="238" spans="1:40" ht="14.5" x14ac:dyDescent="0.35">
      <c r="A238" t="s">
        <v>24</v>
      </c>
      <c r="B238" t="s">
        <v>629</v>
      </c>
      <c r="C238" t="s">
        <v>24</v>
      </c>
      <c r="D238" t="s">
        <v>556</v>
      </c>
      <c r="F238" s="68"/>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c r="AD238" s="68"/>
      <c r="AE238" s="68"/>
      <c r="AF238" s="68"/>
      <c r="AG238" s="68"/>
      <c r="AH238" s="68"/>
      <c r="AI238" s="68"/>
      <c r="AJ238" s="68"/>
      <c r="AK238"/>
      <c r="AL238"/>
      <c r="AM238"/>
      <c r="AN238"/>
    </row>
    <row r="239" spans="1:40" ht="14.5" x14ac:dyDescent="0.35">
      <c r="A239" t="s">
        <v>351</v>
      </c>
      <c r="C239" t="s">
        <v>362</v>
      </c>
      <c r="D239" t="s">
        <v>103</v>
      </c>
      <c r="E239">
        <v>2208</v>
      </c>
      <c r="F239" s="68"/>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c r="AD239" s="68"/>
      <c r="AE239" s="68"/>
      <c r="AF239" s="68"/>
      <c r="AG239" s="68"/>
      <c r="AH239" s="68"/>
      <c r="AI239" s="68"/>
      <c r="AJ239" s="68"/>
      <c r="AK239"/>
      <c r="AL239"/>
      <c r="AM239"/>
      <c r="AN239"/>
    </row>
    <row r="240" spans="1:40" ht="14.5" x14ac:dyDescent="0.35">
      <c r="A240" t="s">
        <v>351</v>
      </c>
      <c r="C240" t="s">
        <v>363</v>
      </c>
      <c r="D240" t="s">
        <v>101</v>
      </c>
      <c r="E240">
        <v>92</v>
      </c>
      <c r="F240" s="68"/>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c r="AD240" s="68"/>
      <c r="AE240" s="68"/>
      <c r="AF240" s="68"/>
      <c r="AG240" s="68"/>
      <c r="AH240" s="68"/>
      <c r="AI240" s="68"/>
      <c r="AJ240" s="68"/>
      <c r="AK240"/>
      <c r="AL240"/>
      <c r="AM240"/>
      <c r="AN240"/>
    </row>
    <row r="241" spans="1:40" ht="14.5" x14ac:dyDescent="0.35">
      <c r="A241" t="s">
        <v>351</v>
      </c>
      <c r="C241" t="s">
        <v>364</v>
      </c>
      <c r="D241" t="s">
        <v>29</v>
      </c>
      <c r="E241">
        <v>1</v>
      </c>
      <c r="F241" s="68"/>
      <c r="G241" s="68"/>
      <c r="H241" s="68"/>
      <c r="I241" s="68"/>
      <c r="J241" s="68"/>
      <c r="K241" s="68"/>
      <c r="L241" s="68"/>
      <c r="M241" s="68"/>
      <c r="N241" s="68"/>
      <c r="O241" s="68"/>
      <c r="P241" s="68"/>
      <c r="Q241" s="68"/>
      <c r="R241" s="68"/>
      <c r="S241" s="68"/>
      <c r="T241" s="68"/>
      <c r="U241" s="68"/>
      <c r="V241" s="68"/>
      <c r="W241" s="68"/>
      <c r="X241" s="68"/>
      <c r="Y241" s="68"/>
      <c r="Z241" s="68"/>
      <c r="AA241" s="68"/>
      <c r="AB241" s="68"/>
      <c r="AC241" s="68"/>
      <c r="AD241" s="68"/>
      <c r="AE241" s="68"/>
      <c r="AF241" s="68"/>
      <c r="AG241" s="68"/>
      <c r="AH241" s="68"/>
      <c r="AI241" s="68"/>
      <c r="AJ241" s="68"/>
      <c r="AK241"/>
      <c r="AL241"/>
      <c r="AM241"/>
      <c r="AN241"/>
    </row>
    <row r="242" spans="1:40" ht="14.5" x14ac:dyDescent="0.35">
      <c r="A242" t="s">
        <v>351</v>
      </c>
      <c r="B242" t="s">
        <v>381</v>
      </c>
      <c r="C242" t="s">
        <v>351</v>
      </c>
      <c r="D242" t="s">
        <v>35</v>
      </c>
      <c r="F242" s="68"/>
      <c r="G242" s="68"/>
      <c r="H242" s="68"/>
      <c r="I242" s="68"/>
      <c r="J242" s="68"/>
      <c r="K242" s="68"/>
      <c r="L242" s="68"/>
      <c r="M242" s="68"/>
      <c r="N242" s="68"/>
      <c r="O242" s="68"/>
      <c r="P242" s="68"/>
      <c r="Q242" s="68"/>
      <c r="R242" s="68"/>
      <c r="S242" s="68"/>
      <c r="T242" s="68"/>
      <c r="U242" s="68"/>
      <c r="V242" s="68"/>
      <c r="W242" s="68"/>
      <c r="X242" s="68"/>
      <c r="Y242" s="68"/>
      <c r="Z242" s="68"/>
      <c r="AA242" s="68"/>
      <c r="AB242" s="68"/>
      <c r="AC242" s="68"/>
      <c r="AD242" s="68"/>
      <c r="AE242" s="68"/>
      <c r="AF242" s="68"/>
      <c r="AG242" s="68"/>
      <c r="AH242" s="68"/>
      <c r="AI242" s="68"/>
      <c r="AJ242" s="68"/>
      <c r="AK242"/>
      <c r="AL242"/>
      <c r="AM242"/>
      <c r="AN242"/>
    </row>
    <row r="243" spans="1:40" ht="14.5" x14ac:dyDescent="0.35">
      <c r="A243" t="s">
        <v>512</v>
      </c>
      <c r="C243" t="s">
        <v>1098</v>
      </c>
      <c r="D243" t="s">
        <v>101</v>
      </c>
      <c r="E243">
        <v>3000</v>
      </c>
      <c r="F243" s="68"/>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c r="AD243" s="68"/>
      <c r="AE243" s="68"/>
      <c r="AF243" s="68"/>
      <c r="AG243" s="68"/>
      <c r="AH243" s="68"/>
      <c r="AI243" s="68"/>
      <c r="AJ243" s="68"/>
      <c r="AK243"/>
      <c r="AL243"/>
      <c r="AM243"/>
      <c r="AN243"/>
    </row>
    <row r="244" spans="1:40" ht="14.5" x14ac:dyDescent="0.35">
      <c r="A244" t="s">
        <v>512</v>
      </c>
      <c r="C244" t="s">
        <v>1099</v>
      </c>
      <c r="D244" t="s">
        <v>101</v>
      </c>
      <c r="E244">
        <v>500</v>
      </c>
      <c r="F244" s="68"/>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c r="AD244" s="68"/>
      <c r="AE244" s="68"/>
      <c r="AF244" s="68"/>
      <c r="AG244" s="68"/>
      <c r="AH244" s="68"/>
      <c r="AI244" s="68"/>
      <c r="AJ244" s="68"/>
      <c r="AK244"/>
      <c r="AL244"/>
      <c r="AM244"/>
      <c r="AN244"/>
    </row>
    <row r="245" spans="1:40" ht="14.5" x14ac:dyDescent="0.35">
      <c r="A245" t="s">
        <v>512</v>
      </c>
      <c r="C245" t="s">
        <v>527</v>
      </c>
      <c r="D245" t="s">
        <v>549</v>
      </c>
      <c r="E245">
        <v>1</v>
      </c>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68"/>
      <c r="AG245" s="68"/>
      <c r="AH245" s="68"/>
      <c r="AI245" s="68"/>
      <c r="AJ245" s="68"/>
      <c r="AK245"/>
      <c r="AL245"/>
      <c r="AM245"/>
      <c r="AN245"/>
    </row>
    <row r="246" spans="1:40" ht="14.5" x14ac:dyDescent="0.35">
      <c r="A246" t="s">
        <v>512</v>
      </c>
      <c r="B246" t="s">
        <v>523</v>
      </c>
      <c r="C246" t="s">
        <v>512</v>
      </c>
      <c r="D246" t="s">
        <v>150</v>
      </c>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68"/>
      <c r="AG246" s="68"/>
      <c r="AH246" s="68"/>
      <c r="AI246" s="68"/>
      <c r="AJ246" s="68"/>
      <c r="AK246"/>
      <c r="AL246"/>
      <c r="AM246"/>
      <c r="AN246"/>
    </row>
    <row r="247" spans="1:40" ht="14.5" x14ac:dyDescent="0.35">
      <c r="A247" t="s">
        <v>25</v>
      </c>
      <c r="C247" t="s">
        <v>579</v>
      </c>
      <c r="D247" t="s">
        <v>580</v>
      </c>
      <c r="E247">
        <v>1</v>
      </c>
      <c r="F247" s="68"/>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c r="AF247" s="68"/>
      <c r="AG247" s="68"/>
      <c r="AH247" s="68"/>
      <c r="AI247" s="68"/>
      <c r="AJ247" s="68"/>
      <c r="AK247"/>
      <c r="AL247"/>
      <c r="AM247"/>
      <c r="AN247"/>
    </row>
    <row r="248" spans="1:40" ht="14.5" x14ac:dyDescent="0.35">
      <c r="A248" t="s">
        <v>25</v>
      </c>
      <c r="B248" t="s">
        <v>630</v>
      </c>
      <c r="C248" t="s">
        <v>25</v>
      </c>
      <c r="D248" t="s">
        <v>151</v>
      </c>
      <c r="F248" s="68"/>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c r="AD248" s="68"/>
      <c r="AE248" s="68"/>
      <c r="AF248" s="68"/>
      <c r="AG248" s="68"/>
      <c r="AH248" s="68"/>
      <c r="AI248" s="68"/>
      <c r="AJ248" s="68"/>
      <c r="AK248"/>
      <c r="AL248"/>
      <c r="AM248"/>
      <c r="AN248"/>
    </row>
    <row r="249" spans="1:40" ht="14.5" x14ac:dyDescent="0.35">
      <c r="A249" t="s">
        <v>583</v>
      </c>
      <c r="C249" t="s">
        <v>581</v>
      </c>
      <c r="D249" t="s">
        <v>580</v>
      </c>
      <c r="E249">
        <v>1</v>
      </c>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c r="AF249" s="68"/>
      <c r="AG249" s="68"/>
      <c r="AH249" s="68"/>
      <c r="AI249" s="68"/>
      <c r="AJ249" s="68"/>
      <c r="AK249"/>
      <c r="AL249"/>
      <c r="AM249"/>
      <c r="AN249"/>
    </row>
    <row r="250" spans="1:40" ht="14.5" x14ac:dyDescent="0.35">
      <c r="A250" t="s">
        <v>583</v>
      </c>
      <c r="B250" t="s">
        <v>582</v>
      </c>
      <c r="C250" t="s">
        <v>583</v>
      </c>
      <c r="D250" t="s">
        <v>151</v>
      </c>
      <c r="F250" s="68"/>
      <c r="G250" s="68"/>
      <c r="H250" s="68"/>
      <c r="I250" s="68"/>
      <c r="J250" s="68"/>
      <c r="K250" s="68"/>
      <c r="L250" s="68"/>
      <c r="M250" s="68"/>
      <c r="N250" s="68"/>
      <c r="O250" s="68"/>
      <c r="P250" s="68"/>
      <c r="Q250" s="68"/>
      <c r="R250" s="68"/>
      <c r="S250" s="68"/>
      <c r="T250" s="68"/>
      <c r="U250" s="68"/>
      <c r="V250" s="68"/>
      <c r="W250" s="68"/>
      <c r="X250" s="68"/>
      <c r="Y250" s="68"/>
      <c r="Z250" s="68"/>
      <c r="AA250" s="68"/>
      <c r="AB250" s="68"/>
      <c r="AC250" s="68"/>
      <c r="AD250" s="68"/>
      <c r="AE250" s="68"/>
      <c r="AF250" s="68"/>
      <c r="AG250" s="68"/>
      <c r="AH250" s="68"/>
      <c r="AI250" s="68"/>
      <c r="AJ250" s="68"/>
      <c r="AK250"/>
      <c r="AL250"/>
      <c r="AM250"/>
      <c r="AN250"/>
    </row>
    <row r="251" spans="1:40" ht="14.5" x14ac:dyDescent="0.35">
      <c r="A251" t="s">
        <v>500</v>
      </c>
      <c r="C251" t="s">
        <v>977</v>
      </c>
      <c r="D251" t="s">
        <v>557</v>
      </c>
      <c r="E251">
        <v>9000</v>
      </c>
      <c r="F251" s="68"/>
      <c r="G251" s="68"/>
      <c r="H251" s="68"/>
      <c r="I251" s="68"/>
      <c r="J251" s="68"/>
      <c r="K251" s="68"/>
      <c r="L251" s="68"/>
      <c r="M251" s="68"/>
      <c r="N251" s="68"/>
      <c r="O251" s="68"/>
      <c r="P251" s="68"/>
      <c r="Q251" s="68"/>
      <c r="R251" s="68"/>
      <c r="S251" s="68"/>
      <c r="T251" s="68"/>
      <c r="U251" s="68"/>
      <c r="V251" s="68"/>
      <c r="W251" s="68"/>
      <c r="X251" s="68"/>
      <c r="Y251" s="68"/>
      <c r="Z251" s="68"/>
      <c r="AA251" s="68"/>
      <c r="AB251" s="68"/>
      <c r="AC251" s="68"/>
      <c r="AD251" s="68"/>
      <c r="AE251" s="68"/>
      <c r="AF251" s="68"/>
      <c r="AG251" s="68"/>
      <c r="AH251" s="68"/>
      <c r="AI251" s="68"/>
      <c r="AJ251" s="68"/>
      <c r="AK251"/>
      <c r="AL251"/>
      <c r="AM251"/>
      <c r="AN251"/>
    </row>
    <row r="252" spans="1:40" ht="14.5" x14ac:dyDescent="0.35">
      <c r="A252" t="s">
        <v>500</v>
      </c>
      <c r="C252" t="s">
        <v>1126</v>
      </c>
      <c r="D252" t="s">
        <v>101</v>
      </c>
      <c r="E252">
        <v>450</v>
      </c>
      <c r="F252" s="68"/>
      <c r="G252" s="68"/>
      <c r="H252" s="68"/>
      <c r="I252" s="68"/>
      <c r="J252" s="68"/>
      <c r="K252" s="68"/>
      <c r="L252" s="68"/>
      <c r="M252" s="68"/>
      <c r="N252" s="68"/>
      <c r="O252" s="68"/>
      <c r="P252" s="68"/>
      <c r="Q252" s="68"/>
      <c r="R252" s="68"/>
      <c r="S252" s="68"/>
      <c r="T252" s="68"/>
      <c r="U252" s="68"/>
      <c r="V252" s="68"/>
      <c r="W252" s="68"/>
      <c r="X252" s="68"/>
      <c r="Y252" s="68"/>
      <c r="Z252" s="68"/>
      <c r="AA252" s="68"/>
      <c r="AB252" s="68"/>
      <c r="AC252" s="68"/>
      <c r="AD252" s="68"/>
      <c r="AE252" s="68"/>
      <c r="AF252" s="68"/>
      <c r="AG252" s="68"/>
      <c r="AH252" s="68"/>
      <c r="AI252" s="68"/>
      <c r="AJ252" s="68"/>
      <c r="AK252"/>
      <c r="AL252"/>
      <c r="AM252"/>
      <c r="AN252"/>
    </row>
    <row r="253" spans="1:40" ht="14.5" x14ac:dyDescent="0.35">
      <c r="A253" t="s">
        <v>500</v>
      </c>
      <c r="C253" t="s">
        <v>976</v>
      </c>
      <c r="D253" t="s">
        <v>29</v>
      </c>
      <c r="E253">
        <v>1</v>
      </c>
      <c r="F253" s="68"/>
      <c r="G253" s="68"/>
      <c r="H253" s="68"/>
      <c r="I253" s="68"/>
      <c r="J253" s="68"/>
      <c r="K253" s="68"/>
      <c r="L253" s="68"/>
      <c r="M253" s="68"/>
      <c r="N253" s="68"/>
      <c r="O253" s="68"/>
      <c r="P253" s="68"/>
      <c r="Q253" s="68"/>
      <c r="R253" s="68"/>
      <c r="S253" s="68"/>
      <c r="T253" s="68"/>
      <c r="U253" s="68"/>
      <c r="V253" s="68"/>
      <c r="W253" s="68"/>
      <c r="X253" s="68"/>
      <c r="Y253" s="68"/>
      <c r="Z253" s="68"/>
      <c r="AA253" s="68"/>
      <c r="AB253" s="68"/>
      <c r="AC253" s="68"/>
      <c r="AD253" s="68"/>
      <c r="AE253" s="68"/>
      <c r="AF253" s="68"/>
      <c r="AG253" s="68"/>
      <c r="AH253" s="68"/>
      <c r="AI253" s="68"/>
      <c r="AJ253" s="68"/>
      <c r="AK253"/>
      <c r="AL253"/>
      <c r="AM253"/>
      <c r="AN253"/>
    </row>
    <row r="254" spans="1:40" ht="14.5" x14ac:dyDescent="0.35">
      <c r="A254" t="s">
        <v>500</v>
      </c>
      <c r="B254" t="s">
        <v>530</v>
      </c>
      <c r="C254" t="s">
        <v>500</v>
      </c>
      <c r="D254" t="s">
        <v>35</v>
      </c>
      <c r="F254" s="68"/>
      <c r="G254" s="68"/>
      <c r="H254" s="68"/>
      <c r="I254" s="68"/>
      <c r="J254" s="68"/>
      <c r="K254" s="68"/>
      <c r="L254" s="68"/>
      <c r="M254" s="68"/>
      <c r="N254" s="68"/>
      <c r="O254" s="68"/>
      <c r="P254" s="68"/>
      <c r="Q254" s="68"/>
      <c r="R254" s="68"/>
      <c r="S254" s="68"/>
      <c r="T254" s="68"/>
      <c r="U254" s="68"/>
      <c r="V254" s="68"/>
      <c r="W254" s="68"/>
      <c r="X254" s="68"/>
      <c r="Y254" s="68"/>
      <c r="Z254" s="68"/>
      <c r="AA254" s="68"/>
      <c r="AB254" s="68"/>
      <c r="AC254" s="68"/>
      <c r="AD254" s="68"/>
      <c r="AE254" s="68"/>
      <c r="AF254" s="68"/>
      <c r="AG254" s="68"/>
      <c r="AH254" s="68"/>
      <c r="AI254" s="68"/>
      <c r="AJ254" s="68"/>
      <c r="AK254"/>
      <c r="AL254"/>
      <c r="AM254"/>
      <c r="AN254"/>
    </row>
    <row r="255" spans="1:40" ht="14.5" x14ac:dyDescent="0.35">
      <c r="A255" t="s">
        <v>603</v>
      </c>
      <c r="C255" t="s">
        <v>1101</v>
      </c>
      <c r="D255" t="s">
        <v>580</v>
      </c>
      <c r="E255">
        <v>1</v>
      </c>
      <c r="F255" s="68"/>
      <c r="G255" s="68"/>
      <c r="H255" s="68"/>
      <c r="I255" s="68"/>
      <c r="J255" s="68"/>
      <c r="K255" s="68"/>
      <c r="L255" s="68"/>
      <c r="M255" s="68"/>
      <c r="N255" s="68"/>
      <c r="O255" s="68"/>
      <c r="P255" s="68"/>
      <c r="Q255" s="68"/>
      <c r="R255" s="68"/>
      <c r="S255" s="68"/>
      <c r="T255" s="68"/>
      <c r="U255" s="68"/>
      <c r="V255" s="68"/>
      <c r="W255" s="68"/>
      <c r="X255" s="68"/>
      <c r="Y255" s="68"/>
      <c r="Z255" s="68"/>
      <c r="AA255" s="68"/>
      <c r="AB255" s="68"/>
      <c r="AC255" s="68"/>
      <c r="AD255" s="68"/>
      <c r="AE255" s="68"/>
      <c r="AF255" s="68"/>
      <c r="AG255" s="68"/>
      <c r="AH255" s="68"/>
      <c r="AI255" s="68"/>
      <c r="AJ255" s="68"/>
      <c r="AK255"/>
      <c r="AL255"/>
      <c r="AM255"/>
      <c r="AN255"/>
    </row>
    <row r="256" spans="1:40" ht="14.5" x14ac:dyDescent="0.35">
      <c r="A256" t="s">
        <v>603</v>
      </c>
      <c r="B256" t="s">
        <v>602</v>
      </c>
      <c r="C256" t="s">
        <v>603</v>
      </c>
      <c r="D256" t="s">
        <v>151</v>
      </c>
      <c r="F256" s="68"/>
      <c r="G256" s="68"/>
      <c r="H256" s="68"/>
      <c r="I256" s="68"/>
      <c r="J256" s="68"/>
      <c r="K256" s="68"/>
      <c r="L256" s="68"/>
      <c r="M256" s="68"/>
      <c r="N256" s="68"/>
      <c r="O256" s="68"/>
      <c r="P256" s="68"/>
      <c r="Q256" s="68"/>
      <c r="R256" s="68"/>
      <c r="S256" s="68"/>
      <c r="T256" s="68"/>
      <c r="U256" s="68"/>
      <c r="V256" s="68"/>
      <c r="W256" s="68"/>
      <c r="X256" s="68"/>
      <c r="Y256" s="68"/>
      <c r="Z256" s="68"/>
      <c r="AA256" s="68"/>
      <c r="AB256" s="68"/>
      <c r="AC256" s="68"/>
      <c r="AD256" s="68"/>
      <c r="AE256" s="68"/>
      <c r="AF256" s="68"/>
      <c r="AG256" s="68"/>
      <c r="AH256" s="68"/>
      <c r="AI256" s="68"/>
      <c r="AJ256" s="68"/>
      <c r="AK256"/>
      <c r="AL256"/>
      <c r="AM256"/>
      <c r="AN256"/>
    </row>
    <row r="257" spans="1:40" ht="14.5" x14ac:dyDescent="0.35">
      <c r="A257" t="s">
        <v>26</v>
      </c>
      <c r="C257" t="s">
        <v>1062</v>
      </c>
      <c r="D257" t="s">
        <v>462</v>
      </c>
      <c r="E257">
        <v>420</v>
      </c>
      <c r="F257" s="68"/>
      <c r="G257" s="68"/>
      <c r="H257" s="68"/>
      <c r="I257" s="68"/>
      <c r="J257" s="68"/>
      <c r="K257" s="68"/>
      <c r="L257" s="68"/>
      <c r="M257" s="68"/>
      <c r="N257" s="68"/>
      <c r="O257" s="68"/>
      <c r="P257" s="68"/>
      <c r="Q257" s="68"/>
      <c r="R257" s="68"/>
      <c r="S257" s="68"/>
      <c r="T257" s="68"/>
      <c r="U257" s="68"/>
      <c r="V257" s="68"/>
      <c r="W257" s="68"/>
      <c r="X257" s="68"/>
      <c r="Y257" s="68"/>
      <c r="Z257" s="68"/>
      <c r="AA257" s="68"/>
      <c r="AB257" s="68"/>
      <c r="AC257" s="68"/>
      <c r="AD257" s="68"/>
      <c r="AE257" s="68"/>
      <c r="AF257" s="68"/>
      <c r="AG257" s="68"/>
      <c r="AH257" s="68"/>
      <c r="AI257" s="68"/>
      <c r="AJ257" s="68"/>
      <c r="AK257"/>
      <c r="AL257"/>
      <c r="AM257"/>
      <c r="AN257"/>
    </row>
    <row r="258" spans="1:40" ht="14.5" x14ac:dyDescent="0.35">
      <c r="A258" t="s">
        <v>26</v>
      </c>
      <c r="C258" t="s">
        <v>1083</v>
      </c>
      <c r="D258" t="s">
        <v>461</v>
      </c>
      <c r="E258">
        <v>1</v>
      </c>
      <c r="F258" s="68"/>
      <c r="G258" s="68"/>
      <c r="H258" s="68"/>
      <c r="I258" s="68"/>
      <c r="J258" s="68"/>
      <c r="K258" s="68"/>
      <c r="L258" s="68"/>
      <c r="M258" s="68"/>
      <c r="N258" s="68"/>
      <c r="O258" s="68"/>
      <c r="P258" s="68"/>
      <c r="Q258" s="68"/>
      <c r="R258" s="68"/>
      <c r="S258" s="68"/>
      <c r="T258" s="68"/>
      <c r="U258" s="68"/>
      <c r="V258" s="68"/>
      <c r="W258" s="68"/>
      <c r="X258" s="68"/>
      <c r="Y258" s="68"/>
      <c r="Z258" s="68"/>
      <c r="AA258" s="68"/>
      <c r="AB258" s="68"/>
      <c r="AC258" s="68"/>
      <c r="AD258" s="68"/>
      <c r="AE258" s="68"/>
      <c r="AF258" s="68"/>
      <c r="AG258" s="68"/>
      <c r="AH258" s="68"/>
      <c r="AI258" s="68"/>
      <c r="AJ258" s="68"/>
      <c r="AK258"/>
      <c r="AL258"/>
      <c r="AM258"/>
      <c r="AN258"/>
    </row>
    <row r="259" spans="1:40" ht="14.5" x14ac:dyDescent="0.35">
      <c r="A259" t="s">
        <v>26</v>
      </c>
      <c r="B259" t="s">
        <v>70</v>
      </c>
      <c r="C259" t="s">
        <v>26</v>
      </c>
      <c r="D259" t="s">
        <v>35</v>
      </c>
      <c r="F259" s="68"/>
      <c r="G259" s="68"/>
      <c r="H259" s="68"/>
      <c r="I259" s="68"/>
      <c r="J259" s="68"/>
      <c r="K259" s="68"/>
      <c r="L259" s="68"/>
      <c r="M259" s="68"/>
      <c r="N259" s="68"/>
      <c r="O259" s="68"/>
      <c r="P259" s="68"/>
      <c r="Q259" s="68"/>
      <c r="R259" s="68"/>
      <c r="S259" s="68"/>
      <c r="T259" s="68"/>
      <c r="U259" s="68"/>
      <c r="V259" s="68"/>
      <c r="W259" s="68"/>
      <c r="X259" s="68"/>
      <c r="Y259" s="68"/>
      <c r="Z259" s="68"/>
      <c r="AA259" s="68"/>
      <c r="AB259" s="68"/>
      <c r="AC259" s="68"/>
      <c r="AD259" s="68"/>
      <c r="AE259" s="68"/>
      <c r="AF259" s="68"/>
      <c r="AG259" s="68"/>
      <c r="AH259" s="68"/>
      <c r="AI259" s="68"/>
      <c r="AJ259" s="68"/>
      <c r="AK259"/>
      <c r="AL259"/>
      <c r="AM259"/>
      <c r="AN259"/>
    </row>
    <row r="260" spans="1:40" ht="14.5" x14ac:dyDescent="0.35">
      <c r="A260" t="s">
        <v>1299</v>
      </c>
      <c r="C260" t="s">
        <v>1296</v>
      </c>
      <c r="D260" t="s">
        <v>1185</v>
      </c>
      <c r="E260">
        <v>100</v>
      </c>
      <c r="F260" s="68"/>
      <c r="G260" s="68"/>
      <c r="H260" s="68"/>
      <c r="I260" s="68"/>
      <c r="J260" s="68"/>
      <c r="K260" s="68"/>
      <c r="L260" s="68"/>
      <c r="M260" s="68"/>
      <c r="N260" s="68"/>
      <c r="O260" s="68"/>
      <c r="P260" s="68"/>
      <c r="Q260" s="68"/>
      <c r="R260" s="68"/>
      <c r="S260" s="68"/>
      <c r="T260" s="68"/>
      <c r="U260" s="68"/>
      <c r="V260" s="68"/>
      <c r="W260" s="68"/>
      <c r="X260" s="68"/>
      <c r="Y260" s="68"/>
      <c r="Z260" s="68"/>
      <c r="AA260" s="68"/>
      <c r="AB260" s="68"/>
      <c r="AC260" s="68"/>
      <c r="AD260" s="68"/>
      <c r="AE260" s="68"/>
      <c r="AF260" s="68"/>
      <c r="AG260" s="68"/>
      <c r="AH260" s="68"/>
      <c r="AI260" s="68"/>
      <c r="AJ260" s="68"/>
      <c r="AK260"/>
      <c r="AL260"/>
      <c r="AM260"/>
      <c r="AN260"/>
    </row>
    <row r="261" spans="1:40" ht="14.5" x14ac:dyDescent="0.35">
      <c r="A261" t="s">
        <v>1299</v>
      </c>
      <c r="C261" t="s">
        <v>1297</v>
      </c>
      <c r="D261" t="s">
        <v>102</v>
      </c>
      <c r="E261">
        <v>1</v>
      </c>
      <c r="F261" s="68"/>
      <c r="G261" s="68"/>
      <c r="H261" s="68"/>
      <c r="I261" s="68"/>
      <c r="J261" s="68"/>
      <c r="K261" s="68"/>
      <c r="L261" s="68"/>
      <c r="M261" s="68"/>
      <c r="N261" s="68"/>
      <c r="O261" s="68"/>
      <c r="P261" s="68"/>
      <c r="Q261" s="68"/>
      <c r="R261" s="68"/>
      <c r="S261" s="68"/>
      <c r="T261" s="68"/>
      <c r="U261" s="68"/>
      <c r="V261" s="68"/>
      <c r="W261" s="68"/>
      <c r="X261" s="68"/>
      <c r="Y261" s="68"/>
      <c r="Z261" s="68"/>
      <c r="AA261" s="68"/>
      <c r="AB261" s="68"/>
      <c r="AC261" s="68"/>
      <c r="AD261" s="68"/>
      <c r="AE261" s="68"/>
      <c r="AF261" s="68"/>
      <c r="AG261" s="68"/>
      <c r="AH261" s="68"/>
      <c r="AI261" s="68"/>
      <c r="AJ261" s="68"/>
      <c r="AK261"/>
      <c r="AL261"/>
      <c r="AM261"/>
      <c r="AN261"/>
    </row>
    <row r="262" spans="1:40" ht="14.5" x14ac:dyDescent="0.35">
      <c r="A262" t="s">
        <v>1299</v>
      </c>
      <c r="B262" t="s">
        <v>1298</v>
      </c>
      <c r="C262" t="s">
        <v>1299</v>
      </c>
      <c r="D262" t="s">
        <v>67</v>
      </c>
      <c r="F262" s="68"/>
      <c r="G262" s="68"/>
      <c r="H262" s="68"/>
      <c r="I262" s="68"/>
      <c r="J262" s="68"/>
      <c r="K262" s="68"/>
      <c r="L262" s="68"/>
      <c r="M262" s="68"/>
      <c r="N262" s="68"/>
      <c r="O262" s="68"/>
      <c r="P262" s="68"/>
      <c r="Q262" s="68"/>
      <c r="R262" s="68"/>
      <c r="S262" s="68"/>
      <c r="T262" s="68"/>
      <c r="U262" s="68"/>
      <c r="V262" s="68"/>
      <c r="W262" s="68"/>
      <c r="X262" s="68"/>
      <c r="Y262" s="68"/>
      <c r="Z262" s="68"/>
      <c r="AA262" s="68"/>
      <c r="AB262" s="68"/>
      <c r="AC262" s="68"/>
      <c r="AD262" s="68"/>
      <c r="AE262" s="68"/>
      <c r="AF262" s="68"/>
      <c r="AG262" s="68"/>
      <c r="AH262" s="68"/>
      <c r="AI262" s="68"/>
      <c r="AJ262" s="68"/>
      <c r="AK262"/>
      <c r="AL262"/>
      <c r="AM262"/>
      <c r="AN262"/>
    </row>
    <row r="263" spans="1:40" ht="14.5" x14ac:dyDescent="0.35">
      <c r="A263" t="s">
        <v>1341</v>
      </c>
      <c r="C263" t="s">
        <v>1422</v>
      </c>
      <c r="D263" t="s">
        <v>103</v>
      </c>
      <c r="E263">
        <v>2000</v>
      </c>
      <c r="F263" s="68"/>
      <c r="G263" s="68"/>
      <c r="H263" s="68"/>
      <c r="I263" s="68"/>
      <c r="J263" s="68"/>
      <c r="K263" s="68"/>
      <c r="L263" s="68"/>
      <c r="M263" s="68"/>
      <c r="N263" s="68"/>
      <c r="O263" s="68"/>
      <c r="P263" s="68"/>
      <c r="Q263" s="68"/>
      <c r="R263" s="68"/>
      <c r="S263" s="68"/>
      <c r="T263" s="68"/>
      <c r="U263" s="68"/>
      <c r="V263" s="68"/>
      <c r="W263" s="68"/>
      <c r="X263" s="68"/>
      <c r="Y263" s="68"/>
      <c r="Z263" s="68"/>
      <c r="AA263" s="68"/>
      <c r="AB263" s="68"/>
      <c r="AC263" s="68"/>
      <c r="AD263" s="68"/>
      <c r="AE263" s="68"/>
      <c r="AF263" s="68"/>
      <c r="AG263" s="68"/>
      <c r="AH263" s="68"/>
      <c r="AI263" s="68"/>
      <c r="AJ263" s="68"/>
      <c r="AK263"/>
      <c r="AL263"/>
      <c r="AM263"/>
      <c r="AN263"/>
    </row>
    <row r="264" spans="1:40" ht="14.5" x14ac:dyDescent="0.35">
      <c r="A264" t="s">
        <v>1341</v>
      </c>
      <c r="C264" t="s">
        <v>1423</v>
      </c>
      <c r="D264" t="s">
        <v>101</v>
      </c>
      <c r="E264">
        <v>50</v>
      </c>
      <c r="F264" s="68"/>
      <c r="G264" s="68"/>
      <c r="H264" s="68"/>
      <c r="I264" s="68"/>
      <c r="J264" s="68"/>
      <c r="K264" s="68"/>
      <c r="L264" s="68"/>
      <c r="M264" s="68"/>
      <c r="N264" s="68"/>
      <c r="O264" s="68"/>
      <c r="P264" s="68"/>
      <c r="Q264" s="68"/>
      <c r="R264" s="68"/>
      <c r="S264" s="68"/>
      <c r="T264" s="68"/>
      <c r="U264" s="68"/>
      <c r="V264" s="68"/>
      <c r="W264" s="68"/>
      <c r="X264" s="68"/>
      <c r="Y264" s="68"/>
      <c r="Z264" s="68"/>
      <c r="AA264" s="68"/>
      <c r="AB264" s="68"/>
      <c r="AC264" s="68"/>
      <c r="AD264" s="68"/>
      <c r="AE264" s="68"/>
      <c r="AF264" s="68"/>
      <c r="AG264" s="68"/>
      <c r="AH264" s="68"/>
      <c r="AI264" s="68"/>
      <c r="AJ264" s="68"/>
      <c r="AK264"/>
      <c r="AL264"/>
      <c r="AM264"/>
      <c r="AN264"/>
    </row>
    <row r="265" spans="1:40" ht="14.5" x14ac:dyDescent="0.35">
      <c r="A265" t="s">
        <v>1341</v>
      </c>
      <c r="C265" t="s">
        <v>1424</v>
      </c>
      <c r="D265" t="s">
        <v>102</v>
      </c>
      <c r="E265">
        <v>1</v>
      </c>
      <c r="F265" s="68"/>
      <c r="G265" s="68"/>
      <c r="H265" s="68"/>
      <c r="I265" s="68"/>
      <c r="J265" s="68"/>
      <c r="K265" s="68"/>
      <c r="L265" s="68"/>
      <c r="M265" s="68"/>
      <c r="N265" s="68"/>
      <c r="O265" s="68"/>
      <c r="P265" s="68"/>
      <c r="Q265" s="68"/>
      <c r="R265" s="68"/>
      <c r="S265" s="68"/>
      <c r="T265" s="68"/>
      <c r="U265" s="68"/>
      <c r="V265" s="68"/>
      <c r="W265" s="68"/>
      <c r="X265" s="68"/>
      <c r="Y265" s="68"/>
      <c r="Z265" s="68"/>
      <c r="AA265" s="68"/>
      <c r="AB265" s="68"/>
      <c r="AC265" s="68"/>
      <c r="AD265" s="68"/>
      <c r="AE265" s="68"/>
      <c r="AF265" s="68"/>
      <c r="AG265" s="68"/>
      <c r="AH265" s="68"/>
      <c r="AI265" s="68"/>
      <c r="AJ265" s="68"/>
      <c r="AK265"/>
      <c r="AL265"/>
      <c r="AM265"/>
      <c r="AN265"/>
    </row>
    <row r="266" spans="1:40" ht="14.5" x14ac:dyDescent="0.35">
      <c r="A266" t="s">
        <v>1341</v>
      </c>
      <c r="B266" t="s">
        <v>1411</v>
      </c>
      <c r="C266" t="s">
        <v>1341</v>
      </c>
      <c r="D266" t="s">
        <v>67</v>
      </c>
      <c r="F266" s="68"/>
      <c r="G266" s="68"/>
      <c r="H266" s="68"/>
      <c r="I266" s="68"/>
      <c r="J266" s="68"/>
      <c r="K266" s="68"/>
      <c r="L266" s="68"/>
      <c r="M266" s="68"/>
      <c r="N266" s="68"/>
      <c r="O266" s="68"/>
      <c r="P266" s="68"/>
      <c r="Q266" s="68"/>
      <c r="R266" s="68"/>
      <c r="S266" s="68"/>
      <c r="T266" s="68"/>
      <c r="U266" s="68"/>
      <c r="V266" s="68"/>
      <c r="W266" s="68"/>
      <c r="X266" s="68"/>
      <c r="Y266" s="68"/>
      <c r="Z266" s="68"/>
      <c r="AA266" s="68"/>
      <c r="AB266" s="68"/>
      <c r="AC266" s="68"/>
      <c r="AD266" s="68"/>
      <c r="AE266" s="68"/>
      <c r="AF266" s="68"/>
      <c r="AG266" s="68"/>
      <c r="AH266" s="68"/>
      <c r="AI266" s="68"/>
      <c r="AJ266" s="68"/>
      <c r="AK266"/>
      <c r="AL266"/>
      <c r="AM266"/>
      <c r="AN266"/>
    </row>
    <row r="267" spans="1:40" ht="14.5" x14ac:dyDescent="0.35">
      <c r="A267" t="s">
        <v>27</v>
      </c>
      <c r="C267" t="s">
        <v>1038</v>
      </c>
      <c r="D267" t="s">
        <v>103</v>
      </c>
      <c r="E267">
        <v>3000</v>
      </c>
      <c r="F267" s="68"/>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c r="AD267" s="68"/>
      <c r="AE267" s="68"/>
      <c r="AF267" s="68"/>
      <c r="AG267" s="68"/>
      <c r="AH267" s="68"/>
      <c r="AI267" s="68"/>
      <c r="AJ267" s="68"/>
      <c r="AK267"/>
      <c r="AL267"/>
      <c r="AM267"/>
      <c r="AN267"/>
    </row>
    <row r="268" spans="1:40" ht="14.5" x14ac:dyDescent="0.35">
      <c r="A268" t="s">
        <v>27</v>
      </c>
      <c r="C268" t="s">
        <v>1063</v>
      </c>
      <c r="D268" t="s">
        <v>101</v>
      </c>
      <c r="E268">
        <v>100</v>
      </c>
      <c r="F268" s="68"/>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c r="AD268" s="68"/>
      <c r="AE268" s="68"/>
      <c r="AF268" s="68"/>
      <c r="AG268" s="68"/>
      <c r="AH268" s="68"/>
      <c r="AI268" s="68"/>
      <c r="AJ268" s="68"/>
      <c r="AK268"/>
      <c r="AL268"/>
      <c r="AM268"/>
      <c r="AN268"/>
    </row>
    <row r="269" spans="1:40" ht="14.5" x14ac:dyDescent="0.35">
      <c r="A269" t="s">
        <v>27</v>
      </c>
      <c r="C269" t="s">
        <v>638</v>
      </c>
      <c r="D269" t="s">
        <v>102</v>
      </c>
      <c r="E269">
        <v>1</v>
      </c>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68"/>
      <c r="AG269" s="68"/>
      <c r="AH269" s="68"/>
      <c r="AI269" s="68"/>
      <c r="AJ269" s="68"/>
      <c r="AK269"/>
      <c r="AL269"/>
      <c r="AM269"/>
      <c r="AN269"/>
    </row>
    <row r="270" spans="1:40" ht="14.5" x14ac:dyDescent="0.35">
      <c r="A270" t="s">
        <v>27</v>
      </c>
      <c r="B270" t="s">
        <v>98</v>
      </c>
      <c r="C270" t="s">
        <v>27</v>
      </c>
      <c r="D270" t="s">
        <v>67</v>
      </c>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68"/>
      <c r="AG270" s="68"/>
      <c r="AH270" s="68"/>
      <c r="AI270" s="68"/>
      <c r="AJ270" s="68"/>
      <c r="AK270"/>
      <c r="AL270"/>
      <c r="AM270"/>
      <c r="AN270"/>
    </row>
    <row r="271" spans="1:40" ht="14.5" x14ac:dyDescent="0.35">
      <c r="A271" t="s">
        <v>501</v>
      </c>
      <c r="C271" t="s">
        <v>1097</v>
      </c>
      <c r="D271" t="s">
        <v>557</v>
      </c>
      <c r="E271">
        <v>24000</v>
      </c>
      <c r="F271" s="68"/>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68"/>
      <c r="AG271" s="68"/>
      <c r="AH271" s="68"/>
      <c r="AI271" s="68"/>
      <c r="AJ271" s="68"/>
      <c r="AK271"/>
      <c r="AL271"/>
      <c r="AM271"/>
      <c r="AN271"/>
    </row>
    <row r="272" spans="1:40" ht="14.5" x14ac:dyDescent="0.35">
      <c r="A272" t="s">
        <v>501</v>
      </c>
      <c r="C272" t="s">
        <v>978</v>
      </c>
      <c r="D272" t="s">
        <v>101</v>
      </c>
      <c r="E272">
        <v>300</v>
      </c>
      <c r="F272" s="68"/>
      <c r="G272" s="68"/>
      <c r="H272" s="68"/>
      <c r="I272" s="68"/>
      <c r="J272" s="68"/>
      <c r="K272" s="68"/>
      <c r="L272" s="68"/>
      <c r="M272" s="68"/>
      <c r="N272" s="68"/>
      <c r="O272" s="68"/>
      <c r="P272" s="68"/>
      <c r="Q272" s="68"/>
      <c r="R272" s="68"/>
      <c r="S272" s="68"/>
      <c r="T272" s="68"/>
      <c r="U272" s="68"/>
      <c r="V272" s="68"/>
      <c r="W272" s="68"/>
      <c r="X272" s="68"/>
      <c r="Y272" s="68"/>
      <c r="Z272" s="68"/>
      <c r="AA272" s="68"/>
      <c r="AB272" s="68"/>
      <c r="AC272" s="68"/>
      <c r="AD272" s="68"/>
      <c r="AE272" s="68"/>
      <c r="AF272" s="68"/>
      <c r="AG272" s="68"/>
      <c r="AH272" s="68"/>
      <c r="AI272" s="68"/>
      <c r="AJ272" s="68"/>
      <c r="AK272"/>
      <c r="AL272"/>
      <c r="AM272"/>
      <c r="AN272"/>
    </row>
    <row r="273" spans="1:40" ht="14.5" x14ac:dyDescent="0.35">
      <c r="A273" t="s">
        <v>501</v>
      </c>
      <c r="C273" t="s">
        <v>1122</v>
      </c>
      <c r="D273" t="s">
        <v>125</v>
      </c>
      <c r="E273">
        <v>1000</v>
      </c>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68"/>
      <c r="AG273" s="68"/>
      <c r="AH273" s="68"/>
      <c r="AI273" s="68"/>
      <c r="AJ273" s="68"/>
      <c r="AK273"/>
      <c r="AL273"/>
      <c r="AM273"/>
      <c r="AN273"/>
    </row>
    <row r="274" spans="1:40" ht="14.5" x14ac:dyDescent="0.35">
      <c r="A274" t="s">
        <v>501</v>
      </c>
      <c r="C274" t="s">
        <v>979</v>
      </c>
      <c r="D274" t="s">
        <v>29</v>
      </c>
      <c r="E274">
        <v>1</v>
      </c>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8"/>
      <c r="AJ274" s="68"/>
      <c r="AK274"/>
      <c r="AL274"/>
      <c r="AM274"/>
      <c r="AN274"/>
    </row>
    <row r="275" spans="1:40" ht="14.5" x14ac:dyDescent="0.35">
      <c r="A275" t="s">
        <v>501</v>
      </c>
      <c r="C275" t="s">
        <v>980</v>
      </c>
      <c r="D275" t="s">
        <v>29</v>
      </c>
      <c r="E275">
        <v>0.5</v>
      </c>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c r="AJ275" s="68"/>
      <c r="AK275"/>
      <c r="AL275"/>
      <c r="AM275"/>
      <c r="AN275"/>
    </row>
    <row r="276" spans="1:40" ht="14.5" x14ac:dyDescent="0.35">
      <c r="A276" t="s">
        <v>501</v>
      </c>
      <c r="B276" t="s">
        <v>529</v>
      </c>
      <c r="C276" t="s">
        <v>501</v>
      </c>
      <c r="D276" t="s">
        <v>35</v>
      </c>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c r="AJ276" s="68"/>
      <c r="AK276"/>
      <c r="AL276"/>
      <c r="AM276"/>
      <c r="AN276"/>
    </row>
    <row r="277" spans="1:40" ht="14.5" x14ac:dyDescent="0.35">
      <c r="A277" t="s">
        <v>916</v>
      </c>
      <c r="C277" t="s">
        <v>992</v>
      </c>
      <c r="D277" t="s">
        <v>103</v>
      </c>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c r="AG277" s="68"/>
      <c r="AH277" s="68"/>
      <c r="AI277" s="68"/>
      <c r="AJ277" s="68"/>
      <c r="AK277"/>
      <c r="AL277"/>
      <c r="AM277"/>
      <c r="AN277"/>
    </row>
    <row r="278" spans="1:40" ht="14.5" x14ac:dyDescent="0.35">
      <c r="A278" t="s">
        <v>916</v>
      </c>
      <c r="C278" t="s">
        <v>993</v>
      </c>
      <c r="D278" t="s">
        <v>101</v>
      </c>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68"/>
      <c r="AG278" s="68"/>
      <c r="AH278" s="68"/>
      <c r="AI278" s="68"/>
      <c r="AJ278" s="68"/>
      <c r="AK278"/>
      <c r="AL278"/>
      <c r="AM278"/>
      <c r="AN278"/>
    </row>
    <row r="279" spans="1:40" ht="14.5" x14ac:dyDescent="0.35">
      <c r="A279" t="s">
        <v>916</v>
      </c>
      <c r="C279" t="s">
        <v>994</v>
      </c>
      <c r="D279" t="s">
        <v>29</v>
      </c>
      <c r="E279">
        <v>1</v>
      </c>
      <c r="F279" s="68"/>
      <c r="G279" s="68"/>
      <c r="H279" s="68"/>
      <c r="I279" s="68"/>
      <c r="J279" s="68"/>
      <c r="K279" s="68"/>
      <c r="L279" s="68"/>
      <c r="M279" s="68"/>
      <c r="N279" s="68"/>
      <c r="O279" s="68"/>
      <c r="P279" s="68"/>
      <c r="Q279" s="68"/>
      <c r="R279" s="68"/>
      <c r="S279" s="68"/>
      <c r="T279" s="68"/>
      <c r="U279" s="68"/>
      <c r="V279" s="68"/>
      <c r="W279" s="68"/>
      <c r="X279" s="68"/>
      <c r="Y279" s="68"/>
      <c r="Z279" s="68"/>
      <c r="AA279" s="68"/>
      <c r="AB279" s="68"/>
      <c r="AC279" s="68"/>
      <c r="AD279" s="68"/>
      <c r="AE279" s="68"/>
      <c r="AF279" s="68"/>
      <c r="AG279" s="68"/>
      <c r="AH279" s="68"/>
      <c r="AI279" s="68"/>
      <c r="AJ279" s="68"/>
      <c r="AK279"/>
      <c r="AL279"/>
      <c r="AM279"/>
      <c r="AN279"/>
    </row>
    <row r="280" spans="1:40" ht="14.5" x14ac:dyDescent="0.35">
      <c r="A280" t="s">
        <v>916</v>
      </c>
      <c r="B280" t="s">
        <v>1019</v>
      </c>
      <c r="C280" t="s">
        <v>916</v>
      </c>
      <c r="D280" t="s">
        <v>35</v>
      </c>
      <c r="F280" s="68"/>
      <c r="G280" s="68"/>
      <c r="H280" s="68"/>
      <c r="I280" s="68"/>
      <c r="J280" s="68"/>
      <c r="K280" s="68"/>
      <c r="L280" s="68"/>
      <c r="M280" s="68"/>
      <c r="N280" s="68"/>
      <c r="O280" s="68"/>
      <c r="P280" s="68"/>
      <c r="Q280" s="68"/>
      <c r="R280" s="68"/>
      <c r="S280" s="68"/>
      <c r="T280" s="68"/>
      <c r="U280" s="68"/>
      <c r="V280" s="68"/>
      <c r="W280" s="68"/>
      <c r="X280" s="68"/>
      <c r="Y280" s="68"/>
      <c r="Z280" s="68"/>
      <c r="AA280" s="68"/>
      <c r="AB280" s="68"/>
      <c r="AC280" s="68"/>
      <c r="AD280" s="68"/>
      <c r="AE280" s="68"/>
      <c r="AF280" s="68"/>
      <c r="AG280" s="68"/>
      <c r="AH280" s="68"/>
      <c r="AI280" s="68"/>
      <c r="AJ280" s="68"/>
      <c r="AK280"/>
      <c r="AL280"/>
      <c r="AM280"/>
      <c r="AN280"/>
    </row>
    <row r="281" spans="1:40" ht="14.5" x14ac:dyDescent="0.35">
      <c r="A281" t="s">
        <v>486</v>
      </c>
      <c r="C281" t="s">
        <v>1039</v>
      </c>
      <c r="D281" t="s">
        <v>103</v>
      </c>
      <c r="E281">
        <v>2000</v>
      </c>
      <c r="F281" s="68"/>
      <c r="G281" s="68"/>
      <c r="H281" s="68"/>
      <c r="I281" s="68"/>
      <c r="J281" s="68"/>
      <c r="K281" s="68"/>
      <c r="L281" s="68"/>
      <c r="M281" s="68"/>
      <c r="N281" s="68"/>
      <c r="O281" s="68"/>
      <c r="P281" s="68"/>
      <c r="Q281" s="68"/>
      <c r="R281" s="68"/>
      <c r="S281" s="68"/>
      <c r="T281" s="68"/>
      <c r="U281" s="68"/>
      <c r="V281" s="68"/>
      <c r="W281" s="68"/>
      <c r="X281" s="68"/>
      <c r="Y281" s="68"/>
      <c r="Z281" s="68"/>
      <c r="AA281" s="68"/>
      <c r="AB281" s="68"/>
      <c r="AC281" s="68"/>
      <c r="AD281" s="68"/>
      <c r="AE281" s="68"/>
      <c r="AF281" s="68"/>
      <c r="AG281" s="68"/>
      <c r="AH281" s="68"/>
      <c r="AI281" s="68"/>
      <c r="AJ281" s="68"/>
      <c r="AK281"/>
      <c r="AL281"/>
      <c r="AM281"/>
      <c r="AN281"/>
    </row>
    <row r="282" spans="1:40" ht="14.5" x14ac:dyDescent="0.35">
      <c r="A282" t="s">
        <v>486</v>
      </c>
      <c r="C282" t="s">
        <v>981</v>
      </c>
      <c r="D282" t="s">
        <v>101</v>
      </c>
      <c r="E282">
        <v>50</v>
      </c>
      <c r="F282" s="68"/>
      <c r="G282" s="68"/>
      <c r="H282" s="68"/>
      <c r="I282" s="68"/>
      <c r="J282" s="68"/>
      <c r="K282" s="68"/>
      <c r="L282" s="68"/>
      <c r="M282" s="68"/>
      <c r="N282" s="68"/>
      <c r="O282" s="68"/>
      <c r="P282" s="68"/>
      <c r="Q282" s="68"/>
      <c r="R282" s="68"/>
      <c r="S282" s="68"/>
      <c r="T282" s="68"/>
      <c r="U282" s="68"/>
      <c r="V282" s="68"/>
      <c r="W282" s="68"/>
      <c r="X282" s="68"/>
      <c r="Y282" s="68"/>
      <c r="Z282" s="68"/>
      <c r="AA282" s="68"/>
      <c r="AB282" s="68"/>
      <c r="AC282" s="68"/>
      <c r="AD282" s="68"/>
      <c r="AE282" s="68"/>
      <c r="AF282" s="68"/>
      <c r="AG282" s="68"/>
      <c r="AH282" s="68"/>
      <c r="AI282" s="68"/>
      <c r="AJ282" s="68"/>
      <c r="AK282"/>
      <c r="AL282"/>
      <c r="AM282"/>
      <c r="AN282"/>
    </row>
    <row r="283" spans="1:40" ht="14.5" x14ac:dyDescent="0.35">
      <c r="A283" t="s">
        <v>486</v>
      </c>
      <c r="C283" t="s">
        <v>982</v>
      </c>
      <c r="D283" t="s">
        <v>102</v>
      </c>
      <c r="E283">
        <v>1</v>
      </c>
      <c r="F283" s="68"/>
      <c r="G283" s="68"/>
      <c r="H283" s="68"/>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c r="AF283" s="68"/>
      <c r="AG283" s="68"/>
      <c r="AH283" s="68"/>
      <c r="AI283" s="68"/>
      <c r="AJ283" s="68"/>
      <c r="AK283"/>
      <c r="AL283"/>
      <c r="AM283"/>
      <c r="AN283"/>
    </row>
    <row r="284" spans="1:40" ht="14.5" x14ac:dyDescent="0.35">
      <c r="A284" t="s">
        <v>486</v>
      </c>
      <c r="B284" t="s">
        <v>533</v>
      </c>
      <c r="C284" t="s">
        <v>486</v>
      </c>
      <c r="D284" t="s">
        <v>67</v>
      </c>
      <c r="F284" s="68"/>
      <c r="G284" s="68"/>
      <c r="H284" s="68"/>
      <c r="I284" s="68"/>
      <c r="J284" s="68"/>
      <c r="K284" s="68"/>
      <c r="L284" s="68"/>
      <c r="M284" s="68"/>
      <c r="N284" s="68"/>
      <c r="O284" s="68"/>
      <c r="P284" s="68"/>
      <c r="Q284" s="68"/>
      <c r="R284" s="68"/>
      <c r="S284" s="68"/>
      <c r="T284" s="68"/>
      <c r="U284" s="68"/>
      <c r="V284" s="68"/>
      <c r="W284" s="68"/>
      <c r="X284" s="68"/>
      <c r="Y284" s="68"/>
      <c r="Z284" s="68"/>
      <c r="AA284" s="68"/>
      <c r="AB284" s="68"/>
      <c r="AC284" s="68"/>
      <c r="AD284" s="68"/>
      <c r="AE284" s="68"/>
      <c r="AF284" s="68"/>
      <c r="AG284" s="68"/>
      <c r="AH284" s="68"/>
      <c r="AI284" s="68"/>
      <c r="AJ284" s="68"/>
      <c r="AK284"/>
      <c r="AL284"/>
      <c r="AM284"/>
      <c r="AN284"/>
    </row>
    <row r="285" spans="1:40" ht="14.5" x14ac:dyDescent="0.35">
      <c r="A285" t="s">
        <v>1191</v>
      </c>
      <c r="C285" t="s">
        <v>1187</v>
      </c>
      <c r="D285" t="s">
        <v>138</v>
      </c>
      <c r="E285">
        <v>500</v>
      </c>
      <c r="F285" s="68"/>
      <c r="G285" s="68"/>
      <c r="H285" s="68"/>
      <c r="I285" s="68"/>
      <c r="J285" s="68"/>
      <c r="K285" s="68"/>
      <c r="L285" s="68"/>
      <c r="M285" s="68"/>
      <c r="N285" s="68"/>
      <c r="O285" s="68"/>
      <c r="P285" s="68"/>
      <c r="Q285" s="68"/>
      <c r="R285" s="68"/>
      <c r="S285" s="68"/>
      <c r="T285" s="68"/>
      <c r="U285" s="68"/>
      <c r="V285" s="68"/>
      <c r="W285" s="68"/>
      <c r="X285" s="68"/>
      <c r="Y285" s="68"/>
      <c r="Z285" s="68"/>
      <c r="AA285" s="68"/>
      <c r="AB285" s="68"/>
      <c r="AC285" s="68"/>
      <c r="AD285" s="68"/>
      <c r="AE285" s="68"/>
      <c r="AF285" s="68"/>
      <c r="AG285" s="68"/>
      <c r="AH285" s="68"/>
      <c r="AI285" s="68"/>
      <c r="AJ285" s="68"/>
      <c r="AK285"/>
      <c r="AL285"/>
      <c r="AM285"/>
      <c r="AN285"/>
    </row>
    <row r="286" spans="1:40" ht="14.5" x14ac:dyDescent="0.35">
      <c r="A286" t="s">
        <v>1191</v>
      </c>
      <c r="C286" t="s">
        <v>1188</v>
      </c>
      <c r="D286" t="s">
        <v>969</v>
      </c>
      <c r="E286">
        <v>125</v>
      </c>
      <c r="F286" s="68"/>
      <c r="G286" s="68"/>
      <c r="H286" s="68"/>
      <c r="I286" s="68"/>
      <c r="J286" s="68"/>
      <c r="K286" s="68"/>
      <c r="L286" s="68"/>
      <c r="M286" s="68"/>
      <c r="N286" s="68"/>
      <c r="O286" s="68"/>
      <c r="P286" s="68"/>
      <c r="Q286" s="68"/>
      <c r="R286" s="68"/>
      <c r="S286" s="68"/>
      <c r="T286" s="68"/>
      <c r="U286" s="68"/>
      <c r="V286" s="68"/>
      <c r="W286" s="68"/>
      <c r="X286" s="68"/>
      <c r="Y286" s="68"/>
      <c r="Z286" s="68"/>
      <c r="AA286" s="68"/>
      <c r="AB286" s="68"/>
      <c r="AC286" s="68"/>
      <c r="AD286" s="68"/>
      <c r="AE286" s="68"/>
      <c r="AF286" s="68"/>
      <c r="AG286" s="68"/>
      <c r="AH286" s="68"/>
      <c r="AI286" s="68"/>
      <c r="AJ286" s="68"/>
      <c r="AK286"/>
      <c r="AL286"/>
      <c r="AM286"/>
      <c r="AN286"/>
    </row>
    <row r="287" spans="1:40" ht="14.5" x14ac:dyDescent="0.35">
      <c r="A287" t="s">
        <v>1191</v>
      </c>
      <c r="C287" t="s">
        <v>1189</v>
      </c>
      <c r="D287" t="s">
        <v>102</v>
      </c>
      <c r="E287">
        <v>1</v>
      </c>
      <c r="F287" s="68"/>
      <c r="G287" s="68"/>
      <c r="H287" s="68"/>
      <c r="I287" s="68"/>
      <c r="J287" s="68"/>
      <c r="K287" s="68"/>
      <c r="L287" s="68"/>
      <c r="M287" s="68"/>
      <c r="N287" s="68"/>
      <c r="O287" s="68"/>
      <c r="P287" s="68"/>
      <c r="Q287" s="68"/>
      <c r="R287" s="68"/>
      <c r="S287" s="68"/>
      <c r="T287" s="68"/>
      <c r="U287" s="68"/>
      <c r="V287" s="68"/>
      <c r="W287" s="68"/>
      <c r="X287" s="68"/>
      <c r="Y287" s="68"/>
      <c r="Z287" s="68"/>
      <c r="AA287" s="68"/>
      <c r="AB287" s="68"/>
      <c r="AC287" s="68"/>
      <c r="AD287" s="68"/>
      <c r="AE287" s="68"/>
      <c r="AF287" s="68"/>
      <c r="AG287" s="68"/>
      <c r="AH287" s="68"/>
      <c r="AI287" s="68"/>
      <c r="AJ287" s="68"/>
      <c r="AK287"/>
      <c r="AL287"/>
      <c r="AM287"/>
      <c r="AN287"/>
    </row>
    <row r="288" spans="1:40" ht="14.5" x14ac:dyDescent="0.35">
      <c r="A288" t="s">
        <v>1191</v>
      </c>
      <c r="B288" t="s">
        <v>1190</v>
      </c>
      <c r="C288" t="s">
        <v>1191</v>
      </c>
      <c r="D288" t="s">
        <v>67</v>
      </c>
      <c r="F288" s="68"/>
      <c r="G288" s="68"/>
      <c r="H288" s="68"/>
      <c r="I288" s="68"/>
      <c r="J288" s="68"/>
      <c r="K288" s="68"/>
      <c r="L288" s="68"/>
      <c r="M288" s="68"/>
      <c r="N288" s="68"/>
      <c r="O288" s="68"/>
      <c r="P288" s="68"/>
      <c r="Q288" s="68"/>
      <c r="R288" s="68"/>
      <c r="S288" s="68"/>
      <c r="T288" s="68"/>
      <c r="U288" s="68"/>
      <c r="V288" s="68"/>
      <c r="W288" s="68"/>
      <c r="X288" s="68"/>
      <c r="Y288" s="68"/>
      <c r="Z288" s="68"/>
      <c r="AA288" s="68"/>
      <c r="AB288" s="68"/>
      <c r="AC288" s="68"/>
      <c r="AD288" s="68"/>
      <c r="AE288" s="68"/>
      <c r="AF288" s="68"/>
      <c r="AG288" s="68"/>
      <c r="AH288" s="68"/>
      <c r="AI288" s="68"/>
      <c r="AJ288" s="68"/>
      <c r="AK288"/>
      <c r="AL288"/>
      <c r="AM288"/>
      <c r="AN288"/>
    </row>
    <row r="289" spans="1:40" ht="14.5" x14ac:dyDescent="0.35">
      <c r="A289" t="s">
        <v>28</v>
      </c>
      <c r="C289" t="s">
        <v>1040</v>
      </c>
      <c r="D289" t="s">
        <v>103</v>
      </c>
      <c r="E289">
        <v>13800</v>
      </c>
      <c r="F289" s="68"/>
      <c r="G289" s="68"/>
      <c r="H289" s="68"/>
      <c r="I289" s="68"/>
      <c r="J289" s="68"/>
      <c r="K289" s="68"/>
      <c r="L289" s="68"/>
      <c r="M289" s="68"/>
      <c r="N289" s="68"/>
      <c r="O289" s="68"/>
      <c r="P289" s="68"/>
      <c r="Q289" s="68"/>
      <c r="R289" s="68"/>
      <c r="S289" s="68"/>
      <c r="T289" s="68"/>
      <c r="U289" s="68"/>
      <c r="V289" s="68"/>
      <c r="W289" s="68"/>
      <c r="X289" s="68"/>
      <c r="Y289" s="68"/>
      <c r="Z289" s="68"/>
      <c r="AA289" s="68"/>
      <c r="AB289" s="68"/>
      <c r="AC289" s="68"/>
      <c r="AD289" s="68"/>
      <c r="AE289" s="68"/>
      <c r="AF289" s="68"/>
      <c r="AG289" s="68"/>
      <c r="AH289" s="68"/>
      <c r="AI289" s="68"/>
      <c r="AJ289" s="68"/>
      <c r="AK289"/>
      <c r="AL289"/>
      <c r="AM289"/>
      <c r="AN289"/>
    </row>
    <row r="290" spans="1:40" ht="14.5" x14ac:dyDescent="0.35">
      <c r="A290" t="s">
        <v>28</v>
      </c>
      <c r="C290" t="s">
        <v>1064</v>
      </c>
      <c r="D290" t="s">
        <v>101</v>
      </c>
      <c r="E290">
        <v>2300</v>
      </c>
      <c r="F290" s="68"/>
      <c r="G290" s="68"/>
      <c r="H290" s="68"/>
      <c r="I290" s="68"/>
      <c r="J290" s="68"/>
      <c r="K290" s="68"/>
      <c r="L290" s="68"/>
      <c r="M290" s="68"/>
      <c r="N290" s="68"/>
      <c r="O290" s="68"/>
      <c r="P290" s="68"/>
      <c r="Q290" s="68"/>
      <c r="R290" s="68"/>
      <c r="S290" s="68"/>
      <c r="T290" s="68"/>
      <c r="U290" s="68"/>
      <c r="V290" s="68"/>
      <c r="W290" s="68"/>
      <c r="X290" s="68"/>
      <c r="Y290" s="68"/>
      <c r="Z290" s="68"/>
      <c r="AA290" s="68"/>
      <c r="AB290" s="68"/>
      <c r="AC290" s="68"/>
      <c r="AD290" s="68"/>
      <c r="AE290" s="68"/>
      <c r="AF290" s="68"/>
      <c r="AG290" s="68"/>
      <c r="AH290" s="68"/>
      <c r="AI290" s="68"/>
      <c r="AJ290" s="68"/>
      <c r="AK290"/>
      <c r="AL290"/>
      <c r="AM290"/>
      <c r="AN290"/>
    </row>
    <row r="291" spans="1:40" ht="14.5" x14ac:dyDescent="0.35">
      <c r="A291" t="s">
        <v>28</v>
      </c>
      <c r="C291" t="s">
        <v>1084</v>
      </c>
      <c r="D291" t="s">
        <v>29</v>
      </c>
      <c r="E291">
        <v>1</v>
      </c>
      <c r="F291" s="68"/>
      <c r="G291" s="68"/>
      <c r="H291" s="68"/>
      <c r="I291" s="68"/>
      <c r="J291" s="68"/>
      <c r="K291" s="68"/>
      <c r="L291" s="68"/>
      <c r="M291" s="68"/>
      <c r="N291" s="68"/>
      <c r="O291" s="68"/>
      <c r="P291" s="68"/>
      <c r="Q291" s="68"/>
      <c r="R291" s="68"/>
      <c r="S291" s="68"/>
      <c r="T291" s="68"/>
      <c r="U291" s="68"/>
      <c r="V291" s="68"/>
      <c r="W291" s="68"/>
      <c r="X291" s="68"/>
      <c r="Y291" s="68"/>
      <c r="Z291" s="68"/>
      <c r="AA291" s="68"/>
      <c r="AB291" s="68"/>
      <c r="AC291" s="68"/>
      <c r="AD291" s="68"/>
      <c r="AE291" s="68"/>
      <c r="AF291" s="68"/>
      <c r="AG291" s="68"/>
      <c r="AH291" s="68"/>
      <c r="AI291" s="68"/>
      <c r="AJ291" s="68"/>
      <c r="AK291"/>
      <c r="AL291"/>
      <c r="AM291"/>
      <c r="AN291"/>
    </row>
    <row r="292" spans="1:40" ht="14.5" x14ac:dyDescent="0.35">
      <c r="A292" t="s">
        <v>28</v>
      </c>
      <c r="B292" t="s">
        <v>99</v>
      </c>
      <c r="C292" t="s">
        <v>28</v>
      </c>
      <c r="D292" t="s">
        <v>35</v>
      </c>
      <c r="F292" s="68"/>
      <c r="G292" s="68"/>
      <c r="H292" s="68"/>
      <c r="I292" s="68"/>
      <c r="J292" s="68"/>
      <c r="K292" s="68"/>
      <c r="L292" s="68"/>
      <c r="M292" s="68"/>
      <c r="N292" s="68"/>
      <c r="O292" s="68"/>
      <c r="P292" s="68"/>
      <c r="Q292" s="68"/>
      <c r="R292" s="68"/>
      <c r="S292" s="68"/>
      <c r="T292" s="68"/>
      <c r="U292" s="68"/>
      <c r="V292" s="68"/>
      <c r="W292" s="68"/>
      <c r="X292" s="68"/>
      <c r="Y292" s="68"/>
      <c r="Z292" s="68"/>
      <c r="AA292" s="68"/>
      <c r="AB292" s="68"/>
      <c r="AC292" s="68"/>
      <c r="AD292" s="68"/>
      <c r="AE292" s="68"/>
      <c r="AF292" s="68"/>
      <c r="AG292" s="68"/>
      <c r="AH292" s="68"/>
      <c r="AI292" s="68"/>
      <c r="AJ292" s="68"/>
      <c r="AK292"/>
      <c r="AL292"/>
      <c r="AM292"/>
      <c r="AN292"/>
    </row>
    <row r="293" spans="1:40" ht="14.5" x14ac:dyDescent="0.35">
      <c r="A293" t="s">
        <v>541</v>
      </c>
      <c r="C293" t="s">
        <v>983</v>
      </c>
      <c r="D293" t="s">
        <v>138</v>
      </c>
      <c r="E293">
        <v>3000</v>
      </c>
      <c r="F293" s="68"/>
      <c r="G293" s="68"/>
      <c r="H293" s="68"/>
      <c r="I293" s="68"/>
      <c r="J293" s="68"/>
      <c r="K293" s="68"/>
      <c r="L293" s="68"/>
      <c r="M293" s="68"/>
      <c r="N293" s="68"/>
      <c r="O293" s="68"/>
      <c r="P293" s="68"/>
      <c r="Q293" s="68"/>
      <c r="R293" s="68"/>
      <c r="S293" s="68"/>
      <c r="T293" s="68"/>
      <c r="U293" s="68"/>
      <c r="V293" s="68"/>
      <c r="W293" s="68"/>
      <c r="X293" s="68"/>
      <c r="Y293" s="68"/>
      <c r="Z293" s="68"/>
      <c r="AA293" s="68"/>
      <c r="AB293" s="68"/>
      <c r="AC293" s="68"/>
      <c r="AD293" s="68"/>
      <c r="AE293" s="68"/>
      <c r="AF293" s="68"/>
      <c r="AG293" s="68"/>
      <c r="AH293" s="68"/>
      <c r="AI293" s="68"/>
      <c r="AJ293" s="68"/>
      <c r="AK293"/>
      <c r="AL293"/>
      <c r="AM293"/>
      <c r="AN293"/>
    </row>
    <row r="294" spans="1:40" ht="14.5" x14ac:dyDescent="0.35">
      <c r="A294" t="s">
        <v>541</v>
      </c>
      <c r="C294" t="s">
        <v>984</v>
      </c>
      <c r="D294" t="s">
        <v>102</v>
      </c>
      <c r="E294">
        <v>1</v>
      </c>
      <c r="F294" s="68"/>
      <c r="G294" s="68"/>
      <c r="H294" s="68"/>
      <c r="I294" s="68"/>
      <c r="J294" s="68"/>
      <c r="K294" s="68"/>
      <c r="L294" s="68"/>
      <c r="M294" s="68"/>
      <c r="N294" s="68"/>
      <c r="O294" s="68"/>
      <c r="P294" s="68"/>
      <c r="Q294" s="68"/>
      <c r="R294" s="68"/>
      <c r="S294" s="68"/>
      <c r="T294" s="68"/>
      <c r="U294" s="68"/>
      <c r="V294" s="68"/>
      <c r="W294" s="68"/>
      <c r="X294" s="68"/>
      <c r="Y294" s="68"/>
      <c r="Z294" s="68"/>
      <c r="AA294" s="68"/>
      <c r="AB294" s="68"/>
      <c r="AC294" s="68"/>
      <c r="AD294" s="68"/>
      <c r="AE294" s="68"/>
      <c r="AF294" s="68"/>
      <c r="AG294" s="68"/>
      <c r="AH294" s="68"/>
      <c r="AI294" s="68"/>
      <c r="AJ294" s="68"/>
      <c r="AK294"/>
      <c r="AL294"/>
      <c r="AM294"/>
      <c r="AN294"/>
    </row>
    <row r="295" spans="1:40" ht="14.5" x14ac:dyDescent="0.35">
      <c r="A295" t="s">
        <v>541</v>
      </c>
      <c r="B295" t="s">
        <v>545</v>
      </c>
      <c r="C295" t="s">
        <v>541</v>
      </c>
      <c r="D295" t="s">
        <v>67</v>
      </c>
      <c r="F295" s="68"/>
      <c r="G295" s="68"/>
      <c r="H295" s="68"/>
      <c r="I295" s="68"/>
      <c r="J295" s="68"/>
      <c r="K295" s="68"/>
      <c r="L295" s="68"/>
      <c r="M295" s="68"/>
      <c r="N295" s="68"/>
      <c r="O295" s="68"/>
      <c r="P295" s="68"/>
      <c r="Q295" s="68"/>
      <c r="R295" s="68"/>
      <c r="S295" s="68"/>
      <c r="T295" s="68"/>
      <c r="U295" s="68"/>
      <c r="V295" s="68"/>
      <c r="W295" s="68"/>
      <c r="X295" s="68"/>
      <c r="Y295" s="68"/>
      <c r="Z295" s="68"/>
      <c r="AA295" s="68"/>
      <c r="AB295" s="68"/>
      <c r="AC295" s="68"/>
      <c r="AD295" s="68"/>
      <c r="AE295" s="68"/>
      <c r="AF295" s="68"/>
      <c r="AG295" s="68"/>
      <c r="AH295" s="68"/>
      <c r="AI295" s="68"/>
      <c r="AJ295" s="68"/>
      <c r="AK295"/>
      <c r="AL295"/>
      <c r="AM295"/>
      <c r="AN295"/>
    </row>
    <row r="296" spans="1:40" ht="14.5" x14ac:dyDescent="0.35">
      <c r="A296" t="s">
        <v>920</v>
      </c>
      <c r="C296" t="s">
        <v>999</v>
      </c>
      <c r="D296" t="s">
        <v>557</v>
      </c>
      <c r="E296">
        <v>500</v>
      </c>
      <c r="F296" s="68"/>
      <c r="G296" s="68"/>
      <c r="H296" s="68"/>
      <c r="I296" s="68"/>
      <c r="J296" s="68"/>
      <c r="K296" s="68"/>
      <c r="L296" s="68"/>
      <c r="M296" s="68"/>
      <c r="N296" s="68"/>
      <c r="O296" s="68"/>
      <c r="P296" s="68"/>
      <c r="Q296" s="68"/>
      <c r="R296" s="68"/>
      <c r="S296" s="68"/>
      <c r="T296" s="68"/>
      <c r="U296" s="68"/>
      <c r="V296" s="68"/>
      <c r="W296" s="68"/>
      <c r="X296" s="68"/>
      <c r="Y296" s="68"/>
      <c r="Z296" s="68"/>
      <c r="AA296" s="68"/>
      <c r="AB296" s="68"/>
      <c r="AC296" s="68"/>
      <c r="AD296" s="68"/>
      <c r="AE296" s="68"/>
      <c r="AF296" s="68"/>
      <c r="AG296" s="68"/>
      <c r="AH296" s="68"/>
      <c r="AI296" s="68"/>
      <c r="AJ296" s="68"/>
      <c r="AK296"/>
      <c r="AL296"/>
      <c r="AM296"/>
      <c r="AN296"/>
    </row>
    <row r="297" spans="1:40" ht="14.5" x14ac:dyDescent="0.35">
      <c r="A297" t="s">
        <v>920</v>
      </c>
      <c r="C297" t="s">
        <v>1000</v>
      </c>
      <c r="D297" t="s">
        <v>101</v>
      </c>
      <c r="E297">
        <v>25</v>
      </c>
      <c r="F297" s="68"/>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c r="AD297" s="68"/>
      <c r="AE297" s="68"/>
      <c r="AF297" s="68"/>
      <c r="AG297" s="68"/>
      <c r="AH297" s="68"/>
      <c r="AI297" s="68"/>
      <c r="AJ297" s="68"/>
      <c r="AK297"/>
      <c r="AL297"/>
      <c r="AM297"/>
      <c r="AN297"/>
    </row>
    <row r="298" spans="1:40" ht="14.5" x14ac:dyDescent="0.35">
      <c r="A298" t="s">
        <v>920</v>
      </c>
      <c r="C298" t="s">
        <v>1001</v>
      </c>
      <c r="D298" t="s">
        <v>102</v>
      </c>
      <c r="E298">
        <v>1</v>
      </c>
      <c r="F298" s="68"/>
      <c r="G298" s="68"/>
      <c r="H298" s="68"/>
      <c r="I298" s="68"/>
      <c r="J298" s="68"/>
      <c r="K298" s="68"/>
      <c r="L298" s="68"/>
      <c r="M298" s="68"/>
      <c r="N298" s="68"/>
      <c r="O298" s="68"/>
      <c r="P298" s="68"/>
      <c r="Q298" s="68"/>
      <c r="R298" s="68"/>
      <c r="S298" s="68"/>
      <c r="T298" s="68"/>
      <c r="U298" s="68"/>
      <c r="V298" s="68"/>
      <c r="W298" s="68"/>
      <c r="X298" s="68"/>
      <c r="Y298" s="68"/>
      <c r="Z298" s="68"/>
      <c r="AA298" s="68"/>
      <c r="AB298" s="68"/>
      <c r="AC298" s="68"/>
      <c r="AD298" s="68"/>
      <c r="AE298" s="68"/>
      <c r="AF298" s="68"/>
      <c r="AG298" s="68"/>
      <c r="AH298" s="68"/>
      <c r="AI298" s="68"/>
      <c r="AJ298" s="68"/>
      <c r="AK298"/>
      <c r="AL298"/>
      <c r="AM298"/>
      <c r="AN298"/>
    </row>
    <row r="299" spans="1:40" ht="14.5" x14ac:dyDescent="0.35">
      <c r="A299" t="s">
        <v>920</v>
      </c>
      <c r="B299" t="s">
        <v>1021</v>
      </c>
      <c r="C299" t="s">
        <v>920</v>
      </c>
      <c r="D299" t="s">
        <v>67</v>
      </c>
      <c r="F299" s="68"/>
      <c r="G299" s="68"/>
      <c r="H299" s="68"/>
      <c r="I299" s="68"/>
      <c r="J299" s="68"/>
      <c r="K299" s="68"/>
      <c r="L299" s="68"/>
      <c r="M299" s="68"/>
      <c r="N299" s="68"/>
      <c r="O299" s="68"/>
      <c r="P299" s="68"/>
      <c r="Q299" s="68"/>
      <c r="R299" s="68"/>
      <c r="S299" s="68"/>
      <c r="T299" s="68"/>
      <c r="U299" s="68"/>
      <c r="V299" s="68"/>
      <c r="W299" s="68"/>
      <c r="X299" s="68"/>
      <c r="Y299" s="68"/>
      <c r="Z299" s="68"/>
      <c r="AA299" s="68"/>
      <c r="AB299" s="68"/>
      <c r="AC299" s="68"/>
      <c r="AD299" s="68"/>
      <c r="AE299" s="68"/>
      <c r="AF299" s="68"/>
      <c r="AG299" s="68"/>
      <c r="AH299" s="68"/>
      <c r="AI299" s="68"/>
      <c r="AJ299" s="68"/>
      <c r="AK299"/>
      <c r="AL299"/>
      <c r="AM299"/>
      <c r="AN299"/>
    </row>
    <row r="300" spans="1:40" ht="14.5" x14ac:dyDescent="0.35">
      <c r="A300" t="s">
        <v>1318</v>
      </c>
      <c r="C300" t="s">
        <v>1319</v>
      </c>
      <c r="D300" t="s">
        <v>103</v>
      </c>
      <c r="E300">
        <v>250</v>
      </c>
      <c r="F300" s="68"/>
      <c r="G300" s="68"/>
      <c r="H300" s="68"/>
      <c r="I300" s="68"/>
      <c r="J300" s="68"/>
      <c r="K300" s="68"/>
      <c r="L300" s="68"/>
      <c r="M300" s="68"/>
      <c r="N300" s="68"/>
      <c r="O300" s="68"/>
      <c r="P300" s="68"/>
      <c r="Q300" s="68"/>
      <c r="R300" s="68"/>
      <c r="S300" s="68"/>
      <c r="T300" s="68"/>
      <c r="U300" s="68"/>
      <c r="V300" s="68"/>
      <c r="W300" s="68"/>
      <c r="X300" s="68"/>
      <c r="Y300" s="68"/>
      <c r="Z300" s="68"/>
      <c r="AA300" s="68"/>
      <c r="AB300" s="68"/>
      <c r="AC300" s="68"/>
      <c r="AD300" s="68"/>
      <c r="AE300" s="68"/>
      <c r="AF300" s="68"/>
      <c r="AG300" s="68"/>
      <c r="AH300" s="68"/>
      <c r="AI300" s="68"/>
      <c r="AJ300" s="68"/>
      <c r="AK300" s="68"/>
      <c r="AL300"/>
      <c r="AM300"/>
      <c r="AN300"/>
    </row>
    <row r="301" spans="1:40" ht="14.5" x14ac:dyDescent="0.35">
      <c r="A301" t="s">
        <v>1318</v>
      </c>
      <c r="C301" t="s">
        <v>1320</v>
      </c>
      <c r="D301" t="s">
        <v>101</v>
      </c>
      <c r="E301">
        <v>10</v>
      </c>
      <c r="F301" s="68"/>
      <c r="G301" s="68"/>
      <c r="H301" s="68"/>
      <c r="I301" s="68"/>
      <c r="J301" s="68"/>
      <c r="K301" s="68"/>
      <c r="L301" s="68"/>
      <c r="M301" s="68"/>
      <c r="N301" s="68"/>
      <c r="O301" s="68"/>
      <c r="P301" s="68"/>
      <c r="Q301" s="68"/>
      <c r="R301" s="68"/>
      <c r="S301" s="68"/>
      <c r="T301" s="68"/>
      <c r="U301" s="68"/>
      <c r="V301" s="68"/>
      <c r="W301" s="68"/>
      <c r="X301" s="68"/>
      <c r="Y301" s="68"/>
      <c r="Z301" s="68"/>
      <c r="AA301" s="68"/>
      <c r="AB301" s="68"/>
      <c r="AC301" s="68"/>
      <c r="AD301" s="68"/>
      <c r="AE301" s="68"/>
      <c r="AF301" s="68"/>
      <c r="AG301" s="68"/>
      <c r="AH301" s="68"/>
      <c r="AI301" s="68"/>
      <c r="AJ301" s="68"/>
      <c r="AK301" s="68"/>
      <c r="AL301"/>
      <c r="AM301"/>
      <c r="AN301"/>
    </row>
    <row r="302" spans="1:40" ht="14.5" x14ac:dyDescent="0.35">
      <c r="A302" t="s">
        <v>1318</v>
      </c>
      <c r="C302" t="s">
        <v>1321</v>
      </c>
      <c r="D302" t="s">
        <v>102</v>
      </c>
      <c r="E302">
        <v>1</v>
      </c>
      <c r="F302" s="68"/>
      <c r="G302" s="68"/>
      <c r="H302" s="68"/>
      <c r="I302" s="68"/>
      <c r="J302" s="68"/>
      <c r="K302" s="68"/>
      <c r="L302" s="68"/>
      <c r="M302" s="68"/>
      <c r="N302" s="68"/>
      <c r="O302" s="68"/>
      <c r="P302" s="68"/>
      <c r="Q302" s="68"/>
      <c r="R302" s="68"/>
      <c r="S302" s="68"/>
      <c r="T302" s="68"/>
      <c r="U302" s="68"/>
      <c r="V302" s="68"/>
      <c r="W302" s="68"/>
      <c r="X302" s="68"/>
      <c r="Y302" s="68"/>
      <c r="Z302" s="68"/>
      <c r="AA302" s="68"/>
      <c r="AB302" s="68"/>
      <c r="AC302" s="68"/>
      <c r="AD302" s="68"/>
      <c r="AE302" s="68"/>
      <c r="AF302" s="68"/>
      <c r="AG302" s="68"/>
      <c r="AH302" s="68"/>
      <c r="AI302" s="68"/>
      <c r="AJ302" s="68"/>
      <c r="AK302" s="68"/>
      <c r="AL302"/>
      <c r="AM302"/>
      <c r="AN302"/>
    </row>
    <row r="303" spans="1:40" ht="14.5" x14ac:dyDescent="0.35">
      <c r="A303" t="s">
        <v>1318</v>
      </c>
      <c r="B303" t="s">
        <v>1323</v>
      </c>
      <c r="C303" t="s">
        <v>1318</v>
      </c>
      <c r="D303" t="s">
        <v>67</v>
      </c>
      <c r="F303" s="68"/>
      <c r="G303" s="68"/>
      <c r="H303" s="68"/>
      <c r="I303" s="68"/>
      <c r="J303" s="68"/>
      <c r="K303" s="68"/>
      <c r="L303" s="68"/>
      <c r="M303" s="68"/>
      <c r="N303" s="68"/>
      <c r="O303" s="68"/>
      <c r="P303" s="68"/>
      <c r="Q303" s="68"/>
      <c r="R303" s="68"/>
      <c r="S303" s="68"/>
      <c r="T303" s="68"/>
      <c r="U303" s="68"/>
      <c r="V303" s="68"/>
      <c r="W303" s="68"/>
      <c r="X303" s="68"/>
      <c r="Y303" s="68"/>
      <c r="Z303" s="68"/>
      <c r="AA303" s="68"/>
      <c r="AB303" s="68"/>
      <c r="AC303" s="68"/>
      <c r="AD303" s="68"/>
      <c r="AE303" s="68"/>
      <c r="AF303" s="68"/>
      <c r="AG303" s="68"/>
      <c r="AH303" s="68"/>
      <c r="AI303" s="68"/>
      <c r="AJ303" s="68"/>
      <c r="AK303" s="68"/>
      <c r="AL303"/>
      <c r="AM303"/>
      <c r="AN303"/>
    </row>
    <row r="304" spans="1:40" ht="14.5" x14ac:dyDescent="0.35">
      <c r="A304" t="s">
        <v>30</v>
      </c>
      <c r="C304" t="s">
        <v>143</v>
      </c>
      <c r="D304" t="s">
        <v>138</v>
      </c>
      <c r="E304">
        <v>100</v>
      </c>
      <c r="F304" s="68"/>
      <c r="G304" s="68"/>
      <c r="H304" s="68"/>
      <c r="I304" s="68"/>
      <c r="J304" s="68"/>
      <c r="K304" s="68"/>
      <c r="L304" s="68"/>
      <c r="M304" s="68"/>
      <c r="N304" s="68"/>
      <c r="O304" s="68"/>
      <c r="P304" s="68"/>
      <c r="Q304" s="68"/>
      <c r="R304" s="68"/>
      <c r="S304" s="68"/>
      <c r="T304" s="68"/>
      <c r="U304" s="68"/>
      <c r="V304" s="68"/>
      <c r="W304" s="68"/>
      <c r="X304" s="68"/>
      <c r="Y304" s="68"/>
      <c r="Z304" s="68"/>
      <c r="AA304" s="68"/>
      <c r="AB304" s="68"/>
      <c r="AC304" s="68"/>
      <c r="AD304" s="68"/>
      <c r="AE304" s="68"/>
      <c r="AF304" s="68"/>
      <c r="AG304" s="68"/>
      <c r="AH304" s="68"/>
      <c r="AI304" s="68"/>
      <c r="AJ304" s="68"/>
      <c r="AK304" s="68"/>
      <c r="AL304"/>
      <c r="AM304"/>
      <c r="AN304"/>
    </row>
    <row r="305" spans="1:40" ht="14.5" x14ac:dyDescent="0.35">
      <c r="A305" t="s">
        <v>30</v>
      </c>
      <c r="C305" t="s">
        <v>144</v>
      </c>
      <c r="D305" t="s">
        <v>102</v>
      </c>
      <c r="E305">
        <v>1</v>
      </c>
      <c r="F305" s="68"/>
      <c r="G305" s="68"/>
      <c r="H305" s="68"/>
      <c r="I305" s="68"/>
      <c r="J305" s="68"/>
      <c r="K305" s="68"/>
      <c r="L305" s="68"/>
      <c r="M305" s="68"/>
      <c r="N305" s="68"/>
      <c r="O305" s="68"/>
      <c r="P305" s="68"/>
      <c r="Q305" s="68"/>
      <c r="R305" s="68"/>
      <c r="S305" s="68"/>
      <c r="T305" s="68"/>
      <c r="U305" s="68"/>
      <c r="V305" s="68"/>
      <c r="W305" s="68"/>
      <c r="X305" s="68"/>
      <c r="Y305" s="68"/>
      <c r="Z305" s="68"/>
      <c r="AA305" s="68"/>
      <c r="AB305" s="68"/>
      <c r="AC305" s="68"/>
      <c r="AD305" s="68"/>
      <c r="AE305" s="68"/>
      <c r="AF305" s="68"/>
      <c r="AG305" s="68"/>
      <c r="AH305" s="68"/>
      <c r="AI305" s="68"/>
      <c r="AJ305" s="68"/>
      <c r="AK305" s="68"/>
      <c r="AL305"/>
      <c r="AM305"/>
      <c r="AN305"/>
    </row>
    <row r="306" spans="1:40" ht="14.5" x14ac:dyDescent="0.35">
      <c r="A306" t="s">
        <v>30</v>
      </c>
      <c r="B306" t="s">
        <v>75</v>
      </c>
      <c r="C306" t="s">
        <v>30</v>
      </c>
      <c r="D306" t="s">
        <v>67</v>
      </c>
      <c r="F306" s="68"/>
      <c r="G306" s="68"/>
      <c r="H306" s="68"/>
      <c r="I306" s="68"/>
      <c r="J306" s="68"/>
      <c r="K306" s="68"/>
      <c r="L306" s="68"/>
      <c r="M306" s="68"/>
      <c r="N306" s="68"/>
      <c r="O306" s="68"/>
      <c r="P306" s="68"/>
      <c r="Q306" s="68"/>
      <c r="R306" s="68"/>
      <c r="S306" s="68"/>
      <c r="T306" s="68"/>
      <c r="U306" s="68"/>
      <c r="V306" s="68"/>
      <c r="W306" s="68"/>
      <c r="X306" s="68"/>
      <c r="Y306" s="68"/>
      <c r="Z306" s="68"/>
      <c r="AA306" s="68"/>
      <c r="AB306" s="68"/>
      <c r="AC306" s="68"/>
      <c r="AD306" s="68"/>
      <c r="AE306" s="68"/>
      <c r="AF306" s="68"/>
      <c r="AG306" s="68"/>
      <c r="AH306" s="68"/>
      <c r="AI306" s="68"/>
      <c r="AJ306" s="68"/>
      <c r="AK306" s="68"/>
      <c r="AL306"/>
      <c r="AM306"/>
      <c r="AN306"/>
    </row>
    <row r="307" spans="1:40" ht="14.5" x14ac:dyDescent="0.35">
      <c r="A307" t="s">
        <v>31</v>
      </c>
      <c r="C307" t="s">
        <v>139</v>
      </c>
      <c r="D307" t="s">
        <v>138</v>
      </c>
      <c r="E307">
        <v>750</v>
      </c>
      <c r="F307" s="68"/>
      <c r="G307" s="68"/>
      <c r="H307" s="68"/>
      <c r="I307" s="68"/>
      <c r="J307" s="68"/>
      <c r="K307" s="68"/>
      <c r="L307" s="68"/>
      <c r="M307" s="68"/>
      <c r="N307" s="68"/>
      <c r="O307" s="68"/>
      <c r="P307" s="68"/>
      <c r="Q307" s="68"/>
      <c r="R307" s="68"/>
      <c r="S307" s="68"/>
      <c r="T307" s="68"/>
      <c r="U307" s="68"/>
      <c r="V307" s="68"/>
      <c r="W307" s="68"/>
      <c r="X307" s="68"/>
      <c r="Y307" s="68"/>
      <c r="Z307" s="68"/>
      <c r="AA307" s="68"/>
      <c r="AB307" s="68"/>
      <c r="AC307" s="68"/>
      <c r="AD307" s="68"/>
      <c r="AE307" s="68"/>
      <c r="AF307" s="68"/>
      <c r="AG307" s="68"/>
      <c r="AH307" s="68"/>
      <c r="AI307" s="68"/>
      <c r="AJ307" s="68"/>
      <c r="AK307" s="68"/>
      <c r="AL307"/>
      <c r="AM307"/>
      <c r="AN307"/>
    </row>
    <row r="308" spans="1:40" ht="14.5" x14ac:dyDescent="0.35">
      <c r="A308" t="s">
        <v>31</v>
      </c>
      <c r="C308" t="s">
        <v>140</v>
      </c>
      <c r="D308" t="s">
        <v>102</v>
      </c>
      <c r="E308">
        <v>15</v>
      </c>
      <c r="F308" s="68"/>
      <c r="G308" s="68"/>
      <c r="H308" s="68"/>
      <c r="I308" s="68"/>
      <c r="J308" s="68"/>
      <c r="K308" s="68"/>
      <c r="L308" s="68"/>
      <c r="M308" s="68"/>
      <c r="N308" s="68"/>
      <c r="O308" s="68"/>
      <c r="P308" s="68"/>
      <c r="Q308" s="68"/>
      <c r="R308" s="68"/>
      <c r="S308" s="68"/>
      <c r="T308" s="68"/>
      <c r="U308" s="68"/>
      <c r="V308" s="68"/>
      <c r="W308" s="68"/>
      <c r="X308" s="68"/>
      <c r="Y308" s="68"/>
      <c r="Z308" s="68"/>
      <c r="AA308" s="68"/>
      <c r="AB308" s="68"/>
      <c r="AC308" s="68"/>
      <c r="AD308" s="68"/>
      <c r="AE308" s="68"/>
      <c r="AF308" s="68"/>
      <c r="AG308" s="68"/>
      <c r="AH308" s="68"/>
      <c r="AI308" s="68"/>
      <c r="AJ308" s="68"/>
      <c r="AK308" s="68"/>
      <c r="AL308"/>
      <c r="AM308"/>
      <c r="AN308"/>
    </row>
    <row r="309" spans="1:40" ht="14.5" x14ac:dyDescent="0.35">
      <c r="A309" t="s">
        <v>31</v>
      </c>
      <c r="B309" t="s">
        <v>76</v>
      </c>
      <c r="C309" t="s">
        <v>31</v>
      </c>
      <c r="D309" t="s">
        <v>35</v>
      </c>
      <c r="F309" s="68"/>
      <c r="G309" s="68"/>
      <c r="H309" s="68"/>
      <c r="I309" s="68"/>
      <c r="J309" s="68"/>
      <c r="K309" s="68"/>
      <c r="L309" s="68"/>
      <c r="M309" s="68"/>
      <c r="N309" s="68"/>
      <c r="O309" s="68"/>
      <c r="P309" s="68"/>
      <c r="Q309" s="68"/>
      <c r="R309" s="68"/>
      <c r="S309" s="68"/>
      <c r="T309" s="68"/>
      <c r="U309" s="68"/>
      <c r="V309" s="68"/>
      <c r="W309" s="68"/>
      <c r="X309" s="68"/>
      <c r="Y309" s="68"/>
      <c r="Z309" s="68"/>
      <c r="AA309" s="68"/>
      <c r="AB309" s="68"/>
      <c r="AC309" s="68"/>
      <c r="AD309" s="68"/>
      <c r="AE309" s="68"/>
      <c r="AF309" s="68"/>
      <c r="AG309" s="68"/>
      <c r="AH309" s="68"/>
      <c r="AI309" s="68"/>
      <c r="AJ309" s="68"/>
      <c r="AK309" s="68"/>
      <c r="AL309" s="65"/>
      <c r="AM309" s="65"/>
      <c r="AN309"/>
    </row>
    <row r="310" spans="1:40" ht="14.5" x14ac:dyDescent="0.35">
      <c r="A310" t="s">
        <v>72</v>
      </c>
      <c r="C310" t="s">
        <v>163</v>
      </c>
      <c r="D310" t="s">
        <v>103</v>
      </c>
      <c r="E310">
        <v>7680</v>
      </c>
      <c r="F310" s="68"/>
      <c r="G310" s="68"/>
      <c r="H310" s="68"/>
      <c r="I310" s="68"/>
      <c r="J310" s="68"/>
      <c r="K310" s="68"/>
      <c r="L310" s="68"/>
      <c r="M310" s="68"/>
      <c r="N310" s="68"/>
      <c r="O310" s="68"/>
      <c r="P310" s="68"/>
      <c r="Q310" s="68"/>
      <c r="R310" s="68"/>
      <c r="S310" s="68"/>
      <c r="T310" s="68"/>
      <c r="U310" s="68"/>
      <c r="V310" s="68"/>
      <c r="W310" s="68"/>
      <c r="X310" s="68"/>
      <c r="Y310" s="68"/>
      <c r="Z310" s="68"/>
      <c r="AA310" s="68"/>
      <c r="AB310" s="68"/>
      <c r="AC310" s="68"/>
      <c r="AD310" s="68"/>
      <c r="AE310" s="68"/>
      <c r="AF310" s="68"/>
      <c r="AG310" s="68"/>
      <c r="AH310" s="68"/>
      <c r="AI310" s="68"/>
      <c r="AJ310" s="68"/>
      <c r="AK310" s="68"/>
      <c r="AL310" s="65"/>
      <c r="AM310" s="65"/>
      <c r="AN310"/>
    </row>
    <row r="311" spans="1:40" ht="14.5" x14ac:dyDescent="0.35">
      <c r="A311" t="s">
        <v>72</v>
      </c>
      <c r="C311" t="s">
        <v>164</v>
      </c>
      <c r="D311" t="s">
        <v>101</v>
      </c>
      <c r="E311">
        <v>640</v>
      </c>
      <c r="F311" s="68"/>
      <c r="G311" s="68"/>
      <c r="H311" s="68"/>
      <c r="I311" s="68"/>
      <c r="J311" s="68"/>
      <c r="K311" s="68"/>
      <c r="L311" s="68"/>
      <c r="M311" s="68"/>
      <c r="N311" s="68"/>
      <c r="O311" s="68"/>
      <c r="P311" s="68"/>
      <c r="Q311" s="68"/>
      <c r="R311" s="68"/>
      <c r="S311" s="68"/>
      <c r="T311" s="68"/>
      <c r="U311" s="68"/>
      <c r="V311" s="68"/>
      <c r="W311" s="68"/>
      <c r="X311" s="68"/>
      <c r="Y311" s="68"/>
      <c r="Z311" s="68"/>
      <c r="AA311" s="68"/>
      <c r="AB311" s="68"/>
      <c r="AC311" s="68"/>
      <c r="AD311" s="68"/>
      <c r="AE311" s="68"/>
      <c r="AF311" s="68"/>
      <c r="AG311" s="68"/>
      <c r="AH311" s="68"/>
      <c r="AI311" s="68"/>
      <c r="AJ311" s="68"/>
      <c r="AK311" s="68"/>
      <c r="AL311" s="65"/>
      <c r="AM311" s="65"/>
      <c r="AN311"/>
    </row>
    <row r="312" spans="1:40" ht="14.5" x14ac:dyDescent="0.35">
      <c r="A312" t="s">
        <v>72</v>
      </c>
      <c r="B312" t="s">
        <v>71</v>
      </c>
      <c r="C312" t="s">
        <v>72</v>
      </c>
      <c r="D312" t="s">
        <v>35</v>
      </c>
      <c r="F312" s="68"/>
      <c r="G312" s="68"/>
      <c r="H312" s="68"/>
      <c r="I312" s="68"/>
      <c r="J312" s="68"/>
      <c r="K312" s="68"/>
      <c r="L312" s="68"/>
      <c r="M312" s="68"/>
      <c r="N312" s="68"/>
      <c r="O312" s="68"/>
      <c r="P312" s="68"/>
      <c r="Q312" s="68"/>
      <c r="R312" s="68"/>
      <c r="S312" s="68"/>
      <c r="T312" s="68"/>
      <c r="U312" s="68"/>
      <c r="V312" s="68"/>
      <c r="W312" s="68"/>
      <c r="X312" s="68"/>
      <c r="Y312" s="68"/>
      <c r="Z312" s="68"/>
      <c r="AA312" s="68"/>
      <c r="AB312" s="68"/>
      <c r="AC312" s="68"/>
      <c r="AD312" s="68"/>
      <c r="AE312" s="68"/>
      <c r="AF312" s="68"/>
      <c r="AG312" s="68"/>
      <c r="AH312" s="68"/>
      <c r="AI312" s="68"/>
      <c r="AJ312" s="68"/>
      <c r="AK312" s="68"/>
      <c r="AL312" s="65"/>
      <c r="AM312" s="65"/>
      <c r="AN312"/>
    </row>
    <row r="313" spans="1:40" ht="14.5" x14ac:dyDescent="0.35">
      <c r="A313" t="s">
        <v>542</v>
      </c>
      <c r="C313" t="s">
        <v>547</v>
      </c>
      <c r="D313" t="s">
        <v>103</v>
      </c>
      <c r="E313">
        <v>8000</v>
      </c>
      <c r="F313" s="68"/>
      <c r="G313" s="68"/>
      <c r="H313" s="68"/>
      <c r="I313" s="68"/>
      <c r="J313" s="68"/>
      <c r="K313" s="68"/>
      <c r="L313" s="68"/>
      <c r="M313" s="68"/>
      <c r="N313" s="68"/>
      <c r="O313" s="68"/>
      <c r="P313" s="68"/>
      <c r="Q313" s="68"/>
      <c r="R313" s="68"/>
      <c r="S313" s="68"/>
      <c r="T313" s="68"/>
      <c r="U313" s="68"/>
      <c r="V313" s="68"/>
      <c r="W313" s="68"/>
      <c r="X313" s="68"/>
      <c r="Y313" s="68"/>
      <c r="Z313" s="68"/>
      <c r="AA313" s="68"/>
      <c r="AB313" s="68"/>
      <c r="AC313" s="68"/>
      <c r="AD313" s="68"/>
      <c r="AE313" s="68"/>
      <c r="AF313" s="68"/>
      <c r="AG313" s="68"/>
      <c r="AH313" s="68"/>
      <c r="AI313" s="68"/>
      <c r="AJ313" s="68"/>
      <c r="AK313" s="68"/>
      <c r="AL313" s="65"/>
      <c r="AM313" s="65"/>
      <c r="AN313"/>
    </row>
    <row r="314" spans="1:40" ht="14.5" x14ac:dyDescent="0.35">
      <c r="A314" t="s">
        <v>542</v>
      </c>
      <c r="C314" t="s">
        <v>1125</v>
      </c>
      <c r="D314" t="s">
        <v>101</v>
      </c>
      <c r="E314">
        <v>800</v>
      </c>
      <c r="F314" s="68"/>
      <c r="G314" s="68"/>
      <c r="H314" s="68"/>
      <c r="I314" s="68"/>
      <c r="J314" s="68"/>
      <c r="K314" s="68"/>
      <c r="L314" s="68"/>
      <c r="M314" s="68"/>
      <c r="N314" s="68"/>
      <c r="O314" s="68"/>
      <c r="P314" s="68"/>
      <c r="Q314" s="68"/>
      <c r="R314" s="68"/>
      <c r="S314" s="68"/>
      <c r="T314" s="68"/>
      <c r="U314" s="68"/>
      <c r="V314" s="68"/>
      <c r="W314" s="68"/>
      <c r="X314" s="68"/>
      <c r="Y314" s="68"/>
      <c r="Z314" s="68"/>
      <c r="AA314" s="68"/>
      <c r="AB314" s="68"/>
      <c r="AC314" s="68"/>
      <c r="AD314" s="68"/>
      <c r="AE314" s="68"/>
      <c r="AF314" s="68"/>
      <c r="AG314" s="68"/>
      <c r="AH314" s="68"/>
      <c r="AI314" s="68"/>
      <c r="AJ314" s="68"/>
      <c r="AK314" s="68"/>
      <c r="AL314" s="65"/>
      <c r="AM314" s="65"/>
      <c r="AN314"/>
    </row>
    <row r="315" spans="1:40" ht="14.5" x14ac:dyDescent="0.35">
      <c r="A315" t="s">
        <v>542</v>
      </c>
      <c r="C315" t="s">
        <v>559</v>
      </c>
      <c r="D315" t="s">
        <v>102</v>
      </c>
      <c r="E315">
        <v>10</v>
      </c>
      <c r="F315" s="68"/>
      <c r="G315" s="68"/>
      <c r="H315" s="68"/>
      <c r="I315" s="68"/>
      <c r="J315" s="68"/>
      <c r="K315" s="68"/>
      <c r="L315" s="68"/>
      <c r="M315" s="68"/>
      <c r="N315" s="68"/>
      <c r="O315" s="68"/>
      <c r="P315" s="68"/>
      <c r="Q315" s="68"/>
      <c r="R315" s="68"/>
      <c r="S315" s="68"/>
      <c r="T315" s="68"/>
      <c r="U315" s="68"/>
      <c r="V315" s="68"/>
      <c r="W315" s="68"/>
      <c r="X315" s="68"/>
      <c r="Y315" s="68"/>
      <c r="Z315" s="68"/>
      <c r="AA315" s="68"/>
      <c r="AB315" s="68"/>
      <c r="AC315" s="68"/>
      <c r="AD315" s="68"/>
      <c r="AE315" s="68"/>
      <c r="AF315" s="68"/>
      <c r="AG315" s="68"/>
      <c r="AH315" s="68"/>
      <c r="AI315" s="68"/>
      <c r="AJ315" s="68"/>
      <c r="AK315" s="65"/>
      <c r="AL315" s="65"/>
      <c r="AM315" s="65"/>
      <c r="AN315"/>
    </row>
    <row r="316" spans="1:40" ht="14.5" x14ac:dyDescent="0.35">
      <c r="A316" t="s">
        <v>542</v>
      </c>
      <c r="B316" t="s">
        <v>546</v>
      </c>
      <c r="C316" t="s">
        <v>542</v>
      </c>
      <c r="D316" t="s">
        <v>35</v>
      </c>
      <c r="F316" s="68"/>
      <c r="G316" s="68"/>
      <c r="H316" s="68"/>
      <c r="I316" s="68"/>
      <c r="J316" s="68"/>
      <c r="K316" s="68"/>
      <c r="L316" s="68"/>
      <c r="M316" s="68"/>
      <c r="N316" s="68"/>
      <c r="O316" s="68"/>
      <c r="P316" s="68"/>
      <c r="Q316" s="68"/>
      <c r="R316" s="68"/>
      <c r="S316" s="68"/>
      <c r="T316" s="68"/>
      <c r="U316" s="68"/>
      <c r="V316" s="68"/>
      <c r="W316" s="68"/>
      <c r="X316" s="68"/>
      <c r="Y316" s="68"/>
      <c r="Z316" s="68"/>
      <c r="AA316" s="68"/>
      <c r="AB316" s="68"/>
      <c r="AC316" s="68"/>
      <c r="AD316" s="68"/>
      <c r="AE316" s="68"/>
      <c r="AF316" s="68"/>
      <c r="AG316" s="68"/>
      <c r="AH316" s="68"/>
      <c r="AI316" s="68"/>
      <c r="AJ316" s="68"/>
      <c r="AK316" s="65"/>
      <c r="AL316" s="65"/>
      <c r="AM316" s="65"/>
      <c r="AN316"/>
    </row>
    <row r="317" spans="1:40" ht="14.5" x14ac:dyDescent="0.35">
      <c r="A317" t="s">
        <v>32</v>
      </c>
      <c r="C317" t="s">
        <v>577</v>
      </c>
      <c r="D317" t="s">
        <v>568</v>
      </c>
      <c r="E317">
        <v>1</v>
      </c>
      <c r="F317" s="68"/>
      <c r="G317" s="68"/>
      <c r="H317" s="68"/>
      <c r="I317" s="68"/>
      <c r="J317" s="68"/>
      <c r="K317" s="68"/>
      <c r="L317" s="68"/>
      <c r="M317" s="68"/>
      <c r="N317" s="68"/>
      <c r="O317" s="68"/>
      <c r="P317" s="68"/>
      <c r="Q317" s="68"/>
      <c r="R317" s="68"/>
      <c r="S317" s="68"/>
      <c r="T317" s="68"/>
      <c r="U317" s="68"/>
      <c r="V317" s="68"/>
      <c r="W317" s="68"/>
      <c r="X317" s="68"/>
      <c r="Y317" s="68"/>
      <c r="Z317" s="68"/>
      <c r="AA317" s="68"/>
      <c r="AB317" s="68"/>
      <c r="AC317" s="68"/>
      <c r="AD317" s="68"/>
      <c r="AE317" s="68"/>
      <c r="AF317" s="68"/>
      <c r="AG317" s="68"/>
      <c r="AH317" s="68"/>
      <c r="AI317" s="68"/>
      <c r="AJ317" s="68"/>
      <c r="AK317" s="65"/>
      <c r="AL317" s="65"/>
      <c r="AM317" s="65"/>
      <c r="AN317"/>
    </row>
    <row r="318" spans="1:40" ht="14.5" x14ac:dyDescent="0.35">
      <c r="A318" t="s">
        <v>32</v>
      </c>
      <c r="B318" t="s">
        <v>578</v>
      </c>
      <c r="C318" t="s">
        <v>32</v>
      </c>
      <c r="D318" t="s">
        <v>67</v>
      </c>
      <c r="F318" s="68"/>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c r="AD318" s="68"/>
      <c r="AE318" s="68"/>
      <c r="AF318" s="68"/>
      <c r="AG318" s="68"/>
      <c r="AH318" s="68"/>
      <c r="AI318" s="68"/>
      <c r="AJ318" s="68"/>
      <c r="AK318" s="65"/>
      <c r="AL318" s="65"/>
      <c r="AM318" s="65"/>
      <c r="AN318"/>
    </row>
    <row r="319" spans="1:40" ht="14.5" x14ac:dyDescent="0.35">
      <c r="A319" t="s">
        <v>33</v>
      </c>
      <c r="C319" t="s">
        <v>575</v>
      </c>
      <c r="D319" t="s">
        <v>568</v>
      </c>
      <c r="E319">
        <v>1</v>
      </c>
      <c r="F319" s="68"/>
      <c r="G319" s="68"/>
      <c r="H319" s="68"/>
      <c r="I319" s="68"/>
      <c r="J319" s="68"/>
      <c r="K319" s="68"/>
      <c r="L319" s="68"/>
      <c r="M319" s="68"/>
      <c r="N319" s="68"/>
      <c r="O319" s="68"/>
      <c r="P319" s="68"/>
      <c r="Q319" s="68"/>
      <c r="R319" s="68"/>
      <c r="S319" s="68"/>
      <c r="T319" s="68"/>
      <c r="U319" s="68"/>
      <c r="V319" s="68"/>
      <c r="W319" s="68"/>
      <c r="X319" s="68"/>
      <c r="Y319" s="68"/>
      <c r="Z319" s="68"/>
      <c r="AA319" s="68"/>
      <c r="AB319" s="68"/>
      <c r="AC319" s="68"/>
      <c r="AD319" s="68"/>
      <c r="AE319" s="68"/>
      <c r="AF319" s="68"/>
      <c r="AG319" s="68"/>
      <c r="AH319" s="68"/>
      <c r="AI319" s="68"/>
      <c r="AJ319" s="68"/>
      <c r="AK319" s="65"/>
      <c r="AL319" s="65"/>
      <c r="AM319" s="65"/>
      <c r="AN319"/>
    </row>
    <row r="320" spans="1:40" ht="14.5" x14ac:dyDescent="0.35">
      <c r="A320" t="s">
        <v>33</v>
      </c>
      <c r="B320" t="s">
        <v>576</v>
      </c>
      <c r="C320" t="s">
        <v>33</v>
      </c>
      <c r="D320" t="s">
        <v>67</v>
      </c>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68"/>
      <c r="AG320" s="68"/>
      <c r="AH320" s="68"/>
      <c r="AI320" s="68"/>
      <c r="AJ320" s="68"/>
      <c r="AK320" s="65"/>
      <c r="AL320" s="65"/>
      <c r="AM320" s="65"/>
      <c r="AN320"/>
    </row>
    <row r="321" spans="1:40" ht="14.5" x14ac:dyDescent="0.35">
      <c r="A321" t="s">
        <v>555</v>
      </c>
      <c r="C321" t="s">
        <v>1041</v>
      </c>
      <c r="D321" t="s">
        <v>102</v>
      </c>
      <c r="E321">
        <v>324</v>
      </c>
      <c r="F321" s="68"/>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c r="AD321" s="68"/>
      <c r="AE321" s="68"/>
      <c r="AF321" s="68"/>
      <c r="AG321" s="68"/>
      <c r="AH321" s="68"/>
      <c r="AI321" s="68"/>
      <c r="AJ321" s="68"/>
      <c r="AK321" s="65"/>
      <c r="AL321" s="65"/>
      <c r="AM321" s="65"/>
      <c r="AN321"/>
    </row>
    <row r="322" spans="1:40" ht="14.5" x14ac:dyDescent="0.35">
      <c r="A322" t="s">
        <v>555</v>
      </c>
      <c r="C322" t="s">
        <v>561</v>
      </c>
      <c r="D322" t="s">
        <v>102</v>
      </c>
      <c r="E322">
        <v>27</v>
      </c>
      <c r="F322" s="68"/>
      <c r="G322" s="68"/>
      <c r="H322" s="68"/>
      <c r="I322" s="68"/>
      <c r="J322" s="68"/>
      <c r="K322" s="68"/>
      <c r="L322" s="68"/>
      <c r="M322" s="68"/>
      <c r="N322" s="68"/>
      <c r="O322" s="68"/>
      <c r="P322" s="68"/>
      <c r="Q322" s="68"/>
      <c r="R322" s="68"/>
      <c r="S322" s="68"/>
      <c r="T322" s="68"/>
      <c r="U322" s="68"/>
      <c r="V322" s="68"/>
      <c r="W322" s="68"/>
      <c r="X322" s="68"/>
      <c r="Y322" s="68"/>
      <c r="Z322" s="68"/>
      <c r="AA322" s="68"/>
      <c r="AB322" s="68"/>
      <c r="AC322" s="68"/>
      <c r="AD322" s="68"/>
      <c r="AE322" s="68"/>
      <c r="AF322" s="68"/>
      <c r="AG322" s="68"/>
      <c r="AH322" s="68"/>
      <c r="AI322" s="68"/>
      <c r="AJ322" s="68"/>
      <c r="AK322" s="65"/>
      <c r="AL322" s="65"/>
      <c r="AM322" s="65"/>
      <c r="AN322"/>
    </row>
    <row r="323" spans="1:40" ht="14.5" x14ac:dyDescent="0.35">
      <c r="A323" t="s">
        <v>555</v>
      </c>
      <c r="C323" t="s">
        <v>562</v>
      </c>
      <c r="D323" t="s">
        <v>102</v>
      </c>
      <c r="E323">
        <v>1</v>
      </c>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c r="AF323" s="68"/>
      <c r="AG323" s="68"/>
      <c r="AH323" s="68"/>
      <c r="AI323" s="68"/>
      <c r="AJ323" s="68"/>
      <c r="AK323" s="65"/>
      <c r="AL323" s="65"/>
      <c r="AM323" s="65"/>
      <c r="AN323"/>
    </row>
    <row r="324" spans="1:40" ht="14.5" x14ac:dyDescent="0.35">
      <c r="A324" t="s">
        <v>555</v>
      </c>
      <c r="B324" t="s">
        <v>563</v>
      </c>
      <c r="C324" t="s">
        <v>555</v>
      </c>
      <c r="D324" t="s">
        <v>67</v>
      </c>
      <c r="F324" s="68"/>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c r="AD324" s="68"/>
      <c r="AE324" s="68"/>
      <c r="AF324" s="68"/>
      <c r="AG324" s="68"/>
      <c r="AH324" s="68"/>
      <c r="AI324" s="68"/>
      <c r="AJ324" s="68"/>
      <c r="AK324" s="65"/>
      <c r="AL324" s="65"/>
      <c r="AM324" s="65"/>
      <c r="AN324"/>
    </row>
    <row r="325" spans="1:40" ht="14.5" x14ac:dyDescent="0.35">
      <c r="A325" t="s">
        <v>34</v>
      </c>
      <c r="C325" t="s">
        <v>1042</v>
      </c>
      <c r="D325" t="s">
        <v>103</v>
      </c>
      <c r="E325">
        <v>10000</v>
      </c>
      <c r="F325" s="68"/>
      <c r="G325" s="68"/>
      <c r="H325" s="68"/>
      <c r="I325" s="68"/>
      <c r="J325" s="68"/>
      <c r="K325" s="68"/>
      <c r="L325" s="68"/>
      <c r="M325" s="68"/>
      <c r="N325" s="68"/>
      <c r="O325" s="68"/>
      <c r="P325" s="68"/>
      <c r="Q325" s="68"/>
      <c r="R325" s="68"/>
      <c r="S325" s="68"/>
      <c r="T325" s="68"/>
      <c r="U325" s="68"/>
      <c r="V325" s="68"/>
      <c r="W325" s="68"/>
      <c r="X325" s="68"/>
      <c r="Y325" s="68"/>
      <c r="Z325" s="68"/>
      <c r="AA325" s="68"/>
      <c r="AB325" s="68"/>
      <c r="AC325" s="68"/>
      <c r="AD325" s="68"/>
      <c r="AE325" s="68"/>
      <c r="AF325" s="68"/>
      <c r="AG325" s="68"/>
      <c r="AH325" s="68"/>
      <c r="AI325" s="68"/>
      <c r="AJ325" s="68"/>
      <c r="AK325" s="65"/>
      <c r="AL325" s="65"/>
      <c r="AM325" s="65"/>
      <c r="AN325"/>
    </row>
    <row r="326" spans="1:40" ht="14.5" x14ac:dyDescent="0.35">
      <c r="A326" t="s">
        <v>34</v>
      </c>
      <c r="C326" t="s">
        <v>1065</v>
      </c>
      <c r="D326" t="s">
        <v>101</v>
      </c>
      <c r="E326">
        <v>1000</v>
      </c>
      <c r="F326" s="68"/>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c r="AD326" s="68"/>
      <c r="AE326" s="68"/>
      <c r="AF326" s="68"/>
      <c r="AG326" s="68"/>
      <c r="AH326" s="68"/>
      <c r="AI326" s="68"/>
      <c r="AJ326" s="68"/>
      <c r="AK326" s="65"/>
      <c r="AL326" s="65"/>
      <c r="AM326" s="65"/>
      <c r="AN326"/>
    </row>
    <row r="327" spans="1:40" ht="14.5" x14ac:dyDescent="0.35">
      <c r="A327" t="s">
        <v>34</v>
      </c>
      <c r="C327" t="s">
        <v>639</v>
      </c>
      <c r="D327" t="s">
        <v>29</v>
      </c>
      <c r="E327">
        <v>0.93023255813953487</v>
      </c>
      <c r="F327" s="68"/>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c r="AD327" s="68"/>
      <c r="AE327" s="68"/>
      <c r="AF327" s="68"/>
      <c r="AG327" s="68"/>
      <c r="AH327" s="68"/>
      <c r="AI327" s="68"/>
      <c r="AJ327" s="68"/>
      <c r="AK327" s="65"/>
      <c r="AL327" s="65"/>
      <c r="AM327" s="65"/>
      <c r="AN327"/>
    </row>
    <row r="328" spans="1:40" ht="14.5" x14ac:dyDescent="0.35">
      <c r="A328" t="s">
        <v>34</v>
      </c>
      <c r="B328" t="s">
        <v>96</v>
      </c>
      <c r="C328" t="s">
        <v>34</v>
      </c>
      <c r="D328" t="s">
        <v>68</v>
      </c>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c r="AJ328" s="68"/>
      <c r="AK328" s="65"/>
      <c r="AL328" s="65"/>
      <c r="AM328" s="65"/>
      <c r="AN328"/>
    </row>
    <row r="329" spans="1:40" ht="14.5" x14ac:dyDescent="0.35">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68"/>
      <c r="AG329" s="68"/>
      <c r="AH329" s="68"/>
      <c r="AI329" s="68"/>
      <c r="AJ329" s="68"/>
      <c r="AK329" s="65"/>
      <c r="AL329" s="65"/>
      <c r="AM329" s="65"/>
      <c r="AN329"/>
    </row>
    <row r="330" spans="1:40" ht="14.5" x14ac:dyDescent="0.35">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68"/>
      <c r="AG330" s="68"/>
      <c r="AH330" s="68"/>
      <c r="AI330" s="68"/>
      <c r="AJ330" s="68"/>
      <c r="AK330" s="65"/>
      <c r="AL330" s="65"/>
      <c r="AM330" s="65"/>
      <c r="AN330"/>
    </row>
    <row r="331" spans="1:40" ht="14.5" x14ac:dyDescent="0.35">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c r="AD331" s="68"/>
      <c r="AE331" s="68"/>
      <c r="AF331" s="68"/>
      <c r="AG331" s="68"/>
      <c r="AH331" s="68"/>
      <c r="AI331" s="68"/>
      <c r="AJ331" s="68"/>
      <c r="AK331" s="65"/>
      <c r="AL331" s="65"/>
      <c r="AM331" s="65"/>
      <c r="AN331"/>
    </row>
    <row r="332" spans="1:40" ht="14.5" x14ac:dyDescent="0.35">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c r="AD332" s="68"/>
      <c r="AE332" s="68"/>
      <c r="AF332" s="68"/>
      <c r="AG332" s="68"/>
      <c r="AH332" s="68"/>
      <c r="AI332" s="68"/>
      <c r="AJ332" s="68"/>
      <c r="AK332" s="65"/>
      <c r="AL332" s="65"/>
      <c r="AM332" s="65"/>
      <c r="AN332"/>
    </row>
    <row r="333" spans="1:40" ht="14.5" x14ac:dyDescent="0.35">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c r="AF333" s="68"/>
      <c r="AG333" s="68"/>
      <c r="AH333" s="68"/>
      <c r="AI333" s="68"/>
      <c r="AJ333" s="68"/>
      <c r="AK333" s="65"/>
      <c r="AL333" s="65"/>
      <c r="AM333" s="65"/>
      <c r="AN333"/>
    </row>
    <row r="334" spans="1:40" ht="14.5" x14ac:dyDescent="0.35">
      <c r="G334" s="68"/>
      <c r="H334" s="68"/>
      <c r="I334" s="68"/>
      <c r="J334" s="68"/>
      <c r="K334" s="68"/>
      <c r="L334" s="68"/>
      <c r="M334" s="68"/>
      <c r="N334" s="68"/>
      <c r="O334" s="68"/>
      <c r="P334" s="68"/>
      <c r="Q334" s="68"/>
      <c r="R334" s="68"/>
      <c r="S334" s="68"/>
      <c r="T334" s="68"/>
      <c r="U334" s="68"/>
      <c r="V334" s="68"/>
      <c r="W334" s="68"/>
      <c r="X334" s="68"/>
      <c r="Y334" s="68"/>
      <c r="Z334" s="68"/>
      <c r="AA334" s="68"/>
      <c r="AB334" s="68"/>
      <c r="AC334" s="68"/>
      <c r="AD334" s="68"/>
      <c r="AE334" s="68"/>
      <c r="AF334" s="68"/>
      <c r="AG334" s="68"/>
      <c r="AH334" s="68"/>
      <c r="AI334" s="68"/>
      <c r="AJ334" s="68"/>
      <c r="AK334" s="65"/>
      <c r="AL334" s="65"/>
      <c r="AM334" s="65"/>
      <c r="AN334"/>
    </row>
    <row r="335" spans="1:40" ht="14.5" x14ac:dyDescent="0.35">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c r="AF335" s="68"/>
      <c r="AG335" s="68"/>
      <c r="AH335" s="68"/>
      <c r="AI335" s="68"/>
      <c r="AJ335" s="68"/>
      <c r="AK335" s="65"/>
      <c r="AL335" s="65"/>
      <c r="AM335" s="65"/>
      <c r="AN335" s="65"/>
    </row>
    <row r="336" spans="1:40" ht="14.5" x14ac:dyDescent="0.35">
      <c r="G336" s="68"/>
      <c r="H336" s="68"/>
      <c r="I336" s="68"/>
      <c r="J336" s="68"/>
      <c r="K336" s="68"/>
      <c r="L336" s="68"/>
      <c r="M336" s="68"/>
      <c r="N336" s="68"/>
      <c r="O336" s="68"/>
      <c r="P336" s="68"/>
      <c r="Q336" s="68"/>
      <c r="R336" s="68"/>
      <c r="S336" s="68"/>
      <c r="T336" s="68"/>
      <c r="U336" s="68"/>
      <c r="V336" s="68"/>
      <c r="W336" s="68"/>
      <c r="X336" s="68"/>
      <c r="Y336" s="68"/>
      <c r="Z336" s="68"/>
      <c r="AA336" s="68"/>
      <c r="AB336" s="68"/>
      <c r="AC336" s="68"/>
      <c r="AD336" s="68"/>
      <c r="AE336" s="68"/>
      <c r="AF336" s="68"/>
      <c r="AG336" s="68"/>
      <c r="AH336" s="68"/>
      <c r="AI336" s="68"/>
      <c r="AJ336" s="68"/>
      <c r="AK336" s="65"/>
      <c r="AL336" s="65"/>
      <c r="AM336" s="65"/>
      <c r="AN336" s="65"/>
    </row>
    <row r="337" spans="7:40" ht="14.5" x14ac:dyDescent="0.35">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68"/>
      <c r="AG337" s="68"/>
      <c r="AH337" s="68"/>
      <c r="AI337" s="68"/>
      <c r="AJ337" s="68"/>
      <c r="AK337" s="65"/>
      <c r="AL337" s="65"/>
      <c r="AM337" s="65"/>
      <c r="AN337" s="65"/>
    </row>
    <row r="338" spans="7:40" ht="14.5" x14ac:dyDescent="0.35">
      <c r="G338" s="68"/>
      <c r="H338" s="68"/>
      <c r="I338" s="68"/>
      <c r="J338" s="68"/>
      <c r="K338" s="68"/>
      <c r="L338" s="68"/>
      <c r="M338" s="68"/>
      <c r="N338" s="68"/>
      <c r="O338" s="68"/>
      <c r="P338" s="68"/>
      <c r="Q338" s="68"/>
      <c r="R338" s="68"/>
      <c r="S338" s="68"/>
      <c r="T338" s="68"/>
      <c r="U338" s="68"/>
      <c r="V338" s="68"/>
      <c r="W338" s="68"/>
      <c r="X338" s="68"/>
      <c r="Y338" s="68"/>
      <c r="Z338" s="68"/>
      <c r="AA338" s="68"/>
      <c r="AB338" s="68"/>
      <c r="AC338" s="68"/>
      <c r="AD338" s="68"/>
      <c r="AE338" s="68"/>
      <c r="AF338" s="68"/>
      <c r="AG338" s="68"/>
      <c r="AH338" s="68"/>
      <c r="AI338" s="68"/>
      <c r="AJ338" s="68"/>
      <c r="AK338" s="65"/>
      <c r="AL338" s="65"/>
      <c r="AM338" s="65"/>
      <c r="AN338" s="65"/>
    </row>
    <row r="339" spans="7:40" ht="14.5" x14ac:dyDescent="0.35">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c r="AF339" s="68"/>
      <c r="AG339" s="68"/>
      <c r="AH339" s="68"/>
      <c r="AI339" s="68"/>
      <c r="AJ339" s="68"/>
      <c r="AK339" s="65"/>
      <c r="AL339" s="65"/>
      <c r="AM339" s="65"/>
      <c r="AN339" s="65"/>
    </row>
    <row r="340" spans="7:40" ht="14.5" x14ac:dyDescent="0.35">
      <c r="G340" s="68"/>
      <c r="H340" s="68"/>
      <c r="I340" s="68"/>
      <c r="J340" s="68"/>
      <c r="K340" s="68"/>
      <c r="L340" s="68"/>
      <c r="M340" s="68"/>
      <c r="N340" s="68"/>
      <c r="O340" s="68"/>
      <c r="P340" s="68"/>
      <c r="Q340" s="68"/>
      <c r="R340" s="68"/>
      <c r="S340" s="68"/>
      <c r="T340" s="68"/>
      <c r="U340" s="68"/>
      <c r="V340" s="68"/>
      <c r="W340" s="68"/>
      <c r="X340" s="68"/>
      <c r="Y340" s="68"/>
      <c r="Z340" s="68"/>
      <c r="AA340" s="68"/>
      <c r="AB340" s="68"/>
      <c r="AC340" s="68"/>
      <c r="AD340" s="68"/>
      <c r="AE340" s="68"/>
      <c r="AF340" s="68"/>
      <c r="AG340" s="68"/>
      <c r="AH340" s="68"/>
      <c r="AI340" s="68"/>
      <c r="AJ340" s="68"/>
      <c r="AK340" s="65"/>
      <c r="AL340" s="65"/>
      <c r="AM340" s="65"/>
      <c r="AN340" s="65"/>
    </row>
    <row r="341" spans="7:40" ht="14.5" x14ac:dyDescent="0.35">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c r="AF341" s="68"/>
      <c r="AG341" s="68"/>
      <c r="AH341" s="68"/>
      <c r="AI341" s="68"/>
      <c r="AJ341" s="68"/>
      <c r="AK341" s="65"/>
      <c r="AL341" s="65"/>
      <c r="AM341" s="65"/>
      <c r="AN341" s="65"/>
    </row>
    <row r="342" spans="7:40" ht="14.5" x14ac:dyDescent="0.35">
      <c r="G342" s="68"/>
      <c r="H342" s="68"/>
      <c r="I342" s="68"/>
      <c r="J342" s="68"/>
      <c r="K342" s="68"/>
      <c r="L342" s="68"/>
      <c r="M342" s="68"/>
      <c r="N342" s="68"/>
      <c r="O342" s="68"/>
      <c r="P342" s="68"/>
      <c r="Q342" s="68"/>
      <c r="R342" s="68"/>
      <c r="S342" s="68"/>
      <c r="T342" s="68"/>
      <c r="U342" s="68"/>
      <c r="V342" s="68"/>
      <c r="W342" s="68"/>
      <c r="X342" s="68"/>
      <c r="Y342" s="68"/>
      <c r="Z342" s="68"/>
      <c r="AA342" s="68"/>
      <c r="AB342" s="68"/>
      <c r="AC342" s="68"/>
      <c r="AD342" s="68"/>
      <c r="AE342" s="68"/>
      <c r="AF342" s="68"/>
      <c r="AG342" s="68"/>
      <c r="AH342" s="68"/>
      <c r="AI342" s="68"/>
      <c r="AJ342" s="68"/>
      <c r="AK342" s="65"/>
      <c r="AL342" s="65"/>
      <c r="AM342" s="65"/>
      <c r="AN342" s="65"/>
    </row>
    <row r="343" spans="7:40" ht="14.5" x14ac:dyDescent="0.35">
      <c r="G343" s="68"/>
      <c r="H343" s="68"/>
      <c r="I343" s="68"/>
      <c r="J343" s="68"/>
      <c r="K343" s="68"/>
      <c r="L343" s="68"/>
      <c r="M343" s="68"/>
      <c r="N343" s="68"/>
      <c r="O343" s="68"/>
      <c r="P343" s="68"/>
      <c r="Q343" s="68"/>
      <c r="R343" s="68"/>
      <c r="S343" s="68"/>
      <c r="T343" s="68"/>
      <c r="U343" s="68"/>
      <c r="V343" s="68"/>
      <c r="W343" s="68"/>
      <c r="X343" s="68"/>
      <c r="Y343" s="68"/>
      <c r="Z343" s="68"/>
      <c r="AA343" s="68"/>
      <c r="AB343" s="68"/>
      <c r="AC343" s="68"/>
      <c r="AD343" s="68"/>
      <c r="AE343" s="68"/>
      <c r="AF343" s="68"/>
      <c r="AG343" s="68"/>
      <c r="AH343" s="68"/>
      <c r="AI343" s="68"/>
      <c r="AJ343" s="68"/>
      <c r="AK343" s="65"/>
      <c r="AL343" s="65"/>
      <c r="AM343" s="65"/>
      <c r="AN343" s="65"/>
    </row>
    <row r="344" spans="7:40" ht="14.5" x14ac:dyDescent="0.35">
      <c r="J344" s="65"/>
      <c r="K344" s="65"/>
      <c r="L344" s="65"/>
      <c r="M344" s="65"/>
      <c r="N344" s="65"/>
      <c r="O344" s="65"/>
      <c r="P344" s="65"/>
      <c r="Q344" s="65"/>
      <c r="R344" s="65"/>
      <c r="S344" s="65"/>
      <c r="T344" s="65"/>
      <c r="U344" s="65"/>
      <c r="V344" s="65"/>
      <c r="W344" s="65"/>
      <c r="X344" s="65"/>
      <c r="Y344" s="65"/>
      <c r="Z344" s="65"/>
      <c r="AA344" s="65"/>
      <c r="AB344" s="65"/>
      <c r="AC344" s="65"/>
      <c r="AD344" s="65"/>
      <c r="AE344" s="65"/>
      <c r="AF344" s="65"/>
      <c r="AG344" s="65"/>
      <c r="AH344" s="65"/>
      <c r="AI344" s="65"/>
      <c r="AJ344" s="65"/>
      <c r="AK344" s="65"/>
      <c r="AL344" s="65"/>
      <c r="AM344" s="65"/>
      <c r="AN344" s="65"/>
    </row>
    <row r="345" spans="7:40" ht="14.5" x14ac:dyDescent="0.35">
      <c r="J345" s="65"/>
      <c r="K345" s="65"/>
      <c r="L345" s="65"/>
      <c r="M345" s="65"/>
      <c r="N345" s="65"/>
      <c r="O345" s="65"/>
      <c r="P345" s="65"/>
      <c r="Q345" s="65"/>
      <c r="R345" s="65"/>
      <c r="S345" s="65"/>
      <c r="T345" s="65"/>
      <c r="U345" s="65"/>
      <c r="V345" s="65"/>
      <c r="W345" s="65"/>
      <c r="X345" s="65"/>
      <c r="Y345" s="65"/>
      <c r="Z345" s="65"/>
      <c r="AA345" s="65"/>
      <c r="AB345" s="65"/>
      <c r="AC345" s="65"/>
      <c r="AD345" s="65"/>
      <c r="AE345" s="65"/>
      <c r="AF345" s="65"/>
      <c r="AG345" s="65"/>
      <c r="AH345" s="65"/>
      <c r="AI345" s="65"/>
      <c r="AJ345" s="65"/>
      <c r="AK345" s="65"/>
      <c r="AL345" s="65"/>
      <c r="AM345" s="65"/>
      <c r="AN345" s="65"/>
    </row>
    <row r="346" spans="7:40" ht="14.5" x14ac:dyDescent="0.35">
      <c r="J346" s="65"/>
      <c r="K346" s="65"/>
      <c r="L346" s="65"/>
      <c r="M346" s="65"/>
      <c r="N346" s="65"/>
      <c r="O346" s="65"/>
      <c r="P346" s="65"/>
      <c r="Q346" s="65"/>
      <c r="R346" s="65"/>
      <c r="S346" s="65"/>
      <c r="T346" s="65"/>
      <c r="U346" s="65"/>
      <c r="V346" s="65"/>
      <c r="W346" s="65"/>
      <c r="X346" s="65"/>
      <c r="Y346" s="65"/>
      <c r="Z346" s="65"/>
      <c r="AA346" s="65"/>
      <c r="AB346" s="65"/>
      <c r="AC346" s="65"/>
      <c r="AD346" s="65"/>
      <c r="AE346" s="65"/>
      <c r="AF346" s="65"/>
      <c r="AG346" s="65"/>
      <c r="AH346" s="65"/>
      <c r="AI346" s="65"/>
      <c r="AJ346" s="65"/>
      <c r="AK346" s="65"/>
      <c r="AL346" s="65"/>
      <c r="AM346" s="65"/>
      <c r="AN346" s="65"/>
    </row>
    <row r="347" spans="7:40" ht="14.5" x14ac:dyDescent="0.35">
      <c r="J347" s="65"/>
      <c r="K347" s="65"/>
      <c r="L347" s="65"/>
      <c r="M347" s="65"/>
      <c r="N347" s="65"/>
      <c r="O347" s="65"/>
      <c r="P347" s="65"/>
      <c r="Q347" s="65"/>
      <c r="R347" s="65"/>
      <c r="S347" s="65"/>
      <c r="T347" s="65"/>
      <c r="U347" s="65"/>
      <c r="V347" s="65"/>
      <c r="W347" s="65"/>
      <c r="X347" s="65"/>
      <c r="Y347" s="65"/>
      <c r="Z347" s="65"/>
      <c r="AA347" s="65"/>
      <c r="AB347" s="65"/>
      <c r="AC347" s="65"/>
      <c r="AD347" s="65"/>
      <c r="AE347" s="65"/>
      <c r="AF347" s="65"/>
      <c r="AG347" s="65"/>
      <c r="AH347" s="65"/>
      <c r="AI347" s="65"/>
      <c r="AJ347" s="65"/>
      <c r="AK347" s="65"/>
      <c r="AL347" s="65"/>
      <c r="AM347" s="65"/>
      <c r="AN347" s="65"/>
    </row>
    <row r="348" spans="7:40" ht="14.5" x14ac:dyDescent="0.35">
      <c r="J348" s="65"/>
      <c r="K348" s="65"/>
      <c r="L348" s="65"/>
      <c r="M348" s="65"/>
      <c r="N348" s="65"/>
      <c r="O348" s="65"/>
      <c r="P348" s="65"/>
      <c r="Q348" s="65"/>
      <c r="R348" s="65"/>
      <c r="S348" s="65"/>
      <c r="T348" s="65"/>
      <c r="U348" s="65"/>
      <c r="V348" s="65"/>
      <c r="W348" s="65"/>
      <c r="X348" s="65"/>
      <c r="Y348" s="65"/>
      <c r="Z348" s="65"/>
      <c r="AA348" s="65"/>
      <c r="AB348" s="65"/>
      <c r="AC348" s="65"/>
      <c r="AD348" s="65"/>
      <c r="AE348" s="65"/>
      <c r="AF348" s="65"/>
      <c r="AG348" s="65"/>
      <c r="AH348" s="65"/>
      <c r="AI348" s="65"/>
      <c r="AJ348" s="65"/>
      <c r="AK348" s="65"/>
      <c r="AL348" s="65"/>
      <c r="AM348" s="65"/>
      <c r="AN348" s="65"/>
    </row>
    <row r="349" spans="7:40" ht="14.5" x14ac:dyDescent="0.35">
      <c r="J349" s="65"/>
      <c r="K349" s="65"/>
      <c r="L349" s="65"/>
      <c r="M349" s="65"/>
      <c r="N349" s="65"/>
      <c r="O349" s="65"/>
      <c r="P349" s="65"/>
      <c r="Q349" s="65"/>
      <c r="R349" s="65"/>
      <c r="S349" s="65"/>
      <c r="T349" s="65"/>
      <c r="U349" s="65"/>
      <c r="V349" s="65"/>
      <c r="W349" s="65"/>
      <c r="X349" s="65"/>
      <c r="Y349" s="65"/>
      <c r="Z349" s="65"/>
      <c r="AA349" s="65"/>
      <c r="AB349" s="65"/>
      <c r="AC349" s="65"/>
      <c r="AD349" s="65"/>
      <c r="AE349" s="65"/>
      <c r="AF349" s="65"/>
      <c r="AG349" s="65"/>
      <c r="AH349" s="65"/>
      <c r="AI349" s="65"/>
      <c r="AJ349" s="65"/>
      <c r="AK349" s="65"/>
      <c r="AL349" s="65"/>
      <c r="AM349" s="65"/>
      <c r="AN349" s="65"/>
    </row>
    <row r="350" spans="7:40" ht="14.5" x14ac:dyDescent="0.35">
      <c r="J350" s="65"/>
      <c r="K350" s="65"/>
      <c r="L350" s="65"/>
      <c r="M350" s="65"/>
      <c r="N350" s="65"/>
      <c r="O350" s="65"/>
      <c r="P350" s="65"/>
      <c r="Q350" s="65"/>
      <c r="R350" s="65"/>
      <c r="S350" s="65"/>
      <c r="T350" s="65"/>
      <c r="U350" s="65"/>
      <c r="V350" s="65"/>
      <c r="W350" s="65"/>
      <c r="X350" s="65"/>
      <c r="Y350" s="65"/>
      <c r="Z350" s="65"/>
      <c r="AA350" s="65"/>
      <c r="AB350" s="65"/>
      <c r="AC350" s="65"/>
      <c r="AD350" s="65"/>
      <c r="AE350" s="65"/>
      <c r="AF350" s="65"/>
      <c r="AG350" s="65"/>
      <c r="AH350" s="65"/>
      <c r="AI350" s="65"/>
      <c r="AJ350" s="65"/>
      <c r="AK350" s="65"/>
      <c r="AL350" s="65"/>
      <c r="AM350" s="65"/>
      <c r="AN350" s="65"/>
    </row>
    <row r="351" spans="7:40" ht="14.5" x14ac:dyDescent="0.35">
      <c r="J351" s="65"/>
      <c r="K351" s="65"/>
      <c r="L351" s="65"/>
      <c r="M351" s="65"/>
      <c r="N351" s="65"/>
      <c r="O351" s="65"/>
      <c r="P351" s="65"/>
      <c r="Q351" s="65"/>
      <c r="R351" s="65"/>
      <c r="S351" s="65"/>
      <c r="T351" s="65"/>
      <c r="U351" s="65"/>
      <c r="V351" s="65"/>
      <c r="W351" s="65"/>
      <c r="X351" s="65"/>
      <c r="Y351" s="65"/>
      <c r="Z351" s="65"/>
      <c r="AA351" s="65"/>
      <c r="AB351" s="65"/>
      <c r="AC351" s="65"/>
      <c r="AD351" s="65"/>
      <c r="AE351" s="65"/>
      <c r="AF351" s="65"/>
      <c r="AG351" s="65"/>
      <c r="AH351" s="65"/>
      <c r="AI351" s="65"/>
      <c r="AJ351" s="65"/>
      <c r="AK351" s="65"/>
      <c r="AL351" s="65"/>
      <c r="AM351" s="65"/>
      <c r="AN351" s="65"/>
    </row>
    <row r="352" spans="7:40" ht="14.5" x14ac:dyDescent="0.35">
      <c r="J352" s="65"/>
      <c r="K352" s="65"/>
      <c r="L352" s="65"/>
      <c r="M352" s="65"/>
      <c r="N352" s="65"/>
      <c r="O352" s="65"/>
      <c r="P352" s="65"/>
      <c r="Q352" s="65"/>
      <c r="R352" s="65"/>
      <c r="S352" s="65"/>
      <c r="T352" s="65"/>
      <c r="U352" s="65"/>
      <c r="V352" s="65"/>
      <c r="W352" s="65"/>
      <c r="X352" s="65"/>
      <c r="Y352" s="65"/>
      <c r="Z352" s="65"/>
      <c r="AA352" s="65"/>
      <c r="AB352" s="65"/>
      <c r="AC352" s="65"/>
      <c r="AD352" s="65"/>
      <c r="AE352" s="65"/>
      <c r="AF352" s="65"/>
      <c r="AG352" s="65"/>
      <c r="AH352" s="65"/>
      <c r="AI352" s="65"/>
      <c r="AJ352" s="65"/>
      <c r="AK352" s="65"/>
      <c r="AL352" s="65"/>
      <c r="AM352" s="65"/>
      <c r="AN352" s="65"/>
    </row>
    <row r="353" spans="10:40" ht="14.5" x14ac:dyDescent="0.35">
      <c r="J353" s="65"/>
      <c r="K353" s="65"/>
      <c r="L353" s="65"/>
      <c r="M353" s="65"/>
      <c r="N353" s="65"/>
      <c r="O353" s="65"/>
      <c r="P353" s="65"/>
      <c r="Q353" s="65"/>
      <c r="R353" s="65"/>
      <c r="S353" s="65"/>
      <c r="T353" s="65"/>
      <c r="U353" s="65"/>
      <c r="V353" s="65"/>
      <c r="W353" s="65"/>
      <c r="X353" s="65"/>
      <c r="Y353" s="65"/>
      <c r="Z353" s="65"/>
      <c r="AA353" s="65"/>
      <c r="AB353" s="65"/>
      <c r="AC353" s="65"/>
      <c r="AD353" s="65"/>
      <c r="AE353" s="65"/>
      <c r="AF353" s="65"/>
      <c r="AG353" s="65"/>
      <c r="AH353" s="65"/>
      <c r="AI353" s="65"/>
      <c r="AJ353" s="65"/>
      <c r="AK353" s="65"/>
      <c r="AL353" s="65"/>
      <c r="AM353" s="65"/>
      <c r="AN353" s="65"/>
    </row>
    <row r="354" spans="10:40" ht="14.5" x14ac:dyDescent="0.35">
      <c r="J354" s="65"/>
      <c r="K354" s="65"/>
      <c r="L354" s="65"/>
      <c r="M354" s="65"/>
      <c r="N354" s="65"/>
      <c r="O354" s="65"/>
      <c r="P354" s="65"/>
      <c r="Q354" s="65"/>
      <c r="R354" s="65"/>
      <c r="S354" s="65"/>
      <c r="T354" s="65"/>
      <c r="U354" s="65"/>
      <c r="V354" s="65"/>
      <c r="W354" s="65"/>
      <c r="X354" s="65"/>
      <c r="Y354" s="65"/>
      <c r="Z354" s="65"/>
      <c r="AA354" s="65"/>
      <c r="AB354" s="65"/>
      <c r="AC354" s="65"/>
      <c r="AD354" s="65"/>
      <c r="AE354" s="65"/>
      <c r="AF354" s="65"/>
      <c r="AG354" s="65"/>
      <c r="AH354" s="65"/>
      <c r="AI354" s="65"/>
      <c r="AJ354" s="65"/>
      <c r="AK354" s="65"/>
      <c r="AL354" s="65"/>
      <c r="AM354" s="65"/>
      <c r="AN354" s="65"/>
    </row>
    <row r="355" spans="10:40" ht="14.5" x14ac:dyDescent="0.35">
      <c r="J355" s="65"/>
      <c r="K355" s="65"/>
      <c r="L355" s="65"/>
      <c r="M355" s="65"/>
      <c r="N355" s="65"/>
      <c r="O355" s="65"/>
      <c r="P355" s="65"/>
      <c r="Q355" s="65"/>
      <c r="R355" s="65"/>
      <c r="S355" s="65"/>
      <c r="T355" s="65"/>
      <c r="U355" s="65"/>
      <c r="V355" s="65"/>
      <c r="W355" s="65"/>
      <c r="X355" s="65"/>
      <c r="Y355" s="65"/>
      <c r="Z355" s="65"/>
      <c r="AA355" s="65"/>
      <c r="AB355" s="65"/>
      <c r="AC355" s="65"/>
      <c r="AD355" s="65"/>
      <c r="AE355" s="65"/>
      <c r="AF355" s="65"/>
      <c r="AG355" s="65"/>
      <c r="AH355" s="65"/>
      <c r="AI355" s="65"/>
      <c r="AJ355" s="65"/>
      <c r="AK355" s="65"/>
      <c r="AL355" s="65"/>
      <c r="AM355" s="65"/>
      <c r="AN355" s="65"/>
    </row>
    <row r="356" spans="10:40" ht="14.5" x14ac:dyDescent="0.35">
      <c r="J356" s="65"/>
      <c r="K356" s="65"/>
      <c r="L356" s="65"/>
      <c r="M356" s="65"/>
      <c r="N356" s="65"/>
      <c r="O356" s="65"/>
      <c r="P356" s="65"/>
      <c r="Q356" s="65"/>
      <c r="R356" s="65"/>
      <c r="S356" s="65"/>
      <c r="T356" s="65"/>
      <c r="U356" s="65"/>
      <c r="V356" s="65"/>
      <c r="W356" s="65"/>
      <c r="X356" s="65"/>
      <c r="Y356" s="65"/>
      <c r="Z356" s="65"/>
      <c r="AA356" s="65"/>
      <c r="AB356" s="65"/>
      <c r="AC356" s="65"/>
      <c r="AD356" s="65"/>
      <c r="AE356" s="65"/>
      <c r="AF356" s="65"/>
      <c r="AG356" s="65"/>
      <c r="AH356" s="65"/>
      <c r="AI356" s="65"/>
      <c r="AJ356" s="65"/>
      <c r="AK356" s="65"/>
      <c r="AL356" s="65"/>
      <c r="AM356" s="65"/>
      <c r="AN356" s="65"/>
    </row>
    <row r="357" spans="10:40" ht="14.5" x14ac:dyDescent="0.35">
      <c r="J357" s="65"/>
      <c r="K357" s="65"/>
      <c r="L357" s="65"/>
      <c r="M357" s="65"/>
      <c r="N357" s="65"/>
      <c r="O357" s="65"/>
      <c r="P357" s="65"/>
      <c r="Q357" s="65"/>
      <c r="R357" s="65"/>
      <c r="S357" s="65"/>
      <c r="T357" s="65"/>
      <c r="U357" s="65"/>
      <c r="V357" s="65"/>
      <c r="W357" s="65"/>
      <c r="X357" s="65"/>
      <c r="Y357" s="65"/>
      <c r="Z357" s="65"/>
      <c r="AA357" s="65"/>
      <c r="AB357" s="65"/>
      <c r="AC357" s="65"/>
      <c r="AD357" s="65"/>
      <c r="AE357" s="65"/>
      <c r="AF357" s="65"/>
      <c r="AG357" s="65"/>
      <c r="AH357" s="65"/>
      <c r="AI357" s="65"/>
      <c r="AJ357" s="65"/>
      <c r="AK357" s="65"/>
      <c r="AL357" s="65"/>
      <c r="AM357" s="65"/>
      <c r="AN357" s="65"/>
    </row>
    <row r="358" spans="10:40" ht="14.5" x14ac:dyDescent="0.35">
      <c r="J358" s="65"/>
      <c r="K358" s="65"/>
      <c r="L358" s="65"/>
      <c r="M358" s="65"/>
      <c r="N358" s="65"/>
      <c r="O358" s="65"/>
      <c r="P358" s="65"/>
      <c r="Q358" s="65"/>
      <c r="R358" s="65"/>
      <c r="S358" s="65"/>
      <c r="T358" s="65"/>
      <c r="U358" s="65"/>
      <c r="V358" s="65"/>
      <c r="W358" s="65"/>
      <c r="X358" s="65"/>
      <c r="Y358" s="65"/>
      <c r="Z358" s="65"/>
      <c r="AA358" s="65"/>
      <c r="AB358" s="65"/>
      <c r="AC358" s="65"/>
      <c r="AD358" s="65"/>
      <c r="AE358" s="65"/>
      <c r="AF358" s="65"/>
      <c r="AG358" s="65"/>
      <c r="AH358" s="65"/>
      <c r="AI358" s="65"/>
      <c r="AJ358" s="65"/>
      <c r="AK358" s="65"/>
      <c r="AL358" s="65"/>
      <c r="AM358" s="65"/>
      <c r="AN358" s="65"/>
    </row>
    <row r="359" spans="10:40" ht="14.5" x14ac:dyDescent="0.35">
      <c r="J359" s="65"/>
      <c r="K359" s="65"/>
      <c r="L359" s="65"/>
      <c r="M359" s="65"/>
      <c r="N359" s="65"/>
      <c r="O359" s="65"/>
      <c r="P359" s="65"/>
      <c r="Q359" s="65"/>
      <c r="R359" s="65"/>
      <c r="S359" s="65"/>
      <c r="T359" s="65"/>
      <c r="U359" s="65"/>
      <c r="V359" s="65"/>
      <c r="W359" s="65"/>
      <c r="X359" s="65"/>
      <c r="Y359" s="65"/>
      <c r="Z359" s="65"/>
      <c r="AA359" s="65"/>
      <c r="AB359" s="65"/>
      <c r="AC359" s="65"/>
      <c r="AD359" s="65"/>
      <c r="AE359" s="65"/>
      <c r="AF359" s="65"/>
      <c r="AG359" s="65"/>
      <c r="AH359" s="65"/>
      <c r="AI359" s="65"/>
      <c r="AJ359" s="65"/>
      <c r="AK359" s="65"/>
      <c r="AL359" s="65"/>
      <c r="AM359" s="65"/>
      <c r="AN359" s="65"/>
    </row>
    <row r="360" spans="10:40" ht="14.5" x14ac:dyDescent="0.35">
      <c r="J360" s="65"/>
      <c r="K360" s="65"/>
      <c r="L360" s="65"/>
      <c r="M360" s="65"/>
      <c r="N360" s="65"/>
      <c r="O360" s="65"/>
      <c r="P360" s="65"/>
      <c r="Q360" s="65"/>
      <c r="R360" s="65"/>
      <c r="S360" s="65"/>
      <c r="T360" s="65"/>
      <c r="U360" s="65"/>
      <c r="V360" s="65"/>
      <c r="W360" s="65"/>
      <c r="X360" s="65"/>
      <c r="Y360" s="65"/>
      <c r="Z360" s="65"/>
      <c r="AA360" s="65"/>
      <c r="AB360" s="65"/>
      <c r="AC360" s="65"/>
      <c r="AD360" s="65"/>
      <c r="AE360" s="65"/>
      <c r="AF360" s="65"/>
      <c r="AG360" s="65"/>
      <c r="AH360" s="65"/>
      <c r="AI360" s="65"/>
      <c r="AJ360" s="65"/>
      <c r="AK360" s="65"/>
      <c r="AL360" s="65"/>
      <c r="AM360" s="65"/>
      <c r="AN360" s="65"/>
    </row>
    <row r="361" spans="10:40" ht="14.5" x14ac:dyDescent="0.35">
      <c r="J361" s="65"/>
      <c r="K361" s="65"/>
      <c r="L361" s="65"/>
      <c r="M361" s="65"/>
      <c r="N361" s="65"/>
      <c r="O361" s="65"/>
      <c r="P361" s="65"/>
      <c r="Q361" s="65"/>
      <c r="R361" s="65"/>
      <c r="S361" s="65"/>
      <c r="T361" s="65"/>
      <c r="U361" s="65"/>
      <c r="V361" s="65"/>
      <c r="W361" s="65"/>
      <c r="X361" s="65"/>
      <c r="Y361" s="65"/>
      <c r="Z361" s="65"/>
      <c r="AA361" s="65"/>
      <c r="AB361" s="65"/>
      <c r="AC361" s="65"/>
      <c r="AD361" s="65"/>
      <c r="AE361" s="65"/>
      <c r="AF361" s="65"/>
      <c r="AG361" s="65"/>
      <c r="AH361" s="65"/>
      <c r="AI361" s="65"/>
      <c r="AJ361" s="65"/>
      <c r="AK361" s="65"/>
      <c r="AL361" s="65"/>
      <c r="AM361" s="65"/>
      <c r="AN361" s="65"/>
    </row>
    <row r="362" spans="10:40" ht="14.5" x14ac:dyDescent="0.35">
      <c r="J362" s="65"/>
      <c r="K362" s="65"/>
      <c r="L362" s="65"/>
      <c r="M362" s="65"/>
      <c r="N362" s="65"/>
      <c r="O362" s="65"/>
      <c r="P362" s="65"/>
      <c r="Q362" s="65"/>
      <c r="R362" s="65"/>
      <c r="S362" s="65"/>
      <c r="T362" s="65"/>
      <c r="U362" s="65"/>
      <c r="V362" s="65"/>
      <c r="W362" s="65"/>
      <c r="X362" s="65"/>
      <c r="Y362" s="65"/>
      <c r="Z362" s="65"/>
      <c r="AA362" s="65"/>
      <c r="AB362" s="65"/>
      <c r="AC362" s="65"/>
      <c r="AD362" s="65"/>
      <c r="AE362" s="65"/>
      <c r="AF362" s="65"/>
      <c r="AG362" s="65"/>
      <c r="AH362" s="65"/>
      <c r="AI362" s="65"/>
      <c r="AJ362" s="65"/>
      <c r="AK362" s="65"/>
      <c r="AL362" s="65"/>
      <c r="AM362" s="65"/>
      <c r="AN362" s="65"/>
    </row>
    <row r="363" spans="10:40" ht="14.5" x14ac:dyDescent="0.35">
      <c r="J363" s="65"/>
      <c r="K363" s="65"/>
      <c r="L363" s="65"/>
      <c r="M363" s="65"/>
      <c r="N363" s="65"/>
      <c r="O363" s="65"/>
      <c r="P363" s="65"/>
      <c r="Q363" s="65"/>
      <c r="R363" s="65"/>
      <c r="S363" s="65"/>
      <c r="T363" s="65"/>
      <c r="U363" s="65"/>
      <c r="V363" s="65"/>
      <c r="W363" s="65"/>
      <c r="X363" s="65"/>
      <c r="Y363" s="65"/>
      <c r="Z363" s="65"/>
      <c r="AA363" s="65"/>
      <c r="AB363" s="65"/>
      <c r="AC363" s="65"/>
      <c r="AD363" s="65"/>
      <c r="AE363" s="65"/>
      <c r="AF363" s="65"/>
      <c r="AG363" s="65"/>
      <c r="AH363" s="65"/>
      <c r="AI363" s="65"/>
      <c r="AJ363" s="65"/>
      <c r="AK363" s="65"/>
      <c r="AL363" s="65"/>
      <c r="AM363" s="65"/>
      <c r="AN363" s="65"/>
    </row>
    <row r="364" spans="10:40" ht="14.5" x14ac:dyDescent="0.35">
      <c r="J364" s="65"/>
      <c r="K364" s="65"/>
      <c r="L364" s="65"/>
      <c r="M364" s="65"/>
      <c r="N364" s="65"/>
      <c r="O364" s="65"/>
      <c r="P364" s="65"/>
      <c r="Q364" s="65"/>
      <c r="R364" s="65"/>
      <c r="S364" s="65"/>
      <c r="T364" s="65"/>
      <c r="U364" s="65"/>
      <c r="V364" s="65"/>
      <c r="W364" s="65"/>
      <c r="X364" s="65"/>
      <c r="Y364" s="65"/>
      <c r="Z364" s="65"/>
      <c r="AA364" s="65"/>
      <c r="AB364" s="65"/>
      <c r="AC364" s="65"/>
      <c r="AD364" s="65"/>
      <c r="AE364" s="65"/>
      <c r="AF364" s="65"/>
      <c r="AG364" s="65"/>
      <c r="AH364" s="65"/>
      <c r="AI364" s="65"/>
      <c r="AJ364" s="65"/>
      <c r="AK364" s="65"/>
      <c r="AL364" s="65"/>
      <c r="AM364" s="65"/>
      <c r="AN364" s="65"/>
    </row>
    <row r="365" spans="10:40" ht="14.5" x14ac:dyDescent="0.35">
      <c r="J365" s="65"/>
      <c r="K365" s="65"/>
      <c r="L365" s="65"/>
      <c r="M365" s="65"/>
      <c r="N365" s="65"/>
      <c r="O365" s="65"/>
      <c r="P365" s="65"/>
      <c r="Q365" s="65"/>
      <c r="R365" s="65"/>
      <c r="S365" s="65"/>
      <c r="T365" s="65"/>
      <c r="U365" s="65"/>
      <c r="V365" s="65"/>
      <c r="W365" s="65"/>
      <c r="X365" s="65"/>
      <c r="Y365" s="65"/>
      <c r="Z365" s="65"/>
      <c r="AA365" s="65"/>
      <c r="AB365" s="65"/>
      <c r="AC365" s="65"/>
      <c r="AD365" s="65"/>
      <c r="AE365" s="65"/>
      <c r="AF365" s="65"/>
      <c r="AG365" s="65"/>
      <c r="AH365" s="65"/>
      <c r="AI365" s="65"/>
      <c r="AJ365" s="65"/>
      <c r="AK365" s="65"/>
      <c r="AL365" s="65"/>
      <c r="AM365" s="65"/>
      <c r="AN365" s="65"/>
    </row>
    <row r="366" spans="10:40" ht="14.5" x14ac:dyDescent="0.35">
      <c r="J366" s="65"/>
      <c r="K366" s="65"/>
      <c r="L366" s="65"/>
      <c r="M366" s="65"/>
      <c r="N366" s="65"/>
      <c r="O366" s="65"/>
      <c r="P366" s="65"/>
      <c r="Q366" s="65"/>
      <c r="R366" s="65"/>
      <c r="S366" s="65"/>
      <c r="T366" s="65"/>
      <c r="U366" s="65"/>
      <c r="V366" s="65"/>
      <c r="W366" s="65"/>
      <c r="X366" s="65"/>
      <c r="Y366" s="65"/>
      <c r="Z366" s="65"/>
      <c r="AA366" s="65"/>
      <c r="AB366" s="65"/>
      <c r="AC366" s="65"/>
      <c r="AD366" s="65"/>
      <c r="AE366" s="65"/>
      <c r="AF366" s="65"/>
      <c r="AG366" s="65"/>
      <c r="AH366" s="65"/>
      <c r="AI366" s="65"/>
      <c r="AJ366" s="65"/>
      <c r="AK366" s="65"/>
      <c r="AL366" s="65"/>
      <c r="AM366" s="65"/>
      <c r="AN366" s="65"/>
    </row>
    <row r="367" spans="10:40" ht="14.5" x14ac:dyDescent="0.35">
      <c r="J367" s="65"/>
      <c r="K367" s="65"/>
      <c r="L367" s="65"/>
      <c r="M367" s="65"/>
      <c r="N367" s="65"/>
      <c r="O367" s="65"/>
      <c r="P367" s="65"/>
      <c r="Q367" s="65"/>
      <c r="R367" s="65"/>
      <c r="S367" s="65"/>
      <c r="T367" s="65"/>
      <c r="U367" s="65"/>
      <c r="V367" s="65"/>
      <c r="W367" s="65"/>
      <c r="X367" s="65"/>
      <c r="Y367" s="65"/>
      <c r="Z367" s="65"/>
      <c r="AA367" s="65"/>
      <c r="AB367" s="65"/>
      <c r="AC367" s="65"/>
      <c r="AD367" s="65"/>
      <c r="AE367" s="65"/>
      <c r="AF367" s="65"/>
      <c r="AG367" s="65"/>
      <c r="AH367" s="65"/>
      <c r="AI367" s="65"/>
      <c r="AJ367" s="65"/>
      <c r="AK367" s="65"/>
      <c r="AL367" s="65"/>
      <c r="AM367" s="65"/>
      <c r="AN367" s="65"/>
    </row>
    <row r="368" spans="10:40" ht="14.5" x14ac:dyDescent="0.35">
      <c r="J368" s="65"/>
      <c r="K368" s="65"/>
      <c r="L368" s="65"/>
      <c r="M368" s="65"/>
      <c r="N368" s="65"/>
      <c r="O368" s="65"/>
      <c r="P368" s="65"/>
      <c r="Q368" s="65"/>
      <c r="R368" s="65"/>
      <c r="S368" s="65"/>
      <c r="T368" s="65"/>
      <c r="U368" s="65"/>
      <c r="V368" s="65"/>
      <c r="W368" s="65"/>
      <c r="X368" s="65"/>
      <c r="Y368" s="65"/>
      <c r="Z368" s="65"/>
      <c r="AA368" s="65"/>
      <c r="AB368" s="65"/>
      <c r="AC368" s="65"/>
      <c r="AD368" s="65"/>
      <c r="AE368" s="65"/>
      <c r="AF368" s="65"/>
      <c r="AG368" s="65"/>
      <c r="AH368" s="65"/>
      <c r="AI368" s="65"/>
      <c r="AJ368" s="65"/>
      <c r="AK368" s="65"/>
      <c r="AL368" s="65"/>
      <c r="AM368" s="65"/>
      <c r="AN368" s="65"/>
    </row>
    <row r="369" spans="10:40" ht="14.5" x14ac:dyDescent="0.35">
      <c r="J369" s="65"/>
      <c r="K369" s="65"/>
      <c r="L369" s="65"/>
      <c r="M369" s="65"/>
      <c r="N369" s="65"/>
      <c r="O369" s="65"/>
      <c r="P369" s="65"/>
      <c r="Q369" s="65"/>
      <c r="R369" s="65"/>
      <c r="S369" s="65"/>
      <c r="T369" s="65"/>
      <c r="U369" s="65"/>
      <c r="V369" s="65"/>
      <c r="W369" s="65"/>
      <c r="X369" s="65"/>
      <c r="Y369" s="65"/>
      <c r="Z369" s="65"/>
      <c r="AA369" s="65"/>
      <c r="AB369" s="65"/>
      <c r="AC369" s="65"/>
      <c r="AD369" s="65"/>
      <c r="AE369" s="65"/>
      <c r="AF369" s="65"/>
      <c r="AG369" s="65"/>
      <c r="AH369" s="65"/>
      <c r="AI369" s="65"/>
      <c r="AJ369" s="65"/>
      <c r="AK369" s="65"/>
      <c r="AL369" s="65"/>
      <c r="AM369" s="65"/>
      <c r="AN369" s="65"/>
    </row>
    <row r="370" spans="10:40" ht="14.5" x14ac:dyDescent="0.35">
      <c r="J370" s="65"/>
      <c r="K370" s="65"/>
      <c r="L370" s="65"/>
      <c r="M370" s="65"/>
      <c r="N370" s="65"/>
      <c r="O370" s="65"/>
      <c r="P370" s="65"/>
      <c r="Q370" s="65"/>
      <c r="R370" s="65"/>
      <c r="S370" s="65"/>
      <c r="T370" s="65"/>
      <c r="U370" s="65"/>
      <c r="V370" s="65"/>
      <c r="W370" s="65"/>
      <c r="X370" s="65"/>
      <c r="Y370" s="65"/>
      <c r="Z370" s="65"/>
      <c r="AA370" s="65"/>
      <c r="AB370" s="65"/>
      <c r="AC370" s="65"/>
      <c r="AD370" s="65"/>
      <c r="AE370" s="65"/>
      <c r="AF370" s="65"/>
      <c r="AG370" s="65"/>
      <c r="AH370" s="65"/>
      <c r="AI370" s="65"/>
      <c r="AJ370" s="65"/>
      <c r="AK370" s="65"/>
      <c r="AL370" s="65"/>
      <c r="AM370" s="65"/>
      <c r="AN370" s="65"/>
    </row>
    <row r="371" spans="10:40" ht="14.5" x14ac:dyDescent="0.35">
      <c r="J371" s="65"/>
      <c r="K371" s="65"/>
      <c r="L371" s="65"/>
      <c r="M371" s="65"/>
      <c r="N371" s="65"/>
      <c r="O371" s="65"/>
      <c r="P371" s="65"/>
      <c r="Q371" s="65"/>
      <c r="R371" s="65"/>
      <c r="S371" s="65"/>
      <c r="T371" s="65"/>
      <c r="U371" s="65"/>
      <c r="V371" s="65"/>
      <c r="W371" s="65"/>
      <c r="X371" s="65"/>
      <c r="Y371" s="65"/>
      <c r="Z371" s="65"/>
      <c r="AA371" s="65"/>
      <c r="AB371" s="65"/>
      <c r="AC371" s="65"/>
      <c r="AD371" s="65"/>
      <c r="AE371" s="65"/>
      <c r="AF371" s="65"/>
      <c r="AG371" s="65"/>
      <c r="AH371" s="65"/>
      <c r="AI371" s="65"/>
      <c r="AJ371" s="65"/>
      <c r="AK371" s="65"/>
      <c r="AL371" s="65"/>
      <c r="AM371" s="65"/>
      <c r="AN371" s="65"/>
    </row>
    <row r="372" spans="10:40" ht="14.5" x14ac:dyDescent="0.35">
      <c r="J372" s="65"/>
      <c r="K372" s="65"/>
      <c r="L372" s="65"/>
      <c r="M372" s="65"/>
      <c r="N372" s="65"/>
      <c r="O372" s="65"/>
      <c r="P372" s="65"/>
      <c r="Q372" s="65"/>
      <c r="R372" s="65"/>
      <c r="S372" s="65"/>
      <c r="T372" s="65"/>
      <c r="U372" s="65"/>
      <c r="V372" s="65"/>
      <c r="W372" s="65"/>
      <c r="X372" s="65"/>
      <c r="Y372" s="65"/>
      <c r="Z372" s="65"/>
      <c r="AA372" s="65"/>
      <c r="AB372" s="65"/>
      <c r="AC372" s="65"/>
      <c r="AD372" s="65"/>
      <c r="AE372" s="65"/>
      <c r="AF372" s="65"/>
      <c r="AG372" s="65"/>
      <c r="AH372" s="65"/>
      <c r="AI372" s="65"/>
      <c r="AJ372" s="65"/>
      <c r="AK372" s="65"/>
      <c r="AL372" s="65"/>
      <c r="AM372" s="65"/>
      <c r="AN372" s="65"/>
    </row>
    <row r="373" spans="10:40" ht="14.5" x14ac:dyDescent="0.35">
      <c r="J373" s="65"/>
      <c r="K373" s="65"/>
      <c r="L373" s="65"/>
      <c r="M373" s="65"/>
      <c r="N373" s="65"/>
      <c r="O373" s="65"/>
      <c r="P373" s="65"/>
      <c r="Q373" s="65"/>
      <c r="R373" s="65"/>
      <c r="S373" s="65"/>
      <c r="T373" s="65"/>
      <c r="U373" s="65"/>
      <c r="V373" s="65"/>
      <c r="W373" s="65"/>
      <c r="X373" s="65"/>
      <c r="Y373" s="65"/>
      <c r="Z373" s="65"/>
      <c r="AA373" s="65"/>
      <c r="AB373" s="65"/>
      <c r="AC373" s="65"/>
      <c r="AD373" s="65"/>
      <c r="AE373" s="65"/>
      <c r="AF373" s="65"/>
      <c r="AG373" s="65"/>
      <c r="AH373" s="65"/>
      <c r="AI373" s="65"/>
      <c r="AJ373" s="65"/>
      <c r="AK373" s="65"/>
      <c r="AL373" s="65"/>
      <c r="AM373" s="65"/>
      <c r="AN373" s="65"/>
    </row>
    <row r="374" spans="10:40" ht="14.5" x14ac:dyDescent="0.35">
      <c r="J374" s="65"/>
      <c r="K374" s="65"/>
      <c r="L374" s="65"/>
      <c r="M374" s="65"/>
      <c r="N374" s="65"/>
      <c r="O374" s="65"/>
      <c r="P374" s="65"/>
      <c r="Q374" s="65"/>
      <c r="R374" s="65"/>
      <c r="S374" s="65"/>
      <c r="T374" s="65"/>
      <c r="U374" s="65"/>
      <c r="V374" s="65"/>
      <c r="W374" s="65"/>
      <c r="X374" s="65"/>
      <c r="Y374" s="65"/>
      <c r="Z374" s="65"/>
      <c r="AA374" s="65"/>
      <c r="AB374" s="65"/>
      <c r="AC374" s="65"/>
      <c r="AD374" s="65"/>
      <c r="AE374" s="65"/>
      <c r="AF374" s="65"/>
      <c r="AG374" s="65"/>
      <c r="AH374" s="65"/>
      <c r="AI374" s="65"/>
      <c r="AJ374" s="65"/>
      <c r="AK374" s="65"/>
      <c r="AL374" s="65"/>
      <c r="AM374" s="65"/>
      <c r="AN374" s="65"/>
    </row>
    <row r="375" spans="10:40" ht="14.5" x14ac:dyDescent="0.35">
      <c r="J375" s="65"/>
      <c r="K375" s="65"/>
      <c r="L375" s="65"/>
      <c r="M375" s="65"/>
      <c r="N375" s="65"/>
      <c r="O375" s="65"/>
      <c r="P375" s="65"/>
      <c r="Q375" s="65"/>
      <c r="R375" s="65"/>
      <c r="S375" s="65"/>
      <c r="T375" s="65"/>
      <c r="U375" s="65"/>
      <c r="V375" s="65"/>
      <c r="W375" s="65"/>
      <c r="X375" s="65"/>
      <c r="Y375" s="65"/>
      <c r="Z375" s="65"/>
      <c r="AA375" s="65"/>
      <c r="AB375" s="65"/>
      <c r="AC375" s="65"/>
      <c r="AD375" s="65"/>
      <c r="AE375" s="65"/>
      <c r="AF375" s="65"/>
      <c r="AG375" s="65"/>
      <c r="AH375" s="65"/>
      <c r="AI375" s="65"/>
      <c r="AJ375" s="65"/>
      <c r="AK375" s="65"/>
      <c r="AL375" s="65"/>
      <c r="AM375" s="65"/>
      <c r="AN375" s="65"/>
    </row>
    <row r="376" spans="10:40" ht="14.5" x14ac:dyDescent="0.35">
      <c r="J376" s="65"/>
      <c r="K376" s="65"/>
      <c r="L376" s="65"/>
      <c r="M376" s="65"/>
      <c r="N376" s="65"/>
      <c r="O376" s="65"/>
      <c r="P376" s="65"/>
      <c r="Q376" s="65"/>
      <c r="R376" s="65"/>
      <c r="S376" s="65"/>
      <c r="T376" s="65"/>
      <c r="U376" s="65"/>
      <c r="V376" s="65"/>
      <c r="W376" s="65"/>
      <c r="X376" s="65"/>
      <c r="Y376" s="65"/>
      <c r="Z376" s="65"/>
      <c r="AA376" s="65"/>
      <c r="AB376" s="65"/>
      <c r="AC376" s="65"/>
      <c r="AD376" s="65"/>
      <c r="AE376" s="65"/>
      <c r="AF376" s="65"/>
      <c r="AG376" s="65"/>
      <c r="AH376" s="65"/>
      <c r="AI376" s="65"/>
      <c r="AJ376" s="65"/>
      <c r="AK376" s="65"/>
      <c r="AL376" s="65"/>
      <c r="AM376" s="65"/>
      <c r="AN376" s="65"/>
    </row>
    <row r="377" spans="10:40" ht="14.5" x14ac:dyDescent="0.35">
      <c r="J377" s="65"/>
      <c r="K377" s="65"/>
      <c r="L377" s="65"/>
      <c r="M377" s="65"/>
      <c r="N377" s="65"/>
      <c r="O377" s="65"/>
      <c r="P377" s="65"/>
      <c r="Q377" s="65"/>
      <c r="R377" s="65"/>
      <c r="S377" s="65"/>
      <c r="T377" s="65"/>
      <c r="U377" s="65"/>
      <c r="V377" s="65"/>
      <c r="W377" s="65"/>
      <c r="X377" s="65"/>
      <c r="Y377" s="65"/>
      <c r="Z377" s="65"/>
      <c r="AA377" s="65"/>
      <c r="AB377" s="65"/>
      <c r="AC377" s="65"/>
      <c r="AD377" s="65"/>
      <c r="AE377" s="65"/>
      <c r="AF377" s="65"/>
      <c r="AG377" s="65"/>
      <c r="AH377" s="65"/>
      <c r="AI377" s="65"/>
      <c r="AJ377" s="65"/>
      <c r="AK377" s="65"/>
      <c r="AL377" s="65"/>
      <c r="AM377" s="65"/>
      <c r="AN377" s="65"/>
    </row>
    <row r="378" spans="10:40" ht="14.5" x14ac:dyDescent="0.35">
      <c r="J378" s="65"/>
      <c r="K378" s="65"/>
      <c r="L378" s="65"/>
      <c r="M378" s="65"/>
      <c r="N378" s="65"/>
      <c r="O378" s="65"/>
      <c r="P378" s="65"/>
      <c r="Q378" s="65"/>
      <c r="R378" s="65"/>
      <c r="S378" s="65"/>
      <c r="T378" s="65"/>
      <c r="U378" s="65"/>
      <c r="V378" s="65"/>
      <c r="W378" s="65"/>
      <c r="X378" s="65"/>
      <c r="Y378" s="65"/>
      <c r="Z378" s="65"/>
      <c r="AA378" s="65"/>
      <c r="AB378" s="65"/>
      <c r="AC378" s="65"/>
      <c r="AD378" s="65"/>
      <c r="AE378" s="65"/>
      <c r="AF378" s="65"/>
      <c r="AG378" s="65"/>
      <c r="AH378" s="65"/>
      <c r="AI378" s="65"/>
      <c r="AJ378" s="65"/>
      <c r="AK378" s="65"/>
      <c r="AL378" s="65"/>
      <c r="AM378" s="65"/>
      <c r="AN378" s="65"/>
    </row>
    <row r="379" spans="10:40" ht="14.5" x14ac:dyDescent="0.35">
      <c r="J379" s="65"/>
      <c r="K379" s="65"/>
      <c r="L379" s="65"/>
      <c r="M379" s="65"/>
      <c r="N379" s="65"/>
      <c r="O379" s="65"/>
      <c r="P379" s="65"/>
      <c r="Q379" s="65"/>
      <c r="R379" s="65"/>
      <c r="S379" s="65"/>
      <c r="T379" s="65"/>
      <c r="U379" s="65"/>
      <c r="V379" s="65"/>
      <c r="W379" s="65"/>
      <c r="X379" s="65"/>
      <c r="Y379" s="65"/>
      <c r="Z379" s="65"/>
      <c r="AA379" s="65"/>
      <c r="AB379" s="65"/>
      <c r="AC379" s="65"/>
      <c r="AD379" s="65"/>
      <c r="AE379" s="65"/>
      <c r="AF379" s="65"/>
      <c r="AG379" s="65"/>
      <c r="AH379" s="65"/>
      <c r="AI379" s="65"/>
      <c r="AJ379" s="65"/>
      <c r="AK379" s="65"/>
      <c r="AL379" s="65"/>
      <c r="AM379" s="65"/>
      <c r="AN379" s="65"/>
    </row>
    <row r="380" spans="10:40" ht="14.5" x14ac:dyDescent="0.35">
      <c r="J380" s="65"/>
      <c r="K380" s="65"/>
      <c r="L380" s="65"/>
      <c r="M380" s="65"/>
      <c r="N380" s="65"/>
      <c r="O380" s="65"/>
      <c r="P380" s="65"/>
      <c r="Q380" s="65"/>
      <c r="R380" s="65"/>
      <c r="S380" s="65"/>
      <c r="T380" s="65"/>
      <c r="U380" s="65"/>
      <c r="V380" s="65"/>
      <c r="W380" s="65"/>
      <c r="X380" s="65"/>
      <c r="Y380" s="65"/>
      <c r="Z380" s="65"/>
      <c r="AA380" s="65"/>
      <c r="AB380" s="65"/>
      <c r="AC380" s="65"/>
      <c r="AD380" s="65"/>
      <c r="AE380" s="65"/>
      <c r="AF380" s="65"/>
      <c r="AG380" s="65"/>
      <c r="AH380" s="65"/>
      <c r="AI380" s="65"/>
      <c r="AJ380" s="65"/>
      <c r="AK380" s="65"/>
      <c r="AL380" s="65"/>
      <c r="AM380" s="65"/>
      <c r="AN380" s="65"/>
    </row>
    <row r="381" spans="10:40" ht="14.5" x14ac:dyDescent="0.35">
      <c r="J381" s="65"/>
      <c r="K381" s="65"/>
      <c r="L381" s="65"/>
      <c r="M381" s="65"/>
      <c r="N381" s="65"/>
      <c r="O381" s="65"/>
      <c r="P381" s="65"/>
      <c r="Q381" s="65"/>
      <c r="R381" s="65"/>
      <c r="S381" s="65"/>
      <c r="T381" s="65"/>
      <c r="U381" s="65"/>
      <c r="V381" s="65"/>
      <c r="W381" s="65"/>
      <c r="X381" s="65"/>
      <c r="Y381" s="65"/>
      <c r="Z381" s="65"/>
      <c r="AA381" s="65"/>
      <c r="AB381" s="65"/>
      <c r="AC381" s="65"/>
      <c r="AD381" s="65"/>
      <c r="AE381" s="65"/>
      <c r="AF381" s="65"/>
      <c r="AG381" s="65"/>
      <c r="AH381" s="65"/>
      <c r="AI381" s="65"/>
      <c r="AJ381" s="65"/>
      <c r="AK381" s="65"/>
      <c r="AL381" s="65"/>
      <c r="AM381" s="65"/>
      <c r="AN381" s="65"/>
    </row>
    <row r="382" spans="10:40" ht="14.5" x14ac:dyDescent="0.35">
      <c r="J382" s="65"/>
      <c r="K382" s="65"/>
      <c r="L382" s="65"/>
      <c r="M382" s="65"/>
      <c r="N382" s="65"/>
      <c r="O382" s="65"/>
      <c r="P382" s="65"/>
      <c r="Q382" s="65"/>
      <c r="R382" s="65"/>
      <c r="S382" s="65"/>
      <c r="T382" s="65"/>
      <c r="U382" s="65"/>
      <c r="V382" s="65"/>
      <c r="W382" s="65"/>
      <c r="X382" s="65"/>
      <c r="Y382" s="65"/>
      <c r="Z382" s="65"/>
      <c r="AA382" s="65"/>
      <c r="AB382" s="65"/>
      <c r="AC382" s="65"/>
      <c r="AD382" s="65"/>
      <c r="AE382" s="65"/>
      <c r="AF382" s="65"/>
      <c r="AG382" s="65"/>
      <c r="AH382" s="65"/>
      <c r="AI382" s="65"/>
      <c r="AJ382" s="65"/>
      <c r="AK382" s="65"/>
      <c r="AL382" s="65"/>
      <c r="AM382" s="65"/>
      <c r="AN382" s="65"/>
    </row>
    <row r="383" spans="10:40" ht="14.5" x14ac:dyDescent="0.35">
      <c r="J383" s="65"/>
      <c r="K383" s="65"/>
      <c r="L383" s="65"/>
      <c r="M383" s="65"/>
      <c r="N383" s="65"/>
      <c r="O383" s="65"/>
      <c r="P383" s="65"/>
      <c r="Q383" s="65"/>
      <c r="R383" s="65"/>
      <c r="S383" s="65"/>
      <c r="T383" s="65"/>
      <c r="U383" s="65"/>
      <c r="V383" s="65"/>
      <c r="W383" s="65"/>
      <c r="X383" s="65"/>
      <c r="Y383" s="65"/>
      <c r="Z383" s="65"/>
      <c r="AA383" s="65"/>
      <c r="AB383" s="65"/>
      <c r="AC383" s="65"/>
      <c r="AD383" s="65"/>
      <c r="AE383" s="65"/>
      <c r="AF383" s="65"/>
      <c r="AG383" s="65"/>
      <c r="AH383" s="65"/>
      <c r="AI383" s="65"/>
      <c r="AJ383" s="65"/>
      <c r="AK383" s="65"/>
      <c r="AL383" s="65"/>
      <c r="AM383" s="65"/>
      <c r="AN383" s="65"/>
    </row>
    <row r="384" spans="10:40" ht="14.5" x14ac:dyDescent="0.35">
      <c r="J384" s="65"/>
      <c r="K384" s="65"/>
      <c r="L384" s="65"/>
      <c r="M384" s="65"/>
      <c r="N384" s="65"/>
      <c r="O384" s="65"/>
      <c r="P384" s="65"/>
      <c r="Q384" s="65"/>
      <c r="R384" s="65"/>
      <c r="S384" s="65"/>
      <c r="T384" s="65"/>
      <c r="U384" s="65"/>
      <c r="V384" s="65"/>
      <c r="W384" s="65"/>
      <c r="X384" s="65"/>
      <c r="Y384" s="65"/>
      <c r="Z384" s="65"/>
      <c r="AA384" s="65"/>
      <c r="AB384" s="65"/>
      <c r="AC384" s="65"/>
      <c r="AD384" s="65"/>
      <c r="AE384" s="65"/>
      <c r="AF384" s="65"/>
      <c r="AG384" s="65"/>
      <c r="AH384" s="65"/>
      <c r="AI384" s="65"/>
      <c r="AJ384" s="65"/>
      <c r="AK384" s="65"/>
      <c r="AL384" s="65"/>
      <c r="AM384" s="65"/>
      <c r="AN384" s="65"/>
    </row>
    <row r="385" spans="10:40" ht="14.5" x14ac:dyDescent="0.35">
      <c r="J385" s="65"/>
      <c r="K385" s="65"/>
      <c r="L385" s="65"/>
      <c r="M385" s="65"/>
      <c r="N385" s="65"/>
      <c r="O385" s="65"/>
      <c r="P385" s="65"/>
      <c r="Q385" s="65"/>
      <c r="R385" s="65"/>
      <c r="S385" s="65"/>
      <c r="T385" s="65"/>
      <c r="U385" s="65"/>
      <c r="V385" s="65"/>
      <c r="W385" s="65"/>
      <c r="X385" s="65"/>
      <c r="Y385" s="65"/>
      <c r="Z385" s="65"/>
      <c r="AA385" s="65"/>
      <c r="AB385" s="65"/>
      <c r="AC385" s="65"/>
      <c r="AD385" s="65"/>
      <c r="AE385" s="65"/>
      <c r="AF385" s="65"/>
      <c r="AG385" s="65"/>
      <c r="AH385" s="65"/>
      <c r="AI385" s="65"/>
      <c r="AJ385" s="65"/>
      <c r="AK385" s="65"/>
      <c r="AL385" s="65"/>
      <c r="AM385" s="65"/>
      <c r="AN385" s="65"/>
    </row>
    <row r="386" spans="10:40" ht="14.5" x14ac:dyDescent="0.35">
      <c r="J386" s="65"/>
      <c r="K386" s="65"/>
      <c r="L386" s="65"/>
      <c r="M386" s="65"/>
      <c r="N386" s="65"/>
      <c r="O386" s="65"/>
      <c r="P386" s="65"/>
      <c r="Q386" s="65"/>
      <c r="R386" s="65"/>
      <c r="S386" s="65"/>
      <c r="T386" s="65"/>
      <c r="U386" s="65"/>
      <c r="V386" s="65"/>
      <c r="W386" s="65"/>
      <c r="X386" s="65"/>
      <c r="Y386" s="65"/>
      <c r="Z386" s="65"/>
      <c r="AA386" s="65"/>
      <c r="AB386" s="65"/>
      <c r="AC386" s="65"/>
      <c r="AD386" s="65"/>
      <c r="AE386" s="65"/>
      <c r="AF386" s="65"/>
      <c r="AG386" s="65"/>
      <c r="AH386" s="65"/>
      <c r="AI386" s="65"/>
      <c r="AJ386" s="65"/>
      <c r="AK386" s="65"/>
      <c r="AL386" s="65"/>
      <c r="AM386" s="65"/>
      <c r="AN386" s="65"/>
    </row>
    <row r="387" spans="10:40" ht="14.5" x14ac:dyDescent="0.35">
      <c r="J387" s="65"/>
      <c r="K387" s="65"/>
      <c r="L387" s="65"/>
      <c r="M387" s="65"/>
      <c r="N387" s="65"/>
      <c r="O387" s="65"/>
      <c r="P387" s="65"/>
      <c r="Q387" s="65"/>
      <c r="R387" s="65"/>
      <c r="S387" s="65"/>
      <c r="T387" s="65"/>
      <c r="U387" s="65"/>
      <c r="V387" s="65"/>
      <c r="W387" s="65"/>
      <c r="X387" s="65"/>
      <c r="Y387" s="65"/>
      <c r="Z387" s="65"/>
      <c r="AA387" s="65"/>
      <c r="AB387" s="65"/>
      <c r="AC387" s="65"/>
      <c r="AD387" s="65"/>
      <c r="AE387" s="65"/>
      <c r="AF387" s="65"/>
      <c r="AG387" s="65"/>
      <c r="AH387" s="65"/>
      <c r="AI387" s="65"/>
      <c r="AJ387" s="65"/>
      <c r="AK387" s="65"/>
      <c r="AL387" s="65"/>
      <c r="AM387" s="65"/>
      <c r="AN387" s="65"/>
    </row>
    <row r="388" spans="10:40" ht="14.5" x14ac:dyDescent="0.35">
      <c r="J388" s="65"/>
      <c r="K388" s="65"/>
      <c r="L388" s="65"/>
      <c r="M388" s="65"/>
      <c r="N388" s="65"/>
      <c r="O388" s="65"/>
      <c r="P388" s="65"/>
      <c r="Q388" s="65"/>
      <c r="R388" s="65"/>
      <c r="S388" s="65"/>
      <c r="T388" s="65"/>
      <c r="U388" s="65"/>
      <c r="V388" s="65"/>
      <c r="W388" s="65"/>
      <c r="X388" s="65"/>
      <c r="Y388" s="65"/>
      <c r="Z388" s="65"/>
      <c r="AA388" s="65"/>
      <c r="AB388" s="65"/>
      <c r="AC388" s="65"/>
      <c r="AD388" s="65"/>
      <c r="AE388" s="65"/>
      <c r="AF388" s="65"/>
      <c r="AG388" s="65"/>
      <c r="AH388" s="65"/>
      <c r="AI388" s="65"/>
      <c r="AJ388" s="65"/>
      <c r="AK388" s="65"/>
      <c r="AL388" s="65"/>
      <c r="AM388" s="65"/>
      <c r="AN388" s="65"/>
    </row>
    <row r="389" spans="10:40" ht="14.5" x14ac:dyDescent="0.35">
      <c r="J389" s="65"/>
      <c r="K389" s="65"/>
      <c r="L389" s="65"/>
      <c r="M389" s="65"/>
      <c r="N389" s="65"/>
      <c r="O389" s="65"/>
      <c r="P389" s="65"/>
      <c r="Q389" s="65"/>
      <c r="R389" s="65"/>
      <c r="S389" s="65"/>
      <c r="T389" s="65"/>
      <c r="U389" s="65"/>
      <c r="V389" s="65"/>
      <c r="W389" s="65"/>
      <c r="X389" s="65"/>
      <c r="Y389" s="65"/>
      <c r="Z389" s="65"/>
      <c r="AA389" s="65"/>
      <c r="AB389" s="65"/>
      <c r="AC389" s="65"/>
      <c r="AD389" s="65"/>
      <c r="AE389" s="65"/>
      <c r="AF389" s="65"/>
      <c r="AG389" s="65"/>
      <c r="AH389" s="65"/>
      <c r="AI389" s="65"/>
      <c r="AJ389" s="65"/>
      <c r="AK389" s="65"/>
      <c r="AL389" s="65"/>
      <c r="AM389" s="65"/>
      <c r="AN389" s="65"/>
    </row>
    <row r="390" spans="10:40" ht="14.5" x14ac:dyDescent="0.35">
      <c r="J390" s="65"/>
      <c r="K390" s="65"/>
      <c r="L390" s="65"/>
      <c r="M390" s="65"/>
      <c r="N390" s="65"/>
      <c r="O390" s="65"/>
      <c r="P390" s="65"/>
      <c r="Q390" s="65"/>
      <c r="R390" s="65"/>
      <c r="S390" s="65"/>
      <c r="T390" s="65"/>
      <c r="U390" s="65"/>
      <c r="V390" s="65"/>
      <c r="W390" s="65"/>
      <c r="X390" s="65"/>
      <c r="Y390" s="65"/>
      <c r="Z390" s="65"/>
      <c r="AA390" s="65"/>
      <c r="AB390" s="65"/>
      <c r="AC390" s="65"/>
      <c r="AD390" s="65"/>
      <c r="AE390" s="65"/>
      <c r="AF390" s="65"/>
      <c r="AG390" s="65"/>
      <c r="AH390" s="65"/>
      <c r="AI390" s="65"/>
      <c r="AJ390" s="65"/>
      <c r="AK390" s="65"/>
      <c r="AL390" s="65"/>
      <c r="AM390" s="65"/>
      <c r="AN390" s="65"/>
    </row>
    <row r="391" spans="10:40" ht="14.5" x14ac:dyDescent="0.35">
      <c r="J391" s="65"/>
      <c r="K391" s="65"/>
      <c r="L391" s="65"/>
      <c r="M391" s="65"/>
      <c r="N391" s="65"/>
      <c r="O391" s="65"/>
      <c r="P391" s="65"/>
      <c r="Q391" s="65"/>
      <c r="R391" s="65"/>
      <c r="S391" s="65"/>
      <c r="T391" s="65"/>
      <c r="U391" s="65"/>
      <c r="V391" s="65"/>
      <c r="W391" s="65"/>
      <c r="X391" s="65"/>
      <c r="Y391" s="65"/>
      <c r="Z391" s="65"/>
      <c r="AA391" s="65"/>
      <c r="AB391" s="65"/>
      <c r="AC391" s="65"/>
      <c r="AD391" s="65"/>
      <c r="AE391" s="65"/>
      <c r="AF391" s="65"/>
      <c r="AG391" s="65"/>
      <c r="AH391" s="65"/>
      <c r="AI391" s="65"/>
      <c r="AJ391" s="65"/>
      <c r="AK391" s="65"/>
      <c r="AL391" s="65"/>
      <c r="AM391" s="65"/>
      <c r="AN391" s="65"/>
    </row>
    <row r="392" spans="10:40" ht="14.5" x14ac:dyDescent="0.35">
      <c r="J392" s="65"/>
      <c r="K392" s="65"/>
      <c r="L392" s="65"/>
      <c r="M392" s="65"/>
      <c r="N392" s="65"/>
      <c r="O392" s="65"/>
      <c r="P392" s="65"/>
      <c r="Q392" s="65"/>
      <c r="R392" s="65"/>
      <c r="S392" s="65"/>
      <c r="T392" s="65"/>
      <c r="U392" s="65"/>
      <c r="V392" s="65"/>
      <c r="W392" s="65"/>
      <c r="X392" s="65"/>
      <c r="Y392" s="65"/>
      <c r="Z392" s="65"/>
      <c r="AA392" s="65"/>
      <c r="AB392" s="65"/>
      <c r="AC392" s="65"/>
      <c r="AD392" s="65"/>
      <c r="AE392" s="65"/>
      <c r="AF392" s="65"/>
      <c r="AG392" s="65"/>
      <c r="AH392" s="65"/>
      <c r="AI392" s="65"/>
      <c r="AJ392" s="65"/>
      <c r="AK392" s="65"/>
      <c r="AL392" s="65"/>
      <c r="AM392" s="65"/>
      <c r="AN392" s="65"/>
    </row>
    <row r="393" spans="10:40" ht="14.5" x14ac:dyDescent="0.35">
      <c r="J393" s="65"/>
      <c r="K393" s="65"/>
      <c r="L393" s="65"/>
      <c r="M393" s="65"/>
      <c r="N393" s="65"/>
      <c r="O393" s="65"/>
      <c r="P393" s="65"/>
      <c r="Q393" s="65"/>
      <c r="R393" s="65"/>
      <c r="S393" s="65"/>
      <c r="T393" s="65"/>
      <c r="U393" s="65"/>
      <c r="V393" s="65"/>
      <c r="W393" s="65"/>
      <c r="X393" s="65"/>
      <c r="Y393" s="65"/>
      <c r="Z393" s="65"/>
      <c r="AA393" s="65"/>
      <c r="AB393" s="65"/>
      <c r="AC393" s="65"/>
      <c r="AD393" s="65"/>
      <c r="AE393" s="65"/>
      <c r="AF393" s="65"/>
      <c r="AG393" s="65"/>
      <c r="AH393" s="65"/>
      <c r="AI393" s="65"/>
      <c r="AJ393" s="65"/>
      <c r="AK393" s="65"/>
      <c r="AL393" s="65"/>
      <c r="AM393" s="65"/>
      <c r="AN393" s="65"/>
    </row>
    <row r="394" spans="10:40" ht="14.5" x14ac:dyDescent="0.35">
      <c r="J394" s="65"/>
      <c r="K394" s="65"/>
      <c r="L394" s="65"/>
      <c r="M394" s="65"/>
      <c r="N394" s="65"/>
      <c r="O394" s="65"/>
      <c r="P394" s="65"/>
      <c r="Q394" s="65"/>
      <c r="R394" s="65"/>
      <c r="S394" s="65"/>
      <c r="T394" s="65"/>
      <c r="U394" s="65"/>
      <c r="V394" s="65"/>
      <c r="W394" s="65"/>
      <c r="X394" s="65"/>
      <c r="Y394" s="65"/>
      <c r="Z394" s="65"/>
      <c r="AA394" s="65"/>
      <c r="AB394" s="65"/>
      <c r="AC394" s="65"/>
      <c r="AD394" s="65"/>
      <c r="AE394" s="65"/>
      <c r="AF394" s="65"/>
      <c r="AG394" s="65"/>
      <c r="AH394" s="65"/>
      <c r="AI394" s="65"/>
      <c r="AJ394" s="65"/>
      <c r="AK394" s="65"/>
      <c r="AL394" s="65"/>
      <c r="AM394" s="65"/>
      <c r="AN394" s="65"/>
    </row>
    <row r="395" spans="10:40" ht="14.5" x14ac:dyDescent="0.35">
      <c r="J395" s="65"/>
      <c r="K395" s="65"/>
      <c r="L395" s="65"/>
      <c r="M395" s="65"/>
      <c r="N395" s="65"/>
      <c r="O395" s="65"/>
      <c r="P395" s="65"/>
      <c r="Q395" s="65"/>
      <c r="R395" s="65"/>
      <c r="S395" s="65"/>
      <c r="T395" s="65"/>
      <c r="U395" s="65"/>
      <c r="V395" s="65"/>
      <c r="W395" s="65"/>
      <c r="X395" s="65"/>
      <c r="Y395" s="65"/>
      <c r="Z395" s="65"/>
      <c r="AA395" s="65"/>
      <c r="AB395" s="65"/>
      <c r="AC395" s="65"/>
      <c r="AD395" s="65"/>
      <c r="AE395" s="65"/>
      <c r="AF395" s="65"/>
      <c r="AG395" s="65"/>
      <c r="AH395" s="65"/>
      <c r="AI395" s="65"/>
      <c r="AJ395" s="65"/>
      <c r="AK395" s="65"/>
      <c r="AL395" s="65"/>
      <c r="AM395" s="65"/>
      <c r="AN395" s="65"/>
    </row>
    <row r="396" spans="10:40" ht="14.5" x14ac:dyDescent="0.35">
      <c r="J396" s="65"/>
      <c r="K396" s="65"/>
      <c r="L396" s="65"/>
      <c r="M396" s="65"/>
      <c r="N396" s="65"/>
      <c r="O396" s="65"/>
      <c r="P396" s="65"/>
      <c r="Q396" s="65"/>
      <c r="R396" s="65"/>
      <c r="S396" s="65"/>
      <c r="T396" s="65"/>
      <c r="U396" s="65"/>
      <c r="V396" s="65"/>
      <c r="W396" s="65"/>
      <c r="X396" s="65"/>
      <c r="Y396" s="65"/>
      <c r="Z396" s="65"/>
      <c r="AA396" s="65"/>
      <c r="AB396" s="65"/>
      <c r="AC396" s="65"/>
      <c r="AD396" s="65"/>
      <c r="AE396" s="65"/>
      <c r="AF396" s="65"/>
      <c r="AG396" s="65"/>
      <c r="AH396" s="65"/>
      <c r="AI396" s="65"/>
      <c r="AJ396" s="65"/>
      <c r="AK396" s="65"/>
      <c r="AL396" s="65"/>
      <c r="AM396" s="65"/>
      <c r="AN396" s="65"/>
    </row>
    <row r="397" spans="10:40" ht="14.5" x14ac:dyDescent="0.35">
      <c r="J397" s="65"/>
      <c r="K397" s="65"/>
      <c r="L397" s="65"/>
      <c r="M397" s="65"/>
      <c r="N397" s="65"/>
      <c r="O397" s="65"/>
      <c r="P397" s="65"/>
      <c r="Q397" s="65"/>
      <c r="R397" s="65"/>
      <c r="S397" s="65"/>
      <c r="T397" s="65"/>
      <c r="U397" s="65"/>
      <c r="V397" s="65"/>
      <c r="W397" s="65"/>
      <c r="X397" s="65"/>
      <c r="Y397" s="65"/>
      <c r="Z397" s="65"/>
      <c r="AA397" s="65"/>
      <c r="AB397" s="65"/>
      <c r="AC397" s="65"/>
      <c r="AD397" s="65"/>
      <c r="AE397" s="65"/>
      <c r="AF397" s="65"/>
      <c r="AG397" s="65"/>
      <c r="AH397" s="65"/>
      <c r="AI397" s="65"/>
      <c r="AJ397" s="65"/>
      <c r="AK397" s="65"/>
      <c r="AL397" s="65"/>
      <c r="AM397" s="65"/>
      <c r="AN397" s="65"/>
    </row>
    <row r="398" spans="10:40" ht="14.5" x14ac:dyDescent="0.35">
      <c r="J398" s="65"/>
      <c r="K398" s="65"/>
      <c r="L398" s="65"/>
      <c r="M398" s="65"/>
      <c r="N398" s="65"/>
      <c r="O398" s="65"/>
      <c r="P398" s="65"/>
      <c r="Q398" s="65"/>
      <c r="R398" s="65"/>
      <c r="S398" s="65"/>
      <c r="T398" s="65"/>
      <c r="U398" s="65"/>
      <c r="V398" s="65"/>
      <c r="W398" s="65"/>
      <c r="X398" s="65"/>
      <c r="Y398" s="65"/>
      <c r="Z398" s="65"/>
      <c r="AA398" s="65"/>
      <c r="AB398" s="65"/>
      <c r="AC398" s="65"/>
      <c r="AD398" s="65"/>
      <c r="AE398" s="65"/>
      <c r="AF398" s="65"/>
      <c r="AG398" s="65"/>
      <c r="AH398" s="65"/>
      <c r="AI398" s="65"/>
      <c r="AJ398" s="65"/>
      <c r="AK398" s="65"/>
      <c r="AL398" s="65"/>
      <c r="AM398" s="65"/>
      <c r="AN398" s="65"/>
    </row>
    <row r="399" spans="10:40" ht="14.5" x14ac:dyDescent="0.35">
      <c r="J399" s="65"/>
      <c r="K399" s="65"/>
      <c r="L399" s="65"/>
      <c r="M399" s="65"/>
      <c r="N399" s="65"/>
      <c r="O399" s="65"/>
      <c r="P399" s="65"/>
      <c r="Q399" s="65"/>
      <c r="R399" s="65"/>
      <c r="S399" s="65"/>
      <c r="T399" s="65"/>
      <c r="U399" s="65"/>
      <c r="V399" s="65"/>
      <c r="W399" s="65"/>
      <c r="X399" s="65"/>
      <c r="Y399" s="65"/>
      <c r="Z399" s="65"/>
      <c r="AA399" s="65"/>
      <c r="AB399" s="65"/>
      <c r="AC399" s="65"/>
      <c r="AD399" s="65"/>
      <c r="AE399" s="65"/>
      <c r="AF399" s="65"/>
      <c r="AG399" s="65"/>
      <c r="AH399" s="65"/>
      <c r="AI399" s="65"/>
      <c r="AJ399" s="65"/>
      <c r="AK399" s="65"/>
      <c r="AL399" s="65"/>
      <c r="AM399" s="65"/>
      <c r="AN399" s="65"/>
    </row>
    <row r="400" spans="10:40" ht="14.5" x14ac:dyDescent="0.35">
      <c r="J400" s="65"/>
      <c r="K400" s="65"/>
      <c r="L400" s="65"/>
      <c r="M400" s="65"/>
      <c r="N400" s="65"/>
      <c r="O400" s="65"/>
      <c r="P400" s="65"/>
      <c r="Q400" s="65"/>
      <c r="R400" s="65"/>
      <c r="S400" s="65"/>
      <c r="T400" s="65"/>
      <c r="U400" s="65"/>
      <c r="V400" s="65"/>
      <c r="W400" s="65"/>
      <c r="X400" s="65"/>
      <c r="Y400" s="65"/>
      <c r="Z400" s="65"/>
      <c r="AA400" s="65"/>
      <c r="AB400" s="65"/>
      <c r="AC400" s="65"/>
      <c r="AD400" s="65"/>
      <c r="AE400" s="65"/>
      <c r="AF400" s="65"/>
      <c r="AG400" s="65"/>
      <c r="AH400" s="65"/>
      <c r="AI400" s="65"/>
      <c r="AJ400" s="65"/>
      <c r="AK400" s="65"/>
      <c r="AL400" s="65"/>
      <c r="AM400" s="65"/>
      <c r="AN400" s="65"/>
    </row>
    <row r="401" spans="10:40" ht="14.5" x14ac:dyDescent="0.35">
      <c r="J401" s="65"/>
      <c r="K401" s="65"/>
      <c r="L401" s="65"/>
      <c r="M401" s="65"/>
      <c r="N401" s="65"/>
      <c r="O401" s="65"/>
      <c r="P401" s="65"/>
      <c r="Q401" s="65"/>
      <c r="R401" s="65"/>
      <c r="S401" s="65"/>
      <c r="T401" s="65"/>
      <c r="U401" s="65"/>
      <c r="V401" s="65"/>
      <c r="W401" s="65"/>
      <c r="X401" s="65"/>
      <c r="Y401" s="65"/>
      <c r="Z401" s="65"/>
      <c r="AA401" s="65"/>
      <c r="AB401" s="65"/>
      <c r="AC401" s="65"/>
      <c r="AD401" s="65"/>
      <c r="AE401" s="65"/>
      <c r="AF401" s="65"/>
      <c r="AG401" s="65"/>
      <c r="AH401" s="65"/>
      <c r="AI401" s="65"/>
      <c r="AJ401" s="65"/>
      <c r="AK401" s="65"/>
      <c r="AL401" s="65"/>
      <c r="AM401" s="65"/>
      <c r="AN401" s="65"/>
    </row>
    <row r="402" spans="10:40" ht="14.5" x14ac:dyDescent="0.35">
      <c r="J402" s="65"/>
      <c r="K402" s="65"/>
      <c r="L402" s="65"/>
      <c r="M402" s="65"/>
      <c r="N402" s="65"/>
      <c r="O402" s="65"/>
      <c r="P402" s="65"/>
      <c r="Q402" s="65"/>
      <c r="R402" s="65"/>
      <c r="S402" s="65"/>
      <c r="T402" s="65"/>
      <c r="U402" s="65"/>
      <c r="V402" s="65"/>
      <c r="W402" s="65"/>
      <c r="X402" s="65"/>
      <c r="Y402" s="65"/>
      <c r="Z402" s="65"/>
      <c r="AA402" s="65"/>
      <c r="AB402" s="65"/>
      <c r="AC402" s="65"/>
      <c r="AD402" s="65"/>
      <c r="AE402" s="65"/>
      <c r="AF402" s="65"/>
      <c r="AG402" s="65"/>
      <c r="AH402" s="65"/>
      <c r="AI402" s="65"/>
      <c r="AJ402" s="65"/>
      <c r="AK402" s="65"/>
      <c r="AL402" s="65"/>
      <c r="AM402" s="65"/>
      <c r="AN402" s="65"/>
    </row>
    <row r="403" spans="10:40" ht="14.5" x14ac:dyDescent="0.35">
      <c r="J403" s="65"/>
      <c r="K403" s="65"/>
      <c r="L403" s="65"/>
      <c r="M403" s="65"/>
      <c r="N403" s="65"/>
      <c r="O403" s="65"/>
      <c r="P403" s="65"/>
      <c r="Q403" s="65"/>
      <c r="R403" s="65"/>
      <c r="S403" s="65"/>
      <c r="T403" s="65"/>
      <c r="U403" s="65"/>
      <c r="V403" s="65"/>
      <c r="W403" s="65"/>
      <c r="X403" s="65"/>
      <c r="Y403" s="65"/>
      <c r="Z403" s="65"/>
      <c r="AA403" s="65"/>
      <c r="AB403" s="65"/>
      <c r="AC403" s="65"/>
      <c r="AD403" s="65"/>
      <c r="AE403" s="65"/>
      <c r="AF403" s="65"/>
      <c r="AG403" s="65"/>
      <c r="AH403" s="65"/>
      <c r="AI403" s="65"/>
      <c r="AJ403" s="65"/>
      <c r="AK403" s="65"/>
      <c r="AL403" s="65"/>
      <c r="AM403" s="65"/>
      <c r="AN403" s="65"/>
    </row>
    <row r="404" spans="10:40" ht="14.5" x14ac:dyDescent="0.35">
      <c r="J404" s="65"/>
      <c r="K404" s="65"/>
      <c r="L404" s="65"/>
      <c r="M404" s="65"/>
      <c r="N404" s="65"/>
      <c r="O404" s="65"/>
      <c r="P404" s="65"/>
      <c r="Q404" s="65"/>
      <c r="R404" s="65"/>
      <c r="S404" s="65"/>
      <c r="T404" s="65"/>
      <c r="U404" s="65"/>
      <c r="V404" s="65"/>
      <c r="W404" s="65"/>
      <c r="X404" s="65"/>
      <c r="Y404" s="65"/>
      <c r="Z404" s="65"/>
      <c r="AA404" s="65"/>
      <c r="AB404" s="65"/>
      <c r="AC404" s="65"/>
      <c r="AD404" s="65"/>
      <c r="AE404" s="65"/>
      <c r="AF404" s="65"/>
      <c r="AG404" s="65"/>
      <c r="AH404" s="65"/>
      <c r="AI404" s="65"/>
      <c r="AJ404" s="65"/>
      <c r="AK404" s="65"/>
      <c r="AL404" s="65"/>
      <c r="AM404" s="65"/>
      <c r="AN404" s="65"/>
    </row>
    <row r="405" spans="10:40" ht="14.5" x14ac:dyDescent="0.35">
      <c r="J405" s="65"/>
      <c r="K405" s="65"/>
      <c r="L405" s="65"/>
      <c r="M405" s="65"/>
      <c r="N405" s="65"/>
      <c r="O405" s="65"/>
      <c r="P405" s="65"/>
      <c r="Q405" s="65"/>
      <c r="R405" s="65"/>
      <c r="S405" s="65"/>
      <c r="T405" s="65"/>
      <c r="U405" s="65"/>
      <c r="V405" s="65"/>
      <c r="W405" s="65"/>
      <c r="X405" s="65"/>
      <c r="Y405" s="65"/>
      <c r="Z405" s="65"/>
      <c r="AA405" s="65"/>
      <c r="AB405" s="65"/>
      <c r="AC405" s="65"/>
      <c r="AD405" s="65"/>
      <c r="AE405" s="65"/>
      <c r="AF405" s="65"/>
      <c r="AG405" s="65"/>
      <c r="AH405" s="65"/>
      <c r="AI405" s="65"/>
      <c r="AJ405" s="65"/>
      <c r="AK405" s="65"/>
      <c r="AL405" s="65"/>
      <c r="AM405" s="65"/>
      <c r="AN405" s="65"/>
    </row>
    <row r="406" spans="10:40" ht="14.5" x14ac:dyDescent="0.35">
      <c r="J406" s="65"/>
      <c r="K406" s="65"/>
      <c r="L406" s="65"/>
      <c r="M406" s="65"/>
      <c r="N406" s="65"/>
      <c r="O406" s="65"/>
      <c r="P406" s="65"/>
      <c r="Q406" s="65"/>
      <c r="R406" s="65"/>
      <c r="S406" s="65"/>
      <c r="T406" s="65"/>
      <c r="U406" s="65"/>
      <c r="V406" s="65"/>
      <c r="W406" s="65"/>
      <c r="X406" s="65"/>
      <c r="Y406" s="65"/>
      <c r="Z406" s="65"/>
      <c r="AA406" s="65"/>
      <c r="AB406" s="65"/>
      <c r="AC406" s="65"/>
      <c r="AD406" s="65"/>
      <c r="AE406" s="65"/>
      <c r="AF406" s="65"/>
      <c r="AG406" s="65"/>
      <c r="AH406" s="65"/>
      <c r="AI406" s="65"/>
      <c r="AJ406" s="65"/>
      <c r="AK406" s="65"/>
      <c r="AL406" s="65"/>
      <c r="AM406" s="65"/>
      <c r="AN406" s="65"/>
    </row>
    <row r="407" spans="10:40" ht="14.5" x14ac:dyDescent="0.35">
      <c r="J407" s="65"/>
      <c r="K407" s="65"/>
      <c r="L407" s="65"/>
      <c r="M407" s="65"/>
      <c r="N407" s="65"/>
      <c r="O407" s="65"/>
      <c r="P407" s="65"/>
      <c r="Q407" s="65"/>
      <c r="R407" s="65"/>
      <c r="S407" s="65"/>
      <c r="T407" s="65"/>
      <c r="U407" s="65"/>
      <c r="V407" s="65"/>
      <c r="W407" s="65"/>
      <c r="X407" s="65"/>
      <c r="Y407" s="65"/>
      <c r="Z407" s="65"/>
      <c r="AA407" s="65"/>
      <c r="AB407" s="65"/>
      <c r="AC407" s="65"/>
      <c r="AD407" s="65"/>
      <c r="AE407" s="65"/>
      <c r="AF407" s="65"/>
      <c r="AG407" s="65"/>
      <c r="AH407" s="65"/>
      <c r="AI407" s="65"/>
      <c r="AJ407" s="65"/>
      <c r="AK407" s="65"/>
      <c r="AL407" s="65"/>
      <c r="AM407" s="65"/>
      <c r="AN407" s="65"/>
    </row>
    <row r="408" spans="10:40" ht="14.5" x14ac:dyDescent="0.35">
      <c r="J408" s="65"/>
      <c r="K408" s="65"/>
      <c r="L408" s="65"/>
      <c r="M408" s="65"/>
      <c r="N408" s="65"/>
      <c r="O408" s="65"/>
      <c r="P408" s="65"/>
      <c r="Q408" s="65"/>
      <c r="R408" s="65"/>
      <c r="S408" s="65"/>
      <c r="T408" s="65"/>
      <c r="U408" s="65"/>
      <c r="V408" s="65"/>
      <c r="W408" s="65"/>
      <c r="X408" s="65"/>
      <c r="Y408" s="65"/>
      <c r="Z408" s="65"/>
      <c r="AA408" s="65"/>
      <c r="AB408" s="65"/>
      <c r="AC408" s="65"/>
      <c r="AD408" s="65"/>
      <c r="AE408" s="65"/>
      <c r="AF408" s="65"/>
      <c r="AG408" s="65"/>
      <c r="AH408" s="65"/>
      <c r="AI408" s="65"/>
      <c r="AJ408" s="65"/>
      <c r="AK408" s="65"/>
      <c r="AL408" s="65"/>
      <c r="AM408" s="65"/>
      <c r="AN408" s="65"/>
    </row>
    <row r="409" spans="10:40" ht="14.5" x14ac:dyDescent="0.35">
      <c r="J409" s="65"/>
      <c r="K409" s="65"/>
      <c r="L409" s="65"/>
      <c r="M409" s="65"/>
      <c r="N409" s="65"/>
      <c r="O409" s="65"/>
      <c r="P409" s="65"/>
      <c r="Q409" s="65"/>
      <c r="R409" s="65"/>
      <c r="S409" s="65"/>
      <c r="T409" s="65"/>
      <c r="U409" s="65"/>
      <c r="V409" s="65"/>
      <c r="W409" s="65"/>
      <c r="X409" s="65"/>
      <c r="Y409" s="65"/>
      <c r="Z409" s="65"/>
      <c r="AA409" s="65"/>
      <c r="AB409" s="65"/>
      <c r="AC409" s="65"/>
      <c r="AD409" s="65"/>
      <c r="AE409" s="65"/>
      <c r="AF409" s="65"/>
      <c r="AG409" s="65"/>
      <c r="AH409" s="65"/>
      <c r="AI409" s="65"/>
      <c r="AJ409" s="65"/>
      <c r="AK409" s="65"/>
      <c r="AL409" s="65"/>
      <c r="AM409" s="65"/>
      <c r="AN409" s="65"/>
    </row>
    <row r="410" spans="10:40" ht="14.5" x14ac:dyDescent="0.35">
      <c r="J410" s="65"/>
      <c r="K410" s="65"/>
      <c r="L410" s="65"/>
      <c r="M410" s="65"/>
      <c r="N410" s="65"/>
      <c r="O410" s="65"/>
      <c r="P410" s="65"/>
      <c r="Q410" s="65"/>
      <c r="R410" s="65"/>
      <c r="S410" s="65"/>
      <c r="T410" s="65"/>
      <c r="U410" s="65"/>
      <c r="V410" s="65"/>
      <c r="W410" s="65"/>
      <c r="X410" s="65"/>
      <c r="Y410" s="65"/>
      <c r="Z410" s="65"/>
      <c r="AA410" s="65"/>
      <c r="AB410" s="65"/>
      <c r="AC410" s="65"/>
      <c r="AD410" s="65"/>
      <c r="AE410" s="65"/>
      <c r="AF410" s="65"/>
      <c r="AG410" s="65"/>
      <c r="AH410" s="65"/>
      <c r="AI410" s="65"/>
      <c r="AJ410" s="65"/>
      <c r="AK410" s="65"/>
      <c r="AL410" s="65"/>
      <c r="AM410" s="65"/>
      <c r="AN410" s="65"/>
    </row>
    <row r="411" spans="10:40" ht="14.5" x14ac:dyDescent="0.35">
      <c r="J411" s="65"/>
      <c r="K411" s="65"/>
      <c r="L411" s="65"/>
      <c r="M411" s="65"/>
      <c r="N411" s="65"/>
      <c r="O411" s="65"/>
      <c r="P411" s="65"/>
      <c r="Q411" s="65"/>
      <c r="R411" s="65"/>
      <c r="S411" s="65"/>
      <c r="T411" s="65"/>
      <c r="U411" s="65"/>
      <c r="V411" s="65"/>
      <c r="W411" s="65"/>
      <c r="X411" s="65"/>
      <c r="Y411" s="65"/>
      <c r="Z411" s="65"/>
      <c r="AA411" s="65"/>
      <c r="AB411" s="65"/>
      <c r="AC411" s="65"/>
      <c r="AD411" s="65"/>
      <c r="AE411" s="65"/>
      <c r="AF411" s="65"/>
      <c r="AG411" s="65"/>
      <c r="AH411" s="65"/>
      <c r="AI411" s="65"/>
      <c r="AJ411" s="65"/>
      <c r="AK411" s="65"/>
      <c r="AL411" s="65"/>
      <c r="AM411" s="65"/>
      <c r="AN411" s="65"/>
    </row>
    <row r="412" spans="10:40" ht="14.5" x14ac:dyDescent="0.35">
      <c r="J412" s="65"/>
      <c r="K412" s="65"/>
      <c r="L412" s="65"/>
      <c r="M412" s="65"/>
      <c r="N412" s="65"/>
      <c r="O412" s="65"/>
      <c r="P412" s="65"/>
      <c r="Q412" s="65"/>
      <c r="R412" s="65"/>
      <c r="S412" s="65"/>
      <c r="T412" s="65"/>
      <c r="U412" s="65"/>
      <c r="V412" s="65"/>
      <c r="W412" s="65"/>
      <c r="X412" s="65"/>
      <c r="Y412" s="65"/>
      <c r="Z412" s="65"/>
      <c r="AA412" s="65"/>
      <c r="AB412" s="65"/>
      <c r="AC412" s="65"/>
      <c r="AD412" s="65"/>
      <c r="AE412" s="65"/>
      <c r="AF412" s="65"/>
      <c r="AG412" s="65"/>
      <c r="AH412" s="65"/>
      <c r="AI412" s="65"/>
      <c r="AJ412" s="65"/>
      <c r="AK412" s="65"/>
      <c r="AL412" s="65"/>
      <c r="AM412" s="65"/>
      <c r="AN412" s="65"/>
    </row>
    <row r="413" spans="10:40" ht="14.5" x14ac:dyDescent="0.35">
      <c r="J413" s="65"/>
      <c r="K413" s="65"/>
      <c r="L413" s="65"/>
      <c r="M413" s="65"/>
      <c r="N413" s="65"/>
      <c r="O413" s="65"/>
      <c r="P413" s="65"/>
      <c r="Q413" s="65"/>
      <c r="R413" s="65"/>
      <c r="S413" s="65"/>
      <c r="T413" s="65"/>
      <c r="U413" s="65"/>
      <c r="V413" s="65"/>
      <c r="W413" s="65"/>
      <c r="X413" s="65"/>
      <c r="Y413" s="65"/>
      <c r="Z413" s="65"/>
      <c r="AA413" s="65"/>
      <c r="AB413" s="65"/>
      <c r="AC413" s="65"/>
      <c r="AD413" s="65"/>
      <c r="AE413" s="65"/>
      <c r="AF413" s="65"/>
      <c r="AG413" s="65"/>
      <c r="AH413" s="65"/>
      <c r="AI413" s="65"/>
      <c r="AJ413" s="65"/>
      <c r="AK413" s="65"/>
      <c r="AL413" s="65"/>
      <c r="AM413" s="65"/>
      <c r="AN413" s="65"/>
    </row>
    <row r="414" spans="10:40" ht="14.5" x14ac:dyDescent="0.35">
      <c r="J414" s="65"/>
      <c r="K414" s="65"/>
      <c r="L414" s="65"/>
      <c r="M414" s="65"/>
      <c r="N414" s="65"/>
      <c r="O414" s="65"/>
      <c r="P414" s="65"/>
      <c r="Q414" s="65"/>
      <c r="R414" s="65"/>
      <c r="S414" s="65"/>
      <c r="T414" s="65"/>
      <c r="U414" s="65"/>
      <c r="V414" s="65"/>
      <c r="W414" s="65"/>
      <c r="X414" s="65"/>
      <c r="Y414" s="65"/>
      <c r="Z414" s="65"/>
      <c r="AA414" s="65"/>
      <c r="AB414" s="65"/>
      <c r="AC414" s="65"/>
      <c r="AD414" s="65"/>
      <c r="AE414" s="65"/>
      <c r="AF414" s="65"/>
      <c r="AG414" s="65"/>
      <c r="AH414" s="65"/>
      <c r="AI414" s="65"/>
      <c r="AJ414" s="65"/>
      <c r="AK414" s="65"/>
      <c r="AL414" s="65"/>
      <c r="AM414" s="65"/>
      <c r="AN414" s="65"/>
    </row>
    <row r="415" spans="10:40" ht="14.5" x14ac:dyDescent="0.35">
      <c r="J415" s="65"/>
      <c r="K415" s="65"/>
      <c r="L415" s="65"/>
      <c r="M415" s="65"/>
      <c r="N415" s="65"/>
      <c r="O415" s="65"/>
      <c r="P415" s="65"/>
      <c r="Q415" s="65"/>
      <c r="R415" s="65"/>
      <c r="S415" s="65"/>
      <c r="T415" s="65"/>
      <c r="U415" s="65"/>
      <c r="V415" s="65"/>
      <c r="W415" s="65"/>
      <c r="X415" s="65"/>
      <c r="Y415" s="65"/>
      <c r="Z415" s="65"/>
      <c r="AA415" s="65"/>
      <c r="AB415" s="65"/>
      <c r="AC415" s="65"/>
      <c r="AD415" s="65"/>
      <c r="AE415" s="65"/>
      <c r="AF415" s="65"/>
      <c r="AG415" s="65"/>
      <c r="AH415" s="65"/>
      <c r="AI415" s="65"/>
      <c r="AJ415" s="65"/>
      <c r="AK415" s="65"/>
      <c r="AL415" s="65"/>
      <c r="AM415" s="65"/>
      <c r="AN415" s="65"/>
    </row>
    <row r="416" spans="10:40" ht="14.5" x14ac:dyDescent="0.35">
      <c r="J416" s="65"/>
      <c r="K416" s="65"/>
      <c r="L416" s="65"/>
      <c r="M416" s="65"/>
      <c r="N416" s="65"/>
      <c r="O416" s="65"/>
      <c r="P416" s="65"/>
      <c r="Q416" s="65"/>
      <c r="R416" s="65"/>
      <c r="S416" s="65"/>
      <c r="T416" s="65"/>
      <c r="U416" s="65"/>
      <c r="V416" s="65"/>
      <c r="W416" s="65"/>
      <c r="X416" s="65"/>
      <c r="Y416" s="65"/>
      <c r="Z416" s="65"/>
      <c r="AA416" s="65"/>
      <c r="AB416" s="65"/>
      <c r="AC416" s="65"/>
      <c r="AD416" s="65"/>
      <c r="AE416" s="65"/>
      <c r="AF416" s="65"/>
      <c r="AG416" s="65"/>
      <c r="AH416" s="65"/>
      <c r="AI416" s="65"/>
      <c r="AJ416" s="65"/>
      <c r="AK416" s="65"/>
      <c r="AL416" s="65"/>
      <c r="AM416" s="65"/>
      <c r="AN416" s="65"/>
    </row>
    <row r="417" spans="10:40" ht="14.5" x14ac:dyDescent="0.35">
      <c r="J417" s="65"/>
      <c r="K417" s="65"/>
      <c r="L417" s="65"/>
      <c r="M417" s="65"/>
      <c r="N417" s="65"/>
      <c r="O417" s="65"/>
      <c r="P417" s="65"/>
      <c r="Q417" s="65"/>
      <c r="R417" s="65"/>
      <c r="S417" s="65"/>
      <c r="T417" s="65"/>
      <c r="U417" s="65"/>
      <c r="V417" s="65"/>
      <c r="W417" s="65"/>
      <c r="X417" s="65"/>
      <c r="Y417" s="65"/>
      <c r="Z417" s="65"/>
      <c r="AA417" s="65"/>
      <c r="AB417" s="65"/>
      <c r="AC417" s="65"/>
      <c r="AD417" s="65"/>
      <c r="AE417" s="65"/>
      <c r="AF417" s="65"/>
      <c r="AG417" s="65"/>
      <c r="AH417" s="65"/>
      <c r="AI417" s="65"/>
      <c r="AJ417" s="65"/>
      <c r="AK417" s="65"/>
      <c r="AL417" s="65"/>
      <c r="AM417" s="65"/>
      <c r="AN417" s="65"/>
    </row>
    <row r="418" spans="10:40" ht="14.5" x14ac:dyDescent="0.35">
      <c r="J418" s="65"/>
      <c r="K418" s="65"/>
      <c r="L418" s="65"/>
      <c r="M418" s="65"/>
      <c r="N418" s="65"/>
      <c r="O418" s="65"/>
      <c r="P418" s="65"/>
      <c r="Q418" s="65"/>
      <c r="R418" s="65"/>
      <c r="S418" s="65"/>
      <c r="T418" s="65"/>
      <c r="U418" s="65"/>
      <c r="V418" s="65"/>
      <c r="W418" s="65"/>
      <c r="X418" s="65"/>
      <c r="Y418" s="65"/>
      <c r="Z418" s="65"/>
      <c r="AA418" s="65"/>
      <c r="AB418" s="65"/>
      <c r="AC418" s="65"/>
      <c r="AD418" s="65"/>
      <c r="AE418" s="65"/>
      <c r="AF418" s="65"/>
      <c r="AG418" s="65"/>
      <c r="AH418" s="65"/>
      <c r="AI418" s="65"/>
      <c r="AJ418" s="65"/>
      <c r="AK418" s="65"/>
      <c r="AL418" s="65"/>
      <c r="AM418" s="65"/>
      <c r="AN418" s="65"/>
    </row>
    <row r="419" spans="10:40" ht="14.5" x14ac:dyDescent="0.35">
      <c r="J419" s="65"/>
      <c r="K419" s="65"/>
      <c r="L419" s="65"/>
      <c r="M419" s="65"/>
      <c r="N419" s="65"/>
      <c r="O419" s="65"/>
      <c r="P419" s="65"/>
      <c r="Q419" s="65"/>
      <c r="R419" s="65"/>
      <c r="S419" s="65"/>
      <c r="T419" s="65"/>
      <c r="U419" s="65"/>
      <c r="V419" s="65"/>
      <c r="W419" s="65"/>
      <c r="X419" s="65"/>
      <c r="Y419" s="65"/>
      <c r="Z419" s="65"/>
      <c r="AA419" s="65"/>
      <c r="AB419" s="65"/>
      <c r="AC419" s="65"/>
      <c r="AD419" s="65"/>
      <c r="AE419" s="65"/>
      <c r="AF419" s="65"/>
      <c r="AG419" s="65"/>
      <c r="AH419" s="65"/>
      <c r="AI419" s="65"/>
      <c r="AJ419" s="65"/>
      <c r="AK419" s="65"/>
      <c r="AL419" s="65"/>
      <c r="AM419" s="65"/>
      <c r="AN419" s="65"/>
    </row>
    <row r="420" spans="10:40" ht="14.5" x14ac:dyDescent="0.35">
      <c r="J420" s="65"/>
      <c r="K420" s="65"/>
      <c r="L420" s="65"/>
      <c r="M420" s="65"/>
      <c r="N420" s="65"/>
      <c r="O420" s="65"/>
      <c r="P420" s="65"/>
      <c r="Q420" s="65"/>
      <c r="R420" s="65"/>
      <c r="S420" s="65"/>
      <c r="T420" s="65"/>
      <c r="U420" s="65"/>
      <c r="V420" s="65"/>
      <c r="W420" s="65"/>
      <c r="X420" s="65"/>
      <c r="Y420" s="65"/>
      <c r="Z420" s="65"/>
      <c r="AA420" s="65"/>
      <c r="AB420" s="65"/>
      <c r="AC420" s="65"/>
      <c r="AD420" s="65"/>
      <c r="AE420" s="65"/>
      <c r="AF420" s="65"/>
      <c r="AG420" s="65"/>
      <c r="AH420" s="65"/>
      <c r="AI420" s="65"/>
      <c r="AJ420" s="65"/>
      <c r="AK420" s="65"/>
      <c r="AL420" s="65"/>
      <c r="AM420" s="65"/>
      <c r="AN420" s="65"/>
    </row>
    <row r="421" spans="10:40" ht="14.5" x14ac:dyDescent="0.35">
      <c r="J421" s="65"/>
      <c r="K421" s="65"/>
      <c r="L421" s="65"/>
      <c r="M421" s="65"/>
      <c r="N421" s="65"/>
      <c r="O421" s="65"/>
      <c r="P421" s="65"/>
      <c r="Q421" s="65"/>
      <c r="R421" s="65"/>
      <c r="S421" s="65"/>
      <c r="T421" s="65"/>
      <c r="U421" s="65"/>
      <c r="V421" s="65"/>
      <c r="W421" s="65"/>
      <c r="X421" s="65"/>
      <c r="Y421" s="65"/>
      <c r="Z421" s="65"/>
      <c r="AA421" s="65"/>
      <c r="AB421" s="65"/>
      <c r="AC421" s="65"/>
      <c r="AD421" s="65"/>
      <c r="AE421" s="65"/>
      <c r="AF421" s="65"/>
      <c r="AG421" s="65"/>
      <c r="AH421" s="65"/>
      <c r="AI421" s="65"/>
      <c r="AJ421" s="65"/>
      <c r="AK421" s="65"/>
      <c r="AL421" s="65"/>
      <c r="AM421" s="65"/>
      <c r="AN421" s="65"/>
    </row>
    <row r="422" spans="10:40" ht="14.5" x14ac:dyDescent="0.35">
      <c r="J422" s="65"/>
      <c r="K422" s="65"/>
      <c r="L422" s="65"/>
      <c r="M422" s="65"/>
      <c r="N422" s="65"/>
      <c r="O422" s="65"/>
      <c r="P422" s="65"/>
      <c r="Q422" s="65"/>
      <c r="R422" s="65"/>
      <c r="S422" s="65"/>
      <c r="T422" s="65"/>
      <c r="U422" s="65"/>
      <c r="V422" s="65"/>
      <c r="W422" s="65"/>
      <c r="X422" s="65"/>
      <c r="Y422" s="65"/>
      <c r="Z422" s="65"/>
      <c r="AA422" s="65"/>
      <c r="AB422" s="65"/>
      <c r="AC422" s="65"/>
      <c r="AD422" s="65"/>
      <c r="AE422" s="65"/>
      <c r="AF422" s="65"/>
      <c r="AG422" s="65"/>
      <c r="AH422" s="65"/>
      <c r="AI422" s="65"/>
      <c r="AJ422" s="65"/>
      <c r="AK422" s="65"/>
      <c r="AL422" s="65"/>
      <c r="AM422" s="65"/>
      <c r="AN422" s="65"/>
    </row>
    <row r="423" spans="10:40" ht="14.5" x14ac:dyDescent="0.35">
      <c r="J423" s="65"/>
      <c r="K423" s="65"/>
      <c r="L423" s="65"/>
      <c r="M423" s="65"/>
      <c r="N423" s="65"/>
      <c r="O423" s="65"/>
      <c r="P423" s="65"/>
      <c r="Q423" s="65"/>
      <c r="R423" s="65"/>
      <c r="S423" s="65"/>
      <c r="T423" s="65"/>
      <c r="U423" s="65"/>
      <c r="V423" s="65"/>
      <c r="W423" s="65"/>
      <c r="X423" s="65"/>
      <c r="Y423" s="65"/>
      <c r="Z423" s="65"/>
      <c r="AA423" s="65"/>
      <c r="AB423" s="65"/>
      <c r="AC423" s="65"/>
      <c r="AD423" s="65"/>
      <c r="AE423" s="65"/>
      <c r="AF423" s="65"/>
      <c r="AG423" s="65"/>
      <c r="AH423" s="65"/>
      <c r="AI423" s="65"/>
      <c r="AJ423" s="65"/>
      <c r="AK423" s="65"/>
      <c r="AL423" s="65"/>
      <c r="AM423" s="65"/>
      <c r="AN423" s="65"/>
    </row>
    <row r="424" spans="10:40" ht="14.5" x14ac:dyDescent="0.35">
      <c r="J424" s="65"/>
      <c r="K424" s="65"/>
      <c r="L424" s="65"/>
      <c r="M424" s="65"/>
      <c r="N424" s="65"/>
      <c r="O424" s="65"/>
      <c r="P424" s="65"/>
      <c r="Q424" s="65"/>
      <c r="R424" s="65"/>
      <c r="S424" s="65"/>
      <c r="T424" s="65"/>
      <c r="U424" s="65"/>
      <c r="V424" s="65"/>
      <c r="W424" s="65"/>
      <c r="X424" s="65"/>
      <c r="Y424" s="65"/>
      <c r="Z424" s="65"/>
      <c r="AA424" s="65"/>
      <c r="AB424" s="65"/>
      <c r="AC424" s="65"/>
      <c r="AD424" s="65"/>
      <c r="AE424" s="65"/>
      <c r="AF424" s="65"/>
      <c r="AG424" s="65"/>
      <c r="AH424" s="65"/>
      <c r="AI424" s="65"/>
      <c r="AJ424" s="65"/>
      <c r="AK424" s="65"/>
      <c r="AL424" s="65"/>
      <c r="AM424" s="65"/>
      <c r="AN424" s="65"/>
    </row>
    <row r="425" spans="10:40" ht="14.5" x14ac:dyDescent="0.35">
      <c r="J425" s="65"/>
      <c r="K425" s="65"/>
      <c r="L425" s="65"/>
      <c r="M425" s="65"/>
      <c r="N425" s="65"/>
      <c r="O425" s="65"/>
      <c r="P425" s="65"/>
      <c r="Q425" s="65"/>
      <c r="R425" s="65"/>
      <c r="S425" s="65"/>
      <c r="T425" s="65"/>
      <c r="U425" s="65"/>
      <c r="V425" s="65"/>
      <c r="W425" s="65"/>
      <c r="X425" s="65"/>
      <c r="Y425" s="65"/>
      <c r="Z425" s="65"/>
      <c r="AA425" s="65"/>
      <c r="AB425" s="65"/>
      <c r="AC425" s="65"/>
      <c r="AD425" s="65"/>
      <c r="AE425" s="65"/>
      <c r="AF425" s="65"/>
      <c r="AG425" s="65"/>
      <c r="AH425" s="65"/>
      <c r="AI425" s="65"/>
      <c r="AJ425" s="65"/>
      <c r="AK425" s="65"/>
      <c r="AL425" s="65"/>
      <c r="AM425" s="65"/>
      <c r="AN425" s="65"/>
    </row>
    <row r="426" spans="10:40" ht="14.5" x14ac:dyDescent="0.35">
      <c r="J426" s="65"/>
      <c r="K426" s="65"/>
      <c r="L426" s="65"/>
      <c r="M426" s="65"/>
      <c r="N426" s="65"/>
      <c r="O426" s="65"/>
      <c r="P426" s="65"/>
      <c r="Q426" s="65"/>
      <c r="R426" s="65"/>
      <c r="S426" s="65"/>
      <c r="T426" s="65"/>
      <c r="U426" s="65"/>
      <c r="V426" s="65"/>
      <c r="W426" s="65"/>
      <c r="X426" s="65"/>
      <c r="Y426" s="65"/>
      <c r="Z426" s="65"/>
      <c r="AA426" s="65"/>
      <c r="AB426" s="65"/>
      <c r="AC426" s="65"/>
      <c r="AD426" s="65"/>
      <c r="AE426" s="65"/>
      <c r="AF426" s="65"/>
      <c r="AG426" s="65"/>
      <c r="AH426" s="65"/>
      <c r="AI426" s="65"/>
      <c r="AJ426" s="65"/>
      <c r="AK426" s="65"/>
      <c r="AL426" s="65"/>
      <c r="AM426" s="65"/>
      <c r="AN426" s="65"/>
    </row>
    <row r="427" spans="10:40" ht="14.5" x14ac:dyDescent="0.35">
      <c r="J427" s="65"/>
      <c r="K427" s="65"/>
      <c r="L427" s="65"/>
      <c r="M427" s="65"/>
      <c r="N427" s="65"/>
      <c r="O427" s="65"/>
      <c r="P427" s="65"/>
      <c r="Q427" s="65"/>
      <c r="R427" s="65"/>
      <c r="S427" s="65"/>
      <c r="T427" s="65"/>
      <c r="U427" s="65"/>
      <c r="V427" s="65"/>
      <c r="W427" s="65"/>
      <c r="X427" s="65"/>
      <c r="Y427" s="65"/>
      <c r="Z427" s="65"/>
      <c r="AA427" s="65"/>
      <c r="AB427" s="65"/>
      <c r="AC427" s="65"/>
      <c r="AD427" s="65"/>
      <c r="AE427" s="65"/>
      <c r="AF427" s="65"/>
      <c r="AG427" s="65"/>
      <c r="AH427" s="65"/>
      <c r="AI427" s="65"/>
      <c r="AJ427" s="65"/>
      <c r="AK427" s="65"/>
      <c r="AL427" s="65"/>
      <c r="AM427" s="65"/>
      <c r="AN427" s="65"/>
    </row>
    <row r="428" spans="10:40" ht="14.5" x14ac:dyDescent="0.35">
      <c r="J428" s="65"/>
      <c r="K428" s="65"/>
      <c r="L428" s="65"/>
      <c r="M428" s="65"/>
      <c r="N428" s="65"/>
      <c r="O428" s="65"/>
      <c r="P428" s="65"/>
      <c r="Q428" s="65"/>
      <c r="R428" s="65"/>
      <c r="S428" s="65"/>
      <c r="T428" s="65"/>
      <c r="U428" s="65"/>
      <c r="V428" s="65"/>
      <c r="W428" s="65"/>
      <c r="X428" s="65"/>
      <c r="Y428" s="65"/>
      <c r="Z428" s="65"/>
      <c r="AA428" s="65"/>
      <c r="AB428" s="65"/>
      <c r="AC428" s="65"/>
      <c r="AD428" s="65"/>
      <c r="AE428" s="65"/>
      <c r="AF428" s="65"/>
      <c r="AG428" s="65"/>
      <c r="AH428" s="65"/>
      <c r="AI428" s="65"/>
      <c r="AJ428" s="65"/>
      <c r="AK428" s="65"/>
      <c r="AL428" s="65"/>
      <c r="AM428" s="65"/>
      <c r="AN428" s="65"/>
    </row>
    <row r="429" spans="10:40" ht="14.5" x14ac:dyDescent="0.35">
      <c r="J429" s="65"/>
      <c r="K429" s="65"/>
      <c r="L429" s="65"/>
      <c r="M429" s="65"/>
      <c r="N429" s="65"/>
      <c r="O429" s="65"/>
      <c r="P429" s="65"/>
      <c r="Q429" s="65"/>
      <c r="R429" s="65"/>
      <c r="S429" s="65"/>
      <c r="T429" s="65"/>
      <c r="U429" s="65"/>
      <c r="V429" s="65"/>
      <c r="W429" s="65"/>
      <c r="X429" s="65"/>
      <c r="Y429" s="65"/>
      <c r="Z429" s="65"/>
      <c r="AA429" s="65"/>
      <c r="AB429" s="65"/>
      <c r="AC429" s="65"/>
      <c r="AD429" s="65"/>
      <c r="AE429" s="65"/>
      <c r="AF429" s="65"/>
      <c r="AG429" s="65"/>
      <c r="AH429" s="65"/>
      <c r="AI429" s="65"/>
      <c r="AJ429" s="65"/>
      <c r="AK429" s="65"/>
      <c r="AL429" s="65"/>
      <c r="AM429" s="65"/>
      <c r="AN429" s="65"/>
    </row>
    <row r="430" spans="10:40" ht="14.5" x14ac:dyDescent="0.35">
      <c r="J430" s="65"/>
      <c r="K430" s="65"/>
      <c r="L430" s="65"/>
      <c r="M430" s="65"/>
      <c r="N430" s="65"/>
      <c r="O430" s="65"/>
      <c r="P430" s="65"/>
      <c r="Q430" s="65"/>
      <c r="R430" s="65"/>
      <c r="S430" s="65"/>
      <c r="T430" s="65"/>
      <c r="U430" s="65"/>
      <c r="V430" s="65"/>
      <c r="W430" s="65"/>
      <c r="X430" s="65"/>
      <c r="Y430" s="65"/>
      <c r="Z430" s="65"/>
      <c r="AA430" s="65"/>
      <c r="AB430" s="65"/>
      <c r="AC430" s="65"/>
      <c r="AD430" s="65"/>
      <c r="AE430" s="65"/>
      <c r="AF430" s="65"/>
      <c r="AG430" s="65"/>
      <c r="AH430" s="65"/>
      <c r="AI430" s="65"/>
      <c r="AJ430" s="65"/>
      <c r="AK430" s="65"/>
      <c r="AL430" s="65"/>
      <c r="AM430" s="65"/>
      <c r="AN430" s="65"/>
    </row>
    <row r="431" spans="10:40" ht="14.5" x14ac:dyDescent="0.35">
      <c r="J431" s="65"/>
      <c r="K431" s="65"/>
      <c r="L431" s="65"/>
      <c r="M431" s="65"/>
      <c r="N431" s="65"/>
      <c r="O431" s="65"/>
      <c r="P431" s="65"/>
      <c r="Q431" s="65"/>
      <c r="R431" s="65"/>
      <c r="S431" s="65"/>
      <c r="T431" s="65"/>
      <c r="U431" s="65"/>
      <c r="V431" s="65"/>
      <c r="W431" s="65"/>
      <c r="X431" s="65"/>
      <c r="Y431" s="65"/>
      <c r="Z431" s="65"/>
      <c r="AA431" s="65"/>
      <c r="AB431" s="65"/>
      <c r="AC431" s="65"/>
      <c r="AD431" s="65"/>
      <c r="AE431" s="65"/>
      <c r="AF431" s="65"/>
      <c r="AG431" s="65"/>
      <c r="AH431" s="65"/>
      <c r="AI431" s="65"/>
      <c r="AJ431" s="65"/>
      <c r="AK431" s="65"/>
      <c r="AL431" s="65"/>
      <c r="AM431" s="65"/>
      <c r="AN431" s="65"/>
    </row>
    <row r="432" spans="10:40" ht="14.5" x14ac:dyDescent="0.35">
      <c r="J432" s="65"/>
      <c r="K432" s="65"/>
      <c r="L432" s="65"/>
      <c r="M432" s="65"/>
      <c r="N432" s="65"/>
      <c r="O432" s="65"/>
      <c r="P432" s="65"/>
      <c r="Q432" s="65"/>
      <c r="R432" s="65"/>
      <c r="S432" s="65"/>
      <c r="T432" s="65"/>
      <c r="U432" s="65"/>
      <c r="V432" s="65"/>
      <c r="W432" s="65"/>
      <c r="X432" s="65"/>
      <c r="Y432" s="65"/>
      <c r="Z432" s="65"/>
      <c r="AA432" s="65"/>
      <c r="AB432" s="65"/>
      <c r="AC432" s="65"/>
      <c r="AD432" s="65"/>
      <c r="AE432" s="65"/>
      <c r="AF432" s="65"/>
      <c r="AG432" s="65"/>
      <c r="AH432" s="65"/>
      <c r="AI432" s="65"/>
      <c r="AJ432" s="65"/>
      <c r="AK432" s="65"/>
      <c r="AL432" s="65"/>
      <c r="AM432" s="65"/>
      <c r="AN432" s="65"/>
    </row>
    <row r="433" spans="10:40" ht="14.5" x14ac:dyDescent="0.35">
      <c r="J433" s="65"/>
      <c r="K433" s="65"/>
      <c r="L433" s="65"/>
      <c r="M433" s="65"/>
      <c r="N433" s="65"/>
      <c r="O433" s="65"/>
      <c r="P433" s="65"/>
      <c r="Q433" s="65"/>
      <c r="R433" s="65"/>
      <c r="S433" s="65"/>
      <c r="T433" s="65"/>
      <c r="U433" s="65"/>
      <c r="V433" s="65"/>
      <c r="W433" s="65"/>
      <c r="X433" s="65"/>
      <c r="Y433" s="65"/>
      <c r="Z433" s="65"/>
      <c r="AA433" s="65"/>
      <c r="AB433" s="65"/>
      <c r="AC433" s="65"/>
      <c r="AD433" s="65"/>
      <c r="AE433" s="65"/>
      <c r="AF433" s="65"/>
      <c r="AG433" s="65"/>
      <c r="AH433" s="65"/>
      <c r="AI433" s="65"/>
      <c r="AJ433" s="65"/>
      <c r="AK433" s="65"/>
      <c r="AL433" s="65"/>
      <c r="AM433" s="65"/>
      <c r="AN433" s="65"/>
    </row>
    <row r="434" spans="10:40" ht="14.5" x14ac:dyDescent="0.35">
      <c r="J434" s="65"/>
      <c r="K434" s="65"/>
      <c r="L434" s="65"/>
      <c r="M434" s="65"/>
      <c r="N434" s="65"/>
      <c r="O434" s="65"/>
      <c r="P434" s="65"/>
      <c r="Q434" s="65"/>
      <c r="R434" s="65"/>
      <c r="S434" s="65"/>
      <c r="T434" s="65"/>
      <c r="U434" s="65"/>
      <c r="V434" s="65"/>
      <c r="W434" s="65"/>
      <c r="X434" s="65"/>
      <c r="Y434" s="65"/>
      <c r="Z434" s="65"/>
      <c r="AA434" s="65"/>
      <c r="AB434" s="65"/>
      <c r="AC434" s="65"/>
      <c r="AD434" s="65"/>
      <c r="AE434" s="65"/>
      <c r="AF434" s="65"/>
      <c r="AG434" s="65"/>
      <c r="AH434" s="65"/>
      <c r="AI434" s="65"/>
      <c r="AJ434" s="65"/>
      <c r="AK434" s="65"/>
      <c r="AL434" s="65"/>
      <c r="AM434" s="65"/>
      <c r="AN434" s="65"/>
    </row>
    <row r="435" spans="10:40" ht="14.5" x14ac:dyDescent="0.35">
      <c r="J435" s="65"/>
      <c r="K435" s="65"/>
      <c r="L435" s="65"/>
      <c r="M435" s="65"/>
      <c r="N435" s="65"/>
      <c r="O435" s="65"/>
      <c r="P435" s="65"/>
      <c r="Q435" s="65"/>
      <c r="R435" s="65"/>
      <c r="S435" s="65"/>
      <c r="T435" s="65"/>
      <c r="U435" s="65"/>
      <c r="V435" s="65"/>
      <c r="W435" s="65"/>
      <c r="X435" s="65"/>
      <c r="Y435" s="65"/>
      <c r="Z435" s="65"/>
      <c r="AA435" s="65"/>
      <c r="AB435" s="65"/>
      <c r="AC435" s="65"/>
      <c r="AD435" s="65"/>
      <c r="AE435" s="65"/>
      <c r="AF435" s="65"/>
      <c r="AG435" s="65"/>
      <c r="AH435" s="65"/>
      <c r="AI435" s="65"/>
      <c r="AJ435" s="65"/>
      <c r="AK435" s="65"/>
      <c r="AL435" s="65"/>
      <c r="AM435" s="65"/>
      <c r="AN435" s="65"/>
    </row>
    <row r="436" spans="10:40" ht="14.5" x14ac:dyDescent="0.35">
      <c r="J436" s="65"/>
      <c r="K436" s="65"/>
      <c r="L436" s="65"/>
      <c r="M436" s="65"/>
      <c r="N436" s="65"/>
      <c r="O436" s="65"/>
      <c r="P436" s="65"/>
      <c r="Q436" s="65"/>
      <c r="R436" s="65"/>
      <c r="S436" s="65"/>
      <c r="T436" s="65"/>
      <c r="U436" s="65"/>
      <c r="V436" s="65"/>
      <c r="W436" s="65"/>
      <c r="X436" s="65"/>
      <c r="Y436" s="65"/>
      <c r="Z436" s="65"/>
      <c r="AA436" s="65"/>
      <c r="AB436" s="65"/>
      <c r="AC436" s="65"/>
      <c r="AD436" s="65"/>
      <c r="AE436" s="65"/>
      <c r="AF436" s="65"/>
      <c r="AG436" s="65"/>
      <c r="AH436" s="65"/>
      <c r="AI436" s="65"/>
      <c r="AJ436" s="65"/>
      <c r="AK436" s="65"/>
      <c r="AL436" s="65"/>
      <c r="AM436" s="65"/>
      <c r="AN436" s="65"/>
    </row>
    <row r="437" spans="10:40" ht="14.5" x14ac:dyDescent="0.35">
      <c r="J437" s="65"/>
      <c r="K437" s="65"/>
      <c r="L437" s="65"/>
      <c r="M437" s="65"/>
      <c r="N437" s="65"/>
      <c r="O437" s="65"/>
      <c r="P437" s="65"/>
      <c r="Q437" s="65"/>
      <c r="R437" s="65"/>
      <c r="S437" s="65"/>
      <c r="T437" s="65"/>
      <c r="U437" s="65"/>
      <c r="V437" s="65"/>
      <c r="W437" s="65"/>
      <c r="X437" s="65"/>
      <c r="Y437" s="65"/>
      <c r="Z437" s="65"/>
      <c r="AA437" s="65"/>
      <c r="AB437" s="65"/>
      <c r="AC437" s="65"/>
      <c r="AD437" s="65"/>
      <c r="AE437" s="65"/>
      <c r="AF437" s="65"/>
      <c r="AG437" s="65"/>
      <c r="AH437" s="65"/>
      <c r="AI437" s="65"/>
      <c r="AJ437" s="65"/>
      <c r="AK437" s="65"/>
      <c r="AL437" s="65"/>
      <c r="AM437" s="65"/>
      <c r="AN437" s="65"/>
    </row>
    <row r="438" spans="10:40" ht="14.5" x14ac:dyDescent="0.35">
      <c r="J438" s="65"/>
      <c r="K438" s="65"/>
      <c r="L438" s="65"/>
      <c r="M438" s="65"/>
      <c r="N438" s="65"/>
      <c r="O438" s="65"/>
      <c r="P438" s="65"/>
      <c r="Q438" s="65"/>
      <c r="R438" s="65"/>
      <c r="S438" s="65"/>
      <c r="T438" s="65"/>
      <c r="U438" s="65"/>
      <c r="V438" s="65"/>
      <c r="W438" s="65"/>
      <c r="X438" s="65"/>
      <c r="Y438" s="65"/>
      <c r="Z438" s="65"/>
      <c r="AA438" s="65"/>
      <c r="AB438" s="65"/>
      <c r="AC438" s="65"/>
      <c r="AD438" s="65"/>
      <c r="AE438" s="65"/>
      <c r="AF438" s="65"/>
      <c r="AG438" s="65"/>
      <c r="AH438" s="65"/>
      <c r="AI438" s="65"/>
      <c r="AJ438" s="65"/>
      <c r="AK438" s="65"/>
      <c r="AL438" s="65"/>
      <c r="AM438" s="65"/>
      <c r="AN438" s="65"/>
    </row>
    <row r="439" spans="10:40" ht="14.5" x14ac:dyDescent="0.35">
      <c r="J439" s="65"/>
      <c r="K439" s="65"/>
      <c r="L439" s="65"/>
      <c r="M439" s="65"/>
      <c r="N439" s="65"/>
      <c r="O439" s="65"/>
      <c r="P439" s="65"/>
      <c r="Q439" s="65"/>
      <c r="R439" s="65"/>
      <c r="S439" s="65"/>
      <c r="T439" s="65"/>
      <c r="U439" s="65"/>
      <c r="V439" s="65"/>
      <c r="W439" s="65"/>
      <c r="X439" s="65"/>
      <c r="Y439" s="65"/>
      <c r="Z439" s="65"/>
      <c r="AA439" s="65"/>
      <c r="AB439" s="65"/>
      <c r="AC439" s="65"/>
      <c r="AD439" s="65"/>
      <c r="AE439" s="65"/>
      <c r="AF439" s="65"/>
      <c r="AG439" s="65"/>
      <c r="AH439" s="65"/>
      <c r="AI439" s="65"/>
      <c r="AJ439" s="65"/>
      <c r="AK439" s="65"/>
      <c r="AL439" s="65"/>
      <c r="AM439" s="65"/>
      <c r="AN439" s="65"/>
    </row>
    <row r="440" spans="10:40" ht="14.5" x14ac:dyDescent="0.35">
      <c r="J440" s="65"/>
      <c r="K440" s="65"/>
      <c r="L440" s="65"/>
      <c r="M440" s="65"/>
      <c r="N440" s="65"/>
      <c r="O440" s="65"/>
      <c r="P440" s="65"/>
      <c r="Q440" s="65"/>
      <c r="R440" s="65"/>
      <c r="S440" s="65"/>
      <c r="T440" s="65"/>
      <c r="U440" s="65"/>
      <c r="V440" s="65"/>
      <c r="W440" s="65"/>
      <c r="X440" s="65"/>
      <c r="Y440" s="65"/>
      <c r="Z440" s="65"/>
      <c r="AA440" s="65"/>
      <c r="AB440" s="65"/>
      <c r="AC440" s="65"/>
      <c r="AD440" s="65"/>
      <c r="AE440" s="65"/>
      <c r="AF440" s="65"/>
      <c r="AG440" s="65"/>
      <c r="AH440" s="65"/>
      <c r="AI440" s="65"/>
      <c r="AJ440" s="65"/>
      <c r="AK440" s="65"/>
      <c r="AL440" s="65"/>
      <c r="AM440" s="65"/>
      <c r="AN440" s="65"/>
    </row>
    <row r="441" spans="10:40" ht="14.5" x14ac:dyDescent="0.35">
      <c r="J441" s="65"/>
      <c r="K441" s="65"/>
      <c r="L441" s="65"/>
      <c r="M441" s="65"/>
      <c r="N441" s="65"/>
      <c r="O441" s="65"/>
      <c r="P441" s="65"/>
      <c r="Q441" s="65"/>
      <c r="R441" s="65"/>
      <c r="S441" s="65"/>
      <c r="T441" s="65"/>
      <c r="U441" s="65"/>
      <c r="V441" s="65"/>
      <c r="W441" s="65"/>
      <c r="X441" s="65"/>
      <c r="Y441" s="65"/>
      <c r="Z441" s="65"/>
      <c r="AA441" s="65"/>
      <c r="AB441" s="65"/>
      <c r="AC441" s="65"/>
      <c r="AD441" s="65"/>
      <c r="AE441" s="65"/>
      <c r="AF441" s="65"/>
      <c r="AG441" s="65"/>
      <c r="AH441" s="65"/>
      <c r="AI441" s="65"/>
      <c r="AJ441" s="65"/>
      <c r="AK441" s="65"/>
      <c r="AL441" s="65"/>
      <c r="AM441" s="65"/>
      <c r="AN441" s="65"/>
    </row>
    <row r="442" spans="10:40" ht="14.5" x14ac:dyDescent="0.35">
      <c r="J442" s="65"/>
      <c r="K442" s="65"/>
      <c r="L442" s="65"/>
      <c r="M442" s="65"/>
      <c r="N442" s="65"/>
      <c r="O442" s="65"/>
      <c r="P442" s="65"/>
      <c r="Q442" s="65"/>
      <c r="R442" s="65"/>
      <c r="S442" s="65"/>
      <c r="T442" s="65"/>
      <c r="U442" s="65"/>
      <c r="V442" s="65"/>
      <c r="W442" s="65"/>
      <c r="X442" s="65"/>
      <c r="Y442" s="65"/>
      <c r="Z442" s="65"/>
      <c r="AA442" s="65"/>
      <c r="AB442" s="65"/>
      <c r="AC442" s="65"/>
      <c r="AD442" s="65"/>
      <c r="AE442" s="65"/>
      <c r="AF442" s="65"/>
      <c r="AG442" s="65"/>
      <c r="AH442" s="65"/>
      <c r="AI442" s="65"/>
      <c r="AJ442" s="65"/>
      <c r="AK442" s="65"/>
      <c r="AL442" s="65"/>
      <c r="AM442" s="65"/>
      <c r="AN442" s="65"/>
    </row>
    <row r="443" spans="10:40" ht="14.5" x14ac:dyDescent="0.35">
      <c r="J443" s="65"/>
      <c r="K443" s="65"/>
      <c r="L443" s="65"/>
      <c r="M443" s="65"/>
      <c r="N443" s="65"/>
      <c r="O443" s="65"/>
      <c r="P443" s="65"/>
      <c r="Q443" s="65"/>
      <c r="R443" s="65"/>
      <c r="S443" s="65"/>
      <c r="T443" s="65"/>
      <c r="U443" s="65"/>
      <c r="V443" s="65"/>
      <c r="W443" s="65"/>
      <c r="X443" s="65"/>
      <c r="Y443" s="65"/>
      <c r="Z443" s="65"/>
      <c r="AA443" s="65"/>
      <c r="AB443" s="65"/>
      <c r="AC443" s="65"/>
      <c r="AD443" s="65"/>
      <c r="AE443" s="65"/>
      <c r="AF443" s="65"/>
      <c r="AG443" s="65"/>
      <c r="AH443" s="65"/>
      <c r="AI443" s="65"/>
      <c r="AJ443" s="65"/>
      <c r="AK443" s="65"/>
      <c r="AL443" s="65"/>
      <c r="AM443" s="65"/>
      <c r="AN443" s="65"/>
    </row>
    <row r="444" spans="10:40" ht="14.5" x14ac:dyDescent="0.35">
      <c r="J444" s="65"/>
      <c r="K444" s="65"/>
      <c r="L444" s="65"/>
      <c r="M444" s="65"/>
      <c r="N444" s="65"/>
      <c r="O444" s="65"/>
      <c r="P444" s="65"/>
      <c r="Q444" s="65"/>
      <c r="R444" s="65"/>
      <c r="S444" s="65"/>
      <c r="T444" s="65"/>
      <c r="U444" s="65"/>
      <c r="V444" s="65"/>
      <c r="W444" s="65"/>
      <c r="X444" s="65"/>
      <c r="Y444" s="65"/>
      <c r="Z444" s="65"/>
      <c r="AA444" s="65"/>
      <c r="AB444" s="65"/>
      <c r="AC444" s="65"/>
      <c r="AD444" s="65"/>
      <c r="AE444" s="65"/>
      <c r="AF444" s="65"/>
      <c r="AG444" s="65"/>
      <c r="AH444" s="65"/>
      <c r="AI444" s="65"/>
      <c r="AJ444" s="65"/>
      <c r="AK444" s="65"/>
      <c r="AL444" s="65"/>
      <c r="AM444" s="65"/>
      <c r="AN444" s="65"/>
    </row>
    <row r="445" spans="10:40" ht="14.5" x14ac:dyDescent="0.35">
      <c r="J445" s="65"/>
      <c r="K445" s="65"/>
      <c r="L445" s="65"/>
      <c r="M445" s="65"/>
      <c r="N445" s="65"/>
      <c r="O445" s="65"/>
      <c r="P445" s="65"/>
      <c r="Q445" s="65"/>
      <c r="R445" s="65"/>
      <c r="S445" s="65"/>
      <c r="T445" s="65"/>
      <c r="U445" s="65"/>
      <c r="V445" s="65"/>
      <c r="W445" s="65"/>
      <c r="X445" s="65"/>
      <c r="Y445" s="65"/>
      <c r="Z445" s="65"/>
      <c r="AA445" s="65"/>
      <c r="AB445" s="65"/>
      <c r="AC445" s="65"/>
      <c r="AD445" s="65"/>
      <c r="AE445" s="65"/>
      <c r="AF445" s="65"/>
      <c r="AG445" s="65"/>
      <c r="AH445" s="65"/>
      <c r="AI445" s="65"/>
      <c r="AJ445" s="65"/>
      <c r="AK445" s="65"/>
      <c r="AL445" s="65"/>
      <c r="AM445" s="65"/>
      <c r="AN445" s="65"/>
    </row>
    <row r="446" spans="10:40" ht="14.5" x14ac:dyDescent="0.35">
      <c r="J446" s="65"/>
      <c r="K446" s="65"/>
      <c r="L446" s="65"/>
      <c r="M446" s="65"/>
      <c r="N446" s="65"/>
      <c r="O446" s="65"/>
      <c r="P446" s="65"/>
      <c r="Q446" s="65"/>
      <c r="R446" s="65"/>
      <c r="S446" s="65"/>
      <c r="T446" s="65"/>
      <c r="U446" s="65"/>
      <c r="V446" s="65"/>
      <c r="W446" s="65"/>
      <c r="X446" s="65"/>
      <c r="Y446" s="65"/>
      <c r="Z446" s="65"/>
      <c r="AA446" s="65"/>
      <c r="AB446" s="65"/>
      <c r="AC446" s="65"/>
      <c r="AD446" s="65"/>
      <c r="AE446" s="65"/>
      <c r="AF446" s="65"/>
      <c r="AG446" s="65"/>
      <c r="AH446" s="65"/>
      <c r="AI446" s="65"/>
      <c r="AJ446" s="65"/>
      <c r="AK446" s="65"/>
      <c r="AL446" s="65"/>
      <c r="AM446" s="65"/>
      <c r="AN446" s="65"/>
    </row>
    <row r="447" spans="10:40" ht="14.5" x14ac:dyDescent="0.35">
      <c r="J447" s="65"/>
      <c r="K447" s="65"/>
      <c r="L447" s="65"/>
      <c r="M447" s="65"/>
      <c r="N447" s="65"/>
      <c r="O447" s="65"/>
      <c r="P447" s="65"/>
      <c r="Q447" s="65"/>
      <c r="R447" s="65"/>
      <c r="S447" s="65"/>
      <c r="T447" s="65"/>
      <c r="U447" s="65"/>
      <c r="V447" s="65"/>
      <c r="W447" s="65"/>
      <c r="X447" s="65"/>
      <c r="Y447" s="65"/>
      <c r="Z447" s="65"/>
      <c r="AA447" s="65"/>
      <c r="AB447" s="65"/>
      <c r="AC447" s="65"/>
      <c r="AD447" s="65"/>
      <c r="AE447" s="65"/>
      <c r="AF447" s="65"/>
      <c r="AG447" s="65"/>
      <c r="AH447" s="65"/>
      <c r="AI447" s="65"/>
      <c r="AJ447" s="65"/>
      <c r="AK447" s="65"/>
      <c r="AL447" s="65"/>
      <c r="AM447" s="65"/>
      <c r="AN447" s="65"/>
    </row>
    <row r="448" spans="10:40" ht="14.5" x14ac:dyDescent="0.35">
      <c r="J448" s="65"/>
      <c r="K448" s="65"/>
      <c r="L448" s="65"/>
      <c r="M448" s="65"/>
      <c r="N448" s="65"/>
      <c r="O448" s="65"/>
      <c r="P448" s="65"/>
      <c r="Q448" s="65"/>
      <c r="R448" s="65"/>
      <c r="S448" s="65"/>
      <c r="T448" s="65"/>
      <c r="U448" s="65"/>
      <c r="V448" s="65"/>
      <c r="W448" s="65"/>
      <c r="X448" s="65"/>
      <c r="Y448" s="65"/>
      <c r="Z448" s="65"/>
      <c r="AA448" s="65"/>
      <c r="AB448" s="65"/>
      <c r="AC448" s="65"/>
      <c r="AD448" s="65"/>
      <c r="AE448" s="65"/>
      <c r="AF448" s="65"/>
      <c r="AG448" s="65"/>
      <c r="AH448" s="65"/>
      <c r="AI448" s="65"/>
      <c r="AJ448" s="65"/>
      <c r="AK448" s="65"/>
      <c r="AL448" s="65"/>
      <c r="AM448" s="65"/>
      <c r="AN448" s="65"/>
    </row>
    <row r="449" spans="10:40" ht="14.5" x14ac:dyDescent="0.35">
      <c r="J449" s="65"/>
      <c r="K449" s="65"/>
      <c r="L449" s="65"/>
      <c r="M449" s="65"/>
      <c r="N449" s="65"/>
      <c r="O449" s="65"/>
      <c r="P449" s="65"/>
      <c r="Q449" s="65"/>
      <c r="R449" s="65"/>
      <c r="S449" s="65"/>
      <c r="T449" s="65"/>
      <c r="U449" s="65"/>
      <c r="V449" s="65"/>
      <c r="W449" s="65"/>
      <c r="X449" s="65"/>
      <c r="Y449" s="65"/>
      <c r="Z449" s="65"/>
      <c r="AA449" s="65"/>
      <c r="AB449" s="65"/>
      <c r="AC449" s="65"/>
      <c r="AD449" s="65"/>
      <c r="AE449" s="65"/>
      <c r="AF449" s="65"/>
      <c r="AG449" s="65"/>
      <c r="AH449" s="65"/>
      <c r="AI449" s="65"/>
      <c r="AJ449" s="65"/>
      <c r="AK449" s="65"/>
      <c r="AL449" s="65"/>
      <c r="AM449" s="65"/>
      <c r="AN449" s="65"/>
    </row>
    <row r="450" spans="10:40" ht="14.5" x14ac:dyDescent="0.35">
      <c r="J450" s="65"/>
      <c r="K450" s="65"/>
      <c r="L450" s="65"/>
      <c r="M450" s="65"/>
      <c r="N450" s="65"/>
      <c r="O450" s="65"/>
      <c r="P450" s="65"/>
      <c r="Q450" s="65"/>
      <c r="R450" s="65"/>
      <c r="S450" s="65"/>
      <c r="T450" s="65"/>
      <c r="U450" s="65"/>
      <c r="V450" s="65"/>
      <c r="W450" s="65"/>
      <c r="X450" s="65"/>
      <c r="Y450" s="65"/>
      <c r="Z450" s="65"/>
      <c r="AA450" s="65"/>
      <c r="AB450" s="65"/>
      <c r="AC450" s="65"/>
      <c r="AD450" s="65"/>
      <c r="AE450" s="65"/>
      <c r="AF450" s="65"/>
      <c r="AG450" s="65"/>
      <c r="AH450" s="65"/>
      <c r="AI450" s="65"/>
      <c r="AJ450" s="65"/>
      <c r="AK450" s="65"/>
      <c r="AL450" s="65"/>
      <c r="AM450" s="65"/>
      <c r="AN450" s="65"/>
    </row>
    <row r="451" spans="10:40" ht="14.5" x14ac:dyDescent="0.35">
      <c r="J451" s="65"/>
      <c r="K451" s="65"/>
      <c r="L451" s="65"/>
      <c r="M451" s="65"/>
      <c r="N451" s="65"/>
      <c r="O451" s="65"/>
      <c r="P451" s="65"/>
      <c r="Q451" s="65"/>
      <c r="R451" s="65"/>
      <c r="S451" s="65"/>
      <c r="T451" s="65"/>
      <c r="U451" s="65"/>
      <c r="V451" s="65"/>
      <c r="W451" s="65"/>
      <c r="X451" s="65"/>
      <c r="Y451" s="65"/>
      <c r="Z451" s="65"/>
      <c r="AA451" s="65"/>
      <c r="AB451" s="65"/>
      <c r="AC451" s="65"/>
      <c r="AD451" s="65"/>
      <c r="AE451" s="65"/>
      <c r="AF451" s="65"/>
      <c r="AG451" s="65"/>
      <c r="AH451" s="65"/>
      <c r="AI451" s="65"/>
      <c r="AJ451" s="65"/>
      <c r="AK451" s="65"/>
      <c r="AL451" s="65"/>
      <c r="AM451" s="65"/>
      <c r="AN451" s="65"/>
    </row>
    <row r="452" spans="10:40" ht="14.5" x14ac:dyDescent="0.35">
      <c r="J452" s="65"/>
      <c r="K452" s="65"/>
      <c r="L452" s="65"/>
      <c r="M452" s="65"/>
      <c r="N452" s="65"/>
      <c r="O452" s="65"/>
      <c r="P452" s="65"/>
      <c r="Q452" s="65"/>
      <c r="R452" s="65"/>
      <c r="S452" s="65"/>
      <c r="T452" s="65"/>
      <c r="U452" s="65"/>
      <c r="V452" s="65"/>
      <c r="W452" s="65"/>
      <c r="X452" s="65"/>
      <c r="Y452" s="65"/>
      <c r="Z452" s="65"/>
      <c r="AA452" s="65"/>
      <c r="AB452" s="65"/>
      <c r="AC452" s="65"/>
      <c r="AD452" s="65"/>
      <c r="AE452" s="65"/>
      <c r="AF452" s="65"/>
      <c r="AG452" s="65"/>
      <c r="AH452" s="65"/>
      <c r="AI452" s="65"/>
      <c r="AJ452" s="65"/>
      <c r="AK452" s="65"/>
      <c r="AL452" s="65"/>
      <c r="AM452" s="65"/>
      <c r="AN452" s="65"/>
    </row>
    <row r="453" spans="10:40" ht="14.5" x14ac:dyDescent="0.35">
      <c r="J453" s="65"/>
      <c r="K453" s="65"/>
      <c r="L453" s="65"/>
      <c r="M453" s="65"/>
      <c r="N453" s="65"/>
      <c r="O453" s="65"/>
      <c r="P453" s="65"/>
      <c r="Q453" s="65"/>
      <c r="R453" s="65"/>
      <c r="S453" s="65"/>
      <c r="T453" s="65"/>
      <c r="U453" s="65"/>
      <c r="V453" s="65"/>
      <c r="W453" s="65"/>
      <c r="X453" s="65"/>
      <c r="Y453" s="65"/>
      <c r="Z453" s="65"/>
      <c r="AA453" s="65"/>
      <c r="AB453" s="65"/>
      <c r="AC453" s="65"/>
      <c r="AD453" s="65"/>
      <c r="AE453" s="65"/>
      <c r="AF453" s="65"/>
      <c r="AG453" s="65"/>
      <c r="AH453" s="65"/>
      <c r="AI453" s="65"/>
      <c r="AJ453" s="65"/>
      <c r="AK453" s="65"/>
      <c r="AL453" s="65"/>
      <c r="AM453" s="65"/>
      <c r="AN453" s="65"/>
    </row>
    <row r="454" spans="10:40" ht="14.5" x14ac:dyDescent="0.35">
      <c r="J454" s="65"/>
      <c r="K454" s="65"/>
      <c r="L454" s="65"/>
      <c r="M454" s="65"/>
      <c r="N454" s="65"/>
      <c r="O454" s="65"/>
      <c r="P454" s="65"/>
      <c r="Q454" s="65"/>
      <c r="R454" s="65"/>
      <c r="S454" s="65"/>
      <c r="T454" s="65"/>
      <c r="U454" s="65"/>
      <c r="V454" s="65"/>
      <c r="W454" s="65"/>
      <c r="X454" s="65"/>
      <c r="Y454" s="65"/>
      <c r="Z454" s="65"/>
      <c r="AA454" s="65"/>
      <c r="AB454" s="65"/>
      <c r="AC454" s="65"/>
      <c r="AD454" s="65"/>
      <c r="AE454" s="65"/>
      <c r="AF454" s="65"/>
      <c r="AG454" s="65"/>
      <c r="AH454" s="65"/>
      <c r="AI454" s="65"/>
      <c r="AJ454" s="65"/>
      <c r="AK454" s="65"/>
      <c r="AL454" s="65"/>
      <c r="AM454" s="65"/>
      <c r="AN454" s="65"/>
    </row>
    <row r="455" spans="10:40" ht="14.5" x14ac:dyDescent="0.35">
      <c r="J455" s="65"/>
      <c r="K455" s="65"/>
      <c r="L455" s="65"/>
      <c r="M455" s="65"/>
      <c r="N455" s="65"/>
      <c r="O455" s="65"/>
      <c r="P455" s="65"/>
      <c r="Q455" s="65"/>
      <c r="R455" s="65"/>
      <c r="S455" s="65"/>
      <c r="T455" s="65"/>
      <c r="U455" s="65"/>
      <c r="V455" s="65"/>
      <c r="W455" s="65"/>
      <c r="X455" s="65"/>
      <c r="Y455" s="65"/>
      <c r="Z455" s="65"/>
      <c r="AA455" s="65"/>
      <c r="AB455" s="65"/>
      <c r="AC455" s="65"/>
      <c r="AD455" s="65"/>
      <c r="AE455" s="65"/>
      <c r="AF455" s="65"/>
      <c r="AG455" s="65"/>
      <c r="AH455" s="65"/>
      <c r="AI455" s="65"/>
      <c r="AJ455" s="65"/>
      <c r="AK455" s="65"/>
      <c r="AL455" s="65"/>
      <c r="AM455" s="65"/>
      <c r="AN455" s="65"/>
    </row>
    <row r="456" spans="10:40" ht="14.5" x14ac:dyDescent="0.35">
      <c r="J456" s="65"/>
      <c r="K456" s="65"/>
      <c r="L456" s="65"/>
      <c r="M456" s="65"/>
      <c r="N456" s="65"/>
      <c r="O456" s="65"/>
      <c r="P456" s="65"/>
      <c r="Q456" s="65"/>
      <c r="R456" s="65"/>
      <c r="S456" s="65"/>
      <c r="T456" s="65"/>
      <c r="U456" s="65"/>
      <c r="V456" s="65"/>
      <c r="W456" s="65"/>
      <c r="X456" s="65"/>
      <c r="Y456" s="65"/>
      <c r="Z456" s="65"/>
      <c r="AA456" s="65"/>
      <c r="AB456" s="65"/>
      <c r="AC456" s="65"/>
      <c r="AD456" s="65"/>
      <c r="AE456" s="65"/>
      <c r="AF456" s="65"/>
      <c r="AG456" s="65"/>
      <c r="AH456" s="65"/>
      <c r="AI456" s="65"/>
      <c r="AJ456" s="65"/>
      <c r="AK456" s="65"/>
      <c r="AL456" s="65"/>
      <c r="AM456" s="65"/>
      <c r="AN456" s="65"/>
    </row>
    <row r="457" spans="10:40" ht="14.5" x14ac:dyDescent="0.35">
      <c r="J457" s="65"/>
      <c r="K457" s="65"/>
      <c r="L457" s="65"/>
      <c r="M457" s="65"/>
      <c r="N457" s="65"/>
      <c r="O457" s="65"/>
      <c r="P457" s="65"/>
      <c r="Q457" s="65"/>
      <c r="R457" s="65"/>
      <c r="S457" s="65"/>
      <c r="T457" s="65"/>
      <c r="U457" s="65"/>
      <c r="V457" s="65"/>
      <c r="W457" s="65"/>
      <c r="X457" s="65"/>
      <c r="Y457" s="65"/>
      <c r="Z457" s="65"/>
      <c r="AA457" s="65"/>
      <c r="AB457" s="65"/>
      <c r="AC457" s="65"/>
      <c r="AD457" s="65"/>
      <c r="AE457" s="65"/>
      <c r="AF457" s="65"/>
      <c r="AG457" s="65"/>
      <c r="AH457" s="65"/>
      <c r="AI457" s="65"/>
      <c r="AJ457" s="65"/>
      <c r="AK457" s="65"/>
      <c r="AL457" s="65"/>
      <c r="AM457" s="65"/>
      <c r="AN457" s="65"/>
    </row>
    <row r="458" spans="10:40" ht="14.5" x14ac:dyDescent="0.35">
      <c r="J458" s="65"/>
      <c r="K458" s="65"/>
      <c r="L458" s="65"/>
      <c r="M458" s="65"/>
      <c r="N458" s="65"/>
      <c r="O458" s="65"/>
      <c r="P458" s="65"/>
      <c r="Q458" s="65"/>
      <c r="R458" s="65"/>
      <c r="S458" s="65"/>
      <c r="T458" s="65"/>
      <c r="U458" s="65"/>
      <c r="V458" s="65"/>
      <c r="W458" s="65"/>
      <c r="X458" s="65"/>
      <c r="Y458" s="65"/>
      <c r="Z458" s="65"/>
      <c r="AA458" s="65"/>
      <c r="AB458" s="65"/>
      <c r="AC458" s="65"/>
      <c r="AD458" s="65"/>
      <c r="AE458" s="65"/>
      <c r="AF458" s="65"/>
      <c r="AG458" s="65"/>
      <c r="AH458" s="65"/>
      <c r="AI458" s="65"/>
      <c r="AJ458" s="65"/>
      <c r="AK458" s="65"/>
      <c r="AL458" s="65"/>
      <c r="AM458" s="65"/>
      <c r="AN458" s="65"/>
    </row>
    <row r="459" spans="10:40" ht="14.5" x14ac:dyDescent="0.35">
      <c r="J459" s="65"/>
      <c r="K459" s="65"/>
      <c r="L459" s="65"/>
      <c r="M459" s="65"/>
      <c r="N459" s="65"/>
      <c r="O459" s="65"/>
      <c r="P459" s="65"/>
      <c r="Q459" s="65"/>
      <c r="R459" s="65"/>
      <c r="S459" s="65"/>
      <c r="T459" s="65"/>
      <c r="U459" s="65"/>
      <c r="V459" s="65"/>
      <c r="W459" s="65"/>
      <c r="X459" s="65"/>
      <c r="Y459" s="65"/>
      <c r="Z459" s="65"/>
      <c r="AA459" s="65"/>
      <c r="AB459" s="65"/>
      <c r="AC459" s="65"/>
      <c r="AD459" s="65"/>
      <c r="AE459" s="65"/>
      <c r="AF459" s="65"/>
      <c r="AG459" s="65"/>
      <c r="AH459" s="65"/>
      <c r="AI459" s="65"/>
      <c r="AJ459" s="65"/>
      <c r="AK459" s="65"/>
      <c r="AL459" s="65"/>
      <c r="AM459" s="65"/>
      <c r="AN459" s="65"/>
    </row>
    <row r="460" spans="10:40" ht="14.5" x14ac:dyDescent="0.35">
      <c r="J460" s="65"/>
      <c r="K460" s="65"/>
      <c r="L460" s="65"/>
      <c r="M460" s="65"/>
      <c r="N460" s="65"/>
      <c r="O460" s="65"/>
      <c r="P460" s="65"/>
      <c r="Q460" s="65"/>
      <c r="R460" s="65"/>
      <c r="S460" s="65"/>
      <c r="T460" s="65"/>
      <c r="U460" s="65"/>
      <c r="V460" s="65"/>
      <c r="W460" s="65"/>
      <c r="X460" s="65"/>
      <c r="Y460" s="65"/>
      <c r="Z460" s="65"/>
      <c r="AA460" s="65"/>
      <c r="AB460" s="65"/>
      <c r="AC460" s="65"/>
      <c r="AD460" s="65"/>
      <c r="AE460" s="65"/>
      <c r="AF460" s="65"/>
      <c r="AG460" s="65"/>
      <c r="AH460" s="65"/>
      <c r="AI460" s="65"/>
      <c r="AJ460" s="65"/>
      <c r="AK460" s="65"/>
      <c r="AL460" s="65"/>
      <c r="AM460" s="65"/>
      <c r="AN460" s="65"/>
    </row>
    <row r="461" spans="10:40" ht="14.5" x14ac:dyDescent="0.35">
      <c r="J461" s="65"/>
      <c r="K461" s="65"/>
      <c r="L461" s="65"/>
      <c r="M461" s="65"/>
      <c r="N461" s="65"/>
      <c r="O461" s="65"/>
      <c r="P461" s="65"/>
      <c r="Q461" s="65"/>
      <c r="R461" s="65"/>
      <c r="S461" s="65"/>
      <c r="T461" s="65"/>
      <c r="U461" s="65"/>
      <c r="V461" s="65"/>
      <c r="W461" s="65"/>
      <c r="X461" s="65"/>
      <c r="Y461" s="65"/>
      <c r="Z461" s="65"/>
      <c r="AA461" s="65"/>
      <c r="AB461" s="65"/>
      <c r="AC461" s="65"/>
      <c r="AD461" s="65"/>
      <c r="AE461" s="65"/>
      <c r="AF461" s="65"/>
      <c r="AG461" s="65"/>
      <c r="AH461" s="65"/>
      <c r="AI461" s="65"/>
      <c r="AJ461" s="65"/>
      <c r="AK461" s="65"/>
      <c r="AL461" s="65"/>
      <c r="AM461" s="65"/>
      <c r="AN461" s="65"/>
    </row>
    <row r="462" spans="10:40" ht="14.5" x14ac:dyDescent="0.35">
      <c r="J462" s="65"/>
      <c r="K462" s="65"/>
      <c r="L462" s="65"/>
      <c r="M462" s="65"/>
      <c r="N462" s="65"/>
      <c r="O462" s="65"/>
      <c r="P462" s="65"/>
      <c r="Q462" s="65"/>
      <c r="R462" s="65"/>
      <c r="S462" s="65"/>
      <c r="T462" s="65"/>
      <c r="U462" s="65"/>
      <c r="V462" s="65"/>
      <c r="W462" s="65"/>
      <c r="X462" s="65"/>
      <c r="Y462" s="65"/>
      <c r="Z462" s="65"/>
      <c r="AA462" s="65"/>
      <c r="AB462" s="65"/>
      <c r="AC462" s="65"/>
      <c r="AD462" s="65"/>
      <c r="AE462" s="65"/>
      <c r="AF462" s="65"/>
      <c r="AG462" s="65"/>
      <c r="AH462" s="65"/>
      <c r="AI462" s="65"/>
      <c r="AJ462" s="65"/>
      <c r="AK462" s="65"/>
      <c r="AL462" s="65"/>
      <c r="AM462" s="65"/>
      <c r="AN462" s="65"/>
    </row>
    <row r="463" spans="10:40" ht="14.5" x14ac:dyDescent="0.35">
      <c r="J463" s="65"/>
      <c r="K463" s="65"/>
      <c r="L463" s="65"/>
      <c r="M463" s="65"/>
      <c r="N463" s="65"/>
      <c r="O463" s="65"/>
      <c r="P463" s="65"/>
      <c r="Q463" s="65"/>
      <c r="R463" s="65"/>
      <c r="S463" s="65"/>
      <c r="T463" s="65"/>
      <c r="U463" s="65"/>
      <c r="V463" s="65"/>
      <c r="W463" s="65"/>
      <c r="X463" s="65"/>
      <c r="Y463" s="65"/>
      <c r="Z463" s="65"/>
      <c r="AA463" s="65"/>
      <c r="AB463" s="65"/>
      <c r="AC463" s="65"/>
      <c r="AD463" s="65"/>
      <c r="AE463" s="65"/>
      <c r="AF463" s="65"/>
      <c r="AG463" s="65"/>
      <c r="AH463" s="65"/>
      <c r="AI463" s="65"/>
      <c r="AJ463" s="65"/>
      <c r="AK463" s="65"/>
      <c r="AL463" s="65"/>
      <c r="AM463" s="65"/>
      <c r="AN463" s="65"/>
    </row>
    <row r="464" spans="10:40" ht="14.5" x14ac:dyDescent="0.35">
      <c r="J464" s="65"/>
      <c r="K464" s="65"/>
      <c r="L464" s="65"/>
      <c r="M464" s="65"/>
      <c r="N464" s="65"/>
      <c r="O464" s="65"/>
      <c r="P464" s="65"/>
      <c r="Q464" s="65"/>
      <c r="R464" s="65"/>
      <c r="S464" s="65"/>
      <c r="T464" s="65"/>
      <c r="U464" s="65"/>
      <c r="V464" s="65"/>
      <c r="W464" s="65"/>
      <c r="X464" s="65"/>
      <c r="Y464" s="65"/>
      <c r="Z464" s="65"/>
      <c r="AA464" s="65"/>
      <c r="AB464" s="65"/>
      <c r="AC464" s="65"/>
      <c r="AD464" s="65"/>
      <c r="AE464" s="65"/>
      <c r="AF464" s="65"/>
      <c r="AG464" s="65"/>
      <c r="AH464" s="65"/>
      <c r="AI464" s="65"/>
      <c r="AJ464" s="65"/>
      <c r="AK464" s="65"/>
      <c r="AL464" s="65"/>
      <c r="AM464" s="65"/>
      <c r="AN464" s="65"/>
    </row>
    <row r="465" spans="10:40" ht="14.5" x14ac:dyDescent="0.35">
      <c r="J465" s="65"/>
      <c r="K465" s="65"/>
      <c r="L465" s="65"/>
      <c r="M465" s="65"/>
      <c r="N465" s="65"/>
      <c r="O465" s="65"/>
      <c r="P465" s="65"/>
      <c r="Q465" s="65"/>
      <c r="R465" s="65"/>
      <c r="S465" s="65"/>
      <c r="T465" s="65"/>
      <c r="U465" s="65"/>
      <c r="V465" s="65"/>
      <c r="W465" s="65"/>
      <c r="X465" s="65"/>
      <c r="Y465" s="65"/>
      <c r="Z465" s="65"/>
      <c r="AA465" s="65"/>
      <c r="AB465" s="65"/>
      <c r="AC465" s="65"/>
      <c r="AD465" s="65"/>
      <c r="AE465" s="65"/>
      <c r="AF465" s="65"/>
      <c r="AG465" s="65"/>
      <c r="AH465" s="65"/>
      <c r="AI465" s="65"/>
      <c r="AJ465" s="65"/>
      <c r="AK465" s="65"/>
      <c r="AL465" s="65"/>
      <c r="AM465" s="65"/>
      <c r="AN465" s="65"/>
    </row>
    <row r="466" spans="10:40" ht="14.5" x14ac:dyDescent="0.35">
      <c r="J466" s="65"/>
      <c r="K466" s="65"/>
      <c r="L466" s="65"/>
      <c r="M466" s="65"/>
      <c r="N466" s="65"/>
      <c r="O466" s="65"/>
      <c r="P466" s="65"/>
      <c r="Q466" s="65"/>
      <c r="R466" s="65"/>
      <c r="S466" s="65"/>
      <c r="T466" s="65"/>
      <c r="U466" s="65"/>
      <c r="V466" s="65"/>
      <c r="W466" s="65"/>
      <c r="X466" s="65"/>
      <c r="Y466" s="65"/>
      <c r="Z466" s="65"/>
      <c r="AA466" s="65"/>
      <c r="AB466" s="65"/>
      <c r="AC466" s="65"/>
      <c r="AD466" s="65"/>
      <c r="AE466" s="65"/>
      <c r="AF466" s="65"/>
      <c r="AG466" s="65"/>
      <c r="AH466" s="65"/>
      <c r="AI466" s="65"/>
      <c r="AJ466" s="65"/>
      <c r="AK466" s="65"/>
      <c r="AL466" s="65"/>
      <c r="AM466" s="65"/>
      <c r="AN466" s="65"/>
    </row>
    <row r="467" spans="10:40" ht="14.5" x14ac:dyDescent="0.35">
      <c r="J467" s="65"/>
      <c r="K467" s="65"/>
      <c r="L467" s="65"/>
      <c r="M467" s="65"/>
      <c r="N467" s="65"/>
      <c r="O467" s="65"/>
      <c r="P467" s="65"/>
      <c r="Q467" s="65"/>
      <c r="R467" s="65"/>
      <c r="S467" s="65"/>
      <c r="T467" s="65"/>
      <c r="U467" s="65"/>
      <c r="V467" s="65"/>
      <c r="W467" s="65"/>
      <c r="X467" s="65"/>
      <c r="Y467" s="65"/>
      <c r="Z467" s="65"/>
      <c r="AA467" s="65"/>
      <c r="AB467" s="65"/>
      <c r="AC467" s="65"/>
      <c r="AD467" s="65"/>
      <c r="AE467" s="65"/>
      <c r="AF467" s="65"/>
      <c r="AG467" s="65"/>
      <c r="AH467" s="65"/>
      <c r="AI467" s="65"/>
      <c r="AJ467" s="65"/>
      <c r="AK467" s="65"/>
      <c r="AL467" s="65"/>
      <c r="AM467" s="65"/>
      <c r="AN467" s="65"/>
    </row>
    <row r="468" spans="10:40" ht="14.5" x14ac:dyDescent="0.35">
      <c r="J468" s="65"/>
      <c r="K468" s="65"/>
      <c r="L468" s="65"/>
      <c r="M468" s="65"/>
      <c r="N468" s="65"/>
      <c r="O468" s="65"/>
      <c r="P468" s="65"/>
      <c r="Q468" s="65"/>
      <c r="R468" s="65"/>
      <c r="S468" s="65"/>
      <c r="T468" s="65"/>
      <c r="U468" s="65"/>
      <c r="V468" s="65"/>
      <c r="W468" s="65"/>
      <c r="X468" s="65"/>
      <c r="Y468" s="65"/>
      <c r="Z468" s="65"/>
      <c r="AA468" s="65"/>
      <c r="AB468" s="65"/>
      <c r="AC468" s="65"/>
      <c r="AD468" s="65"/>
      <c r="AE468" s="65"/>
      <c r="AF468" s="65"/>
      <c r="AG468" s="65"/>
      <c r="AH468" s="65"/>
      <c r="AI468" s="65"/>
      <c r="AJ468" s="65"/>
      <c r="AK468" s="65"/>
      <c r="AL468" s="65"/>
      <c r="AM468" s="65"/>
      <c r="AN468" s="65"/>
    </row>
    <row r="469" spans="10:40" ht="14.5" x14ac:dyDescent="0.35">
      <c r="J469" s="65"/>
      <c r="K469" s="65"/>
      <c r="L469" s="65"/>
      <c r="M469" s="65"/>
      <c r="N469" s="65"/>
      <c r="O469" s="65"/>
      <c r="P469" s="65"/>
      <c r="Q469" s="65"/>
      <c r="R469" s="65"/>
      <c r="S469" s="65"/>
      <c r="T469" s="65"/>
      <c r="U469" s="65"/>
      <c r="V469" s="65"/>
      <c r="W469" s="65"/>
      <c r="X469" s="65"/>
      <c r="Y469" s="65"/>
      <c r="Z469" s="65"/>
      <c r="AA469" s="65"/>
      <c r="AB469" s="65"/>
      <c r="AC469" s="65"/>
      <c r="AD469" s="65"/>
      <c r="AE469" s="65"/>
      <c r="AF469" s="65"/>
      <c r="AG469" s="65"/>
      <c r="AH469" s="65"/>
      <c r="AI469" s="65"/>
      <c r="AJ469" s="65"/>
      <c r="AK469" s="65"/>
      <c r="AL469" s="65"/>
      <c r="AM469" s="65"/>
      <c r="AN469" s="65"/>
    </row>
    <row r="470" spans="10:40" ht="14.5" x14ac:dyDescent="0.35">
      <c r="J470" s="65"/>
      <c r="K470" s="65"/>
      <c r="L470" s="65"/>
      <c r="M470" s="65"/>
      <c r="N470" s="65"/>
      <c r="O470" s="65"/>
      <c r="P470" s="65"/>
      <c r="Q470" s="65"/>
      <c r="R470" s="65"/>
      <c r="S470" s="65"/>
      <c r="T470" s="65"/>
      <c r="U470" s="65"/>
      <c r="V470" s="65"/>
      <c r="W470" s="65"/>
      <c r="X470" s="65"/>
      <c r="Y470" s="65"/>
      <c r="Z470" s="65"/>
      <c r="AA470" s="65"/>
      <c r="AB470" s="65"/>
      <c r="AC470" s="65"/>
      <c r="AD470" s="65"/>
      <c r="AE470" s="65"/>
      <c r="AF470" s="65"/>
      <c r="AG470" s="65"/>
      <c r="AH470" s="65"/>
      <c r="AI470" s="65"/>
      <c r="AJ470" s="65"/>
      <c r="AK470" s="65"/>
      <c r="AL470" s="65"/>
      <c r="AM470" s="65"/>
      <c r="AN470" s="65"/>
    </row>
    <row r="471" spans="10:40" ht="14.5" x14ac:dyDescent="0.35">
      <c r="J471" s="65"/>
      <c r="K471" s="65"/>
      <c r="L471" s="65"/>
      <c r="M471" s="65"/>
      <c r="N471" s="65"/>
      <c r="O471" s="65"/>
      <c r="P471" s="65"/>
      <c r="Q471" s="65"/>
      <c r="R471" s="65"/>
      <c r="S471" s="65"/>
      <c r="T471" s="65"/>
      <c r="U471" s="65"/>
      <c r="V471" s="65"/>
      <c r="W471" s="65"/>
      <c r="X471" s="65"/>
      <c r="Y471" s="65"/>
      <c r="Z471" s="65"/>
      <c r="AA471" s="65"/>
      <c r="AB471" s="65"/>
      <c r="AC471" s="65"/>
      <c r="AD471" s="65"/>
      <c r="AE471" s="65"/>
      <c r="AF471" s="65"/>
      <c r="AG471" s="65"/>
      <c r="AH471" s="65"/>
      <c r="AI471" s="65"/>
      <c r="AJ471" s="65"/>
      <c r="AK471" s="65"/>
      <c r="AL471" s="65"/>
      <c r="AM471" s="65"/>
      <c r="AN471" s="65"/>
    </row>
    <row r="472" spans="10:40" ht="14.5" x14ac:dyDescent="0.35">
      <c r="J472" s="65"/>
      <c r="K472" s="65"/>
      <c r="L472" s="65"/>
      <c r="M472" s="65"/>
      <c r="N472" s="65"/>
      <c r="O472" s="65"/>
      <c r="P472" s="65"/>
      <c r="Q472" s="65"/>
      <c r="R472" s="65"/>
      <c r="S472" s="65"/>
      <c r="T472" s="65"/>
      <c r="U472" s="65"/>
      <c r="V472" s="65"/>
      <c r="W472" s="65"/>
      <c r="X472" s="65"/>
      <c r="Y472" s="65"/>
      <c r="Z472" s="65"/>
      <c r="AA472" s="65"/>
      <c r="AB472" s="65"/>
      <c r="AC472" s="65"/>
      <c r="AD472" s="65"/>
      <c r="AE472" s="65"/>
      <c r="AF472" s="65"/>
      <c r="AG472" s="65"/>
      <c r="AH472" s="65"/>
      <c r="AI472" s="65"/>
      <c r="AJ472" s="65"/>
      <c r="AK472" s="65"/>
      <c r="AL472" s="65"/>
      <c r="AM472" s="65"/>
      <c r="AN472" s="65"/>
    </row>
    <row r="473" spans="10:40" ht="14.5" x14ac:dyDescent="0.35">
      <c r="J473" s="65"/>
      <c r="K473" s="65"/>
      <c r="L473" s="65"/>
      <c r="M473" s="65"/>
      <c r="N473" s="65"/>
      <c r="O473" s="65"/>
      <c r="P473" s="65"/>
      <c r="Q473" s="65"/>
      <c r="R473" s="65"/>
      <c r="S473" s="65"/>
      <c r="T473" s="65"/>
      <c r="U473" s="65"/>
      <c r="V473" s="65"/>
      <c r="W473" s="65"/>
      <c r="X473" s="65"/>
      <c r="Y473" s="65"/>
      <c r="Z473" s="65"/>
      <c r="AA473" s="65"/>
      <c r="AB473" s="65"/>
      <c r="AC473" s="65"/>
      <c r="AD473" s="65"/>
      <c r="AE473" s="65"/>
      <c r="AF473" s="65"/>
      <c r="AG473" s="65"/>
      <c r="AH473" s="65"/>
      <c r="AI473" s="65"/>
      <c r="AJ473" s="65"/>
      <c r="AK473" s="65"/>
      <c r="AL473" s="65"/>
      <c r="AM473" s="65"/>
      <c r="AN473" s="65"/>
    </row>
    <row r="474" spans="10:40" ht="14.5" x14ac:dyDescent="0.35">
      <c r="J474" s="65"/>
      <c r="K474" s="65"/>
      <c r="L474" s="65"/>
      <c r="M474" s="65"/>
      <c r="N474" s="65"/>
      <c r="O474" s="65"/>
      <c r="P474" s="65"/>
      <c r="Q474" s="65"/>
      <c r="R474" s="65"/>
      <c r="S474" s="65"/>
      <c r="T474" s="65"/>
      <c r="U474" s="65"/>
      <c r="V474" s="65"/>
      <c r="W474" s="65"/>
      <c r="X474" s="65"/>
      <c r="Y474" s="65"/>
      <c r="Z474" s="65"/>
      <c r="AA474" s="65"/>
      <c r="AB474" s="65"/>
      <c r="AC474" s="65"/>
      <c r="AD474" s="65"/>
      <c r="AE474" s="65"/>
      <c r="AF474" s="65"/>
      <c r="AG474" s="65"/>
      <c r="AH474" s="65"/>
      <c r="AI474" s="65"/>
      <c r="AJ474" s="65"/>
      <c r="AK474" s="65"/>
      <c r="AL474" s="65"/>
      <c r="AM474" s="65"/>
      <c r="AN474" s="65"/>
    </row>
    <row r="475" spans="10:40" ht="14.5" x14ac:dyDescent="0.35">
      <c r="J475" s="65"/>
      <c r="K475" s="65"/>
      <c r="L475" s="65"/>
      <c r="M475" s="65"/>
      <c r="N475" s="65"/>
      <c r="O475" s="65"/>
      <c r="P475" s="65"/>
      <c r="Q475" s="65"/>
      <c r="R475" s="65"/>
      <c r="S475" s="65"/>
      <c r="T475" s="65"/>
      <c r="U475" s="65"/>
      <c r="V475" s="65"/>
      <c r="W475" s="65"/>
      <c r="X475" s="65"/>
      <c r="Y475" s="65"/>
      <c r="Z475" s="65"/>
      <c r="AA475" s="65"/>
      <c r="AB475" s="65"/>
      <c r="AC475" s="65"/>
      <c r="AD475" s="65"/>
      <c r="AE475" s="65"/>
      <c r="AF475" s="65"/>
      <c r="AG475" s="65"/>
      <c r="AH475" s="65"/>
      <c r="AI475" s="65"/>
      <c r="AJ475" s="65"/>
      <c r="AK475" s="65"/>
      <c r="AL475" s="65"/>
      <c r="AM475" s="65"/>
      <c r="AN475" s="65"/>
    </row>
    <row r="476" spans="10:40" ht="14.5" x14ac:dyDescent="0.35">
      <c r="J476" s="65"/>
      <c r="K476" s="65"/>
      <c r="L476" s="65"/>
      <c r="M476" s="65"/>
      <c r="N476" s="65"/>
      <c r="O476" s="65"/>
      <c r="P476" s="65"/>
      <c r="Q476" s="65"/>
      <c r="R476" s="65"/>
      <c r="S476" s="65"/>
      <c r="T476" s="65"/>
      <c r="U476" s="65"/>
      <c r="V476" s="65"/>
      <c r="W476" s="65"/>
      <c r="X476" s="65"/>
      <c r="Y476" s="65"/>
      <c r="Z476" s="65"/>
      <c r="AA476" s="65"/>
      <c r="AB476" s="65"/>
      <c r="AC476" s="65"/>
      <c r="AD476" s="65"/>
      <c r="AE476" s="65"/>
      <c r="AF476" s="65"/>
      <c r="AG476" s="65"/>
      <c r="AH476" s="65"/>
      <c r="AI476" s="65"/>
      <c r="AJ476" s="65"/>
      <c r="AK476" s="65"/>
      <c r="AL476" s="65"/>
      <c r="AM476" s="65"/>
      <c r="AN476" s="65"/>
    </row>
    <row r="477" spans="10:40" ht="14.5" x14ac:dyDescent="0.35">
      <c r="J477" s="65"/>
      <c r="K477" s="65"/>
      <c r="L477" s="65"/>
      <c r="M477" s="65"/>
      <c r="N477" s="65"/>
      <c r="O477" s="65"/>
      <c r="P477" s="65"/>
      <c r="Q477" s="65"/>
      <c r="R477" s="65"/>
      <c r="S477" s="65"/>
      <c r="T477" s="65"/>
      <c r="U477" s="65"/>
      <c r="V477" s="65"/>
      <c r="W477" s="65"/>
      <c r="X477" s="65"/>
      <c r="Y477" s="65"/>
      <c r="Z477" s="65"/>
      <c r="AA477" s="65"/>
      <c r="AB477" s="65"/>
      <c r="AC477" s="65"/>
      <c r="AD477" s="65"/>
      <c r="AE477" s="65"/>
      <c r="AF477" s="65"/>
      <c r="AG477" s="65"/>
      <c r="AH477" s="65"/>
      <c r="AI477" s="65"/>
      <c r="AJ477" s="65"/>
      <c r="AK477" s="65"/>
      <c r="AL477" s="65"/>
      <c r="AM477" s="65"/>
      <c r="AN477" s="65"/>
    </row>
    <row r="478" spans="10:40" ht="14.5" x14ac:dyDescent="0.35">
      <c r="J478" s="65"/>
      <c r="K478" s="65"/>
      <c r="L478" s="65"/>
      <c r="M478" s="65"/>
      <c r="N478" s="65"/>
      <c r="O478" s="65"/>
      <c r="P478" s="65"/>
      <c r="Q478" s="65"/>
      <c r="R478" s="65"/>
      <c r="S478" s="65"/>
      <c r="T478" s="65"/>
      <c r="U478" s="65"/>
      <c r="V478" s="65"/>
      <c r="W478" s="65"/>
      <c r="X478" s="65"/>
      <c r="Y478" s="65"/>
      <c r="Z478" s="65"/>
      <c r="AA478" s="65"/>
      <c r="AB478" s="65"/>
      <c r="AC478" s="65"/>
      <c r="AD478" s="65"/>
      <c r="AE478" s="65"/>
      <c r="AF478" s="65"/>
      <c r="AG478" s="65"/>
      <c r="AH478" s="65"/>
      <c r="AI478" s="65"/>
      <c r="AJ478" s="65"/>
      <c r="AK478" s="65"/>
      <c r="AL478" s="65"/>
      <c r="AM478" s="65"/>
      <c r="AN478" s="65"/>
    </row>
    <row r="479" spans="10:40" ht="14.5" x14ac:dyDescent="0.35">
      <c r="J479" s="65"/>
      <c r="K479" s="65"/>
      <c r="L479" s="65"/>
      <c r="M479" s="65"/>
      <c r="N479" s="65"/>
      <c r="O479" s="65"/>
      <c r="P479" s="65"/>
      <c r="Q479" s="65"/>
      <c r="R479" s="65"/>
      <c r="S479" s="65"/>
      <c r="T479" s="65"/>
      <c r="U479" s="65"/>
      <c r="V479" s="65"/>
      <c r="W479" s="65"/>
      <c r="X479" s="65"/>
      <c r="Y479" s="65"/>
      <c r="Z479" s="65"/>
      <c r="AA479" s="65"/>
      <c r="AB479" s="65"/>
      <c r="AC479" s="65"/>
      <c r="AD479" s="65"/>
      <c r="AE479" s="65"/>
      <c r="AF479" s="65"/>
      <c r="AG479" s="65"/>
      <c r="AH479" s="65"/>
      <c r="AI479" s="65"/>
      <c r="AJ479" s="65"/>
      <c r="AK479" s="65"/>
      <c r="AL479" s="65"/>
      <c r="AM479" s="65"/>
      <c r="AN479" s="65"/>
    </row>
    <row r="480" spans="10:40" ht="14.5" x14ac:dyDescent="0.35">
      <c r="J480" s="65"/>
      <c r="K480" s="65"/>
      <c r="L480" s="65"/>
      <c r="M480" s="65"/>
      <c r="N480" s="65"/>
      <c r="O480" s="65"/>
      <c r="P480" s="65"/>
      <c r="Q480" s="65"/>
      <c r="R480" s="65"/>
      <c r="S480" s="65"/>
      <c r="T480" s="65"/>
      <c r="U480" s="65"/>
      <c r="V480" s="65"/>
      <c r="W480" s="65"/>
      <c r="X480" s="65"/>
      <c r="Y480" s="65"/>
      <c r="Z480" s="65"/>
      <c r="AA480" s="65"/>
      <c r="AB480" s="65"/>
      <c r="AC480" s="65"/>
      <c r="AD480" s="65"/>
      <c r="AE480" s="65"/>
      <c r="AF480" s="65"/>
      <c r="AG480" s="65"/>
      <c r="AH480" s="65"/>
      <c r="AI480" s="65"/>
      <c r="AJ480" s="65"/>
      <c r="AK480" s="65"/>
      <c r="AL480" s="65"/>
      <c r="AM480" s="65"/>
      <c r="AN480" s="65"/>
    </row>
    <row r="481" spans="10:40" ht="14.5" x14ac:dyDescent="0.35">
      <c r="J481" s="65"/>
      <c r="K481" s="65"/>
      <c r="L481" s="65"/>
      <c r="M481" s="65"/>
      <c r="N481" s="65"/>
      <c r="O481" s="65"/>
      <c r="P481" s="65"/>
      <c r="Q481" s="65"/>
      <c r="R481" s="65"/>
      <c r="S481" s="65"/>
      <c r="T481" s="65"/>
      <c r="U481" s="65"/>
      <c r="V481" s="65"/>
      <c r="W481" s="65"/>
      <c r="X481" s="65"/>
      <c r="Y481" s="65"/>
      <c r="Z481" s="65"/>
      <c r="AA481" s="65"/>
      <c r="AB481" s="65"/>
      <c r="AC481" s="65"/>
      <c r="AD481" s="65"/>
      <c r="AE481" s="65"/>
      <c r="AF481" s="65"/>
      <c r="AG481" s="65"/>
      <c r="AH481" s="65"/>
      <c r="AI481" s="65"/>
      <c r="AJ481" s="65"/>
      <c r="AK481" s="65"/>
      <c r="AL481" s="65"/>
      <c r="AM481" s="65"/>
      <c r="AN481" s="65"/>
    </row>
    <row r="482" spans="10:40" ht="14.5" x14ac:dyDescent="0.35">
      <c r="J482" s="65"/>
      <c r="K482" s="65"/>
      <c r="L482" s="65"/>
      <c r="M482" s="65"/>
      <c r="N482" s="65"/>
      <c r="O482" s="65"/>
      <c r="P482" s="65"/>
      <c r="Q482" s="65"/>
      <c r="R482" s="65"/>
      <c r="S482" s="65"/>
      <c r="T482" s="65"/>
      <c r="U482" s="65"/>
      <c r="V482" s="65"/>
      <c r="W482" s="65"/>
      <c r="X482" s="65"/>
      <c r="Y482" s="65"/>
      <c r="Z482" s="65"/>
      <c r="AA482" s="65"/>
      <c r="AB482" s="65"/>
      <c r="AC482" s="65"/>
      <c r="AD482" s="65"/>
      <c r="AE482" s="65"/>
      <c r="AF482" s="65"/>
      <c r="AG482" s="65"/>
      <c r="AH482" s="65"/>
      <c r="AI482" s="65"/>
      <c r="AJ482" s="65"/>
      <c r="AK482" s="65"/>
      <c r="AL482" s="65"/>
      <c r="AM482" s="65"/>
      <c r="AN482" s="65"/>
    </row>
    <row r="483" spans="10:40" ht="14.5" x14ac:dyDescent="0.35">
      <c r="J483" s="65"/>
      <c r="K483" s="65"/>
      <c r="L483" s="65"/>
      <c r="M483" s="65"/>
      <c r="N483" s="65"/>
      <c r="O483" s="65"/>
      <c r="P483" s="65"/>
      <c r="Q483" s="65"/>
      <c r="R483" s="65"/>
      <c r="S483" s="65"/>
      <c r="T483" s="65"/>
      <c r="U483" s="65"/>
      <c r="V483" s="65"/>
      <c r="W483" s="65"/>
      <c r="X483" s="65"/>
      <c r="Y483" s="65"/>
      <c r="Z483" s="65"/>
      <c r="AA483" s="65"/>
      <c r="AB483" s="65"/>
      <c r="AC483" s="65"/>
      <c r="AD483" s="65"/>
      <c r="AE483" s="65"/>
      <c r="AF483" s="65"/>
      <c r="AG483" s="65"/>
      <c r="AH483" s="65"/>
      <c r="AI483" s="65"/>
      <c r="AJ483" s="65"/>
      <c r="AK483" s="65"/>
      <c r="AL483" s="65"/>
      <c r="AM483" s="65"/>
      <c r="AN483" s="65"/>
    </row>
    <row r="484" spans="10:40" ht="14.5" x14ac:dyDescent="0.35">
      <c r="J484" s="65"/>
      <c r="K484" s="65"/>
      <c r="L484" s="65"/>
      <c r="M484" s="65"/>
      <c r="N484" s="65"/>
      <c r="O484" s="65"/>
      <c r="P484" s="65"/>
      <c r="Q484" s="65"/>
      <c r="R484" s="65"/>
      <c r="S484" s="65"/>
      <c r="T484" s="65"/>
      <c r="U484" s="65"/>
      <c r="V484" s="65"/>
      <c r="W484" s="65"/>
      <c r="X484" s="65"/>
      <c r="Y484" s="65"/>
      <c r="Z484" s="65"/>
      <c r="AA484" s="65"/>
      <c r="AB484" s="65"/>
      <c r="AC484" s="65"/>
      <c r="AD484" s="65"/>
      <c r="AE484" s="65"/>
      <c r="AF484" s="65"/>
      <c r="AG484" s="65"/>
      <c r="AH484" s="65"/>
      <c r="AI484" s="65"/>
      <c r="AJ484" s="65"/>
      <c r="AK484" s="65"/>
      <c r="AL484" s="65"/>
      <c r="AM484" s="65"/>
      <c r="AN484" s="65"/>
    </row>
    <row r="485" spans="10:40" ht="14.5" x14ac:dyDescent="0.35">
      <c r="J485" s="65"/>
      <c r="K485" s="65"/>
      <c r="L485" s="65"/>
      <c r="M485" s="65"/>
      <c r="N485" s="65"/>
      <c r="O485" s="65"/>
      <c r="P485" s="65"/>
      <c r="Q485" s="65"/>
      <c r="R485" s="65"/>
      <c r="S485" s="65"/>
      <c r="T485" s="65"/>
      <c r="U485" s="65"/>
      <c r="V485" s="65"/>
      <c r="W485" s="65"/>
      <c r="X485" s="65"/>
      <c r="Y485" s="65"/>
      <c r="Z485" s="65"/>
      <c r="AA485" s="65"/>
      <c r="AB485" s="65"/>
      <c r="AC485" s="65"/>
      <c r="AD485" s="65"/>
      <c r="AE485" s="65"/>
      <c r="AF485" s="65"/>
      <c r="AG485" s="65"/>
      <c r="AH485" s="65"/>
      <c r="AI485" s="65"/>
      <c r="AJ485" s="65"/>
      <c r="AK485" s="65"/>
      <c r="AL485" s="65"/>
      <c r="AM485" s="65"/>
      <c r="AN485" s="65"/>
    </row>
    <row r="486" spans="10:40" ht="14.5" x14ac:dyDescent="0.35">
      <c r="J486" s="65"/>
      <c r="K486" s="65"/>
      <c r="L486" s="65"/>
      <c r="M486" s="65"/>
      <c r="N486" s="65"/>
      <c r="O486" s="65"/>
      <c r="P486" s="65"/>
      <c r="Q486" s="65"/>
      <c r="R486" s="65"/>
      <c r="S486" s="65"/>
      <c r="T486" s="65"/>
      <c r="U486" s="65"/>
      <c r="V486" s="65"/>
      <c r="W486" s="65"/>
      <c r="X486" s="65"/>
      <c r="Y486" s="65"/>
      <c r="Z486" s="65"/>
      <c r="AA486" s="65"/>
      <c r="AB486" s="65"/>
      <c r="AC486" s="65"/>
      <c r="AD486" s="65"/>
      <c r="AE486" s="65"/>
      <c r="AF486" s="65"/>
      <c r="AG486" s="65"/>
      <c r="AH486" s="65"/>
      <c r="AI486" s="65"/>
      <c r="AJ486" s="65"/>
      <c r="AK486" s="65"/>
      <c r="AL486" s="65"/>
      <c r="AM486" s="65"/>
      <c r="AN486" s="65"/>
    </row>
    <row r="487" spans="10:40" ht="14.5" x14ac:dyDescent="0.35">
      <c r="J487" s="65"/>
      <c r="K487" s="65"/>
      <c r="L487" s="65"/>
      <c r="M487" s="65"/>
      <c r="N487" s="65"/>
      <c r="O487" s="65"/>
      <c r="P487" s="65"/>
      <c r="Q487" s="65"/>
      <c r="R487" s="65"/>
      <c r="S487" s="65"/>
      <c r="T487" s="65"/>
      <c r="U487" s="65"/>
      <c r="V487" s="65"/>
      <c r="W487" s="65"/>
      <c r="X487" s="65"/>
      <c r="Y487" s="65"/>
      <c r="Z487" s="65"/>
      <c r="AA487" s="65"/>
      <c r="AB487" s="65"/>
      <c r="AC487" s="65"/>
      <c r="AD487" s="65"/>
      <c r="AE487" s="65"/>
      <c r="AF487" s="65"/>
      <c r="AG487" s="65"/>
      <c r="AH487" s="65"/>
      <c r="AI487" s="65"/>
      <c r="AJ487" s="65"/>
      <c r="AK487" s="65"/>
      <c r="AL487" s="65"/>
      <c r="AM487" s="65"/>
      <c r="AN487" s="65"/>
    </row>
    <row r="488" spans="10:40" ht="14.5" x14ac:dyDescent="0.35">
      <c r="J488" s="65"/>
      <c r="K488" s="65"/>
      <c r="L488" s="65"/>
      <c r="M488" s="65"/>
      <c r="N488" s="65"/>
      <c r="O488" s="65"/>
      <c r="P488" s="65"/>
      <c r="Q488" s="65"/>
      <c r="R488" s="65"/>
      <c r="S488" s="65"/>
      <c r="T488" s="65"/>
      <c r="U488" s="65"/>
      <c r="V488" s="65"/>
      <c r="W488" s="65"/>
      <c r="X488" s="65"/>
      <c r="Y488" s="65"/>
      <c r="Z488" s="65"/>
      <c r="AA488" s="65"/>
      <c r="AB488" s="65"/>
      <c r="AC488" s="65"/>
      <c r="AD488" s="65"/>
      <c r="AE488" s="65"/>
      <c r="AF488" s="65"/>
      <c r="AG488" s="65"/>
      <c r="AH488" s="65"/>
      <c r="AI488" s="65"/>
      <c r="AJ488" s="65"/>
      <c r="AK488" s="65"/>
      <c r="AL488" s="65"/>
      <c r="AM488" s="65"/>
      <c r="AN488" s="65"/>
    </row>
    <row r="489" spans="10:40" ht="14.5" x14ac:dyDescent="0.35">
      <c r="J489" s="65"/>
      <c r="K489" s="65"/>
      <c r="L489" s="65"/>
      <c r="M489" s="65"/>
      <c r="N489" s="65"/>
      <c r="O489" s="65"/>
      <c r="P489" s="65"/>
      <c r="Q489" s="65"/>
      <c r="R489" s="65"/>
      <c r="S489" s="65"/>
      <c r="T489" s="65"/>
      <c r="U489" s="65"/>
      <c r="V489" s="65"/>
      <c r="W489" s="65"/>
      <c r="X489" s="65"/>
      <c r="Y489" s="65"/>
      <c r="Z489" s="65"/>
      <c r="AA489" s="65"/>
      <c r="AB489" s="65"/>
      <c r="AC489" s="65"/>
      <c r="AD489" s="65"/>
      <c r="AE489" s="65"/>
      <c r="AF489" s="65"/>
      <c r="AG489" s="65"/>
      <c r="AH489" s="65"/>
      <c r="AI489" s="65"/>
      <c r="AJ489" s="65"/>
      <c r="AK489" s="65"/>
      <c r="AL489" s="65"/>
      <c r="AM489" s="65"/>
      <c r="AN489" s="65"/>
    </row>
    <row r="490" spans="10:40" ht="14.5" x14ac:dyDescent="0.35">
      <c r="J490" s="65"/>
      <c r="K490" s="65"/>
      <c r="L490" s="65"/>
      <c r="M490" s="65"/>
      <c r="N490" s="65"/>
      <c r="O490" s="65"/>
      <c r="P490" s="65"/>
      <c r="Q490" s="65"/>
      <c r="R490" s="65"/>
      <c r="S490" s="65"/>
      <c r="T490" s="65"/>
      <c r="U490" s="65"/>
      <c r="V490" s="65"/>
      <c r="W490" s="65"/>
      <c r="X490" s="65"/>
      <c r="Y490" s="65"/>
      <c r="Z490" s="65"/>
      <c r="AA490" s="65"/>
      <c r="AB490" s="65"/>
      <c r="AC490" s="65"/>
      <c r="AD490" s="65"/>
      <c r="AE490" s="65"/>
      <c r="AF490" s="65"/>
      <c r="AG490" s="65"/>
      <c r="AH490" s="65"/>
      <c r="AI490" s="65"/>
      <c r="AJ490" s="65"/>
      <c r="AK490" s="65"/>
      <c r="AL490" s="65"/>
      <c r="AM490" s="65"/>
      <c r="AN490" s="65"/>
    </row>
    <row r="491" spans="10:40" ht="14.5" x14ac:dyDescent="0.35">
      <c r="J491" s="65"/>
      <c r="K491" s="65"/>
      <c r="L491" s="65"/>
      <c r="M491" s="65"/>
      <c r="N491" s="65"/>
      <c r="O491" s="65"/>
      <c r="P491" s="65"/>
      <c r="Q491" s="65"/>
      <c r="R491" s="65"/>
      <c r="S491" s="65"/>
      <c r="T491" s="65"/>
      <c r="U491" s="65"/>
      <c r="V491" s="65"/>
      <c r="W491" s="65"/>
      <c r="X491" s="65"/>
      <c r="Y491" s="65"/>
      <c r="Z491" s="65"/>
      <c r="AA491" s="65"/>
      <c r="AB491" s="65"/>
      <c r="AC491" s="65"/>
      <c r="AD491" s="65"/>
      <c r="AE491" s="65"/>
      <c r="AF491" s="65"/>
      <c r="AG491" s="65"/>
      <c r="AH491" s="65"/>
      <c r="AI491" s="65"/>
      <c r="AJ491" s="65"/>
      <c r="AK491" s="65"/>
      <c r="AL491" s="65"/>
      <c r="AM491" s="65"/>
      <c r="AN491" s="65"/>
    </row>
    <row r="492" spans="10:40" ht="14.5" x14ac:dyDescent="0.35">
      <c r="J492" s="65"/>
      <c r="K492" s="65"/>
      <c r="L492" s="65"/>
      <c r="M492" s="65"/>
      <c r="N492" s="65"/>
      <c r="O492" s="65"/>
      <c r="P492" s="65"/>
      <c r="Q492" s="65"/>
      <c r="R492" s="65"/>
      <c r="S492" s="65"/>
      <c r="T492" s="65"/>
      <c r="U492" s="65"/>
      <c r="V492" s="65"/>
      <c r="W492" s="65"/>
      <c r="X492" s="65"/>
      <c r="Y492" s="65"/>
      <c r="Z492" s="65"/>
      <c r="AA492" s="65"/>
      <c r="AB492" s="65"/>
      <c r="AC492" s="65"/>
      <c r="AD492" s="65"/>
      <c r="AE492" s="65"/>
      <c r="AF492" s="65"/>
      <c r="AG492" s="65"/>
      <c r="AH492" s="65"/>
      <c r="AI492" s="65"/>
      <c r="AJ492" s="65"/>
      <c r="AK492" s="65"/>
      <c r="AL492" s="65"/>
      <c r="AM492" s="65"/>
      <c r="AN492" s="65"/>
    </row>
    <row r="493" spans="10:40" ht="14.5" x14ac:dyDescent="0.35">
      <c r="J493" s="65"/>
      <c r="K493" s="65"/>
      <c r="L493" s="65"/>
      <c r="M493" s="65"/>
      <c r="N493" s="65"/>
      <c r="O493" s="65"/>
      <c r="P493" s="65"/>
      <c r="Q493" s="65"/>
      <c r="R493" s="65"/>
      <c r="S493" s="65"/>
      <c r="T493" s="65"/>
      <c r="U493" s="65"/>
      <c r="V493" s="65"/>
      <c r="W493" s="65"/>
      <c r="X493" s="65"/>
      <c r="Y493" s="65"/>
      <c r="Z493" s="65"/>
      <c r="AA493" s="65"/>
      <c r="AB493" s="65"/>
      <c r="AC493" s="65"/>
      <c r="AD493" s="65"/>
      <c r="AE493" s="65"/>
      <c r="AF493" s="65"/>
      <c r="AG493" s="65"/>
      <c r="AH493" s="65"/>
      <c r="AI493" s="65"/>
      <c r="AJ493" s="65"/>
      <c r="AK493" s="65"/>
      <c r="AL493" s="65"/>
      <c r="AM493" s="65"/>
      <c r="AN493" s="65"/>
    </row>
    <row r="494" spans="10:40" ht="14.5" x14ac:dyDescent="0.35">
      <c r="J494" s="65"/>
      <c r="K494" s="65"/>
      <c r="L494" s="65"/>
      <c r="M494" s="65"/>
      <c r="N494" s="65"/>
      <c r="O494" s="65"/>
      <c r="P494" s="65"/>
      <c r="Q494" s="65"/>
      <c r="R494" s="65"/>
      <c r="S494" s="65"/>
      <c r="T494" s="65"/>
      <c r="U494" s="65"/>
      <c r="V494" s="65"/>
      <c r="W494" s="65"/>
      <c r="X494" s="65"/>
      <c r="Y494" s="65"/>
      <c r="Z494" s="65"/>
      <c r="AA494" s="65"/>
      <c r="AB494" s="65"/>
      <c r="AC494" s="65"/>
      <c r="AD494" s="65"/>
      <c r="AE494" s="65"/>
      <c r="AF494" s="65"/>
      <c r="AG494" s="65"/>
      <c r="AH494" s="65"/>
      <c r="AI494" s="65"/>
      <c r="AJ494" s="65"/>
      <c r="AK494" s="65"/>
      <c r="AL494" s="65"/>
      <c r="AM494" s="65"/>
      <c r="AN494" s="65"/>
    </row>
    <row r="495" spans="10:40" ht="14.5" x14ac:dyDescent="0.35">
      <c r="J495" s="65"/>
      <c r="K495" s="65"/>
      <c r="L495" s="65"/>
      <c r="M495" s="65"/>
      <c r="N495" s="65"/>
      <c r="O495" s="65"/>
      <c r="P495" s="65"/>
      <c r="Q495" s="65"/>
      <c r="R495" s="65"/>
      <c r="S495" s="65"/>
      <c r="T495" s="65"/>
      <c r="U495" s="65"/>
      <c r="V495" s="65"/>
      <c r="W495" s="65"/>
      <c r="X495" s="65"/>
      <c r="Y495" s="65"/>
      <c r="Z495" s="65"/>
      <c r="AA495" s="65"/>
      <c r="AB495" s="65"/>
      <c r="AC495" s="65"/>
      <c r="AD495" s="65"/>
      <c r="AE495" s="65"/>
      <c r="AF495" s="65"/>
      <c r="AG495" s="65"/>
      <c r="AH495" s="65"/>
      <c r="AI495" s="65"/>
      <c r="AJ495" s="65"/>
      <c r="AK495" s="65"/>
      <c r="AL495" s="65"/>
      <c r="AM495" s="65"/>
      <c r="AN495" s="65"/>
    </row>
    <row r="496" spans="10:40" ht="14.5" x14ac:dyDescent="0.35">
      <c r="J496" s="65"/>
      <c r="K496" s="65"/>
      <c r="L496" s="65"/>
      <c r="M496" s="65"/>
      <c r="N496" s="65"/>
      <c r="O496" s="65"/>
      <c r="P496" s="65"/>
      <c r="Q496" s="65"/>
      <c r="R496" s="65"/>
      <c r="S496" s="65"/>
      <c r="T496" s="65"/>
      <c r="U496" s="65"/>
      <c r="V496" s="65"/>
      <c r="W496" s="65"/>
      <c r="X496" s="65"/>
      <c r="Y496" s="65"/>
      <c r="Z496" s="65"/>
      <c r="AA496" s="65"/>
      <c r="AB496" s="65"/>
      <c r="AC496" s="65"/>
      <c r="AD496" s="65"/>
      <c r="AE496" s="65"/>
      <c r="AF496" s="65"/>
      <c r="AG496" s="65"/>
      <c r="AH496" s="65"/>
      <c r="AI496" s="65"/>
      <c r="AJ496" s="65"/>
      <c r="AK496" s="65"/>
      <c r="AL496" s="65"/>
      <c r="AM496" s="65"/>
      <c r="AN496" s="65"/>
    </row>
    <row r="497" spans="10:40" ht="14.5" x14ac:dyDescent="0.35">
      <c r="J497" s="65"/>
      <c r="K497" s="65"/>
      <c r="L497" s="65"/>
      <c r="M497" s="65"/>
      <c r="N497" s="65"/>
      <c r="O497" s="65"/>
      <c r="P497" s="65"/>
      <c r="Q497" s="65"/>
      <c r="R497" s="65"/>
      <c r="S497" s="65"/>
      <c r="T497" s="65"/>
      <c r="U497" s="65"/>
      <c r="V497" s="65"/>
      <c r="W497" s="65"/>
      <c r="X497" s="65"/>
      <c r="Y497" s="65"/>
      <c r="Z497" s="65"/>
      <c r="AA497" s="65"/>
      <c r="AB497" s="65"/>
      <c r="AC497" s="65"/>
      <c r="AD497" s="65"/>
      <c r="AE497" s="65"/>
      <c r="AF497" s="65"/>
      <c r="AG497" s="65"/>
      <c r="AH497" s="65"/>
      <c r="AI497" s="65"/>
      <c r="AJ497" s="65"/>
      <c r="AK497" s="65"/>
      <c r="AL497" s="65"/>
      <c r="AM497" s="65"/>
      <c r="AN497" s="65"/>
    </row>
    <row r="498" spans="10:40" ht="14.5" x14ac:dyDescent="0.35">
      <c r="J498" s="65"/>
      <c r="K498" s="65"/>
      <c r="L498" s="65"/>
      <c r="M498" s="65"/>
      <c r="N498" s="65"/>
      <c r="O498" s="65"/>
      <c r="P498" s="65"/>
      <c r="Q498" s="65"/>
      <c r="R498" s="65"/>
      <c r="S498" s="65"/>
      <c r="T498" s="65"/>
      <c r="U498" s="65"/>
      <c r="V498" s="65"/>
      <c r="W498" s="65"/>
      <c r="X498" s="65"/>
      <c r="Y498" s="65"/>
      <c r="Z498" s="65"/>
      <c r="AA498" s="65"/>
      <c r="AB498" s="65"/>
      <c r="AC498" s="65"/>
      <c r="AD498" s="65"/>
      <c r="AE498" s="65"/>
      <c r="AF498" s="65"/>
      <c r="AG498" s="65"/>
      <c r="AH498" s="65"/>
      <c r="AI498" s="65"/>
      <c r="AJ498" s="65"/>
      <c r="AK498" s="65"/>
      <c r="AL498" s="65"/>
      <c r="AM498" s="65"/>
      <c r="AN498" s="65"/>
    </row>
    <row r="499" spans="10:40" ht="14.5" x14ac:dyDescent="0.35">
      <c r="J499" s="65"/>
      <c r="K499" s="65"/>
      <c r="L499" s="65"/>
      <c r="M499" s="65"/>
      <c r="N499" s="65"/>
      <c r="O499" s="65"/>
      <c r="P499" s="65"/>
      <c r="Q499" s="65"/>
      <c r="R499" s="65"/>
      <c r="S499" s="65"/>
      <c r="T499" s="65"/>
      <c r="U499" s="65"/>
      <c r="V499" s="65"/>
      <c r="W499" s="65"/>
      <c r="X499" s="65"/>
      <c r="Y499" s="65"/>
      <c r="Z499" s="65"/>
      <c r="AA499" s="65"/>
      <c r="AB499" s="65"/>
      <c r="AC499" s="65"/>
      <c r="AD499" s="65"/>
      <c r="AE499" s="65"/>
      <c r="AF499" s="65"/>
      <c r="AG499" s="65"/>
      <c r="AH499" s="65"/>
      <c r="AI499" s="65"/>
      <c r="AJ499" s="65"/>
      <c r="AK499" s="65"/>
      <c r="AL499" s="65"/>
      <c r="AM499" s="65"/>
      <c r="AN499" s="65"/>
    </row>
    <row r="500" spans="10:40" ht="14.5" x14ac:dyDescent="0.35">
      <c r="J500" s="65"/>
      <c r="K500" s="65"/>
      <c r="L500" s="65"/>
      <c r="M500" s="65"/>
      <c r="N500" s="65"/>
      <c r="O500" s="65"/>
      <c r="P500" s="65"/>
      <c r="Q500" s="65"/>
      <c r="R500" s="65"/>
      <c r="S500" s="65"/>
      <c r="T500" s="65"/>
      <c r="U500" s="65"/>
      <c r="V500" s="65"/>
      <c r="W500" s="65"/>
      <c r="X500" s="65"/>
      <c r="Y500" s="65"/>
      <c r="Z500" s="65"/>
      <c r="AA500" s="65"/>
      <c r="AB500" s="65"/>
      <c r="AC500" s="65"/>
      <c r="AD500" s="65"/>
      <c r="AE500" s="65"/>
      <c r="AF500" s="65"/>
      <c r="AG500" s="65"/>
      <c r="AH500" s="65"/>
      <c r="AI500" s="65"/>
      <c r="AJ500" s="65"/>
      <c r="AK500" s="65"/>
      <c r="AL500" s="65"/>
      <c r="AM500" s="65"/>
      <c r="AN500" s="65"/>
    </row>
    <row r="501" spans="10:40" ht="14.5" x14ac:dyDescent="0.35">
      <c r="J501" s="65"/>
      <c r="K501" s="65"/>
      <c r="L501" s="65"/>
      <c r="M501" s="65"/>
      <c r="N501" s="65"/>
      <c r="O501" s="65"/>
      <c r="P501" s="65"/>
      <c r="Q501" s="65"/>
      <c r="R501" s="65"/>
      <c r="S501" s="65"/>
      <c r="T501" s="65"/>
      <c r="U501" s="65"/>
      <c r="V501" s="65"/>
      <c r="W501" s="65"/>
      <c r="X501" s="65"/>
      <c r="Y501" s="65"/>
      <c r="Z501" s="65"/>
      <c r="AA501" s="65"/>
      <c r="AB501" s="65"/>
      <c r="AC501" s="65"/>
      <c r="AD501" s="65"/>
      <c r="AE501" s="65"/>
      <c r="AF501" s="65"/>
      <c r="AG501" s="65"/>
      <c r="AH501" s="65"/>
      <c r="AI501" s="65"/>
      <c r="AJ501" s="65"/>
      <c r="AK501" s="65"/>
      <c r="AL501" s="65"/>
      <c r="AM501" s="65"/>
      <c r="AN501" s="65"/>
    </row>
    <row r="502" spans="10:40" ht="14.5" x14ac:dyDescent="0.35">
      <c r="J502" s="65"/>
      <c r="K502" s="65"/>
      <c r="L502" s="65"/>
      <c r="M502" s="65"/>
      <c r="N502" s="65"/>
      <c r="O502" s="65"/>
      <c r="P502" s="65"/>
      <c r="Q502" s="65"/>
      <c r="R502" s="65"/>
      <c r="S502" s="65"/>
      <c r="T502" s="65"/>
      <c r="U502" s="65"/>
      <c r="V502" s="65"/>
      <c r="W502" s="65"/>
      <c r="X502" s="65"/>
      <c r="Y502" s="65"/>
      <c r="Z502" s="65"/>
      <c r="AA502" s="65"/>
      <c r="AB502" s="65"/>
      <c r="AC502" s="65"/>
      <c r="AD502" s="65"/>
      <c r="AE502" s="65"/>
      <c r="AF502" s="65"/>
      <c r="AG502" s="65"/>
      <c r="AH502" s="65"/>
      <c r="AI502" s="65"/>
      <c r="AJ502" s="65"/>
      <c r="AK502" s="65"/>
      <c r="AL502" s="65"/>
      <c r="AM502" s="65"/>
      <c r="AN502" s="65"/>
    </row>
    <row r="503" spans="10:40" ht="14.5" x14ac:dyDescent="0.35">
      <c r="J503" s="65"/>
      <c r="K503" s="65"/>
      <c r="L503" s="65"/>
      <c r="M503" s="65"/>
      <c r="N503" s="65"/>
      <c r="O503" s="65"/>
      <c r="P503" s="65"/>
      <c r="Q503" s="65"/>
      <c r="R503" s="65"/>
      <c r="S503" s="65"/>
      <c r="T503" s="65"/>
      <c r="U503" s="65"/>
      <c r="V503" s="65"/>
      <c r="W503" s="65"/>
      <c r="X503" s="65"/>
      <c r="Y503" s="65"/>
      <c r="Z503" s="65"/>
      <c r="AA503" s="65"/>
      <c r="AB503" s="65"/>
      <c r="AC503" s="65"/>
      <c r="AD503" s="65"/>
      <c r="AE503" s="65"/>
      <c r="AF503" s="65"/>
      <c r="AG503" s="65"/>
      <c r="AH503" s="65"/>
      <c r="AI503" s="65"/>
      <c r="AJ503" s="65"/>
      <c r="AK503" s="65"/>
      <c r="AL503" s="65"/>
      <c r="AM503" s="65"/>
      <c r="AN503" s="65"/>
    </row>
    <row r="504" spans="10:40" ht="14.5" x14ac:dyDescent="0.35">
      <c r="J504" s="65"/>
      <c r="K504" s="65"/>
      <c r="L504" s="65"/>
      <c r="M504" s="65"/>
      <c r="N504" s="65"/>
      <c r="O504" s="65"/>
      <c r="P504" s="65"/>
      <c r="Q504" s="65"/>
      <c r="R504" s="65"/>
      <c r="S504" s="65"/>
      <c r="T504" s="65"/>
      <c r="U504" s="65"/>
      <c r="V504" s="65"/>
      <c r="W504" s="65"/>
      <c r="X504" s="65"/>
      <c r="Y504" s="65"/>
      <c r="Z504" s="65"/>
      <c r="AA504" s="65"/>
      <c r="AB504" s="65"/>
      <c r="AC504" s="65"/>
      <c r="AD504" s="65"/>
      <c r="AE504" s="65"/>
      <c r="AF504" s="65"/>
      <c r="AG504" s="65"/>
      <c r="AH504" s="65"/>
      <c r="AI504" s="65"/>
      <c r="AJ504" s="65"/>
      <c r="AK504" s="65"/>
      <c r="AL504" s="65"/>
      <c r="AM504" s="65"/>
      <c r="AN504" s="65"/>
    </row>
    <row r="505" spans="10:40" ht="14.5" x14ac:dyDescent="0.35">
      <c r="J505" s="65"/>
      <c r="K505" s="65"/>
      <c r="L505" s="65"/>
      <c r="M505" s="65"/>
      <c r="N505" s="65"/>
      <c r="O505" s="65"/>
      <c r="P505" s="65"/>
      <c r="Q505" s="65"/>
      <c r="R505" s="65"/>
      <c r="S505" s="65"/>
      <c r="T505" s="65"/>
      <c r="U505" s="65"/>
      <c r="V505" s="65"/>
      <c r="W505" s="65"/>
      <c r="X505" s="65"/>
      <c r="Y505" s="65"/>
      <c r="Z505" s="65"/>
      <c r="AA505" s="65"/>
      <c r="AB505" s="65"/>
      <c r="AC505" s="65"/>
      <c r="AD505" s="65"/>
      <c r="AE505" s="65"/>
      <c r="AF505" s="65"/>
      <c r="AG505" s="65"/>
      <c r="AH505" s="65"/>
      <c r="AI505" s="65"/>
      <c r="AJ505" s="65"/>
      <c r="AK505" s="65"/>
      <c r="AL505" s="65"/>
      <c r="AM505" s="65"/>
      <c r="AN505" s="65"/>
    </row>
    <row r="506" spans="10:40" ht="14.5" x14ac:dyDescent="0.35">
      <c r="J506" s="65"/>
      <c r="K506" s="65"/>
      <c r="L506" s="65"/>
      <c r="M506" s="65"/>
      <c r="N506" s="65"/>
      <c r="O506" s="65"/>
      <c r="P506" s="65"/>
      <c r="Q506" s="65"/>
      <c r="R506" s="65"/>
      <c r="S506" s="65"/>
      <c r="T506" s="65"/>
      <c r="U506" s="65"/>
      <c r="V506" s="65"/>
      <c r="W506" s="65"/>
      <c r="X506" s="65"/>
      <c r="Y506" s="65"/>
      <c r="Z506" s="65"/>
      <c r="AA506" s="65"/>
      <c r="AB506" s="65"/>
      <c r="AC506" s="65"/>
      <c r="AD506" s="65"/>
      <c r="AE506" s="65"/>
      <c r="AF506" s="65"/>
      <c r="AG506" s="65"/>
      <c r="AH506" s="65"/>
      <c r="AI506" s="65"/>
      <c r="AJ506" s="65"/>
      <c r="AK506" s="65"/>
      <c r="AL506" s="65"/>
      <c r="AM506" s="65"/>
      <c r="AN506" s="65"/>
    </row>
    <row r="507" spans="10:40" ht="14.5" x14ac:dyDescent="0.35">
      <c r="J507" s="65"/>
      <c r="K507" s="65"/>
      <c r="L507" s="65"/>
      <c r="M507" s="65"/>
      <c r="N507" s="65"/>
      <c r="O507" s="65"/>
      <c r="P507" s="65"/>
      <c r="Q507" s="65"/>
      <c r="R507" s="65"/>
      <c r="S507" s="65"/>
      <c r="T507" s="65"/>
      <c r="U507" s="65"/>
      <c r="V507" s="65"/>
      <c r="W507" s="65"/>
      <c r="X507" s="65"/>
      <c r="Y507" s="65"/>
      <c r="Z507" s="65"/>
      <c r="AA507" s="65"/>
      <c r="AB507" s="65"/>
      <c r="AC507" s="65"/>
      <c r="AD507" s="65"/>
      <c r="AE507" s="65"/>
      <c r="AF507" s="65"/>
      <c r="AG507" s="65"/>
      <c r="AH507" s="65"/>
      <c r="AI507" s="65"/>
      <c r="AJ507" s="65"/>
      <c r="AK507" s="65"/>
      <c r="AL507" s="65"/>
      <c r="AM507" s="65"/>
      <c r="AN507" s="65"/>
    </row>
    <row r="508" spans="10:40" ht="14.5" x14ac:dyDescent="0.35">
      <c r="J508" s="65"/>
      <c r="K508" s="65"/>
      <c r="L508" s="65"/>
      <c r="M508" s="65"/>
      <c r="N508" s="65"/>
      <c r="O508" s="65"/>
      <c r="P508" s="65"/>
      <c r="Q508" s="65"/>
      <c r="R508" s="65"/>
      <c r="S508" s="65"/>
      <c r="T508" s="65"/>
      <c r="U508" s="65"/>
      <c r="V508" s="65"/>
      <c r="W508" s="65"/>
      <c r="X508" s="65"/>
      <c r="Y508" s="65"/>
      <c r="Z508" s="65"/>
      <c r="AA508" s="65"/>
      <c r="AB508" s="65"/>
      <c r="AC508" s="65"/>
      <c r="AD508" s="65"/>
      <c r="AE508" s="65"/>
      <c r="AF508" s="65"/>
      <c r="AG508" s="65"/>
      <c r="AH508" s="65"/>
      <c r="AI508" s="65"/>
      <c r="AJ508" s="65"/>
      <c r="AK508" s="65"/>
      <c r="AL508" s="65"/>
      <c r="AM508" s="65"/>
      <c r="AN508" s="65"/>
    </row>
    <row r="509" spans="10:40" ht="14.5" x14ac:dyDescent="0.35">
      <c r="J509" s="65"/>
      <c r="K509" s="65"/>
      <c r="L509" s="65"/>
      <c r="M509" s="65"/>
      <c r="N509" s="65"/>
      <c r="O509" s="65"/>
      <c r="P509" s="65"/>
      <c r="Q509" s="65"/>
      <c r="R509" s="65"/>
      <c r="S509" s="65"/>
      <c r="T509" s="65"/>
      <c r="U509" s="65"/>
      <c r="V509" s="65"/>
      <c r="W509" s="65"/>
      <c r="X509" s="65"/>
      <c r="Y509" s="65"/>
      <c r="Z509" s="65"/>
      <c r="AA509" s="65"/>
      <c r="AB509" s="65"/>
      <c r="AC509" s="65"/>
      <c r="AD509" s="65"/>
      <c r="AE509" s="65"/>
      <c r="AF509" s="65"/>
      <c r="AG509" s="65"/>
      <c r="AH509" s="65"/>
      <c r="AI509" s="65"/>
      <c r="AJ509" s="65"/>
      <c r="AK509" s="65"/>
      <c r="AL509" s="65"/>
      <c r="AM509" s="65"/>
      <c r="AN509" s="65"/>
    </row>
    <row r="510" spans="10:40" ht="14.5" x14ac:dyDescent="0.35">
      <c r="J510" s="65"/>
      <c r="K510" s="65"/>
      <c r="L510" s="65"/>
      <c r="M510" s="65"/>
      <c r="N510" s="65"/>
      <c r="O510" s="65"/>
      <c r="P510" s="65"/>
      <c r="Q510" s="65"/>
      <c r="R510" s="65"/>
      <c r="S510" s="65"/>
      <c r="T510" s="65"/>
      <c r="U510" s="65"/>
      <c r="V510" s="65"/>
      <c r="W510" s="65"/>
      <c r="X510" s="65"/>
      <c r="Y510" s="65"/>
      <c r="Z510" s="65"/>
      <c r="AA510" s="65"/>
      <c r="AB510" s="65"/>
      <c r="AC510" s="65"/>
      <c r="AD510" s="65"/>
      <c r="AE510" s="65"/>
      <c r="AF510" s="65"/>
      <c r="AG510" s="65"/>
      <c r="AH510" s="65"/>
      <c r="AI510" s="65"/>
      <c r="AJ510" s="65"/>
      <c r="AK510" s="65"/>
      <c r="AL510" s="65"/>
      <c r="AM510" s="65"/>
      <c r="AN510" s="65"/>
    </row>
    <row r="511" spans="10:40" ht="14.5" x14ac:dyDescent="0.35">
      <c r="J511" s="65"/>
      <c r="K511" s="65"/>
      <c r="L511" s="65"/>
      <c r="M511" s="65"/>
      <c r="N511" s="65"/>
      <c r="O511" s="65"/>
      <c r="P511" s="65"/>
      <c r="Q511" s="65"/>
      <c r="R511" s="65"/>
      <c r="S511" s="65"/>
      <c r="T511" s="65"/>
      <c r="U511" s="65"/>
      <c r="V511" s="65"/>
      <c r="W511" s="65"/>
      <c r="X511" s="65"/>
      <c r="Y511" s="65"/>
      <c r="Z511" s="65"/>
      <c r="AA511" s="65"/>
      <c r="AB511" s="65"/>
      <c r="AC511" s="65"/>
      <c r="AD511" s="65"/>
      <c r="AE511" s="65"/>
      <c r="AF511" s="65"/>
      <c r="AG511" s="65"/>
      <c r="AH511" s="65"/>
      <c r="AI511" s="65"/>
      <c r="AJ511" s="65"/>
      <c r="AK511" s="65"/>
      <c r="AL511" s="65"/>
      <c r="AM511" s="65"/>
      <c r="AN511" s="65"/>
    </row>
    <row r="512" spans="10:40" ht="14.5" x14ac:dyDescent="0.35">
      <c r="J512" s="65"/>
      <c r="K512" s="65"/>
      <c r="L512" s="65"/>
      <c r="M512" s="65"/>
      <c r="N512" s="65"/>
      <c r="O512" s="65"/>
      <c r="P512" s="65"/>
      <c r="Q512" s="65"/>
      <c r="R512" s="65"/>
      <c r="S512" s="65"/>
      <c r="T512" s="65"/>
      <c r="U512" s="65"/>
      <c r="V512" s="65"/>
      <c r="W512" s="65"/>
      <c r="X512" s="65"/>
      <c r="Y512" s="65"/>
      <c r="Z512" s="65"/>
      <c r="AA512" s="65"/>
      <c r="AB512" s="65"/>
      <c r="AC512" s="65"/>
      <c r="AD512" s="65"/>
      <c r="AE512" s="65"/>
      <c r="AF512" s="65"/>
      <c r="AG512" s="65"/>
      <c r="AH512" s="65"/>
      <c r="AI512" s="65"/>
      <c r="AJ512" s="65"/>
      <c r="AK512" s="65"/>
      <c r="AL512" s="65"/>
      <c r="AM512" s="65"/>
      <c r="AN512" s="65"/>
    </row>
    <row r="513" spans="10:40" ht="14.5" x14ac:dyDescent="0.35">
      <c r="J513" s="65"/>
      <c r="K513" s="65"/>
      <c r="L513" s="65"/>
      <c r="M513" s="65"/>
      <c r="N513" s="65"/>
      <c r="O513" s="65"/>
      <c r="P513" s="65"/>
      <c r="Q513" s="65"/>
      <c r="R513" s="65"/>
      <c r="S513" s="65"/>
      <c r="T513" s="65"/>
      <c r="U513" s="65"/>
      <c r="V513" s="65"/>
      <c r="W513" s="65"/>
      <c r="X513" s="65"/>
      <c r="Y513" s="65"/>
      <c r="Z513" s="65"/>
      <c r="AA513" s="65"/>
      <c r="AB513" s="65"/>
      <c r="AC513" s="65"/>
      <c r="AD513" s="65"/>
      <c r="AE513" s="65"/>
      <c r="AF513" s="65"/>
      <c r="AG513" s="65"/>
      <c r="AH513" s="65"/>
      <c r="AI513" s="65"/>
      <c r="AJ513" s="65"/>
      <c r="AK513" s="65"/>
      <c r="AL513" s="65"/>
      <c r="AM513" s="65"/>
      <c r="AN513" s="65"/>
    </row>
    <row r="514" spans="10:40" ht="14.5" x14ac:dyDescent="0.35">
      <c r="J514" s="65"/>
      <c r="K514" s="65"/>
      <c r="L514" s="65"/>
      <c r="M514" s="65"/>
      <c r="N514" s="65"/>
      <c r="O514" s="65"/>
      <c r="P514" s="65"/>
      <c r="Q514" s="65"/>
      <c r="R514" s="65"/>
      <c r="S514" s="65"/>
      <c r="T514" s="65"/>
      <c r="U514" s="65"/>
      <c r="V514" s="65"/>
      <c r="W514" s="65"/>
      <c r="X514" s="65"/>
      <c r="Y514" s="65"/>
      <c r="Z514" s="65"/>
      <c r="AA514" s="65"/>
      <c r="AB514" s="65"/>
      <c r="AC514" s="65"/>
      <c r="AD514" s="65"/>
      <c r="AE514" s="65"/>
      <c r="AF514" s="65"/>
      <c r="AG514" s="65"/>
      <c r="AH514" s="65"/>
      <c r="AI514" s="65"/>
      <c r="AJ514" s="65"/>
      <c r="AK514" s="65"/>
      <c r="AL514" s="65"/>
      <c r="AM514" s="65"/>
      <c r="AN514" s="65"/>
    </row>
    <row r="515" spans="10:40" ht="14.5" x14ac:dyDescent="0.35">
      <c r="J515" s="65"/>
      <c r="K515" s="65"/>
      <c r="L515" s="65"/>
      <c r="M515" s="65"/>
      <c r="N515" s="65"/>
      <c r="O515" s="65"/>
      <c r="P515" s="65"/>
      <c r="Q515" s="65"/>
      <c r="R515" s="65"/>
      <c r="S515" s="65"/>
      <c r="T515" s="65"/>
      <c r="U515" s="65"/>
      <c r="V515" s="65"/>
      <c r="W515" s="65"/>
      <c r="X515" s="65"/>
      <c r="Y515" s="65"/>
      <c r="Z515" s="65"/>
      <c r="AA515" s="65"/>
      <c r="AB515" s="65"/>
      <c r="AC515" s="65"/>
      <c r="AD515" s="65"/>
      <c r="AE515" s="65"/>
      <c r="AF515" s="65"/>
      <c r="AG515" s="65"/>
      <c r="AH515" s="65"/>
      <c r="AI515" s="65"/>
      <c r="AJ515" s="65"/>
      <c r="AK515" s="65"/>
      <c r="AL515" s="65"/>
      <c r="AM515" s="65"/>
      <c r="AN515" s="65"/>
    </row>
    <row r="516" spans="10:40" ht="14.5" x14ac:dyDescent="0.35">
      <c r="J516" s="65"/>
      <c r="K516" s="65"/>
      <c r="L516" s="65"/>
      <c r="M516" s="65"/>
      <c r="N516" s="65"/>
      <c r="O516" s="65"/>
      <c r="P516" s="65"/>
      <c r="Q516" s="65"/>
      <c r="R516" s="65"/>
      <c r="S516" s="65"/>
      <c r="T516" s="65"/>
      <c r="U516" s="65"/>
      <c r="V516" s="65"/>
      <c r="W516" s="65"/>
      <c r="X516" s="65"/>
      <c r="Y516" s="65"/>
      <c r="Z516" s="65"/>
      <c r="AA516" s="65"/>
      <c r="AB516" s="65"/>
      <c r="AC516" s="65"/>
      <c r="AD516" s="65"/>
      <c r="AE516" s="65"/>
      <c r="AF516" s="65"/>
      <c r="AG516" s="65"/>
      <c r="AH516" s="65"/>
      <c r="AI516" s="65"/>
      <c r="AJ516" s="65"/>
      <c r="AK516" s="65"/>
      <c r="AL516" s="65"/>
      <c r="AM516" s="65"/>
      <c r="AN516" s="65"/>
    </row>
    <row r="517" spans="10:40" ht="14.5" x14ac:dyDescent="0.35">
      <c r="J517" s="65"/>
      <c r="K517" s="65"/>
      <c r="L517" s="65"/>
      <c r="M517" s="65"/>
      <c r="N517" s="65"/>
      <c r="O517" s="65"/>
      <c r="P517" s="65"/>
      <c r="Q517" s="65"/>
      <c r="R517" s="65"/>
      <c r="S517" s="65"/>
      <c r="T517" s="65"/>
      <c r="U517" s="65"/>
      <c r="V517" s="65"/>
      <c r="W517" s="65"/>
      <c r="X517" s="65"/>
      <c r="Y517" s="65"/>
      <c r="Z517" s="65"/>
      <c r="AA517" s="65"/>
      <c r="AB517" s="65"/>
      <c r="AC517" s="65"/>
      <c r="AD517" s="65"/>
      <c r="AE517" s="65"/>
      <c r="AF517" s="65"/>
      <c r="AG517" s="65"/>
      <c r="AH517" s="65"/>
      <c r="AI517" s="65"/>
      <c r="AJ517" s="65"/>
      <c r="AK517" s="65"/>
      <c r="AL517" s="65"/>
      <c r="AM517" s="65"/>
      <c r="AN517" s="65"/>
    </row>
    <row r="518" spans="10:40" ht="14.5" x14ac:dyDescent="0.35">
      <c r="J518" s="65"/>
      <c r="K518" s="65"/>
      <c r="L518" s="65"/>
      <c r="M518" s="65"/>
      <c r="N518" s="65"/>
      <c r="O518" s="65"/>
      <c r="P518" s="65"/>
      <c r="Q518" s="65"/>
      <c r="R518" s="65"/>
      <c r="S518" s="65"/>
      <c r="T518" s="65"/>
      <c r="U518" s="65"/>
      <c r="V518" s="65"/>
      <c r="W518" s="65"/>
      <c r="X518" s="65"/>
      <c r="Y518" s="65"/>
      <c r="Z518" s="65"/>
      <c r="AA518" s="65"/>
      <c r="AB518" s="65"/>
      <c r="AC518" s="65"/>
      <c r="AD518" s="65"/>
      <c r="AE518" s="65"/>
      <c r="AF518" s="65"/>
      <c r="AG518" s="65"/>
      <c r="AH518" s="65"/>
      <c r="AI518" s="65"/>
      <c r="AJ518" s="65"/>
      <c r="AK518" s="65"/>
      <c r="AL518" s="65"/>
      <c r="AM518" s="65"/>
      <c r="AN518" s="65"/>
    </row>
    <row r="519" spans="10:40" ht="14.5" x14ac:dyDescent="0.35">
      <c r="J519" s="65"/>
      <c r="K519" s="65"/>
      <c r="L519" s="65"/>
      <c r="M519" s="65"/>
      <c r="N519" s="65"/>
      <c r="O519" s="65"/>
      <c r="P519" s="65"/>
      <c r="Q519" s="65"/>
      <c r="R519" s="65"/>
      <c r="S519" s="65"/>
      <c r="T519" s="65"/>
      <c r="U519" s="65"/>
      <c r="V519" s="65"/>
      <c r="W519" s="65"/>
      <c r="X519" s="65"/>
      <c r="Y519" s="65"/>
      <c r="Z519" s="65"/>
      <c r="AA519" s="65"/>
      <c r="AB519" s="65"/>
      <c r="AC519" s="65"/>
      <c r="AD519" s="65"/>
      <c r="AE519" s="65"/>
      <c r="AF519" s="65"/>
      <c r="AG519" s="65"/>
      <c r="AH519" s="65"/>
      <c r="AI519" s="65"/>
      <c r="AJ519" s="65"/>
      <c r="AK519" s="65"/>
      <c r="AL519" s="65"/>
      <c r="AM519" s="65"/>
      <c r="AN519" s="65"/>
    </row>
    <row r="520" spans="10:40" ht="14.5" x14ac:dyDescent="0.35">
      <c r="J520" s="65"/>
      <c r="K520" s="65"/>
      <c r="L520" s="65"/>
      <c r="M520" s="65"/>
      <c r="N520" s="65"/>
      <c r="O520" s="65"/>
      <c r="P520" s="65"/>
      <c r="Q520" s="65"/>
      <c r="R520" s="65"/>
      <c r="S520" s="65"/>
      <c r="T520" s="65"/>
      <c r="U520" s="65"/>
      <c r="V520" s="65"/>
      <c r="W520" s="65"/>
      <c r="X520" s="65"/>
      <c r="Y520" s="65"/>
      <c r="Z520" s="65"/>
      <c r="AA520" s="65"/>
      <c r="AB520" s="65"/>
      <c r="AC520" s="65"/>
      <c r="AD520" s="65"/>
      <c r="AE520" s="65"/>
      <c r="AF520" s="65"/>
      <c r="AG520" s="65"/>
      <c r="AH520" s="65"/>
      <c r="AI520" s="65"/>
      <c r="AJ520" s="65"/>
      <c r="AK520" s="65"/>
      <c r="AL520" s="65"/>
      <c r="AM520" s="65"/>
      <c r="AN520" s="65"/>
    </row>
    <row r="521" spans="10:40" ht="14.5" x14ac:dyDescent="0.35">
      <c r="J521" s="65"/>
      <c r="K521" s="65"/>
      <c r="L521" s="65"/>
      <c r="M521" s="65"/>
      <c r="N521" s="65"/>
      <c r="O521" s="65"/>
      <c r="P521" s="65"/>
      <c r="Q521" s="65"/>
      <c r="R521" s="65"/>
      <c r="S521" s="65"/>
      <c r="T521" s="65"/>
      <c r="U521" s="65"/>
      <c r="V521" s="65"/>
      <c r="W521" s="65"/>
      <c r="X521" s="65"/>
      <c r="Y521" s="65"/>
      <c r="Z521" s="65"/>
      <c r="AA521" s="65"/>
      <c r="AB521" s="65"/>
      <c r="AC521" s="65"/>
      <c r="AD521" s="65"/>
      <c r="AE521" s="65"/>
      <c r="AF521" s="65"/>
      <c r="AG521" s="65"/>
      <c r="AH521" s="65"/>
      <c r="AI521" s="65"/>
      <c r="AJ521" s="65"/>
      <c r="AK521" s="65"/>
      <c r="AL521" s="65"/>
      <c r="AM521" s="65"/>
      <c r="AN521" s="65"/>
    </row>
    <row r="522" spans="10:40" ht="14.5" x14ac:dyDescent="0.35">
      <c r="J522" s="65"/>
      <c r="K522" s="65"/>
      <c r="L522" s="65"/>
      <c r="M522" s="65"/>
      <c r="N522" s="65"/>
      <c r="O522" s="65"/>
      <c r="P522" s="65"/>
      <c r="Q522" s="65"/>
      <c r="R522" s="65"/>
      <c r="S522" s="65"/>
      <c r="T522" s="65"/>
      <c r="U522" s="65"/>
      <c r="V522" s="65"/>
      <c r="W522" s="65"/>
      <c r="X522" s="65"/>
      <c r="Y522" s="65"/>
      <c r="Z522" s="65"/>
      <c r="AA522" s="65"/>
      <c r="AB522" s="65"/>
      <c r="AC522" s="65"/>
      <c r="AD522" s="65"/>
      <c r="AE522" s="65"/>
      <c r="AF522" s="65"/>
      <c r="AG522" s="65"/>
      <c r="AH522" s="65"/>
      <c r="AI522" s="65"/>
      <c r="AJ522" s="65"/>
      <c r="AK522" s="65"/>
      <c r="AL522" s="65"/>
      <c r="AM522" s="65"/>
      <c r="AN522" s="65"/>
    </row>
    <row r="523" spans="10:40" ht="14.5" x14ac:dyDescent="0.35">
      <c r="J523" s="65"/>
      <c r="K523" s="65"/>
      <c r="L523" s="65"/>
      <c r="M523" s="65"/>
      <c r="N523" s="65"/>
      <c r="O523" s="65"/>
      <c r="P523" s="65"/>
      <c r="Q523" s="65"/>
      <c r="R523" s="65"/>
      <c r="S523" s="65"/>
      <c r="T523" s="65"/>
      <c r="U523" s="65"/>
      <c r="V523" s="65"/>
      <c r="W523" s="65"/>
      <c r="X523" s="65"/>
      <c r="Y523" s="65"/>
      <c r="Z523" s="65"/>
      <c r="AA523" s="65"/>
      <c r="AB523" s="65"/>
      <c r="AC523" s="65"/>
      <c r="AD523" s="65"/>
      <c r="AE523" s="65"/>
      <c r="AF523" s="65"/>
      <c r="AG523" s="65"/>
      <c r="AH523" s="65"/>
      <c r="AI523" s="65"/>
      <c r="AJ523" s="65"/>
      <c r="AK523" s="65"/>
      <c r="AL523" s="65"/>
      <c r="AM523" s="65"/>
      <c r="AN523" s="65"/>
    </row>
    <row r="524" spans="10:40" ht="14.5" x14ac:dyDescent="0.35">
      <c r="J524" s="65"/>
      <c r="K524" s="65"/>
      <c r="L524" s="65"/>
      <c r="M524" s="65"/>
      <c r="N524" s="65"/>
      <c r="O524" s="65"/>
      <c r="P524" s="65"/>
      <c r="Q524" s="65"/>
      <c r="R524" s="65"/>
      <c r="S524" s="65"/>
      <c r="T524" s="65"/>
      <c r="U524" s="65"/>
      <c r="V524" s="65"/>
      <c r="W524" s="65"/>
      <c r="X524" s="65"/>
      <c r="Y524" s="65"/>
      <c r="Z524" s="65"/>
      <c r="AA524" s="65"/>
      <c r="AB524" s="65"/>
      <c r="AC524" s="65"/>
      <c r="AD524" s="65"/>
      <c r="AE524" s="65"/>
      <c r="AF524" s="65"/>
      <c r="AG524" s="65"/>
      <c r="AH524" s="65"/>
      <c r="AI524" s="65"/>
      <c r="AJ524" s="65"/>
      <c r="AK524" s="65"/>
      <c r="AL524" s="65"/>
      <c r="AM524" s="65"/>
      <c r="AN524" s="65"/>
    </row>
    <row r="525" spans="10:40" ht="14.5" x14ac:dyDescent="0.35">
      <c r="J525" s="65"/>
      <c r="K525" s="65"/>
      <c r="L525" s="65"/>
      <c r="M525" s="65"/>
      <c r="N525" s="65"/>
      <c r="O525" s="65"/>
      <c r="P525" s="65"/>
      <c r="Q525" s="65"/>
      <c r="R525" s="65"/>
      <c r="S525" s="65"/>
      <c r="T525" s="65"/>
      <c r="U525" s="65"/>
      <c r="V525" s="65"/>
      <c r="W525" s="65"/>
      <c r="X525" s="65"/>
      <c r="Y525" s="65"/>
      <c r="Z525" s="65"/>
      <c r="AA525" s="65"/>
      <c r="AB525" s="65"/>
      <c r="AC525" s="65"/>
      <c r="AD525" s="65"/>
      <c r="AE525" s="65"/>
      <c r="AF525" s="65"/>
      <c r="AG525" s="65"/>
      <c r="AH525" s="65"/>
      <c r="AI525" s="65"/>
      <c r="AJ525" s="65"/>
      <c r="AK525" s="65"/>
      <c r="AL525" s="65"/>
      <c r="AM525" s="65"/>
      <c r="AN525" s="65"/>
    </row>
    <row r="526" spans="10:40" ht="14.5" x14ac:dyDescent="0.35">
      <c r="J526" s="65"/>
      <c r="K526" s="65"/>
      <c r="L526" s="65"/>
      <c r="M526" s="65"/>
      <c r="N526" s="65"/>
      <c r="O526" s="65"/>
      <c r="P526" s="65"/>
      <c r="Q526" s="65"/>
      <c r="R526" s="65"/>
      <c r="S526" s="65"/>
      <c r="T526" s="65"/>
      <c r="U526" s="65"/>
      <c r="V526" s="65"/>
      <c r="W526" s="65"/>
      <c r="X526" s="65"/>
      <c r="Y526" s="65"/>
      <c r="Z526" s="65"/>
      <c r="AA526" s="65"/>
      <c r="AB526" s="65"/>
      <c r="AC526" s="65"/>
      <c r="AD526" s="65"/>
      <c r="AE526" s="65"/>
      <c r="AF526" s="65"/>
      <c r="AG526" s="65"/>
      <c r="AH526" s="65"/>
      <c r="AI526" s="65"/>
      <c r="AJ526" s="65"/>
      <c r="AK526" s="65"/>
      <c r="AL526" s="65"/>
      <c r="AM526" s="65"/>
      <c r="AN526" s="65"/>
    </row>
    <row r="527" spans="10:40" ht="14.5" x14ac:dyDescent="0.35">
      <c r="J527" s="65"/>
      <c r="K527" s="65"/>
      <c r="L527" s="65"/>
      <c r="M527" s="65"/>
      <c r="N527" s="65"/>
      <c r="O527" s="65"/>
      <c r="P527" s="65"/>
      <c r="Q527" s="65"/>
      <c r="R527" s="65"/>
      <c r="S527" s="65"/>
      <c r="T527" s="65"/>
      <c r="U527" s="65"/>
      <c r="V527" s="65"/>
      <c r="W527" s="65"/>
      <c r="X527" s="65"/>
      <c r="Y527" s="65"/>
      <c r="Z527" s="65"/>
      <c r="AA527" s="65"/>
      <c r="AB527" s="65"/>
      <c r="AC527" s="65"/>
      <c r="AD527" s="65"/>
      <c r="AE527" s="65"/>
      <c r="AF527" s="65"/>
      <c r="AG527" s="65"/>
      <c r="AH527" s="65"/>
      <c r="AI527" s="65"/>
      <c r="AJ527" s="65"/>
      <c r="AK527" s="65"/>
      <c r="AL527" s="65"/>
      <c r="AM527" s="65"/>
      <c r="AN527" s="65"/>
    </row>
    <row r="528" spans="10:40" ht="14.5" x14ac:dyDescent="0.35">
      <c r="J528" s="65"/>
      <c r="K528" s="65"/>
      <c r="L528" s="65"/>
      <c r="M528" s="65"/>
      <c r="N528" s="65"/>
      <c r="O528" s="65"/>
      <c r="P528" s="65"/>
      <c r="Q528" s="65"/>
      <c r="R528" s="65"/>
      <c r="S528" s="65"/>
      <c r="T528" s="65"/>
      <c r="U528" s="65"/>
      <c r="V528" s="65"/>
      <c r="W528" s="65"/>
      <c r="X528" s="65"/>
      <c r="Y528" s="65"/>
      <c r="Z528" s="65"/>
      <c r="AA528" s="65"/>
      <c r="AB528" s="65"/>
      <c r="AC528" s="65"/>
      <c r="AD528" s="65"/>
      <c r="AE528" s="65"/>
      <c r="AF528" s="65"/>
      <c r="AG528" s="65"/>
      <c r="AH528" s="65"/>
      <c r="AI528" s="65"/>
      <c r="AJ528" s="65"/>
      <c r="AK528" s="65"/>
      <c r="AL528" s="65"/>
      <c r="AM528" s="65"/>
      <c r="AN528" s="65"/>
    </row>
    <row r="529" spans="10:40" ht="14.5" x14ac:dyDescent="0.35">
      <c r="J529" s="65"/>
      <c r="K529" s="65"/>
      <c r="L529" s="65"/>
      <c r="M529" s="65"/>
      <c r="N529" s="65"/>
      <c r="O529" s="65"/>
      <c r="P529" s="65"/>
      <c r="Q529" s="65"/>
      <c r="R529" s="65"/>
      <c r="S529" s="65"/>
      <c r="T529" s="65"/>
      <c r="U529" s="65"/>
      <c r="V529" s="65"/>
      <c r="W529" s="65"/>
      <c r="X529" s="65"/>
      <c r="Y529" s="65"/>
      <c r="Z529" s="65"/>
      <c r="AA529" s="65"/>
      <c r="AB529" s="65"/>
      <c r="AC529" s="65"/>
      <c r="AD529" s="65"/>
      <c r="AE529" s="65"/>
      <c r="AF529" s="65"/>
      <c r="AG529" s="65"/>
      <c r="AH529" s="65"/>
      <c r="AI529" s="65"/>
      <c r="AJ529" s="65"/>
      <c r="AK529" s="65"/>
      <c r="AL529" s="65"/>
      <c r="AM529" s="65"/>
      <c r="AN529" s="65"/>
    </row>
    <row r="530" spans="10:40" ht="14.5" x14ac:dyDescent="0.35">
      <c r="J530" s="65"/>
      <c r="K530" s="65"/>
      <c r="L530" s="65"/>
      <c r="M530" s="65"/>
      <c r="N530" s="65"/>
      <c r="O530" s="65"/>
      <c r="P530" s="65"/>
      <c r="Q530" s="65"/>
      <c r="R530" s="65"/>
      <c r="S530" s="65"/>
      <c r="T530" s="65"/>
      <c r="U530" s="65"/>
      <c r="V530" s="65"/>
      <c r="W530" s="65"/>
      <c r="X530" s="65"/>
      <c r="Y530" s="65"/>
      <c r="Z530" s="65"/>
      <c r="AA530" s="65"/>
      <c r="AB530" s="65"/>
      <c r="AC530" s="65"/>
      <c r="AD530" s="65"/>
      <c r="AE530" s="65"/>
      <c r="AF530" s="65"/>
      <c r="AG530" s="65"/>
      <c r="AH530" s="65"/>
      <c r="AI530" s="65"/>
      <c r="AJ530" s="65"/>
      <c r="AK530" s="65"/>
      <c r="AL530" s="65"/>
      <c r="AM530" s="65"/>
      <c r="AN530" s="65"/>
    </row>
    <row r="531" spans="10:40" ht="14.5" x14ac:dyDescent="0.35">
      <c r="J531" s="65"/>
      <c r="K531" s="65"/>
      <c r="L531" s="65"/>
      <c r="M531" s="65"/>
      <c r="N531" s="65"/>
      <c r="O531" s="65"/>
      <c r="P531" s="65"/>
      <c r="Q531" s="65"/>
      <c r="R531" s="65"/>
      <c r="S531" s="65"/>
      <c r="T531" s="65"/>
      <c r="U531" s="65"/>
      <c r="V531" s="65"/>
      <c r="W531" s="65"/>
      <c r="X531" s="65"/>
      <c r="Y531" s="65"/>
      <c r="Z531" s="65"/>
      <c r="AA531" s="65"/>
      <c r="AB531" s="65"/>
      <c r="AC531" s="65"/>
      <c r="AD531" s="65"/>
      <c r="AE531" s="65"/>
      <c r="AF531" s="65"/>
      <c r="AG531" s="65"/>
      <c r="AH531" s="65"/>
      <c r="AI531" s="65"/>
      <c r="AJ531" s="65"/>
      <c r="AK531" s="65"/>
      <c r="AL531" s="65"/>
      <c r="AM531" s="65"/>
      <c r="AN531" s="65"/>
    </row>
    <row r="532" spans="10:40" ht="14.5" x14ac:dyDescent="0.35">
      <c r="J532" s="65"/>
      <c r="K532" s="65"/>
      <c r="L532" s="65"/>
      <c r="M532" s="65"/>
      <c r="N532" s="65"/>
      <c r="O532" s="65"/>
      <c r="P532" s="65"/>
      <c r="Q532" s="65"/>
      <c r="R532" s="65"/>
      <c r="S532" s="65"/>
      <c r="T532" s="65"/>
      <c r="U532" s="65"/>
      <c r="V532" s="65"/>
      <c r="W532" s="65"/>
      <c r="X532" s="65"/>
      <c r="Y532" s="65"/>
      <c r="Z532" s="65"/>
      <c r="AA532" s="65"/>
      <c r="AB532" s="65"/>
      <c r="AC532" s="65"/>
      <c r="AD532" s="65"/>
      <c r="AE532" s="65"/>
      <c r="AF532" s="65"/>
      <c r="AG532" s="65"/>
      <c r="AH532" s="65"/>
      <c r="AI532" s="65"/>
      <c r="AJ532" s="65"/>
      <c r="AK532" s="65"/>
      <c r="AL532" s="65"/>
      <c r="AM532" s="65"/>
      <c r="AN532" s="65"/>
    </row>
    <row r="533" spans="10:40" ht="14.5" x14ac:dyDescent="0.35">
      <c r="J533" s="65"/>
      <c r="K533" s="65"/>
      <c r="L533" s="65"/>
      <c r="M533" s="65"/>
      <c r="N533" s="65"/>
      <c r="O533" s="65"/>
      <c r="P533" s="65"/>
      <c r="Q533" s="65"/>
      <c r="R533" s="65"/>
      <c r="S533" s="65"/>
      <c r="T533" s="65"/>
      <c r="U533" s="65"/>
      <c r="V533" s="65"/>
      <c r="W533" s="65"/>
      <c r="X533" s="65"/>
      <c r="Y533" s="65"/>
      <c r="Z533" s="65"/>
      <c r="AA533" s="65"/>
      <c r="AB533" s="65"/>
      <c r="AC533" s="65"/>
      <c r="AD533" s="65"/>
      <c r="AE533" s="65"/>
      <c r="AF533" s="65"/>
      <c r="AG533" s="65"/>
      <c r="AH533" s="65"/>
      <c r="AI533" s="65"/>
      <c r="AJ533" s="65"/>
      <c r="AK533" s="65"/>
      <c r="AL533" s="65"/>
      <c r="AM533" s="65"/>
      <c r="AN533" s="65"/>
    </row>
    <row r="534" spans="10:40" ht="14.5" x14ac:dyDescent="0.35">
      <c r="J534" s="65"/>
      <c r="K534" s="65"/>
      <c r="L534" s="65"/>
      <c r="M534" s="65"/>
      <c r="N534" s="65"/>
      <c r="O534" s="65"/>
      <c r="P534" s="65"/>
      <c r="Q534" s="65"/>
      <c r="R534" s="65"/>
      <c r="S534" s="65"/>
      <c r="T534" s="65"/>
      <c r="U534" s="65"/>
      <c r="V534" s="65"/>
      <c r="W534" s="65"/>
      <c r="X534" s="65"/>
      <c r="Y534" s="65"/>
      <c r="Z534" s="65"/>
      <c r="AA534" s="65"/>
      <c r="AB534" s="65"/>
      <c r="AC534" s="65"/>
      <c r="AD534" s="65"/>
      <c r="AE534" s="65"/>
      <c r="AF534" s="65"/>
      <c r="AG534" s="65"/>
      <c r="AH534" s="65"/>
      <c r="AI534" s="65"/>
      <c r="AJ534" s="65"/>
      <c r="AK534" s="65"/>
      <c r="AL534" s="65"/>
      <c r="AM534" s="65"/>
      <c r="AN534" s="65"/>
    </row>
    <row r="535" spans="10:40" ht="14.5" x14ac:dyDescent="0.35">
      <c r="J535" s="65"/>
      <c r="K535" s="65"/>
      <c r="L535" s="65"/>
      <c r="M535" s="65"/>
      <c r="N535" s="65"/>
      <c r="O535" s="65"/>
      <c r="P535" s="65"/>
      <c r="Q535" s="65"/>
      <c r="R535" s="65"/>
      <c r="S535" s="65"/>
      <c r="T535" s="65"/>
      <c r="U535" s="65"/>
      <c r="V535" s="65"/>
      <c r="W535" s="65"/>
      <c r="X535" s="65"/>
      <c r="Y535" s="65"/>
      <c r="Z535" s="65"/>
      <c r="AA535" s="65"/>
      <c r="AB535" s="65"/>
      <c r="AC535" s="65"/>
      <c r="AD535" s="65"/>
      <c r="AE535" s="65"/>
      <c r="AF535" s="65"/>
      <c r="AG535" s="65"/>
      <c r="AH535" s="65"/>
      <c r="AI535" s="65"/>
      <c r="AJ535" s="65"/>
      <c r="AK535" s="65"/>
      <c r="AL535" s="65"/>
      <c r="AM535" s="65"/>
      <c r="AN535" s="65"/>
    </row>
    <row r="536" spans="10:40" ht="14.5" x14ac:dyDescent="0.35">
      <c r="J536" s="65"/>
      <c r="K536" s="65"/>
      <c r="L536" s="65"/>
      <c r="M536" s="65"/>
      <c r="N536" s="65"/>
      <c r="O536" s="65"/>
      <c r="P536" s="65"/>
      <c r="Q536" s="65"/>
      <c r="R536" s="65"/>
      <c r="S536" s="65"/>
      <c r="T536" s="65"/>
      <c r="U536" s="65"/>
      <c r="V536" s="65"/>
      <c r="W536" s="65"/>
      <c r="X536" s="65"/>
      <c r="Y536" s="65"/>
      <c r="Z536" s="65"/>
      <c r="AA536" s="65"/>
      <c r="AB536" s="65"/>
      <c r="AC536" s="65"/>
      <c r="AD536" s="65"/>
      <c r="AE536" s="65"/>
      <c r="AF536" s="65"/>
      <c r="AG536" s="65"/>
      <c r="AH536" s="65"/>
      <c r="AI536" s="65"/>
      <c r="AJ536" s="65"/>
      <c r="AK536" s="65"/>
      <c r="AL536" s="65"/>
      <c r="AM536" s="65"/>
      <c r="AN536" s="65"/>
    </row>
    <row r="537" spans="10:40" ht="14.5" x14ac:dyDescent="0.35">
      <c r="J537" s="65"/>
      <c r="K537" s="65"/>
      <c r="L537" s="65"/>
      <c r="M537" s="65"/>
      <c r="N537" s="65"/>
      <c r="O537" s="65"/>
      <c r="P537" s="65"/>
      <c r="Q537" s="65"/>
      <c r="R537" s="65"/>
      <c r="S537" s="65"/>
      <c r="T537" s="65"/>
      <c r="U537" s="65"/>
      <c r="V537" s="65"/>
      <c r="W537" s="65"/>
      <c r="X537" s="65"/>
      <c r="Y537" s="65"/>
      <c r="Z537" s="65"/>
      <c r="AA537" s="65"/>
      <c r="AB537" s="65"/>
      <c r="AC537" s="65"/>
      <c r="AD537" s="65"/>
      <c r="AE537" s="65"/>
      <c r="AF537" s="65"/>
      <c r="AG537" s="65"/>
      <c r="AH537" s="65"/>
      <c r="AI537" s="65"/>
      <c r="AJ537" s="65"/>
      <c r="AK537" s="65"/>
      <c r="AL537" s="65"/>
      <c r="AM537" s="65"/>
      <c r="AN537" s="65"/>
    </row>
    <row r="538" spans="10:40" ht="14.5" x14ac:dyDescent="0.35">
      <c r="J538" s="65"/>
      <c r="K538" s="65"/>
      <c r="L538" s="65"/>
      <c r="M538" s="65"/>
      <c r="N538" s="65"/>
      <c r="O538" s="65"/>
      <c r="P538" s="65"/>
      <c r="Q538" s="65"/>
      <c r="R538" s="65"/>
      <c r="S538" s="65"/>
      <c r="T538" s="65"/>
      <c r="U538" s="65"/>
      <c r="V538" s="65"/>
      <c r="W538" s="65"/>
      <c r="X538" s="65"/>
      <c r="Y538" s="65"/>
      <c r="Z538" s="65"/>
      <c r="AA538" s="65"/>
      <c r="AB538" s="65"/>
      <c r="AC538" s="65"/>
      <c r="AD538" s="65"/>
      <c r="AE538" s="65"/>
      <c r="AF538" s="65"/>
      <c r="AG538" s="65"/>
      <c r="AH538" s="65"/>
      <c r="AI538" s="65"/>
      <c r="AJ538" s="65"/>
      <c r="AK538" s="65"/>
      <c r="AL538" s="65"/>
      <c r="AM538" s="65"/>
      <c r="AN538" s="65"/>
    </row>
    <row r="539" spans="10:40" ht="14.5" x14ac:dyDescent="0.35">
      <c r="J539" s="65"/>
      <c r="K539" s="65"/>
      <c r="L539" s="65"/>
      <c r="M539" s="65"/>
      <c r="N539" s="65"/>
      <c r="O539" s="65"/>
      <c r="P539" s="65"/>
      <c r="Q539" s="65"/>
      <c r="R539" s="65"/>
      <c r="S539" s="65"/>
      <c r="T539" s="65"/>
      <c r="U539" s="65"/>
      <c r="V539" s="65"/>
      <c r="W539" s="65"/>
      <c r="X539" s="65"/>
      <c r="Y539" s="65"/>
      <c r="Z539" s="65"/>
      <c r="AA539" s="65"/>
      <c r="AB539" s="65"/>
      <c r="AC539" s="65"/>
      <c r="AD539" s="65"/>
      <c r="AE539" s="65"/>
      <c r="AF539" s="65"/>
      <c r="AG539" s="65"/>
      <c r="AH539" s="65"/>
      <c r="AI539" s="65"/>
      <c r="AJ539" s="65"/>
      <c r="AK539" s="65"/>
      <c r="AL539" s="65"/>
      <c r="AM539" s="65"/>
      <c r="AN539" s="65"/>
    </row>
    <row r="540" spans="10:40" ht="14.5" x14ac:dyDescent="0.35">
      <c r="J540" s="65"/>
      <c r="K540" s="65"/>
      <c r="L540" s="65"/>
      <c r="M540" s="65"/>
      <c r="N540" s="65"/>
      <c r="O540" s="65"/>
      <c r="P540" s="65"/>
      <c r="Q540" s="65"/>
      <c r="R540" s="65"/>
      <c r="S540" s="65"/>
      <c r="T540" s="65"/>
      <c r="U540" s="65"/>
      <c r="V540" s="65"/>
      <c r="W540" s="65"/>
      <c r="X540" s="65"/>
      <c r="Y540" s="65"/>
      <c r="Z540" s="65"/>
      <c r="AA540" s="65"/>
      <c r="AB540" s="65"/>
      <c r="AC540" s="65"/>
      <c r="AD540" s="65"/>
      <c r="AE540" s="65"/>
      <c r="AF540" s="65"/>
      <c r="AG540" s="65"/>
      <c r="AH540" s="65"/>
      <c r="AI540" s="65"/>
      <c r="AJ540" s="65"/>
      <c r="AK540" s="65"/>
      <c r="AL540" s="65"/>
      <c r="AM540" s="65"/>
      <c r="AN540" s="65"/>
    </row>
    <row r="541" spans="10:40" ht="14.5" x14ac:dyDescent="0.35">
      <c r="J541" s="65"/>
      <c r="K541" s="65"/>
      <c r="L541" s="65"/>
      <c r="M541" s="65"/>
      <c r="N541" s="65"/>
      <c r="O541" s="65"/>
      <c r="P541" s="65"/>
      <c r="Q541" s="65"/>
      <c r="R541" s="65"/>
      <c r="S541" s="65"/>
      <c r="T541" s="65"/>
      <c r="U541" s="65"/>
      <c r="V541" s="65"/>
      <c r="W541" s="65"/>
      <c r="X541" s="65"/>
      <c r="Y541" s="65"/>
      <c r="Z541" s="65"/>
      <c r="AA541" s="65"/>
      <c r="AB541" s="65"/>
      <c r="AC541" s="65"/>
      <c r="AD541" s="65"/>
      <c r="AE541" s="65"/>
      <c r="AF541" s="65"/>
      <c r="AG541" s="65"/>
      <c r="AH541" s="65"/>
      <c r="AI541" s="65"/>
      <c r="AJ541" s="65"/>
      <c r="AK541" s="65"/>
      <c r="AL541" s="65"/>
      <c r="AM541" s="65"/>
      <c r="AN541" s="65"/>
    </row>
    <row r="542" spans="10:40" ht="14.5" x14ac:dyDescent="0.35">
      <c r="J542" s="65"/>
      <c r="K542" s="65"/>
      <c r="L542" s="65"/>
      <c r="M542" s="65"/>
      <c r="N542" s="65"/>
      <c r="O542" s="65"/>
      <c r="P542" s="65"/>
      <c r="Q542" s="65"/>
      <c r="R542" s="65"/>
      <c r="S542" s="65"/>
      <c r="T542" s="65"/>
      <c r="U542" s="65"/>
      <c r="V542" s="65"/>
      <c r="W542" s="65"/>
      <c r="X542" s="65"/>
      <c r="Y542" s="65"/>
      <c r="Z542" s="65"/>
      <c r="AA542" s="65"/>
      <c r="AB542" s="65"/>
      <c r="AC542" s="65"/>
      <c r="AD542" s="65"/>
      <c r="AE542" s="65"/>
      <c r="AF542" s="65"/>
      <c r="AG542" s="65"/>
      <c r="AH542" s="65"/>
      <c r="AI542" s="65"/>
      <c r="AJ542" s="65"/>
      <c r="AK542" s="65"/>
      <c r="AL542" s="65"/>
      <c r="AM542" s="65"/>
      <c r="AN542" s="65"/>
    </row>
    <row r="543" spans="10:40" ht="14.5" x14ac:dyDescent="0.35">
      <c r="J543" s="65"/>
      <c r="K543" s="65"/>
      <c r="L543" s="65"/>
      <c r="M543" s="65"/>
      <c r="N543" s="65"/>
      <c r="O543" s="65"/>
      <c r="P543" s="65"/>
      <c r="Q543" s="65"/>
      <c r="R543" s="65"/>
      <c r="S543" s="65"/>
      <c r="T543" s="65"/>
      <c r="U543" s="65"/>
      <c r="V543" s="65"/>
      <c r="W543" s="65"/>
      <c r="X543" s="65"/>
      <c r="Y543" s="65"/>
      <c r="Z543" s="65"/>
      <c r="AA543" s="65"/>
      <c r="AB543" s="65"/>
      <c r="AC543" s="65"/>
      <c r="AD543" s="65"/>
      <c r="AE543" s="65"/>
      <c r="AF543" s="65"/>
      <c r="AG543" s="65"/>
      <c r="AH543" s="65"/>
      <c r="AI543" s="65"/>
      <c r="AJ543" s="65"/>
      <c r="AK543" s="65"/>
      <c r="AL543" s="65"/>
      <c r="AM543" s="65"/>
      <c r="AN543" s="65"/>
    </row>
    <row r="544" spans="10:40" ht="14.5" x14ac:dyDescent="0.35">
      <c r="J544" s="65"/>
      <c r="K544" s="65"/>
      <c r="L544" s="65"/>
      <c r="M544" s="65"/>
      <c r="N544" s="65"/>
      <c r="O544" s="65"/>
      <c r="P544" s="65"/>
      <c r="Q544" s="65"/>
      <c r="R544" s="65"/>
      <c r="S544" s="65"/>
      <c r="T544" s="65"/>
      <c r="U544" s="65"/>
      <c r="V544" s="65"/>
      <c r="W544" s="65"/>
      <c r="X544" s="65"/>
      <c r="Y544" s="65"/>
      <c r="Z544" s="65"/>
      <c r="AA544" s="65"/>
      <c r="AB544" s="65"/>
      <c r="AC544" s="65"/>
      <c r="AD544" s="65"/>
      <c r="AE544" s="65"/>
      <c r="AF544" s="65"/>
      <c r="AG544" s="65"/>
      <c r="AH544" s="65"/>
      <c r="AI544" s="65"/>
      <c r="AJ544" s="65"/>
      <c r="AK544" s="65"/>
      <c r="AL544" s="65"/>
      <c r="AM544" s="65"/>
      <c r="AN544" s="65"/>
    </row>
    <row r="545" spans="10:40" ht="14.5" x14ac:dyDescent="0.35">
      <c r="J545" s="65"/>
      <c r="K545" s="65"/>
      <c r="L545" s="65"/>
      <c r="M545" s="65"/>
      <c r="N545" s="65"/>
      <c r="O545" s="65"/>
      <c r="P545" s="65"/>
      <c r="Q545" s="65"/>
      <c r="R545" s="65"/>
      <c r="S545" s="65"/>
      <c r="T545" s="65"/>
      <c r="U545" s="65"/>
      <c r="V545" s="65"/>
      <c r="W545" s="65"/>
      <c r="X545" s="65"/>
      <c r="Y545" s="65"/>
      <c r="Z545" s="65"/>
      <c r="AA545" s="65"/>
      <c r="AB545" s="65"/>
      <c r="AC545" s="65"/>
      <c r="AD545" s="65"/>
      <c r="AE545" s="65"/>
      <c r="AF545" s="65"/>
      <c r="AG545" s="65"/>
      <c r="AH545" s="65"/>
      <c r="AI545" s="65"/>
      <c r="AJ545" s="65"/>
      <c r="AK545" s="65"/>
      <c r="AL545" s="65"/>
      <c r="AM545" s="65"/>
      <c r="AN545" s="65"/>
    </row>
    <row r="546" spans="10:40" ht="14.5" x14ac:dyDescent="0.35">
      <c r="J546" s="65"/>
      <c r="K546" s="65"/>
      <c r="L546" s="65"/>
      <c r="M546" s="65"/>
      <c r="N546" s="65"/>
      <c r="O546" s="65"/>
      <c r="P546" s="65"/>
      <c r="Q546" s="65"/>
      <c r="R546" s="65"/>
      <c r="S546" s="65"/>
      <c r="T546" s="65"/>
      <c r="U546" s="65"/>
      <c r="V546" s="65"/>
      <c r="W546" s="65"/>
      <c r="X546" s="65"/>
      <c r="Y546" s="65"/>
      <c r="Z546" s="65"/>
      <c r="AA546" s="65"/>
      <c r="AB546" s="65"/>
      <c r="AC546" s="65"/>
      <c r="AD546" s="65"/>
      <c r="AE546" s="65"/>
      <c r="AF546" s="65"/>
      <c r="AG546" s="65"/>
      <c r="AH546" s="65"/>
      <c r="AI546" s="65"/>
      <c r="AJ546" s="65"/>
      <c r="AK546" s="65"/>
      <c r="AL546" s="65"/>
      <c r="AM546" s="65"/>
      <c r="AN546" s="65"/>
    </row>
    <row r="547" spans="10:40" ht="14.5" x14ac:dyDescent="0.35">
      <c r="J547" s="65"/>
      <c r="K547" s="65"/>
      <c r="L547" s="65"/>
      <c r="M547" s="65"/>
      <c r="N547" s="65"/>
      <c r="O547" s="65"/>
      <c r="P547" s="65"/>
      <c r="Q547" s="65"/>
      <c r="R547" s="65"/>
      <c r="S547" s="65"/>
      <c r="T547" s="65"/>
      <c r="U547" s="65"/>
      <c r="V547" s="65"/>
      <c r="W547" s="65"/>
      <c r="X547" s="65"/>
      <c r="Y547" s="65"/>
      <c r="Z547" s="65"/>
      <c r="AA547" s="65"/>
      <c r="AB547" s="65"/>
      <c r="AC547" s="65"/>
      <c r="AD547" s="65"/>
      <c r="AE547" s="65"/>
      <c r="AF547" s="65"/>
      <c r="AG547" s="65"/>
      <c r="AH547" s="65"/>
      <c r="AI547" s="65"/>
      <c r="AJ547" s="65"/>
      <c r="AK547" s="65"/>
      <c r="AL547" s="65"/>
      <c r="AM547" s="65"/>
      <c r="AN547" s="65"/>
    </row>
    <row r="548" spans="10:40" ht="14.5" x14ac:dyDescent="0.35">
      <c r="J548" s="65"/>
      <c r="K548" s="65"/>
      <c r="L548" s="65"/>
      <c r="M548" s="65"/>
      <c r="N548" s="65"/>
      <c r="O548" s="65"/>
      <c r="P548" s="65"/>
      <c r="Q548" s="65"/>
      <c r="R548" s="65"/>
      <c r="S548" s="65"/>
      <c r="T548" s="65"/>
      <c r="U548" s="65"/>
      <c r="V548" s="65"/>
      <c r="W548" s="65"/>
      <c r="X548" s="65"/>
      <c r="Y548" s="65"/>
      <c r="Z548" s="65"/>
      <c r="AA548" s="65"/>
      <c r="AB548" s="65"/>
      <c r="AC548" s="65"/>
      <c r="AD548" s="65"/>
      <c r="AE548" s="65"/>
      <c r="AF548" s="65"/>
      <c r="AG548" s="65"/>
      <c r="AH548" s="65"/>
      <c r="AI548" s="65"/>
      <c r="AJ548" s="65"/>
      <c r="AK548" s="65"/>
      <c r="AL548" s="65"/>
      <c r="AM548" s="65"/>
      <c r="AN548" s="65"/>
    </row>
    <row r="549" spans="10:40" ht="14.5" x14ac:dyDescent="0.35">
      <c r="J549" s="65"/>
      <c r="K549" s="65"/>
      <c r="L549" s="65"/>
      <c r="M549" s="65"/>
      <c r="N549" s="65"/>
      <c r="O549" s="65"/>
      <c r="P549" s="65"/>
      <c r="Q549" s="65"/>
      <c r="R549" s="65"/>
      <c r="S549" s="65"/>
      <c r="T549" s="65"/>
      <c r="U549" s="65"/>
      <c r="V549" s="65"/>
      <c r="W549" s="65"/>
      <c r="X549" s="65"/>
      <c r="Y549" s="65"/>
      <c r="Z549" s="65"/>
      <c r="AA549" s="65"/>
      <c r="AB549" s="65"/>
      <c r="AC549" s="65"/>
      <c r="AD549" s="65"/>
      <c r="AE549" s="65"/>
      <c r="AF549" s="65"/>
      <c r="AG549" s="65"/>
      <c r="AH549" s="65"/>
      <c r="AI549" s="65"/>
      <c r="AJ549" s="65"/>
      <c r="AK549" s="65"/>
      <c r="AL549" s="65"/>
      <c r="AM549" s="65"/>
      <c r="AN549" s="65"/>
    </row>
    <row r="550" spans="10:40" ht="14.5" x14ac:dyDescent="0.35">
      <c r="J550" s="65"/>
      <c r="K550" s="65"/>
      <c r="L550" s="65"/>
      <c r="M550" s="65"/>
      <c r="N550" s="65"/>
      <c r="O550" s="65"/>
      <c r="P550" s="65"/>
      <c r="Q550" s="65"/>
      <c r="R550" s="65"/>
      <c r="S550" s="65"/>
      <c r="T550" s="65"/>
      <c r="U550" s="65"/>
      <c r="V550" s="65"/>
      <c r="W550" s="65"/>
      <c r="X550" s="65"/>
      <c r="Y550" s="65"/>
      <c r="Z550" s="65"/>
      <c r="AA550" s="65"/>
      <c r="AB550" s="65"/>
      <c r="AC550" s="65"/>
      <c r="AD550" s="65"/>
      <c r="AE550" s="65"/>
      <c r="AF550" s="65"/>
      <c r="AG550" s="65"/>
      <c r="AH550" s="65"/>
      <c r="AI550" s="65"/>
      <c r="AJ550" s="65"/>
      <c r="AK550" s="65"/>
      <c r="AL550" s="65"/>
      <c r="AM550" s="65"/>
      <c r="AN550" s="65"/>
    </row>
    <row r="551" spans="10:40" ht="14.5" x14ac:dyDescent="0.35">
      <c r="J551" s="65"/>
      <c r="K551" s="65"/>
      <c r="L551" s="65"/>
      <c r="M551" s="65"/>
      <c r="N551" s="65"/>
      <c r="O551" s="65"/>
      <c r="P551" s="65"/>
      <c r="Q551" s="65"/>
      <c r="R551" s="65"/>
      <c r="S551" s="65"/>
      <c r="T551" s="65"/>
      <c r="U551" s="65"/>
      <c r="V551" s="65"/>
      <c r="W551" s="65"/>
      <c r="X551" s="65"/>
      <c r="Y551" s="65"/>
      <c r="Z551" s="65"/>
      <c r="AA551" s="65"/>
      <c r="AB551" s="65"/>
      <c r="AC551" s="65"/>
      <c r="AD551" s="65"/>
      <c r="AE551" s="65"/>
      <c r="AF551" s="65"/>
      <c r="AG551" s="65"/>
      <c r="AH551" s="65"/>
      <c r="AI551" s="65"/>
      <c r="AJ551" s="65"/>
      <c r="AK551" s="65"/>
      <c r="AL551" s="65"/>
      <c r="AM551" s="65"/>
      <c r="AN551" s="65"/>
    </row>
    <row r="552" spans="10:40" ht="14.5" x14ac:dyDescent="0.35">
      <c r="J552" s="65"/>
      <c r="K552" s="65"/>
      <c r="L552" s="65"/>
      <c r="M552" s="65"/>
      <c r="N552" s="65"/>
      <c r="O552" s="65"/>
      <c r="P552" s="65"/>
      <c r="Q552" s="65"/>
      <c r="R552" s="65"/>
      <c r="S552" s="65"/>
      <c r="T552" s="65"/>
      <c r="U552" s="65"/>
      <c r="V552" s="65"/>
      <c r="W552" s="65"/>
      <c r="X552" s="65"/>
      <c r="Y552" s="65"/>
      <c r="Z552" s="65"/>
      <c r="AA552" s="65"/>
      <c r="AB552" s="65"/>
      <c r="AC552" s="65"/>
      <c r="AD552" s="65"/>
      <c r="AE552" s="65"/>
      <c r="AF552" s="65"/>
      <c r="AG552" s="65"/>
      <c r="AH552" s="65"/>
      <c r="AI552" s="65"/>
      <c r="AJ552" s="65"/>
      <c r="AK552" s="65"/>
      <c r="AL552" s="65"/>
      <c r="AM552" s="65"/>
      <c r="AN552" s="65"/>
    </row>
    <row r="553" spans="10:40" ht="14.5" x14ac:dyDescent="0.35">
      <c r="J553" s="65"/>
      <c r="K553" s="65"/>
      <c r="L553" s="65"/>
      <c r="M553" s="65"/>
      <c r="N553" s="65"/>
      <c r="O553" s="65"/>
      <c r="P553" s="65"/>
      <c r="Q553" s="65"/>
      <c r="R553" s="65"/>
      <c r="S553" s="65"/>
      <c r="T553" s="65"/>
      <c r="U553" s="65"/>
      <c r="V553" s="65"/>
      <c r="W553" s="65"/>
      <c r="X553" s="65"/>
      <c r="Y553" s="65"/>
      <c r="Z553" s="65"/>
      <c r="AA553" s="65"/>
      <c r="AB553" s="65"/>
      <c r="AC553" s="65"/>
      <c r="AD553" s="65"/>
      <c r="AE553" s="65"/>
      <c r="AF553" s="65"/>
      <c r="AG553" s="65"/>
      <c r="AH553" s="65"/>
      <c r="AI553" s="65"/>
      <c r="AJ553" s="65"/>
      <c r="AK553" s="65"/>
      <c r="AL553" s="65"/>
      <c r="AM553" s="65"/>
      <c r="AN553" s="65"/>
    </row>
    <row r="554" spans="10:40" ht="14.5" x14ac:dyDescent="0.35">
      <c r="J554" s="65"/>
      <c r="K554" s="65"/>
      <c r="L554" s="65"/>
      <c r="M554" s="65"/>
      <c r="N554" s="65"/>
      <c r="O554" s="65"/>
      <c r="P554" s="65"/>
      <c r="Q554" s="65"/>
      <c r="R554" s="65"/>
      <c r="S554" s="65"/>
      <c r="T554" s="65"/>
      <c r="U554" s="65"/>
      <c r="V554" s="65"/>
      <c r="W554" s="65"/>
      <c r="X554" s="65"/>
      <c r="Y554" s="65"/>
      <c r="Z554" s="65"/>
      <c r="AA554" s="65"/>
      <c r="AB554" s="65"/>
      <c r="AC554" s="65"/>
      <c r="AD554" s="65"/>
      <c r="AE554" s="65"/>
      <c r="AF554" s="65"/>
      <c r="AG554" s="65"/>
      <c r="AH554" s="65"/>
      <c r="AI554" s="65"/>
      <c r="AJ554" s="65"/>
      <c r="AK554" s="65"/>
      <c r="AL554" s="65"/>
      <c r="AM554" s="65"/>
      <c r="AN554" s="65"/>
    </row>
    <row r="555" spans="10:40" ht="14.5" x14ac:dyDescent="0.35">
      <c r="J555" s="65"/>
      <c r="K555" s="65"/>
      <c r="L555" s="65"/>
      <c r="M555" s="65"/>
      <c r="N555" s="65"/>
      <c r="O555" s="65"/>
      <c r="P555" s="65"/>
      <c r="Q555" s="65"/>
      <c r="R555" s="65"/>
      <c r="S555" s="65"/>
      <c r="T555" s="65"/>
      <c r="U555" s="65"/>
      <c r="V555" s="65"/>
      <c r="W555" s="65"/>
      <c r="X555" s="65"/>
      <c r="Y555" s="65"/>
      <c r="Z555" s="65"/>
      <c r="AA555" s="65"/>
      <c r="AB555" s="65"/>
      <c r="AC555" s="65"/>
      <c r="AD555" s="65"/>
      <c r="AE555" s="65"/>
      <c r="AF555" s="65"/>
      <c r="AG555" s="65"/>
      <c r="AH555" s="65"/>
      <c r="AI555" s="65"/>
      <c r="AJ555" s="65"/>
      <c r="AK555" s="65"/>
      <c r="AL555" s="65"/>
      <c r="AM555" s="65"/>
      <c r="AN555" s="65"/>
    </row>
    <row r="556" spans="10:40" ht="14.5" x14ac:dyDescent="0.35">
      <c r="J556" s="65"/>
      <c r="K556" s="65"/>
      <c r="L556" s="65"/>
      <c r="M556" s="65"/>
      <c r="N556" s="65"/>
      <c r="O556" s="65"/>
      <c r="P556" s="65"/>
      <c r="Q556" s="65"/>
      <c r="R556" s="65"/>
      <c r="S556" s="65"/>
      <c r="T556" s="65"/>
      <c r="U556" s="65"/>
      <c r="V556" s="65"/>
      <c r="W556" s="65"/>
      <c r="X556" s="65"/>
      <c r="Y556" s="65"/>
      <c r="Z556" s="65"/>
      <c r="AA556" s="65"/>
      <c r="AB556" s="65"/>
      <c r="AC556" s="65"/>
      <c r="AD556" s="65"/>
      <c r="AE556" s="65"/>
      <c r="AF556" s="65"/>
      <c r="AG556" s="65"/>
      <c r="AH556" s="65"/>
      <c r="AI556" s="65"/>
      <c r="AJ556" s="65"/>
      <c r="AK556" s="65"/>
      <c r="AL556" s="65"/>
      <c r="AM556" s="65"/>
      <c r="AN556" s="65"/>
    </row>
    <row r="557" spans="10:40" ht="14.5" x14ac:dyDescent="0.35">
      <c r="J557" s="65"/>
      <c r="K557" s="65"/>
      <c r="L557" s="65"/>
      <c r="M557" s="65"/>
      <c r="N557" s="65"/>
      <c r="O557" s="65"/>
      <c r="P557" s="65"/>
      <c r="Q557" s="65"/>
      <c r="R557" s="65"/>
      <c r="S557" s="65"/>
      <c r="T557" s="65"/>
      <c r="U557" s="65"/>
      <c r="V557" s="65"/>
      <c r="W557" s="65"/>
      <c r="X557" s="65"/>
      <c r="Y557" s="65"/>
      <c r="Z557" s="65"/>
      <c r="AA557" s="65"/>
      <c r="AB557" s="65"/>
      <c r="AC557" s="65"/>
      <c r="AD557" s="65"/>
      <c r="AE557" s="65"/>
      <c r="AF557" s="65"/>
      <c r="AG557" s="65"/>
      <c r="AH557" s="65"/>
      <c r="AI557" s="65"/>
      <c r="AJ557" s="65"/>
      <c r="AK557" s="65"/>
      <c r="AL557" s="65"/>
      <c r="AM557" s="65"/>
      <c r="AN557" s="65"/>
    </row>
    <row r="558" spans="10:40" ht="14.5" x14ac:dyDescent="0.35">
      <c r="J558" s="65"/>
      <c r="K558" s="65"/>
      <c r="L558" s="65"/>
      <c r="M558" s="65"/>
      <c r="N558" s="65"/>
      <c r="O558" s="65"/>
      <c r="P558" s="65"/>
      <c r="Q558" s="65"/>
      <c r="R558" s="65"/>
      <c r="S558" s="65"/>
      <c r="T558" s="65"/>
      <c r="U558" s="65"/>
      <c r="V558" s="65"/>
      <c r="W558" s="65"/>
      <c r="X558" s="65"/>
      <c r="Y558" s="65"/>
      <c r="Z558" s="65"/>
      <c r="AA558" s="65"/>
      <c r="AB558" s="65"/>
      <c r="AC558" s="65"/>
      <c r="AD558" s="65"/>
      <c r="AE558" s="65"/>
      <c r="AF558" s="65"/>
      <c r="AG558" s="65"/>
      <c r="AH558" s="65"/>
      <c r="AI558" s="65"/>
      <c r="AJ558" s="65"/>
      <c r="AK558" s="65"/>
      <c r="AL558" s="65"/>
      <c r="AM558" s="65"/>
      <c r="AN558" s="65"/>
    </row>
    <row r="559" spans="10:40" ht="14.5" x14ac:dyDescent="0.35">
      <c r="J559" s="65"/>
      <c r="K559" s="65"/>
      <c r="L559" s="65"/>
      <c r="M559" s="65"/>
      <c r="N559" s="65"/>
      <c r="O559" s="65"/>
      <c r="P559" s="65"/>
      <c r="Q559" s="65"/>
      <c r="R559" s="65"/>
      <c r="S559" s="65"/>
      <c r="T559" s="65"/>
      <c r="U559" s="65"/>
      <c r="V559" s="65"/>
      <c r="W559" s="65"/>
      <c r="X559" s="65"/>
      <c r="Y559" s="65"/>
      <c r="Z559" s="65"/>
      <c r="AA559" s="65"/>
      <c r="AB559" s="65"/>
      <c r="AC559" s="65"/>
      <c r="AD559" s="65"/>
      <c r="AE559" s="65"/>
      <c r="AF559" s="65"/>
      <c r="AG559" s="65"/>
      <c r="AH559" s="65"/>
      <c r="AI559" s="65"/>
      <c r="AJ559" s="65"/>
      <c r="AK559" s="65"/>
      <c r="AL559" s="65"/>
      <c r="AM559" s="65"/>
      <c r="AN559" s="65"/>
    </row>
    <row r="560" spans="10:40" ht="14.5" x14ac:dyDescent="0.35">
      <c r="J560" s="65"/>
      <c r="K560" s="65"/>
      <c r="L560" s="65"/>
      <c r="M560" s="65"/>
      <c r="N560" s="65"/>
      <c r="O560" s="65"/>
      <c r="P560" s="65"/>
      <c r="Q560" s="65"/>
      <c r="R560" s="65"/>
      <c r="S560" s="65"/>
      <c r="T560" s="65"/>
      <c r="U560" s="65"/>
      <c r="V560" s="65"/>
      <c r="W560" s="65"/>
      <c r="X560" s="65"/>
      <c r="Y560" s="65"/>
      <c r="Z560" s="65"/>
      <c r="AA560" s="65"/>
      <c r="AB560" s="65"/>
      <c r="AC560" s="65"/>
      <c r="AD560" s="65"/>
      <c r="AE560" s="65"/>
      <c r="AF560" s="65"/>
      <c r="AG560" s="65"/>
      <c r="AH560" s="65"/>
      <c r="AI560" s="65"/>
      <c r="AJ560" s="65"/>
      <c r="AK560" s="65"/>
      <c r="AL560" s="65"/>
      <c r="AM560" s="65"/>
      <c r="AN560" s="65"/>
    </row>
    <row r="561" spans="10:40" ht="14.5" x14ac:dyDescent="0.35">
      <c r="J561" s="65"/>
      <c r="K561" s="65"/>
      <c r="L561" s="65"/>
      <c r="M561" s="65"/>
      <c r="N561" s="65"/>
      <c r="O561" s="65"/>
      <c r="P561" s="65"/>
      <c r="Q561" s="65"/>
      <c r="R561" s="65"/>
      <c r="S561" s="65"/>
      <c r="T561" s="65"/>
      <c r="U561" s="65"/>
      <c r="V561" s="65"/>
      <c r="W561" s="65"/>
      <c r="X561" s="65"/>
      <c r="Y561" s="65"/>
      <c r="Z561" s="65"/>
      <c r="AA561" s="65"/>
      <c r="AB561" s="65"/>
      <c r="AC561" s="65"/>
      <c r="AD561" s="65"/>
      <c r="AE561" s="65"/>
      <c r="AF561" s="65"/>
      <c r="AG561" s="65"/>
      <c r="AH561" s="65"/>
      <c r="AI561" s="65"/>
      <c r="AJ561" s="65"/>
      <c r="AK561" s="65"/>
      <c r="AL561" s="65"/>
      <c r="AM561" s="65"/>
      <c r="AN561" s="65"/>
    </row>
    <row r="562" spans="10:40" ht="14.5" x14ac:dyDescent="0.35">
      <c r="J562" s="65"/>
      <c r="K562" s="65"/>
      <c r="L562" s="65"/>
      <c r="M562" s="65"/>
      <c r="N562" s="65"/>
      <c r="O562" s="65"/>
      <c r="P562" s="65"/>
      <c r="Q562" s="65"/>
      <c r="R562" s="65"/>
      <c r="S562" s="65"/>
      <c r="T562" s="65"/>
      <c r="U562" s="65"/>
      <c r="V562" s="65"/>
      <c r="W562" s="65"/>
      <c r="X562" s="65"/>
      <c r="Y562" s="65"/>
      <c r="Z562" s="65"/>
      <c r="AA562" s="65"/>
      <c r="AB562" s="65"/>
      <c r="AC562" s="65"/>
      <c r="AD562" s="65"/>
      <c r="AE562" s="65"/>
      <c r="AF562" s="65"/>
      <c r="AG562" s="65"/>
      <c r="AH562" s="65"/>
      <c r="AI562" s="65"/>
      <c r="AJ562" s="65"/>
      <c r="AK562" s="65"/>
      <c r="AL562" s="65"/>
      <c r="AM562" s="65"/>
      <c r="AN562" s="65"/>
    </row>
    <row r="563" spans="10:40" ht="14.5" x14ac:dyDescent="0.35">
      <c r="J563" s="65"/>
      <c r="K563" s="65"/>
      <c r="L563" s="65"/>
      <c r="M563" s="65"/>
      <c r="N563" s="65"/>
      <c r="O563" s="65"/>
      <c r="P563" s="65"/>
      <c r="Q563" s="65"/>
      <c r="R563" s="65"/>
      <c r="S563" s="65"/>
      <c r="T563" s="65"/>
      <c r="U563" s="65"/>
      <c r="V563" s="65"/>
      <c r="W563" s="65"/>
      <c r="X563" s="65"/>
      <c r="Y563" s="65"/>
      <c r="Z563" s="65"/>
      <c r="AA563" s="65"/>
      <c r="AB563" s="65"/>
      <c r="AC563" s="65"/>
      <c r="AD563" s="65"/>
      <c r="AE563" s="65"/>
      <c r="AF563" s="65"/>
      <c r="AG563" s="65"/>
      <c r="AH563" s="65"/>
      <c r="AI563" s="65"/>
      <c r="AJ563" s="65"/>
      <c r="AK563" s="65"/>
      <c r="AL563" s="65"/>
      <c r="AM563" s="65"/>
      <c r="AN563" s="65"/>
    </row>
    <row r="564" spans="10:40" ht="14.5" x14ac:dyDescent="0.35">
      <c r="J564" s="65"/>
      <c r="K564" s="65"/>
      <c r="L564" s="65"/>
      <c r="M564" s="65"/>
      <c r="N564" s="65"/>
      <c r="O564" s="65"/>
      <c r="P564" s="65"/>
      <c r="Q564" s="65"/>
      <c r="R564" s="65"/>
      <c r="S564" s="65"/>
      <c r="T564" s="65"/>
      <c r="U564" s="65"/>
      <c r="V564" s="65"/>
      <c r="W564" s="65"/>
      <c r="X564" s="65"/>
      <c r="Y564" s="65"/>
      <c r="Z564" s="65"/>
      <c r="AA564" s="65"/>
      <c r="AB564" s="65"/>
      <c r="AC564" s="65"/>
      <c r="AD564" s="65"/>
      <c r="AE564" s="65"/>
      <c r="AF564" s="65"/>
      <c r="AG564" s="65"/>
      <c r="AH564" s="65"/>
      <c r="AI564" s="65"/>
      <c r="AJ564" s="65"/>
      <c r="AK564" s="65"/>
      <c r="AL564" s="65"/>
      <c r="AM564" s="65"/>
      <c r="AN564" s="65"/>
    </row>
    <row r="565" spans="10:40" ht="14.5" x14ac:dyDescent="0.35">
      <c r="J565" s="65"/>
      <c r="K565" s="65"/>
      <c r="L565" s="65"/>
      <c r="M565" s="65"/>
      <c r="N565" s="65"/>
      <c r="O565" s="65"/>
      <c r="P565" s="65"/>
      <c r="Q565" s="65"/>
      <c r="R565" s="65"/>
      <c r="S565" s="65"/>
      <c r="T565" s="65"/>
      <c r="U565" s="65"/>
      <c r="V565" s="65"/>
      <c r="W565" s="65"/>
      <c r="X565" s="65"/>
      <c r="Y565" s="65"/>
      <c r="Z565" s="65"/>
      <c r="AA565" s="65"/>
      <c r="AB565" s="65"/>
      <c r="AC565" s="65"/>
      <c r="AD565" s="65"/>
      <c r="AE565" s="65"/>
      <c r="AF565" s="65"/>
      <c r="AG565" s="65"/>
      <c r="AH565" s="65"/>
      <c r="AI565" s="65"/>
      <c r="AJ565" s="65"/>
      <c r="AK565" s="65"/>
      <c r="AL565" s="65"/>
      <c r="AM565" s="65"/>
      <c r="AN565" s="65"/>
    </row>
    <row r="566" spans="10:40" ht="14.5" x14ac:dyDescent="0.35">
      <c r="J566" s="65"/>
      <c r="K566" s="65"/>
      <c r="L566" s="65"/>
      <c r="M566" s="65"/>
      <c r="N566" s="65"/>
      <c r="O566" s="65"/>
      <c r="P566" s="65"/>
      <c r="Q566" s="65"/>
      <c r="R566" s="65"/>
      <c r="S566" s="65"/>
      <c r="T566" s="65"/>
      <c r="U566" s="65"/>
      <c r="V566" s="65"/>
      <c r="W566" s="65"/>
      <c r="X566" s="65"/>
      <c r="Y566" s="65"/>
      <c r="Z566" s="65"/>
      <c r="AA566" s="65"/>
      <c r="AB566" s="65"/>
      <c r="AC566" s="65"/>
      <c r="AD566" s="65"/>
      <c r="AE566" s="65"/>
      <c r="AF566" s="65"/>
      <c r="AG566" s="65"/>
      <c r="AH566" s="65"/>
      <c r="AI566" s="65"/>
      <c r="AJ566" s="65"/>
      <c r="AK566" s="65"/>
      <c r="AL566" s="65"/>
      <c r="AM566" s="65"/>
      <c r="AN566" s="65"/>
    </row>
    <row r="567" spans="10:40" ht="14.5" x14ac:dyDescent="0.35">
      <c r="J567" s="65"/>
      <c r="K567" s="65"/>
      <c r="L567" s="65"/>
      <c r="M567" s="65"/>
      <c r="N567" s="65"/>
      <c r="O567" s="65"/>
      <c r="P567" s="65"/>
      <c r="Q567" s="65"/>
      <c r="R567" s="65"/>
      <c r="S567" s="65"/>
      <c r="T567" s="65"/>
      <c r="U567" s="65"/>
      <c r="V567" s="65"/>
      <c r="W567" s="65"/>
      <c r="X567" s="65"/>
      <c r="Y567" s="65"/>
      <c r="Z567" s="65"/>
      <c r="AA567" s="65"/>
      <c r="AB567" s="65"/>
      <c r="AC567" s="65"/>
      <c r="AD567" s="65"/>
      <c r="AE567" s="65"/>
      <c r="AF567" s="65"/>
      <c r="AG567" s="65"/>
      <c r="AH567" s="65"/>
      <c r="AI567" s="65"/>
      <c r="AJ567" s="65"/>
      <c r="AK567" s="65"/>
      <c r="AL567" s="65"/>
      <c r="AM567" s="65"/>
      <c r="AN567" s="65"/>
    </row>
    <row r="568" spans="10:40" ht="14.5" x14ac:dyDescent="0.35">
      <c r="J568" s="65"/>
      <c r="K568" s="65"/>
      <c r="L568" s="65"/>
      <c r="M568" s="65"/>
      <c r="N568" s="65"/>
      <c r="O568" s="65"/>
      <c r="P568" s="65"/>
      <c r="Q568" s="65"/>
      <c r="R568" s="65"/>
      <c r="S568" s="65"/>
      <c r="T568" s="65"/>
      <c r="U568" s="65"/>
      <c r="V568" s="65"/>
      <c r="W568" s="65"/>
      <c r="X568" s="65"/>
      <c r="Y568" s="65"/>
      <c r="Z568" s="65"/>
      <c r="AA568" s="65"/>
      <c r="AB568" s="65"/>
      <c r="AC568" s="65"/>
      <c r="AD568" s="65"/>
      <c r="AE568" s="65"/>
      <c r="AF568" s="65"/>
      <c r="AG568" s="65"/>
      <c r="AH568" s="65"/>
      <c r="AI568" s="65"/>
      <c r="AJ568" s="65"/>
      <c r="AK568" s="65"/>
      <c r="AL568" s="65"/>
      <c r="AM568" s="65"/>
      <c r="AN568" s="65"/>
    </row>
    <row r="569" spans="10:40" ht="14.5" x14ac:dyDescent="0.35">
      <c r="J569" s="65"/>
      <c r="K569" s="65"/>
      <c r="L569" s="65"/>
      <c r="M569" s="65"/>
      <c r="N569" s="65"/>
      <c r="O569" s="65"/>
      <c r="P569" s="65"/>
      <c r="Q569" s="65"/>
      <c r="R569" s="65"/>
      <c r="S569" s="65"/>
      <c r="T569" s="65"/>
      <c r="U569" s="65"/>
      <c r="V569" s="65"/>
      <c r="W569" s="65"/>
      <c r="X569" s="65"/>
      <c r="Y569" s="65"/>
      <c r="Z569" s="65"/>
      <c r="AA569" s="65"/>
      <c r="AB569" s="65"/>
      <c r="AC569" s="65"/>
      <c r="AD569" s="65"/>
      <c r="AE569" s="65"/>
      <c r="AF569" s="65"/>
      <c r="AG569" s="65"/>
      <c r="AH569" s="65"/>
      <c r="AI569" s="65"/>
      <c r="AJ569" s="65"/>
      <c r="AK569" s="65"/>
      <c r="AL569" s="65"/>
      <c r="AM569" s="65"/>
      <c r="AN569" s="65"/>
    </row>
    <row r="570" spans="10:40" ht="14.5" x14ac:dyDescent="0.35">
      <c r="J570" s="65"/>
      <c r="K570" s="65"/>
      <c r="L570" s="65"/>
      <c r="M570" s="65"/>
      <c r="N570" s="65"/>
      <c r="O570" s="65"/>
      <c r="P570" s="65"/>
      <c r="Q570" s="65"/>
      <c r="R570" s="65"/>
      <c r="S570" s="65"/>
      <c r="T570" s="65"/>
      <c r="U570" s="65"/>
      <c r="V570" s="65"/>
      <c r="W570" s="65"/>
      <c r="X570" s="65"/>
      <c r="Y570" s="65"/>
      <c r="Z570" s="65"/>
      <c r="AA570" s="65"/>
      <c r="AB570" s="65"/>
      <c r="AC570" s="65"/>
      <c r="AD570" s="65"/>
      <c r="AE570" s="65"/>
      <c r="AF570" s="65"/>
      <c r="AG570" s="65"/>
      <c r="AH570" s="65"/>
      <c r="AI570" s="65"/>
      <c r="AJ570" s="65"/>
      <c r="AK570" s="65"/>
      <c r="AL570" s="65"/>
      <c r="AM570" s="65"/>
      <c r="AN570" s="65"/>
    </row>
    <row r="571" spans="10:40" ht="14.5" x14ac:dyDescent="0.35">
      <c r="J571" s="65"/>
      <c r="K571" s="65"/>
      <c r="L571" s="65"/>
      <c r="M571" s="65"/>
      <c r="N571" s="65"/>
      <c r="O571" s="65"/>
      <c r="P571" s="65"/>
      <c r="Q571" s="65"/>
      <c r="R571" s="65"/>
      <c r="S571" s="65"/>
      <c r="T571" s="65"/>
      <c r="U571" s="65"/>
      <c r="V571" s="65"/>
      <c r="W571" s="65"/>
      <c r="X571" s="65"/>
      <c r="Y571" s="65"/>
      <c r="Z571" s="65"/>
      <c r="AA571" s="65"/>
      <c r="AB571" s="65"/>
      <c r="AC571" s="65"/>
      <c r="AD571" s="65"/>
      <c r="AE571" s="65"/>
      <c r="AF571" s="65"/>
      <c r="AG571" s="65"/>
      <c r="AH571" s="65"/>
      <c r="AI571" s="65"/>
      <c r="AJ571" s="65"/>
      <c r="AK571" s="65"/>
      <c r="AL571" s="65"/>
      <c r="AM571" s="65"/>
      <c r="AN571" s="65"/>
    </row>
    <row r="572" spans="10:40" ht="14.5" x14ac:dyDescent="0.35">
      <c r="J572" s="65"/>
      <c r="K572" s="65"/>
      <c r="L572" s="65"/>
      <c r="M572" s="65"/>
      <c r="N572" s="65"/>
      <c r="O572" s="65"/>
      <c r="P572" s="65"/>
      <c r="Q572" s="65"/>
      <c r="R572" s="65"/>
      <c r="S572" s="65"/>
      <c r="T572" s="65"/>
      <c r="U572" s="65"/>
      <c r="V572" s="65"/>
      <c r="W572" s="65"/>
      <c r="X572" s="65"/>
      <c r="Y572" s="65"/>
      <c r="Z572" s="65"/>
      <c r="AA572" s="65"/>
      <c r="AB572" s="65"/>
      <c r="AC572" s="65"/>
      <c r="AD572" s="65"/>
      <c r="AE572" s="65"/>
      <c r="AF572" s="65"/>
      <c r="AG572" s="65"/>
      <c r="AH572" s="65"/>
      <c r="AI572" s="65"/>
      <c r="AJ572" s="65"/>
      <c r="AK572" s="65"/>
      <c r="AL572" s="65"/>
      <c r="AM572" s="65"/>
      <c r="AN572" s="65"/>
    </row>
    <row r="573" spans="10:40" ht="14.5" x14ac:dyDescent="0.35">
      <c r="J573" s="65"/>
      <c r="K573" s="65"/>
      <c r="L573" s="65"/>
      <c r="M573" s="65"/>
      <c r="N573" s="65"/>
      <c r="O573" s="65"/>
      <c r="P573" s="65"/>
      <c r="Q573" s="65"/>
      <c r="R573" s="65"/>
      <c r="S573" s="65"/>
      <c r="T573" s="65"/>
      <c r="U573" s="65"/>
      <c r="V573" s="65"/>
      <c r="W573" s="65"/>
      <c r="X573" s="65"/>
      <c r="Y573" s="65"/>
      <c r="Z573" s="65"/>
      <c r="AA573" s="65"/>
      <c r="AB573" s="65"/>
      <c r="AC573" s="65"/>
      <c r="AD573" s="65"/>
      <c r="AE573" s="65"/>
      <c r="AF573" s="65"/>
      <c r="AG573" s="65"/>
      <c r="AH573" s="65"/>
      <c r="AI573" s="65"/>
      <c r="AJ573" s="65"/>
      <c r="AK573" s="65"/>
      <c r="AL573" s="65"/>
      <c r="AM573" s="65"/>
      <c r="AN573" s="65"/>
    </row>
    <row r="574" spans="10:40" ht="14.5" x14ac:dyDescent="0.35">
      <c r="J574" s="65"/>
      <c r="K574" s="65"/>
      <c r="L574" s="65"/>
      <c r="M574" s="65"/>
      <c r="N574" s="65"/>
      <c r="O574" s="65"/>
      <c r="P574" s="65"/>
      <c r="Q574" s="65"/>
      <c r="R574" s="65"/>
      <c r="S574" s="65"/>
      <c r="T574" s="65"/>
      <c r="U574" s="65"/>
      <c r="V574" s="65"/>
      <c r="W574" s="65"/>
      <c r="X574" s="65"/>
      <c r="Y574" s="65"/>
      <c r="Z574" s="65"/>
      <c r="AA574" s="65"/>
      <c r="AB574" s="65"/>
      <c r="AC574" s="65"/>
      <c r="AD574" s="65"/>
      <c r="AE574" s="65"/>
      <c r="AF574" s="65"/>
      <c r="AG574" s="65"/>
      <c r="AH574" s="65"/>
      <c r="AI574" s="65"/>
      <c r="AJ574" s="65"/>
      <c r="AK574" s="65"/>
      <c r="AL574" s="65"/>
      <c r="AM574" s="65"/>
      <c r="AN574" s="65"/>
    </row>
    <row r="575" spans="10:40" ht="14.5" x14ac:dyDescent="0.35">
      <c r="J575" s="65"/>
      <c r="K575" s="65"/>
      <c r="L575" s="65"/>
      <c r="M575" s="65"/>
      <c r="N575" s="65"/>
      <c r="O575" s="65"/>
      <c r="P575" s="65"/>
      <c r="Q575" s="65"/>
      <c r="R575" s="65"/>
      <c r="S575" s="65"/>
      <c r="T575" s="65"/>
      <c r="U575" s="65"/>
      <c r="V575" s="65"/>
      <c r="W575" s="65"/>
      <c r="X575" s="65"/>
      <c r="Y575" s="65"/>
      <c r="Z575" s="65"/>
      <c r="AA575" s="65"/>
      <c r="AB575" s="65"/>
      <c r="AC575" s="65"/>
      <c r="AD575" s="65"/>
      <c r="AE575" s="65"/>
      <c r="AF575" s="65"/>
      <c r="AG575" s="65"/>
      <c r="AH575" s="65"/>
      <c r="AI575" s="65"/>
      <c r="AJ575" s="65"/>
      <c r="AK575" s="65"/>
      <c r="AL575" s="65"/>
      <c r="AM575" s="65"/>
      <c r="AN575" s="65"/>
    </row>
    <row r="576" spans="10:40" ht="14.5" x14ac:dyDescent="0.35">
      <c r="J576" s="65"/>
      <c r="K576" s="65"/>
      <c r="L576" s="65"/>
      <c r="M576" s="65"/>
      <c r="N576" s="65"/>
      <c r="O576" s="65"/>
      <c r="P576" s="65"/>
      <c r="Q576" s="65"/>
      <c r="R576" s="65"/>
      <c r="S576" s="65"/>
      <c r="T576" s="65"/>
      <c r="U576" s="65"/>
      <c r="V576" s="65"/>
      <c r="W576" s="65"/>
      <c r="X576" s="65"/>
      <c r="Y576" s="65"/>
      <c r="Z576" s="65"/>
      <c r="AA576" s="65"/>
      <c r="AB576" s="65"/>
      <c r="AC576" s="65"/>
      <c r="AD576" s="65"/>
      <c r="AE576" s="65"/>
      <c r="AF576" s="65"/>
      <c r="AG576" s="65"/>
      <c r="AH576" s="65"/>
      <c r="AI576" s="65"/>
      <c r="AJ576" s="65"/>
      <c r="AK576" s="65"/>
      <c r="AL576" s="65"/>
      <c r="AM576" s="65"/>
      <c r="AN576" s="65"/>
    </row>
    <row r="577" spans="10:40" ht="14.5" x14ac:dyDescent="0.35">
      <c r="J577" s="65"/>
      <c r="K577" s="65"/>
      <c r="L577" s="65"/>
      <c r="M577" s="65"/>
      <c r="N577" s="65"/>
      <c r="O577" s="65"/>
      <c r="P577" s="65"/>
      <c r="Q577" s="65"/>
      <c r="R577" s="65"/>
      <c r="S577" s="65"/>
      <c r="T577" s="65"/>
      <c r="U577" s="65"/>
      <c r="V577" s="65"/>
      <c r="W577" s="65"/>
      <c r="X577" s="65"/>
      <c r="Y577" s="65"/>
      <c r="Z577" s="65"/>
      <c r="AA577" s="65"/>
      <c r="AB577" s="65"/>
      <c r="AC577" s="65"/>
      <c r="AD577" s="65"/>
      <c r="AE577" s="65"/>
      <c r="AF577" s="65"/>
      <c r="AG577" s="65"/>
      <c r="AH577" s="65"/>
      <c r="AI577" s="65"/>
      <c r="AJ577" s="65"/>
      <c r="AK577" s="65"/>
      <c r="AL577" s="65"/>
      <c r="AM577" s="65"/>
      <c r="AN577" s="65"/>
    </row>
    <row r="578" spans="10:40" ht="14.5" x14ac:dyDescent="0.35">
      <c r="J578" s="65"/>
      <c r="K578" s="65"/>
      <c r="L578" s="65"/>
      <c r="M578" s="65"/>
      <c r="N578" s="65"/>
      <c r="O578" s="65"/>
      <c r="P578" s="65"/>
      <c r="Q578" s="65"/>
      <c r="R578" s="65"/>
      <c r="S578" s="65"/>
      <c r="T578" s="65"/>
      <c r="U578" s="65"/>
      <c r="V578" s="65"/>
      <c r="W578" s="65"/>
      <c r="X578" s="65"/>
      <c r="Y578" s="65"/>
      <c r="Z578" s="65"/>
      <c r="AA578" s="65"/>
      <c r="AB578" s="65"/>
      <c r="AC578" s="65"/>
      <c r="AD578" s="65"/>
      <c r="AE578" s="65"/>
      <c r="AF578" s="65"/>
      <c r="AG578" s="65"/>
      <c r="AH578" s="65"/>
      <c r="AI578" s="65"/>
      <c r="AJ578" s="65"/>
      <c r="AK578" s="65"/>
      <c r="AL578" s="65"/>
      <c r="AM578" s="65"/>
      <c r="AN578" s="65"/>
    </row>
    <row r="579" spans="10:40" ht="14.5" x14ac:dyDescent="0.35">
      <c r="J579" s="65"/>
      <c r="K579" s="65"/>
      <c r="L579" s="65"/>
      <c r="M579" s="65"/>
      <c r="N579" s="65"/>
      <c r="O579" s="65"/>
      <c r="P579" s="65"/>
      <c r="Q579" s="65"/>
      <c r="R579" s="65"/>
      <c r="S579" s="65"/>
      <c r="T579" s="65"/>
      <c r="U579" s="65"/>
      <c r="V579" s="65"/>
      <c r="W579" s="65"/>
      <c r="X579" s="65"/>
      <c r="Y579" s="65"/>
      <c r="Z579" s="65"/>
      <c r="AA579" s="65"/>
      <c r="AB579" s="65"/>
      <c r="AC579" s="65"/>
      <c r="AD579" s="65"/>
      <c r="AE579" s="65"/>
      <c r="AF579" s="65"/>
      <c r="AG579" s="65"/>
      <c r="AH579" s="65"/>
      <c r="AI579" s="65"/>
      <c r="AJ579" s="65"/>
      <c r="AK579" s="65"/>
      <c r="AL579" s="65"/>
      <c r="AM579" s="65"/>
      <c r="AN579" s="65"/>
    </row>
    <row r="580" spans="10:40" ht="14.5" x14ac:dyDescent="0.35">
      <c r="J580" s="65"/>
      <c r="K580" s="65"/>
      <c r="L580" s="65"/>
      <c r="M580" s="65"/>
      <c r="N580" s="65"/>
      <c r="O580" s="65"/>
      <c r="P580" s="65"/>
      <c r="Q580" s="65"/>
      <c r="R580" s="65"/>
      <c r="S580" s="65"/>
      <c r="T580" s="65"/>
      <c r="U580" s="65"/>
      <c r="V580" s="65"/>
      <c r="W580" s="65"/>
      <c r="X580" s="65"/>
      <c r="Y580" s="65"/>
      <c r="Z580" s="65"/>
      <c r="AA580" s="65"/>
      <c r="AB580" s="65"/>
      <c r="AC580" s="65"/>
      <c r="AD580" s="65"/>
      <c r="AE580" s="65"/>
      <c r="AF580" s="65"/>
      <c r="AG580" s="65"/>
      <c r="AH580" s="65"/>
      <c r="AI580" s="65"/>
      <c r="AJ580" s="65"/>
      <c r="AK580" s="65"/>
      <c r="AL580" s="65"/>
      <c r="AM580" s="65"/>
      <c r="AN580" s="65"/>
    </row>
    <row r="581" spans="10:40" ht="14.5" x14ac:dyDescent="0.35">
      <c r="J581" s="65"/>
      <c r="K581" s="65"/>
      <c r="L581" s="65"/>
      <c r="M581" s="65"/>
      <c r="N581" s="65"/>
      <c r="O581" s="65"/>
      <c r="P581" s="65"/>
      <c r="Q581" s="65"/>
      <c r="R581" s="65"/>
      <c r="S581" s="65"/>
      <c r="T581" s="65"/>
      <c r="U581" s="65"/>
      <c r="V581" s="65"/>
      <c r="W581" s="65"/>
      <c r="X581" s="65"/>
      <c r="Y581" s="65"/>
      <c r="Z581" s="65"/>
      <c r="AA581" s="65"/>
      <c r="AB581" s="65"/>
      <c r="AC581" s="65"/>
      <c r="AD581" s="65"/>
      <c r="AE581" s="65"/>
      <c r="AF581" s="65"/>
      <c r="AG581" s="65"/>
      <c r="AH581" s="65"/>
      <c r="AI581" s="65"/>
      <c r="AJ581" s="65"/>
      <c r="AK581" s="65"/>
      <c r="AL581" s="65"/>
      <c r="AM581" s="65"/>
      <c r="AN581" s="65"/>
    </row>
    <row r="582" spans="10:40" ht="14.5" x14ac:dyDescent="0.35">
      <c r="J582" s="65"/>
      <c r="K582" s="65"/>
      <c r="L582" s="65"/>
      <c r="M582" s="65"/>
      <c r="N582" s="65"/>
      <c r="O582" s="65"/>
      <c r="P582" s="65"/>
      <c r="Q582" s="65"/>
      <c r="R582" s="65"/>
      <c r="S582" s="65"/>
      <c r="T582" s="65"/>
      <c r="U582" s="65"/>
      <c r="V582" s="65"/>
      <c r="W582" s="65"/>
      <c r="X582" s="65"/>
      <c r="Y582" s="65"/>
      <c r="Z582" s="65"/>
      <c r="AA582" s="65"/>
      <c r="AB582" s="65"/>
      <c r="AC582" s="65"/>
      <c r="AD582" s="65"/>
      <c r="AE582" s="65"/>
      <c r="AF582" s="65"/>
      <c r="AG582" s="65"/>
      <c r="AH582" s="65"/>
      <c r="AI582" s="65"/>
      <c r="AJ582" s="65"/>
      <c r="AK582" s="65"/>
      <c r="AL582" s="65"/>
      <c r="AM582" s="65"/>
      <c r="AN582" s="65"/>
    </row>
    <row r="583" spans="10:40" ht="14.5" x14ac:dyDescent="0.35">
      <c r="J583" s="65"/>
      <c r="K583" s="65"/>
      <c r="L583" s="65"/>
      <c r="M583" s="65"/>
      <c r="N583" s="65"/>
      <c r="O583" s="65"/>
      <c r="P583" s="65"/>
      <c r="Q583" s="65"/>
      <c r="R583" s="65"/>
      <c r="S583" s="65"/>
      <c r="T583" s="65"/>
      <c r="U583" s="65"/>
      <c r="V583" s="65"/>
      <c r="W583" s="65"/>
      <c r="X583" s="65"/>
      <c r="Y583" s="65"/>
      <c r="Z583" s="65"/>
      <c r="AA583" s="65"/>
      <c r="AB583" s="65"/>
      <c r="AC583" s="65"/>
      <c r="AD583" s="65"/>
      <c r="AE583" s="65"/>
      <c r="AF583" s="65"/>
      <c r="AG583" s="65"/>
      <c r="AH583" s="65"/>
      <c r="AI583" s="65"/>
      <c r="AJ583" s="65"/>
      <c r="AK583" s="65"/>
      <c r="AL583" s="65"/>
      <c r="AM583" s="65"/>
      <c r="AN583" s="65"/>
    </row>
    <row r="584" spans="10:40" ht="14.5" x14ac:dyDescent="0.35">
      <c r="J584" s="65"/>
      <c r="K584" s="65"/>
      <c r="L584" s="65"/>
      <c r="M584" s="65"/>
      <c r="N584" s="65"/>
      <c r="O584" s="65"/>
      <c r="P584" s="65"/>
      <c r="Q584" s="65"/>
      <c r="R584" s="65"/>
      <c r="S584" s="65"/>
      <c r="T584" s="65"/>
      <c r="U584" s="65"/>
      <c r="V584" s="65"/>
      <c r="W584" s="65"/>
      <c r="X584" s="65"/>
      <c r="Y584" s="65"/>
      <c r="Z584" s="65"/>
      <c r="AA584" s="65"/>
      <c r="AB584" s="65"/>
      <c r="AC584" s="65"/>
      <c r="AD584" s="65"/>
      <c r="AE584" s="65"/>
      <c r="AF584" s="65"/>
      <c r="AG584" s="65"/>
      <c r="AH584" s="65"/>
      <c r="AI584" s="65"/>
      <c r="AJ584" s="65"/>
      <c r="AK584" s="65"/>
      <c r="AL584" s="65"/>
      <c r="AM584" s="65"/>
      <c r="AN584" s="65"/>
    </row>
    <row r="585" spans="10:40" ht="14.5" x14ac:dyDescent="0.35">
      <c r="J585" s="65"/>
      <c r="K585" s="65"/>
      <c r="L585" s="65"/>
      <c r="M585" s="65"/>
      <c r="N585" s="65"/>
      <c r="O585" s="65"/>
      <c r="P585" s="65"/>
      <c r="Q585" s="65"/>
      <c r="R585" s="65"/>
      <c r="S585" s="65"/>
      <c r="T585" s="65"/>
      <c r="U585" s="65"/>
      <c r="V585" s="65"/>
      <c r="W585" s="65"/>
      <c r="X585" s="65"/>
      <c r="Y585" s="65"/>
      <c r="Z585" s="65"/>
      <c r="AA585" s="65"/>
      <c r="AB585" s="65"/>
      <c r="AC585" s="65"/>
      <c r="AD585" s="65"/>
      <c r="AE585" s="65"/>
      <c r="AF585" s="65"/>
      <c r="AG585" s="65"/>
      <c r="AH585" s="65"/>
      <c r="AI585" s="65"/>
      <c r="AJ585" s="65"/>
      <c r="AK585" s="65"/>
      <c r="AL585" s="65"/>
      <c r="AM585" s="65"/>
      <c r="AN585" s="65"/>
    </row>
    <row r="586" spans="10:40" ht="14.5" x14ac:dyDescent="0.35">
      <c r="J586" s="65"/>
      <c r="K586" s="65"/>
      <c r="L586" s="65"/>
      <c r="M586" s="65"/>
      <c r="N586" s="65"/>
      <c r="O586" s="65"/>
      <c r="P586" s="65"/>
      <c r="Q586" s="65"/>
      <c r="R586" s="65"/>
      <c r="S586" s="65"/>
      <c r="T586" s="65"/>
      <c r="U586" s="65"/>
      <c r="V586" s="65"/>
      <c r="W586" s="65"/>
      <c r="X586" s="65"/>
      <c r="Y586" s="65"/>
      <c r="Z586" s="65"/>
      <c r="AA586" s="65"/>
      <c r="AB586" s="65"/>
      <c r="AC586" s="65"/>
      <c r="AD586" s="65"/>
      <c r="AE586" s="65"/>
      <c r="AF586" s="65"/>
      <c r="AG586" s="65"/>
      <c r="AH586" s="65"/>
      <c r="AI586" s="65"/>
      <c r="AJ586" s="65"/>
      <c r="AK586" s="65"/>
      <c r="AL586" s="65"/>
      <c r="AM586" s="65"/>
      <c r="AN586" s="65"/>
    </row>
    <row r="587" spans="10:40" ht="14.5" x14ac:dyDescent="0.35">
      <c r="J587" s="65"/>
      <c r="K587" s="65"/>
      <c r="L587" s="65"/>
      <c r="M587" s="65"/>
      <c r="N587" s="65"/>
      <c r="O587" s="65"/>
      <c r="P587" s="65"/>
      <c r="Q587" s="65"/>
      <c r="R587" s="65"/>
      <c r="S587" s="65"/>
      <c r="T587" s="65"/>
      <c r="U587" s="65"/>
      <c r="V587" s="65"/>
      <c r="W587" s="65"/>
      <c r="X587" s="65"/>
      <c r="Y587" s="65"/>
      <c r="Z587" s="65"/>
      <c r="AA587" s="65"/>
      <c r="AB587" s="65"/>
      <c r="AC587" s="65"/>
      <c r="AD587" s="65"/>
      <c r="AE587" s="65"/>
      <c r="AF587" s="65"/>
      <c r="AG587" s="65"/>
      <c r="AH587" s="65"/>
      <c r="AI587" s="65"/>
      <c r="AJ587" s="65"/>
      <c r="AK587" s="65"/>
      <c r="AL587" s="65"/>
      <c r="AM587" s="65"/>
      <c r="AN587" s="65"/>
    </row>
    <row r="588" spans="10:40" ht="14.5" x14ac:dyDescent="0.35">
      <c r="J588" s="65"/>
      <c r="K588" s="65"/>
      <c r="L588" s="65"/>
      <c r="M588" s="65"/>
      <c r="N588" s="65"/>
      <c r="O588" s="65"/>
      <c r="P588" s="65"/>
      <c r="Q588" s="65"/>
      <c r="R588" s="65"/>
      <c r="S588" s="65"/>
      <c r="T588" s="65"/>
      <c r="U588" s="65"/>
      <c r="V588" s="65"/>
      <c r="W588" s="65"/>
      <c r="X588" s="65"/>
      <c r="Y588" s="65"/>
      <c r="Z588" s="65"/>
      <c r="AA588" s="65"/>
      <c r="AB588" s="65"/>
      <c r="AC588" s="65"/>
      <c r="AD588" s="65"/>
      <c r="AE588" s="65"/>
      <c r="AF588" s="65"/>
      <c r="AG588" s="65"/>
      <c r="AH588" s="65"/>
      <c r="AI588" s="65"/>
      <c r="AJ588" s="65"/>
      <c r="AK588" s="65"/>
      <c r="AL588" s="65"/>
      <c r="AM588" s="65"/>
      <c r="AN588" s="65"/>
    </row>
    <row r="589" spans="10:40" ht="14.5" x14ac:dyDescent="0.35">
      <c r="J589" s="65"/>
      <c r="K589" s="65"/>
      <c r="L589" s="65"/>
      <c r="M589" s="65"/>
      <c r="N589" s="65"/>
      <c r="O589" s="65"/>
      <c r="P589" s="65"/>
      <c r="Q589" s="65"/>
      <c r="R589" s="65"/>
      <c r="S589" s="65"/>
      <c r="T589" s="65"/>
      <c r="U589" s="65"/>
      <c r="V589" s="65"/>
      <c r="W589" s="65"/>
      <c r="X589" s="65"/>
      <c r="Y589" s="65"/>
      <c r="Z589" s="65"/>
      <c r="AA589" s="65"/>
      <c r="AB589" s="65"/>
      <c r="AC589" s="65"/>
      <c r="AD589" s="65"/>
      <c r="AE589" s="65"/>
      <c r="AF589" s="65"/>
      <c r="AG589" s="65"/>
      <c r="AH589" s="65"/>
      <c r="AI589" s="65"/>
      <c r="AJ589" s="65"/>
      <c r="AK589" s="65"/>
      <c r="AL589" s="65"/>
      <c r="AM589" s="65"/>
      <c r="AN589" s="65"/>
    </row>
    <row r="590" spans="10:40" ht="14.5" x14ac:dyDescent="0.35">
      <c r="J590" s="65"/>
      <c r="K590" s="65"/>
      <c r="L590" s="65"/>
      <c r="M590" s="65"/>
      <c r="N590" s="65"/>
      <c r="O590" s="65"/>
      <c r="P590" s="65"/>
      <c r="Q590" s="65"/>
      <c r="R590" s="65"/>
      <c r="S590" s="65"/>
      <c r="T590" s="65"/>
      <c r="U590" s="65"/>
      <c r="V590" s="65"/>
      <c r="W590" s="65"/>
      <c r="X590" s="65"/>
      <c r="Y590" s="65"/>
      <c r="Z590" s="65"/>
      <c r="AA590" s="65"/>
      <c r="AB590" s="65"/>
      <c r="AC590" s="65"/>
      <c r="AD590" s="65"/>
      <c r="AE590" s="65"/>
      <c r="AF590" s="65"/>
      <c r="AG590" s="65"/>
      <c r="AH590" s="65"/>
      <c r="AI590" s="65"/>
      <c r="AJ590" s="65"/>
      <c r="AK590" s="65"/>
      <c r="AL590" s="65"/>
      <c r="AM590" s="65"/>
      <c r="AN590" s="65"/>
    </row>
    <row r="591" spans="10:40" ht="14.5" x14ac:dyDescent="0.35">
      <c r="J591" s="65"/>
      <c r="K591" s="65"/>
      <c r="L591" s="65"/>
      <c r="M591" s="65"/>
      <c r="N591" s="65"/>
      <c r="O591" s="65"/>
      <c r="P591" s="65"/>
      <c r="Q591" s="65"/>
      <c r="R591" s="65"/>
      <c r="S591" s="65"/>
      <c r="T591" s="65"/>
      <c r="U591" s="65"/>
      <c r="V591" s="65"/>
      <c r="W591" s="65"/>
      <c r="X591" s="65"/>
      <c r="Y591" s="65"/>
      <c r="Z591" s="65"/>
      <c r="AA591" s="65"/>
      <c r="AB591" s="65"/>
      <c r="AC591" s="65"/>
      <c r="AD591" s="65"/>
      <c r="AE591" s="65"/>
      <c r="AF591" s="65"/>
      <c r="AG591" s="65"/>
      <c r="AH591" s="65"/>
      <c r="AI591" s="65"/>
      <c r="AJ591" s="65"/>
      <c r="AK591" s="65"/>
      <c r="AL591" s="65"/>
      <c r="AM591" s="65"/>
      <c r="AN591" s="65"/>
    </row>
    <row r="592" spans="10:40" ht="14.5" x14ac:dyDescent="0.35">
      <c r="J592" s="65"/>
      <c r="K592" s="65"/>
      <c r="L592" s="65"/>
      <c r="M592" s="65"/>
      <c r="N592" s="65"/>
      <c r="O592" s="65"/>
      <c r="P592" s="65"/>
      <c r="Q592" s="65"/>
      <c r="R592" s="65"/>
      <c r="S592" s="65"/>
      <c r="T592" s="65"/>
      <c r="U592" s="65"/>
      <c r="V592" s="65"/>
      <c r="W592" s="65"/>
      <c r="X592" s="65"/>
      <c r="Y592" s="65"/>
      <c r="Z592" s="65"/>
      <c r="AA592" s="65"/>
      <c r="AB592" s="65"/>
      <c r="AC592" s="65"/>
      <c r="AD592" s="65"/>
      <c r="AE592" s="65"/>
      <c r="AF592" s="65"/>
      <c r="AG592" s="65"/>
      <c r="AH592" s="65"/>
      <c r="AI592" s="65"/>
      <c r="AJ592" s="65"/>
      <c r="AK592" s="65"/>
      <c r="AL592" s="65"/>
      <c r="AM592" s="65"/>
      <c r="AN592" s="65"/>
    </row>
    <row r="593" spans="10:40" ht="14.5" x14ac:dyDescent="0.35">
      <c r="J593" s="65"/>
      <c r="K593" s="65"/>
      <c r="L593" s="65"/>
      <c r="M593" s="65"/>
      <c r="N593" s="65"/>
      <c r="O593" s="65"/>
      <c r="P593" s="65"/>
      <c r="Q593" s="65"/>
      <c r="R593" s="65"/>
      <c r="S593" s="65"/>
      <c r="T593" s="65"/>
      <c r="U593" s="65"/>
      <c r="V593" s="65"/>
      <c r="W593" s="65"/>
      <c r="X593" s="65"/>
      <c r="Y593" s="65"/>
      <c r="Z593" s="65"/>
      <c r="AA593" s="65"/>
      <c r="AB593" s="65"/>
      <c r="AC593" s="65"/>
      <c r="AD593" s="65"/>
      <c r="AE593" s="65"/>
      <c r="AF593" s="65"/>
      <c r="AG593" s="65"/>
      <c r="AH593" s="65"/>
      <c r="AI593" s="65"/>
      <c r="AJ593" s="65"/>
      <c r="AK593" s="65"/>
      <c r="AL593" s="65"/>
      <c r="AM593" s="65"/>
      <c r="AN593" s="65"/>
    </row>
    <row r="594" spans="10:40" ht="14.5" x14ac:dyDescent="0.35">
      <c r="J594" s="65"/>
      <c r="K594" s="65"/>
      <c r="L594" s="65"/>
      <c r="M594" s="65"/>
      <c r="N594" s="65"/>
      <c r="O594" s="65"/>
      <c r="P594" s="65"/>
      <c r="Q594" s="65"/>
      <c r="R594" s="65"/>
      <c r="S594" s="65"/>
      <c r="T594" s="65"/>
      <c r="U594" s="65"/>
      <c r="V594" s="65"/>
      <c r="W594" s="65"/>
      <c r="X594" s="65"/>
      <c r="Y594" s="65"/>
      <c r="Z594" s="65"/>
      <c r="AA594" s="65"/>
      <c r="AB594" s="65"/>
      <c r="AC594" s="65"/>
      <c r="AD594" s="65"/>
      <c r="AE594" s="65"/>
      <c r="AF594" s="65"/>
      <c r="AG594" s="65"/>
      <c r="AH594" s="65"/>
      <c r="AI594" s="65"/>
      <c r="AJ594" s="65"/>
      <c r="AK594" s="65"/>
      <c r="AL594" s="65"/>
      <c r="AM594" s="65"/>
      <c r="AN594" s="65"/>
    </row>
    <row r="595" spans="10:40" ht="14.5" x14ac:dyDescent="0.35">
      <c r="J595" s="65"/>
      <c r="K595" s="65"/>
      <c r="L595" s="65"/>
      <c r="M595" s="65"/>
      <c r="N595" s="65"/>
      <c r="O595" s="65"/>
      <c r="P595" s="65"/>
      <c r="Q595" s="65"/>
      <c r="R595" s="65"/>
      <c r="S595" s="65"/>
      <c r="T595" s="65"/>
      <c r="U595" s="65"/>
      <c r="V595" s="65"/>
      <c r="W595" s="65"/>
      <c r="X595" s="65"/>
      <c r="Y595" s="65"/>
      <c r="Z595" s="65"/>
      <c r="AA595" s="65"/>
      <c r="AB595" s="65"/>
      <c r="AC595" s="65"/>
      <c r="AD595" s="65"/>
      <c r="AE595" s="65"/>
      <c r="AF595" s="65"/>
      <c r="AG595" s="65"/>
      <c r="AH595" s="65"/>
      <c r="AI595" s="65"/>
      <c r="AJ595" s="65"/>
      <c r="AK595" s="65"/>
      <c r="AL595" s="65"/>
      <c r="AM595" s="65"/>
      <c r="AN595" s="65"/>
    </row>
    <row r="596" spans="10:40" ht="14.5" x14ac:dyDescent="0.35">
      <c r="J596" s="65"/>
      <c r="K596" s="65"/>
      <c r="L596" s="65"/>
      <c r="M596" s="65"/>
      <c r="N596" s="65"/>
      <c r="O596" s="65"/>
      <c r="P596" s="65"/>
      <c r="Q596" s="65"/>
      <c r="R596" s="65"/>
      <c r="S596" s="65"/>
      <c r="T596" s="65"/>
      <c r="U596" s="65"/>
      <c r="V596" s="65"/>
      <c r="W596" s="65"/>
      <c r="X596" s="65"/>
      <c r="Y596" s="65"/>
      <c r="Z596" s="65"/>
      <c r="AA596" s="65"/>
      <c r="AB596" s="65"/>
      <c r="AC596" s="65"/>
      <c r="AD596" s="65"/>
      <c r="AE596" s="65"/>
      <c r="AF596" s="65"/>
      <c r="AG596" s="65"/>
      <c r="AH596" s="65"/>
      <c r="AI596" s="65"/>
      <c r="AJ596" s="65"/>
      <c r="AK596" s="65"/>
      <c r="AL596" s="65"/>
      <c r="AM596" s="65"/>
      <c r="AN596" s="65"/>
    </row>
    <row r="597" spans="10:40" ht="14.5" x14ac:dyDescent="0.35">
      <c r="J597" s="65"/>
      <c r="K597" s="65"/>
      <c r="L597" s="65"/>
      <c r="M597" s="65"/>
      <c r="N597" s="65"/>
      <c r="O597" s="65"/>
      <c r="P597" s="65"/>
      <c r="Q597" s="65"/>
      <c r="R597" s="65"/>
      <c r="S597" s="65"/>
      <c r="T597" s="65"/>
      <c r="U597" s="65"/>
      <c r="V597" s="65"/>
      <c r="W597" s="65"/>
      <c r="X597" s="65"/>
      <c r="Y597" s="65"/>
      <c r="Z597" s="65"/>
      <c r="AA597" s="65"/>
      <c r="AB597" s="65"/>
      <c r="AC597" s="65"/>
      <c r="AD597" s="65"/>
      <c r="AE597" s="65"/>
      <c r="AF597" s="65"/>
      <c r="AG597" s="65"/>
      <c r="AH597" s="65"/>
      <c r="AI597" s="65"/>
      <c r="AJ597" s="65"/>
      <c r="AK597" s="65"/>
      <c r="AL597" s="65"/>
      <c r="AM597" s="65"/>
      <c r="AN597" s="65"/>
    </row>
    <row r="598" spans="10:40" ht="14.5" x14ac:dyDescent="0.35">
      <c r="J598" s="65"/>
      <c r="K598" s="65"/>
      <c r="L598" s="65"/>
      <c r="M598" s="65"/>
      <c r="N598" s="65"/>
      <c r="O598" s="65"/>
      <c r="P598" s="65"/>
      <c r="Q598" s="65"/>
      <c r="R598" s="65"/>
      <c r="S598" s="65"/>
      <c r="T598" s="65"/>
      <c r="U598" s="65"/>
      <c r="V598" s="65"/>
      <c r="W598" s="65"/>
      <c r="X598" s="65"/>
      <c r="Y598" s="65"/>
      <c r="Z598" s="65"/>
      <c r="AA598" s="65"/>
      <c r="AB598" s="65"/>
      <c r="AC598" s="65"/>
      <c r="AD598" s="65"/>
      <c r="AE598" s="65"/>
      <c r="AF598" s="65"/>
      <c r="AG598" s="65"/>
      <c r="AH598" s="65"/>
      <c r="AI598" s="65"/>
      <c r="AJ598" s="65"/>
      <c r="AK598" s="65"/>
      <c r="AL598" s="65"/>
      <c r="AM598" s="65"/>
      <c r="AN598" s="65"/>
    </row>
    <row r="599" spans="10:40" ht="14.5" x14ac:dyDescent="0.35">
      <c r="J599" s="65"/>
      <c r="K599" s="65"/>
      <c r="L599" s="65"/>
      <c r="M599" s="65"/>
      <c r="N599" s="65"/>
      <c r="O599" s="65"/>
      <c r="P599" s="65"/>
      <c r="Q599" s="65"/>
      <c r="R599" s="65"/>
      <c r="S599" s="65"/>
      <c r="T599" s="65"/>
      <c r="U599" s="65"/>
      <c r="V599" s="65"/>
      <c r="W599" s="65"/>
      <c r="X599" s="65"/>
      <c r="Y599" s="65"/>
      <c r="Z599" s="65"/>
      <c r="AA599" s="65"/>
      <c r="AB599" s="65"/>
      <c r="AC599" s="65"/>
      <c r="AD599" s="65"/>
      <c r="AE599" s="65"/>
      <c r="AF599" s="65"/>
      <c r="AG599" s="65"/>
      <c r="AH599" s="65"/>
      <c r="AI599" s="65"/>
      <c r="AJ599" s="65"/>
      <c r="AK599" s="65"/>
      <c r="AL599" s="65"/>
      <c r="AM599" s="65"/>
      <c r="AN599" s="65"/>
    </row>
    <row r="600" spans="10:40" ht="14.5" x14ac:dyDescent="0.35">
      <c r="J600" s="65"/>
      <c r="K600" s="65"/>
      <c r="L600" s="65"/>
      <c r="M600" s="65"/>
      <c r="N600" s="65"/>
      <c r="O600" s="65"/>
      <c r="P600" s="65"/>
      <c r="Q600" s="65"/>
      <c r="R600" s="65"/>
      <c r="S600" s="65"/>
      <c r="T600" s="65"/>
      <c r="U600" s="65"/>
      <c r="V600" s="65"/>
      <c r="W600" s="65"/>
      <c r="X600" s="65"/>
      <c r="Y600" s="65"/>
      <c r="Z600" s="65"/>
      <c r="AA600" s="65"/>
      <c r="AB600" s="65"/>
      <c r="AC600" s="65"/>
      <c r="AD600" s="65"/>
      <c r="AE600" s="65"/>
      <c r="AF600" s="65"/>
      <c r="AG600" s="65"/>
      <c r="AH600" s="65"/>
      <c r="AI600" s="65"/>
      <c r="AJ600" s="65"/>
      <c r="AK600" s="65"/>
      <c r="AL600" s="65"/>
      <c r="AM600" s="65"/>
      <c r="AN600" s="65"/>
    </row>
    <row r="601" spans="10:40" ht="14.5" x14ac:dyDescent="0.35">
      <c r="J601" s="65"/>
      <c r="K601" s="65"/>
      <c r="L601" s="65"/>
      <c r="M601" s="65"/>
      <c r="N601" s="65"/>
      <c r="O601" s="65"/>
      <c r="P601" s="65"/>
      <c r="Q601" s="65"/>
      <c r="R601" s="65"/>
      <c r="S601" s="65"/>
      <c r="T601" s="65"/>
      <c r="U601" s="65"/>
      <c r="V601" s="65"/>
      <c r="W601" s="65"/>
      <c r="X601" s="65"/>
      <c r="Y601" s="65"/>
      <c r="Z601" s="65"/>
      <c r="AA601" s="65"/>
      <c r="AB601" s="65"/>
      <c r="AC601" s="65"/>
      <c r="AD601" s="65"/>
      <c r="AE601" s="65"/>
      <c r="AF601" s="65"/>
      <c r="AG601" s="65"/>
      <c r="AH601" s="65"/>
      <c r="AI601" s="65"/>
      <c r="AJ601" s="65"/>
      <c r="AK601" s="65"/>
      <c r="AL601" s="65"/>
      <c r="AM601" s="65"/>
      <c r="AN601" s="65"/>
    </row>
    <row r="602" spans="10:40" ht="14.5" x14ac:dyDescent="0.35">
      <c r="J602" s="65"/>
      <c r="K602" s="65"/>
      <c r="L602" s="65"/>
      <c r="M602" s="65"/>
      <c r="N602" s="65"/>
      <c r="O602" s="65"/>
      <c r="P602" s="65"/>
      <c r="Q602" s="65"/>
      <c r="R602" s="65"/>
      <c r="S602" s="65"/>
      <c r="T602" s="65"/>
      <c r="U602" s="65"/>
      <c r="V602" s="65"/>
      <c r="W602" s="65"/>
      <c r="X602" s="65"/>
      <c r="Y602" s="65"/>
      <c r="Z602" s="65"/>
      <c r="AA602" s="65"/>
      <c r="AB602" s="65"/>
      <c r="AC602" s="65"/>
      <c r="AD602" s="65"/>
      <c r="AE602" s="65"/>
      <c r="AF602" s="65"/>
      <c r="AG602" s="65"/>
      <c r="AH602" s="65"/>
      <c r="AI602" s="65"/>
      <c r="AJ602" s="65"/>
      <c r="AK602" s="65"/>
      <c r="AL602" s="65"/>
      <c r="AM602" s="65"/>
      <c r="AN602" s="65"/>
    </row>
    <row r="603" spans="10:40" ht="14.5" x14ac:dyDescent="0.35">
      <c r="J603" s="65"/>
      <c r="K603" s="65"/>
      <c r="L603" s="65"/>
      <c r="M603" s="65"/>
      <c r="N603" s="65"/>
      <c r="O603" s="65"/>
      <c r="P603" s="65"/>
      <c r="Q603" s="65"/>
      <c r="R603" s="65"/>
      <c r="S603" s="65"/>
      <c r="T603" s="65"/>
      <c r="U603" s="65"/>
      <c r="V603" s="65"/>
      <c r="W603" s="65"/>
      <c r="X603" s="65"/>
      <c r="Y603" s="65"/>
      <c r="Z603" s="65"/>
      <c r="AA603" s="65"/>
      <c r="AB603" s="65"/>
      <c r="AC603" s="65"/>
      <c r="AD603" s="65"/>
      <c r="AE603" s="65"/>
      <c r="AF603" s="65"/>
      <c r="AG603" s="65"/>
      <c r="AH603" s="65"/>
      <c r="AI603" s="65"/>
      <c r="AJ603" s="65"/>
      <c r="AK603" s="65"/>
      <c r="AL603" s="65"/>
      <c r="AM603" s="65"/>
      <c r="AN603" s="65"/>
    </row>
    <row r="604" spans="10:40" ht="14.5" x14ac:dyDescent="0.35">
      <c r="J604" s="65"/>
      <c r="K604" s="65"/>
      <c r="L604" s="65"/>
      <c r="M604" s="65"/>
      <c r="N604" s="65"/>
      <c r="O604" s="65"/>
      <c r="P604" s="65"/>
      <c r="Q604" s="65"/>
      <c r="R604" s="65"/>
      <c r="S604" s="65"/>
      <c r="T604" s="65"/>
      <c r="U604" s="65"/>
      <c r="V604" s="65"/>
      <c r="W604" s="65"/>
      <c r="X604" s="65"/>
      <c r="Y604" s="65"/>
      <c r="Z604" s="65"/>
      <c r="AA604" s="65"/>
      <c r="AB604" s="65"/>
      <c r="AC604" s="65"/>
      <c r="AD604" s="65"/>
      <c r="AE604" s="65"/>
      <c r="AF604" s="65"/>
      <c r="AG604" s="65"/>
      <c r="AH604" s="65"/>
      <c r="AI604" s="65"/>
      <c r="AJ604" s="65"/>
      <c r="AK604" s="65"/>
      <c r="AL604" s="65"/>
      <c r="AM604" s="65"/>
      <c r="AN604" s="65"/>
    </row>
    <row r="605" spans="10:40" ht="14.5" x14ac:dyDescent="0.35">
      <c r="J605" s="65"/>
      <c r="K605" s="65"/>
      <c r="L605" s="65"/>
      <c r="M605" s="65"/>
      <c r="N605" s="65"/>
      <c r="O605" s="65"/>
      <c r="P605" s="65"/>
      <c r="Q605" s="65"/>
      <c r="R605" s="65"/>
      <c r="S605" s="65"/>
      <c r="T605" s="65"/>
      <c r="U605" s="65"/>
      <c r="V605" s="65"/>
      <c r="W605" s="65"/>
      <c r="X605" s="65"/>
      <c r="Y605" s="65"/>
      <c r="Z605" s="65"/>
      <c r="AA605" s="65"/>
      <c r="AB605" s="65"/>
      <c r="AC605" s="65"/>
      <c r="AD605" s="65"/>
      <c r="AE605" s="65"/>
      <c r="AF605" s="65"/>
      <c r="AG605" s="65"/>
      <c r="AH605" s="65"/>
      <c r="AI605" s="65"/>
      <c r="AJ605" s="65"/>
      <c r="AK605" s="65"/>
      <c r="AL605" s="65"/>
      <c r="AM605" s="65"/>
      <c r="AN605" s="65"/>
    </row>
    <row r="606" spans="10:40" ht="14.5" x14ac:dyDescent="0.35">
      <c r="J606" s="65"/>
      <c r="K606" s="65"/>
      <c r="L606" s="65"/>
      <c r="M606" s="65"/>
      <c r="N606" s="65"/>
      <c r="O606" s="65"/>
      <c r="P606" s="65"/>
      <c r="Q606" s="65"/>
      <c r="R606" s="65"/>
      <c r="S606" s="65"/>
      <c r="T606" s="65"/>
      <c r="U606" s="65"/>
      <c r="V606" s="65"/>
      <c r="W606" s="65"/>
      <c r="X606" s="65"/>
      <c r="Y606" s="65"/>
      <c r="Z606" s="65"/>
      <c r="AA606" s="65"/>
      <c r="AB606" s="65"/>
      <c r="AC606" s="65"/>
      <c r="AD606" s="65"/>
      <c r="AE606" s="65"/>
      <c r="AF606" s="65"/>
      <c r="AG606" s="65"/>
      <c r="AH606" s="65"/>
      <c r="AI606" s="65"/>
      <c r="AJ606" s="65"/>
      <c r="AK606" s="65"/>
      <c r="AL606" s="65"/>
      <c r="AM606" s="65"/>
      <c r="AN606" s="65"/>
    </row>
    <row r="607" spans="10:40" ht="14.5" x14ac:dyDescent="0.35">
      <c r="J607" s="65"/>
      <c r="K607" s="65"/>
      <c r="L607" s="65"/>
      <c r="M607" s="65"/>
      <c r="N607" s="65"/>
      <c r="O607" s="65"/>
      <c r="P607" s="65"/>
      <c r="Q607" s="65"/>
      <c r="R607" s="65"/>
      <c r="S607" s="65"/>
      <c r="T607" s="65"/>
      <c r="U607" s="65"/>
      <c r="V607" s="65"/>
      <c r="W607" s="65"/>
      <c r="X607" s="65"/>
      <c r="Y607" s="65"/>
      <c r="Z607" s="65"/>
      <c r="AA607" s="65"/>
      <c r="AB607" s="65"/>
      <c r="AC607" s="65"/>
      <c r="AD607" s="65"/>
      <c r="AE607" s="65"/>
      <c r="AF607" s="65"/>
      <c r="AG607" s="65"/>
      <c r="AH607" s="65"/>
      <c r="AI607" s="65"/>
      <c r="AJ607" s="65"/>
      <c r="AK607" s="65"/>
      <c r="AL607" s="65"/>
      <c r="AM607" s="65"/>
      <c r="AN607" s="65"/>
    </row>
    <row r="608" spans="10:40" ht="14.5" x14ac:dyDescent="0.35">
      <c r="J608" s="65"/>
      <c r="K608" s="65"/>
      <c r="L608" s="65"/>
      <c r="M608" s="65"/>
      <c r="N608" s="65"/>
      <c r="O608" s="65"/>
      <c r="P608" s="65"/>
      <c r="Q608" s="65"/>
      <c r="R608" s="65"/>
      <c r="S608" s="65"/>
      <c r="T608" s="65"/>
      <c r="U608" s="65"/>
      <c r="V608" s="65"/>
      <c r="W608" s="65"/>
      <c r="X608" s="65"/>
      <c r="Y608" s="65"/>
      <c r="Z608" s="65"/>
      <c r="AA608" s="65"/>
      <c r="AB608" s="65"/>
      <c r="AC608" s="65"/>
      <c r="AD608" s="65"/>
      <c r="AE608" s="65"/>
      <c r="AF608" s="65"/>
      <c r="AG608" s="65"/>
      <c r="AH608" s="65"/>
      <c r="AI608" s="65"/>
      <c r="AJ608" s="65"/>
      <c r="AK608" s="65"/>
      <c r="AL608" s="65"/>
      <c r="AM608" s="65"/>
      <c r="AN608" s="65"/>
    </row>
    <row r="609" spans="10:40" ht="14.5" x14ac:dyDescent="0.35">
      <c r="J609" s="65"/>
      <c r="K609" s="65"/>
      <c r="L609" s="65"/>
      <c r="M609" s="65"/>
      <c r="N609" s="65"/>
      <c r="O609" s="65"/>
      <c r="P609" s="65"/>
      <c r="Q609" s="65"/>
      <c r="R609" s="65"/>
      <c r="S609" s="65"/>
      <c r="T609" s="65"/>
      <c r="U609" s="65"/>
      <c r="V609" s="65"/>
      <c r="W609" s="65"/>
      <c r="X609" s="65"/>
      <c r="Y609" s="65"/>
      <c r="Z609" s="65"/>
      <c r="AA609" s="65"/>
      <c r="AB609" s="65"/>
      <c r="AC609" s="65"/>
      <c r="AD609" s="65"/>
      <c r="AE609" s="65"/>
      <c r="AF609" s="65"/>
      <c r="AG609" s="65"/>
      <c r="AH609" s="65"/>
      <c r="AI609" s="65"/>
      <c r="AJ609" s="65"/>
      <c r="AK609" s="65"/>
      <c r="AL609" s="65"/>
      <c r="AM609" s="65"/>
      <c r="AN609" s="65"/>
    </row>
    <row r="610" spans="10:40" ht="14.5" x14ac:dyDescent="0.35">
      <c r="J610" s="65"/>
      <c r="K610" s="65"/>
      <c r="L610" s="65"/>
      <c r="M610" s="65"/>
      <c r="N610" s="65"/>
      <c r="O610" s="65"/>
      <c r="P610" s="65"/>
      <c r="Q610" s="65"/>
      <c r="R610" s="65"/>
      <c r="S610" s="65"/>
      <c r="T610" s="65"/>
      <c r="U610" s="65"/>
      <c r="V610" s="65"/>
      <c r="W610" s="65"/>
      <c r="X610" s="65"/>
      <c r="Y610" s="65"/>
      <c r="Z610" s="65"/>
      <c r="AA610" s="65"/>
      <c r="AB610" s="65"/>
      <c r="AC610" s="65"/>
      <c r="AD610" s="65"/>
      <c r="AE610" s="65"/>
      <c r="AF610" s="65"/>
      <c r="AG610" s="65"/>
      <c r="AH610" s="65"/>
      <c r="AI610" s="65"/>
      <c r="AJ610" s="65"/>
      <c r="AK610" s="65"/>
      <c r="AL610" s="65"/>
      <c r="AM610" s="65"/>
      <c r="AN610" s="65"/>
    </row>
    <row r="611" spans="10:40" ht="14.5" x14ac:dyDescent="0.35">
      <c r="J611" s="65"/>
      <c r="K611" s="65"/>
      <c r="L611" s="65"/>
      <c r="M611" s="65"/>
      <c r="N611" s="65"/>
      <c r="O611" s="65"/>
      <c r="P611" s="65"/>
      <c r="Q611" s="65"/>
      <c r="R611" s="65"/>
      <c r="S611" s="65"/>
      <c r="T611" s="65"/>
      <c r="U611" s="65"/>
      <c r="V611" s="65"/>
      <c r="W611" s="65"/>
      <c r="X611" s="65"/>
      <c r="Y611" s="65"/>
      <c r="Z611" s="65"/>
      <c r="AA611" s="65"/>
      <c r="AB611" s="65"/>
      <c r="AC611" s="65"/>
      <c r="AD611" s="65"/>
      <c r="AE611" s="65"/>
      <c r="AF611" s="65"/>
      <c r="AG611" s="65"/>
      <c r="AH611" s="65"/>
      <c r="AI611" s="65"/>
      <c r="AJ611" s="65"/>
      <c r="AK611" s="65"/>
      <c r="AL611" s="65"/>
      <c r="AM611" s="65"/>
      <c r="AN611" s="65"/>
    </row>
    <row r="612" spans="10:40" ht="14.5" x14ac:dyDescent="0.35">
      <c r="J612" s="65"/>
      <c r="K612" s="65"/>
      <c r="L612" s="65"/>
      <c r="M612" s="65"/>
      <c r="N612" s="65"/>
      <c r="O612" s="65"/>
      <c r="P612" s="65"/>
      <c r="Q612" s="65"/>
      <c r="R612" s="65"/>
      <c r="S612" s="65"/>
      <c r="T612" s="65"/>
      <c r="U612" s="65"/>
      <c r="V612" s="65"/>
      <c r="W612" s="65"/>
      <c r="X612" s="65"/>
      <c r="Y612" s="65"/>
      <c r="Z612" s="65"/>
      <c r="AA612" s="65"/>
      <c r="AB612" s="65"/>
      <c r="AC612" s="65"/>
      <c r="AD612" s="65"/>
      <c r="AE612" s="65"/>
      <c r="AF612" s="65"/>
      <c r="AG612" s="65"/>
      <c r="AH612" s="65"/>
      <c r="AI612" s="65"/>
      <c r="AJ612" s="65"/>
      <c r="AK612" s="65"/>
      <c r="AL612" s="65"/>
      <c r="AM612" s="65"/>
      <c r="AN612" s="65"/>
    </row>
    <row r="613" spans="10:40" ht="14.5" x14ac:dyDescent="0.35">
      <c r="J613" s="65"/>
      <c r="K613" s="65"/>
      <c r="L613" s="65"/>
      <c r="M613" s="65"/>
      <c r="N613" s="65"/>
      <c r="O613" s="65"/>
      <c r="P613" s="65"/>
      <c r="Q613" s="65"/>
      <c r="R613" s="65"/>
      <c r="S613" s="65"/>
      <c r="T613" s="65"/>
      <c r="U613" s="65"/>
      <c r="V613" s="65"/>
      <c r="W613" s="65"/>
      <c r="X613" s="65"/>
      <c r="Y613" s="65"/>
      <c r="Z613" s="65"/>
      <c r="AA613" s="65"/>
      <c r="AB613" s="65"/>
      <c r="AC613" s="65"/>
      <c r="AD613" s="65"/>
      <c r="AE613" s="65"/>
      <c r="AF613" s="65"/>
      <c r="AG613" s="65"/>
      <c r="AH613" s="65"/>
      <c r="AI613" s="65"/>
      <c r="AJ613" s="65"/>
      <c r="AK613" s="65"/>
      <c r="AL613" s="65"/>
      <c r="AM613" s="65"/>
      <c r="AN613" s="65"/>
    </row>
    <row r="614" spans="10:40" ht="14.5" x14ac:dyDescent="0.35">
      <c r="J614" s="65"/>
      <c r="K614" s="65"/>
      <c r="L614" s="65"/>
      <c r="M614" s="65"/>
      <c r="N614" s="65"/>
      <c r="O614" s="65"/>
      <c r="P614" s="65"/>
      <c r="Q614" s="65"/>
      <c r="R614" s="65"/>
      <c r="S614" s="65"/>
      <c r="T614" s="65"/>
      <c r="U614" s="65"/>
      <c r="V614" s="65"/>
      <c r="W614" s="65"/>
      <c r="X614" s="65"/>
      <c r="Y614" s="65"/>
      <c r="Z614" s="65"/>
      <c r="AA614" s="65"/>
      <c r="AB614" s="65"/>
      <c r="AC614" s="65"/>
      <c r="AD614" s="65"/>
      <c r="AE614" s="65"/>
      <c r="AF614" s="65"/>
      <c r="AG614" s="65"/>
      <c r="AH614" s="65"/>
      <c r="AI614" s="65"/>
      <c r="AJ614" s="65"/>
      <c r="AK614" s="65"/>
      <c r="AL614" s="65"/>
      <c r="AM614" s="65"/>
      <c r="AN614" s="65"/>
    </row>
    <row r="615" spans="10:40" ht="14.5" x14ac:dyDescent="0.35">
      <c r="J615" s="65"/>
      <c r="K615" s="65"/>
      <c r="L615" s="65"/>
      <c r="M615" s="65"/>
      <c r="N615" s="65"/>
      <c r="O615" s="65"/>
      <c r="P615" s="65"/>
      <c r="Q615" s="65"/>
      <c r="R615" s="65"/>
      <c r="S615" s="65"/>
      <c r="T615" s="65"/>
      <c r="U615" s="65"/>
      <c r="V615" s="65"/>
      <c r="W615" s="65"/>
      <c r="X615" s="65"/>
      <c r="Y615" s="65"/>
      <c r="Z615" s="65"/>
      <c r="AA615" s="65"/>
      <c r="AB615" s="65"/>
      <c r="AC615" s="65"/>
      <c r="AD615" s="65"/>
      <c r="AE615" s="65"/>
      <c r="AF615" s="65"/>
      <c r="AG615" s="65"/>
      <c r="AH615" s="65"/>
      <c r="AI615" s="65"/>
      <c r="AJ615" s="65"/>
      <c r="AK615" s="65"/>
      <c r="AL615" s="65"/>
      <c r="AM615" s="65"/>
      <c r="AN615" s="65"/>
    </row>
    <row r="616" spans="10:40" ht="14.5" x14ac:dyDescent="0.35">
      <c r="J616" s="65"/>
      <c r="K616" s="65"/>
      <c r="L616" s="65"/>
      <c r="M616" s="65"/>
      <c r="N616" s="65"/>
      <c r="O616" s="65"/>
      <c r="P616" s="65"/>
      <c r="Q616" s="65"/>
      <c r="R616" s="65"/>
      <c r="S616" s="65"/>
      <c r="T616" s="65"/>
      <c r="U616" s="65"/>
      <c r="V616" s="65"/>
      <c r="W616" s="65"/>
      <c r="X616" s="65"/>
      <c r="Y616" s="65"/>
      <c r="Z616" s="65"/>
      <c r="AA616" s="65"/>
      <c r="AB616" s="65"/>
      <c r="AC616" s="65"/>
      <c r="AD616" s="65"/>
      <c r="AE616" s="65"/>
      <c r="AF616" s="65"/>
      <c r="AG616" s="65"/>
      <c r="AH616" s="65"/>
      <c r="AI616" s="65"/>
      <c r="AJ616" s="65"/>
      <c r="AK616" s="65"/>
      <c r="AL616" s="65"/>
      <c r="AM616" s="65"/>
      <c r="AN616" s="65"/>
    </row>
    <row r="617" spans="10:40" ht="14.5" x14ac:dyDescent="0.35">
      <c r="J617" s="65"/>
      <c r="K617" s="65"/>
      <c r="L617" s="65"/>
      <c r="M617" s="65"/>
      <c r="N617" s="65"/>
      <c r="O617" s="65"/>
      <c r="P617" s="65"/>
      <c r="Q617" s="65"/>
      <c r="R617" s="65"/>
      <c r="S617" s="65"/>
      <c r="T617" s="65"/>
      <c r="U617" s="65"/>
      <c r="V617" s="65"/>
      <c r="W617" s="65"/>
      <c r="X617" s="65"/>
      <c r="Y617" s="65"/>
      <c r="Z617" s="65"/>
      <c r="AA617" s="65"/>
      <c r="AB617" s="65"/>
      <c r="AC617" s="65"/>
      <c r="AD617" s="65"/>
      <c r="AE617" s="65"/>
      <c r="AF617" s="65"/>
      <c r="AG617" s="65"/>
      <c r="AH617" s="65"/>
      <c r="AI617" s="65"/>
      <c r="AJ617" s="65"/>
      <c r="AK617" s="65"/>
      <c r="AL617" s="65"/>
      <c r="AM617" s="65"/>
      <c r="AN617" s="65"/>
    </row>
    <row r="618" spans="10:40" ht="14.5" x14ac:dyDescent="0.35">
      <c r="J618" s="65"/>
      <c r="K618" s="65"/>
      <c r="L618" s="65"/>
      <c r="M618" s="65"/>
      <c r="N618" s="65"/>
      <c r="O618" s="65"/>
      <c r="P618" s="65"/>
      <c r="Q618" s="65"/>
      <c r="R618" s="65"/>
      <c r="S618" s="65"/>
      <c r="T618" s="65"/>
      <c r="U618" s="65"/>
      <c r="V618" s="65"/>
      <c r="W618" s="65"/>
      <c r="X618" s="65"/>
      <c r="Y618" s="65"/>
      <c r="Z618" s="65"/>
      <c r="AA618" s="65"/>
      <c r="AB618" s="65"/>
      <c r="AC618" s="65"/>
      <c r="AD618" s="65"/>
      <c r="AE618" s="65"/>
      <c r="AF618" s="65"/>
      <c r="AG618" s="65"/>
      <c r="AH618" s="65"/>
      <c r="AI618" s="65"/>
      <c r="AJ618" s="65"/>
      <c r="AK618" s="65"/>
      <c r="AL618" s="65"/>
      <c r="AM618" s="65"/>
      <c r="AN618" s="65"/>
    </row>
    <row r="619" spans="10:40" ht="14.5" x14ac:dyDescent="0.35">
      <c r="J619" s="65"/>
      <c r="K619" s="65"/>
      <c r="L619" s="65"/>
      <c r="M619" s="65"/>
      <c r="N619" s="65"/>
      <c r="O619" s="65"/>
      <c r="P619" s="65"/>
      <c r="Q619" s="65"/>
      <c r="R619" s="65"/>
      <c r="S619" s="65"/>
      <c r="T619" s="65"/>
      <c r="U619" s="65"/>
      <c r="V619" s="65"/>
      <c r="W619" s="65"/>
      <c r="X619" s="65"/>
      <c r="Y619" s="65"/>
      <c r="Z619" s="65"/>
      <c r="AA619" s="65"/>
      <c r="AB619" s="65"/>
      <c r="AC619" s="65"/>
      <c r="AD619" s="65"/>
      <c r="AE619" s="65"/>
      <c r="AF619" s="65"/>
      <c r="AG619" s="65"/>
      <c r="AH619" s="65"/>
      <c r="AI619" s="65"/>
      <c r="AJ619" s="65"/>
      <c r="AK619" s="65"/>
      <c r="AL619" s="65"/>
      <c r="AM619" s="65"/>
      <c r="AN619" s="65"/>
    </row>
    <row r="620" spans="10:40" ht="14.5" x14ac:dyDescent="0.35">
      <c r="J620" s="65"/>
      <c r="K620" s="65"/>
      <c r="L620" s="65"/>
      <c r="M620" s="65"/>
      <c r="N620" s="65"/>
      <c r="O620" s="65"/>
      <c r="P620" s="65"/>
      <c r="Q620" s="65"/>
      <c r="R620" s="65"/>
      <c r="S620" s="65"/>
      <c r="T620" s="65"/>
      <c r="U620" s="65"/>
      <c r="V620" s="65"/>
      <c r="W620" s="65"/>
      <c r="X620" s="65"/>
      <c r="Y620" s="65"/>
      <c r="Z620" s="65"/>
      <c r="AA620" s="65"/>
      <c r="AB620" s="65"/>
      <c r="AC620" s="65"/>
      <c r="AD620" s="65"/>
      <c r="AE620" s="65"/>
      <c r="AF620" s="65"/>
      <c r="AG620" s="65"/>
      <c r="AH620" s="65"/>
      <c r="AI620" s="65"/>
      <c r="AJ620" s="65"/>
      <c r="AK620" s="65"/>
      <c r="AL620" s="65"/>
      <c r="AM620" s="65"/>
      <c r="AN620" s="65"/>
    </row>
    <row r="621" spans="10:40" ht="14.5" x14ac:dyDescent="0.35">
      <c r="J621" s="65"/>
      <c r="K621" s="65"/>
      <c r="L621" s="65"/>
      <c r="M621" s="65"/>
      <c r="N621" s="65"/>
      <c r="O621" s="65"/>
      <c r="P621" s="65"/>
      <c r="Q621" s="65"/>
      <c r="R621" s="65"/>
      <c r="S621" s="65"/>
      <c r="T621" s="65"/>
      <c r="U621" s="65"/>
      <c r="V621" s="65"/>
      <c r="W621" s="65"/>
      <c r="X621" s="65"/>
      <c r="Y621" s="65"/>
      <c r="Z621" s="65"/>
      <c r="AA621" s="65"/>
      <c r="AB621" s="65"/>
      <c r="AC621" s="65"/>
      <c r="AD621" s="65"/>
      <c r="AE621" s="65"/>
      <c r="AF621" s="65"/>
      <c r="AG621" s="65"/>
      <c r="AH621" s="65"/>
      <c r="AI621" s="65"/>
      <c r="AJ621" s="65"/>
      <c r="AK621" s="65"/>
      <c r="AL621" s="65"/>
      <c r="AM621" s="65"/>
      <c r="AN621" s="65"/>
    </row>
    <row r="622" spans="10:40" ht="14.5" x14ac:dyDescent="0.35">
      <c r="J622" s="65"/>
      <c r="K622" s="65"/>
      <c r="L622" s="65"/>
      <c r="M622" s="65"/>
      <c r="N622" s="65"/>
      <c r="O622" s="65"/>
      <c r="P622" s="65"/>
      <c r="Q622" s="65"/>
      <c r="R622" s="65"/>
      <c r="S622" s="65"/>
      <c r="T622" s="65"/>
      <c r="U622" s="65"/>
      <c r="V622" s="65"/>
      <c r="W622" s="65"/>
      <c r="X622" s="65"/>
      <c r="Y622" s="65"/>
      <c r="Z622" s="65"/>
      <c r="AA622" s="65"/>
      <c r="AB622" s="65"/>
      <c r="AC622" s="65"/>
      <c r="AD622" s="65"/>
      <c r="AE622" s="65"/>
      <c r="AF622" s="65"/>
      <c r="AG622" s="65"/>
      <c r="AH622" s="65"/>
      <c r="AI622" s="65"/>
      <c r="AJ622" s="65"/>
      <c r="AK622" s="65"/>
      <c r="AL622" s="65"/>
      <c r="AM622" s="65"/>
      <c r="AN622" s="65"/>
    </row>
    <row r="623" spans="10:40" ht="14.5" x14ac:dyDescent="0.35">
      <c r="J623" s="65"/>
      <c r="K623" s="65"/>
      <c r="L623" s="65"/>
      <c r="M623" s="65"/>
      <c r="N623" s="65"/>
      <c r="O623" s="65"/>
      <c r="P623" s="65"/>
      <c r="Q623" s="65"/>
      <c r="R623" s="65"/>
      <c r="S623" s="65"/>
      <c r="T623" s="65"/>
      <c r="U623" s="65"/>
      <c r="V623" s="65"/>
      <c r="W623" s="65"/>
      <c r="X623" s="65"/>
      <c r="Y623" s="65"/>
      <c r="Z623" s="65"/>
      <c r="AA623" s="65"/>
      <c r="AB623" s="65"/>
      <c r="AC623" s="65"/>
      <c r="AD623" s="65"/>
      <c r="AE623" s="65"/>
      <c r="AF623" s="65"/>
      <c r="AG623" s="65"/>
      <c r="AH623" s="65"/>
      <c r="AI623" s="65"/>
      <c r="AJ623" s="65"/>
      <c r="AK623" s="65"/>
      <c r="AL623" s="65"/>
      <c r="AM623" s="65"/>
      <c r="AN623" s="65"/>
    </row>
    <row r="624" spans="10:40" ht="14.5" x14ac:dyDescent="0.35">
      <c r="J624" s="65"/>
      <c r="K624" s="65"/>
      <c r="L624" s="65"/>
      <c r="M624" s="65"/>
      <c r="N624" s="65"/>
      <c r="O624" s="65"/>
      <c r="P624" s="65"/>
      <c r="Q624" s="65"/>
      <c r="R624" s="65"/>
      <c r="S624" s="65"/>
      <c r="T624" s="65"/>
      <c r="U624" s="65"/>
      <c r="V624" s="65"/>
      <c r="W624" s="65"/>
      <c r="X624" s="65"/>
      <c r="Y624" s="65"/>
      <c r="Z624" s="65"/>
      <c r="AA624" s="65"/>
      <c r="AB624" s="65"/>
      <c r="AC624" s="65"/>
      <c r="AD624" s="65"/>
      <c r="AE624" s="65"/>
      <c r="AF624" s="65"/>
      <c r="AG624" s="65"/>
      <c r="AH624" s="65"/>
      <c r="AI624" s="65"/>
      <c r="AJ624" s="65"/>
      <c r="AK624" s="65"/>
      <c r="AL624" s="65"/>
      <c r="AM624" s="65"/>
      <c r="AN624" s="65"/>
    </row>
    <row r="625" spans="10:40" ht="14.5" x14ac:dyDescent="0.35">
      <c r="J625" s="65"/>
      <c r="K625" s="65"/>
      <c r="L625" s="65"/>
      <c r="M625" s="65"/>
      <c r="N625" s="65"/>
      <c r="O625" s="65"/>
      <c r="P625" s="65"/>
      <c r="Q625" s="65"/>
      <c r="R625" s="65"/>
      <c r="S625" s="65"/>
      <c r="T625" s="65"/>
      <c r="U625" s="65"/>
      <c r="V625" s="65"/>
      <c r="W625" s="65"/>
      <c r="X625" s="65"/>
      <c r="Y625" s="65"/>
      <c r="Z625" s="65"/>
      <c r="AA625" s="65"/>
      <c r="AB625" s="65"/>
      <c r="AC625" s="65"/>
      <c r="AD625" s="65"/>
      <c r="AE625" s="65"/>
      <c r="AF625" s="65"/>
      <c r="AG625" s="65"/>
      <c r="AH625" s="65"/>
      <c r="AI625" s="65"/>
      <c r="AJ625" s="65"/>
      <c r="AK625" s="65"/>
      <c r="AL625" s="65"/>
      <c r="AM625" s="65"/>
      <c r="AN625" s="65"/>
    </row>
    <row r="626" spans="10:40" ht="14.5" x14ac:dyDescent="0.35">
      <c r="J626" s="65"/>
      <c r="K626" s="65"/>
      <c r="L626" s="65"/>
      <c r="M626" s="65"/>
      <c r="N626" s="65"/>
      <c r="O626" s="65"/>
      <c r="P626" s="65"/>
      <c r="Q626" s="65"/>
      <c r="R626" s="65"/>
      <c r="S626" s="65"/>
      <c r="T626" s="65"/>
      <c r="U626" s="65"/>
      <c r="V626" s="65"/>
      <c r="W626" s="65"/>
      <c r="X626" s="65"/>
      <c r="Y626" s="65"/>
      <c r="Z626" s="65"/>
      <c r="AA626" s="65"/>
      <c r="AB626" s="65"/>
      <c r="AC626" s="65"/>
      <c r="AD626" s="65"/>
      <c r="AE626" s="65"/>
      <c r="AF626" s="65"/>
      <c r="AG626" s="65"/>
      <c r="AH626" s="65"/>
      <c r="AI626" s="65"/>
      <c r="AJ626" s="65"/>
      <c r="AK626" s="65"/>
      <c r="AL626" s="65"/>
      <c r="AM626" s="65"/>
      <c r="AN626" s="65"/>
    </row>
    <row r="627" spans="10:40" ht="14.5" x14ac:dyDescent="0.35">
      <c r="J627" s="65"/>
      <c r="K627" s="65"/>
      <c r="L627" s="65"/>
      <c r="M627" s="65"/>
      <c r="N627" s="65"/>
      <c r="O627" s="65"/>
      <c r="P627" s="65"/>
      <c r="Q627" s="65"/>
      <c r="R627" s="65"/>
      <c r="S627" s="65"/>
      <c r="T627" s="65"/>
      <c r="U627" s="65"/>
      <c r="V627" s="65"/>
      <c r="W627" s="65"/>
      <c r="X627" s="65"/>
      <c r="Y627" s="65"/>
      <c r="Z627" s="65"/>
      <c r="AA627" s="65"/>
      <c r="AB627" s="65"/>
      <c r="AC627" s="65"/>
      <c r="AD627" s="65"/>
      <c r="AE627" s="65"/>
      <c r="AF627" s="65"/>
      <c r="AG627" s="65"/>
      <c r="AH627" s="65"/>
      <c r="AI627" s="65"/>
      <c r="AJ627" s="65"/>
      <c r="AK627" s="65"/>
      <c r="AL627" s="65"/>
      <c r="AM627" s="65"/>
      <c r="AN627" s="65"/>
    </row>
    <row r="628" spans="10:40" ht="14.5" x14ac:dyDescent="0.35">
      <c r="J628" s="65"/>
      <c r="K628" s="65"/>
      <c r="L628" s="65"/>
      <c r="M628" s="65"/>
      <c r="N628" s="65"/>
      <c r="O628" s="65"/>
      <c r="P628" s="65"/>
      <c r="Q628" s="65"/>
      <c r="R628" s="65"/>
      <c r="S628" s="65"/>
      <c r="T628" s="65"/>
      <c r="U628" s="65"/>
      <c r="V628" s="65"/>
      <c r="W628" s="65"/>
      <c r="X628" s="65"/>
      <c r="Y628" s="65"/>
      <c r="Z628" s="65"/>
      <c r="AA628" s="65"/>
      <c r="AB628" s="65"/>
      <c r="AC628" s="65"/>
      <c r="AD628" s="65"/>
      <c r="AE628" s="65"/>
      <c r="AF628" s="65"/>
      <c r="AG628" s="65"/>
      <c r="AH628" s="65"/>
      <c r="AI628" s="65"/>
      <c r="AJ628" s="65"/>
      <c r="AK628" s="65"/>
      <c r="AL628" s="65"/>
      <c r="AM628" s="65"/>
      <c r="AN628" s="65"/>
    </row>
    <row r="629" spans="10:40" ht="14.5" x14ac:dyDescent="0.35">
      <c r="J629" s="65"/>
      <c r="K629" s="65"/>
      <c r="L629" s="65"/>
      <c r="M629" s="65"/>
      <c r="N629" s="65"/>
      <c r="O629" s="65"/>
      <c r="P629" s="65"/>
      <c r="Q629" s="65"/>
      <c r="R629" s="65"/>
      <c r="S629" s="65"/>
      <c r="T629" s="65"/>
      <c r="U629" s="65"/>
      <c r="V629" s="65"/>
      <c r="W629" s="65"/>
      <c r="X629" s="65"/>
      <c r="Y629" s="65"/>
      <c r="Z629" s="65"/>
      <c r="AA629" s="65"/>
      <c r="AB629" s="65"/>
      <c r="AC629" s="65"/>
      <c r="AD629" s="65"/>
      <c r="AE629" s="65"/>
      <c r="AF629" s="65"/>
      <c r="AG629" s="65"/>
      <c r="AH629" s="65"/>
      <c r="AI629" s="65"/>
      <c r="AJ629" s="65"/>
      <c r="AK629" s="65"/>
      <c r="AL629" s="65"/>
      <c r="AM629" s="65"/>
      <c r="AN629" s="65"/>
    </row>
    <row r="630" spans="10:40" ht="14.5" x14ac:dyDescent="0.35">
      <c r="J630" s="65"/>
      <c r="K630" s="65"/>
      <c r="L630" s="65"/>
      <c r="M630" s="65"/>
      <c r="N630" s="65"/>
      <c r="O630" s="65"/>
      <c r="P630" s="65"/>
      <c r="Q630" s="65"/>
      <c r="R630" s="65"/>
      <c r="S630" s="65"/>
      <c r="T630" s="65"/>
      <c r="U630" s="65"/>
      <c r="V630" s="65"/>
      <c r="W630" s="65"/>
      <c r="X630" s="65"/>
      <c r="Y630" s="65"/>
      <c r="Z630" s="65"/>
      <c r="AA630" s="65"/>
      <c r="AB630" s="65"/>
      <c r="AC630" s="65"/>
      <c r="AD630" s="65"/>
      <c r="AE630" s="65"/>
      <c r="AF630" s="65"/>
      <c r="AG630" s="65"/>
      <c r="AH630" s="65"/>
      <c r="AI630" s="65"/>
      <c r="AJ630" s="65"/>
      <c r="AK630" s="65"/>
      <c r="AL630" s="65"/>
      <c r="AM630" s="65"/>
      <c r="AN630" s="65"/>
    </row>
    <row r="631" spans="10:40" ht="14.5" x14ac:dyDescent="0.35">
      <c r="J631" s="65"/>
      <c r="K631" s="65"/>
      <c r="L631" s="65"/>
      <c r="M631" s="65"/>
      <c r="N631" s="65"/>
      <c r="O631" s="65"/>
      <c r="P631" s="65"/>
      <c r="Q631" s="65"/>
      <c r="R631" s="65"/>
      <c r="S631" s="65"/>
      <c r="T631" s="65"/>
      <c r="U631" s="65"/>
      <c r="V631" s="65"/>
      <c r="W631" s="65"/>
      <c r="X631" s="65"/>
      <c r="Y631" s="65"/>
      <c r="Z631" s="65"/>
      <c r="AA631" s="65"/>
      <c r="AB631" s="65"/>
      <c r="AC631" s="65"/>
      <c r="AD631" s="65"/>
      <c r="AE631" s="65"/>
      <c r="AF631" s="65"/>
      <c r="AG631" s="65"/>
      <c r="AH631" s="65"/>
      <c r="AI631" s="65"/>
      <c r="AJ631" s="65"/>
      <c r="AK631" s="65"/>
      <c r="AL631" s="65"/>
      <c r="AM631" s="65"/>
      <c r="AN631" s="65"/>
    </row>
    <row r="632" spans="10:40" ht="14.5" x14ac:dyDescent="0.35">
      <c r="J632" s="65"/>
      <c r="K632" s="65"/>
      <c r="L632" s="65"/>
      <c r="M632" s="65"/>
      <c r="N632" s="65"/>
      <c r="O632" s="65"/>
      <c r="P632" s="65"/>
      <c r="Q632" s="65"/>
      <c r="R632" s="65"/>
      <c r="S632" s="65"/>
      <c r="T632" s="65"/>
      <c r="U632" s="65"/>
      <c r="V632" s="65"/>
      <c r="W632" s="65"/>
      <c r="X632" s="65"/>
      <c r="Y632" s="65"/>
      <c r="Z632" s="65"/>
      <c r="AA632" s="65"/>
      <c r="AB632" s="65"/>
      <c r="AC632" s="65"/>
      <c r="AD632" s="65"/>
      <c r="AE632" s="65"/>
      <c r="AF632" s="65"/>
      <c r="AG632" s="65"/>
      <c r="AH632" s="65"/>
      <c r="AI632" s="65"/>
      <c r="AJ632" s="65"/>
      <c r="AK632" s="65"/>
      <c r="AL632" s="65"/>
      <c r="AM632" s="65"/>
      <c r="AN632" s="65"/>
    </row>
    <row r="633" spans="10:40" ht="14.5" x14ac:dyDescent="0.35">
      <c r="J633" s="65"/>
      <c r="K633" s="65"/>
      <c r="L633" s="65"/>
      <c r="M633" s="65"/>
      <c r="N633" s="65"/>
      <c r="O633" s="65"/>
      <c r="P633" s="65"/>
      <c r="Q633" s="65"/>
      <c r="R633" s="65"/>
      <c r="S633" s="65"/>
      <c r="T633" s="65"/>
      <c r="U633" s="65"/>
      <c r="V633" s="65"/>
      <c r="W633" s="65"/>
      <c r="X633" s="65"/>
      <c r="Y633" s="65"/>
      <c r="Z633" s="65"/>
      <c r="AA633" s="65"/>
      <c r="AB633" s="65"/>
      <c r="AC633" s="65"/>
      <c r="AD633" s="65"/>
      <c r="AE633" s="65"/>
      <c r="AF633" s="65"/>
      <c r="AG633" s="65"/>
      <c r="AH633" s="65"/>
      <c r="AI633" s="65"/>
      <c r="AJ633" s="65"/>
      <c r="AK633" s="65"/>
      <c r="AL633" s="65"/>
      <c r="AM633" s="65"/>
      <c r="AN633" s="65"/>
    </row>
    <row r="634" spans="10:40" ht="14.5" x14ac:dyDescent="0.35">
      <c r="J634" s="65"/>
      <c r="K634" s="65"/>
      <c r="L634" s="65"/>
      <c r="M634" s="65"/>
      <c r="N634" s="65"/>
      <c r="O634" s="65"/>
      <c r="P634" s="65"/>
      <c r="Q634" s="65"/>
      <c r="R634" s="65"/>
      <c r="S634" s="65"/>
      <c r="T634" s="65"/>
      <c r="U634" s="65"/>
      <c r="V634" s="65"/>
      <c r="W634" s="65"/>
      <c r="X634" s="65"/>
      <c r="Y634" s="65"/>
      <c r="Z634" s="65"/>
      <c r="AA634" s="65"/>
      <c r="AB634" s="65"/>
      <c r="AC634" s="65"/>
      <c r="AD634" s="65"/>
      <c r="AE634" s="65"/>
      <c r="AF634" s="65"/>
      <c r="AG634" s="65"/>
      <c r="AH634" s="65"/>
      <c r="AI634" s="65"/>
      <c r="AJ634" s="65"/>
      <c r="AK634" s="65"/>
      <c r="AL634" s="65"/>
      <c r="AM634" s="65"/>
      <c r="AN634" s="65"/>
    </row>
    <row r="635" spans="10:40" ht="14.5" x14ac:dyDescent="0.35">
      <c r="J635" s="65"/>
      <c r="K635" s="65"/>
      <c r="L635" s="65"/>
      <c r="M635" s="65"/>
      <c r="N635" s="65"/>
      <c r="O635" s="65"/>
      <c r="P635" s="65"/>
      <c r="Q635" s="65"/>
      <c r="R635" s="65"/>
      <c r="S635" s="65"/>
      <c r="T635" s="65"/>
      <c r="U635" s="65"/>
      <c r="V635" s="65"/>
      <c r="W635" s="65"/>
      <c r="X635" s="65"/>
      <c r="Y635" s="65"/>
      <c r="Z635" s="65"/>
      <c r="AA635" s="65"/>
      <c r="AB635" s="65"/>
      <c r="AC635" s="65"/>
      <c r="AD635" s="65"/>
      <c r="AE635" s="65"/>
      <c r="AF635" s="65"/>
      <c r="AG635" s="65"/>
      <c r="AH635" s="65"/>
      <c r="AI635" s="65"/>
      <c r="AJ635" s="65"/>
      <c r="AK635" s="65"/>
      <c r="AL635" s="65"/>
      <c r="AM635" s="65"/>
      <c r="AN635" s="65"/>
    </row>
    <row r="636" spans="10:40" ht="14.5" x14ac:dyDescent="0.35">
      <c r="J636" s="65"/>
      <c r="K636" s="65"/>
      <c r="L636" s="65"/>
      <c r="M636" s="65"/>
      <c r="N636" s="65"/>
      <c r="O636" s="65"/>
      <c r="P636" s="65"/>
      <c r="Q636" s="65"/>
      <c r="R636" s="65"/>
      <c r="S636" s="65"/>
      <c r="T636" s="65"/>
      <c r="U636" s="65"/>
      <c r="V636" s="65"/>
      <c r="W636" s="65"/>
      <c r="X636" s="65"/>
      <c r="Y636" s="65"/>
      <c r="Z636" s="65"/>
      <c r="AA636" s="65"/>
      <c r="AB636" s="65"/>
      <c r="AC636" s="65"/>
      <c r="AD636" s="65"/>
      <c r="AE636" s="65"/>
      <c r="AF636" s="65"/>
      <c r="AG636" s="65"/>
      <c r="AH636" s="65"/>
      <c r="AI636" s="65"/>
      <c r="AJ636" s="65"/>
      <c r="AK636" s="65"/>
      <c r="AL636" s="65"/>
      <c r="AM636" s="65"/>
      <c r="AN636" s="65"/>
    </row>
    <row r="637" spans="10:40" ht="14.5" x14ac:dyDescent="0.35">
      <c r="J637" s="65"/>
      <c r="K637" s="65"/>
      <c r="L637" s="65"/>
      <c r="M637" s="65"/>
      <c r="N637" s="65"/>
      <c r="O637" s="65"/>
      <c r="P637" s="65"/>
      <c r="Q637" s="65"/>
      <c r="R637" s="65"/>
      <c r="S637" s="65"/>
      <c r="T637" s="65"/>
      <c r="U637" s="65"/>
      <c r="V637" s="65"/>
      <c r="W637" s="65"/>
      <c r="X637" s="65"/>
      <c r="Y637" s="65"/>
      <c r="Z637" s="65"/>
      <c r="AA637" s="65"/>
      <c r="AB637" s="65"/>
      <c r="AC637" s="65"/>
      <c r="AD637" s="65"/>
      <c r="AE637" s="65"/>
      <c r="AF637" s="65"/>
      <c r="AG637" s="65"/>
      <c r="AH637" s="65"/>
      <c r="AI637" s="65"/>
      <c r="AJ637" s="65"/>
      <c r="AK637" s="65"/>
      <c r="AL637" s="65"/>
      <c r="AM637" s="65"/>
      <c r="AN637" s="65"/>
    </row>
    <row r="638" spans="10:40" ht="14.5" x14ac:dyDescent="0.35">
      <c r="J638" s="65"/>
      <c r="K638" s="65"/>
      <c r="L638" s="65"/>
      <c r="M638" s="65"/>
      <c r="N638" s="65"/>
      <c r="O638" s="65"/>
      <c r="P638" s="65"/>
      <c r="Q638" s="65"/>
      <c r="R638" s="65"/>
      <c r="S638" s="65"/>
      <c r="T638" s="65"/>
      <c r="U638" s="65"/>
      <c r="V638" s="65"/>
      <c r="W638" s="65"/>
      <c r="X638" s="65"/>
      <c r="Y638" s="65"/>
      <c r="Z638" s="65"/>
      <c r="AA638" s="65"/>
      <c r="AB638" s="65"/>
      <c r="AC638" s="65"/>
      <c r="AD638" s="65"/>
      <c r="AE638" s="65"/>
      <c r="AF638" s="65"/>
      <c r="AG638" s="65"/>
      <c r="AH638" s="65"/>
      <c r="AI638" s="65"/>
      <c r="AJ638" s="65"/>
      <c r="AK638" s="65"/>
      <c r="AL638" s="65"/>
      <c r="AM638" s="65"/>
      <c r="AN638" s="65"/>
    </row>
    <row r="639" spans="10:40" ht="14.5" x14ac:dyDescent="0.35">
      <c r="J639" s="65"/>
      <c r="K639" s="65"/>
      <c r="L639" s="65"/>
      <c r="M639" s="65"/>
      <c r="N639" s="65"/>
      <c r="O639" s="65"/>
      <c r="P639" s="65"/>
      <c r="Q639" s="65"/>
      <c r="R639" s="65"/>
      <c r="S639" s="65"/>
      <c r="T639" s="65"/>
      <c r="U639" s="65"/>
      <c r="V639" s="65"/>
      <c r="W639" s="65"/>
      <c r="X639" s="65"/>
      <c r="Y639" s="65"/>
      <c r="Z639" s="65"/>
      <c r="AA639" s="65"/>
      <c r="AB639" s="65"/>
      <c r="AC639" s="65"/>
      <c r="AD639" s="65"/>
      <c r="AE639" s="65"/>
      <c r="AF639" s="65"/>
      <c r="AG639" s="65"/>
      <c r="AH639" s="65"/>
      <c r="AI639" s="65"/>
      <c r="AJ639" s="65"/>
      <c r="AK639" s="65"/>
      <c r="AL639" s="65"/>
      <c r="AM639" s="65"/>
      <c r="AN639" s="65"/>
    </row>
    <row r="640" spans="10:40" ht="14.5" x14ac:dyDescent="0.35">
      <c r="J640" s="65"/>
      <c r="K640" s="65"/>
      <c r="L640" s="65"/>
      <c r="M640" s="65"/>
      <c r="N640" s="65"/>
      <c r="O640" s="65"/>
      <c r="P640" s="65"/>
      <c r="Q640" s="65"/>
      <c r="R640" s="65"/>
      <c r="S640" s="65"/>
      <c r="T640" s="65"/>
      <c r="U640" s="65"/>
      <c r="V640" s="65"/>
      <c r="W640" s="65"/>
      <c r="X640" s="65"/>
      <c r="Y640" s="65"/>
      <c r="Z640" s="65"/>
      <c r="AA640" s="65"/>
      <c r="AB640" s="65"/>
      <c r="AC640" s="65"/>
      <c r="AD640" s="65"/>
      <c r="AE640" s="65"/>
      <c r="AF640" s="65"/>
      <c r="AG640" s="65"/>
      <c r="AH640" s="65"/>
      <c r="AI640" s="65"/>
      <c r="AJ640" s="65"/>
      <c r="AK640" s="65"/>
      <c r="AL640" s="65"/>
      <c r="AM640" s="65"/>
      <c r="AN640" s="65"/>
    </row>
    <row r="641" spans="10:40" ht="14.5" x14ac:dyDescent="0.35">
      <c r="J641" s="65"/>
      <c r="K641" s="65"/>
      <c r="L641" s="65"/>
      <c r="M641" s="65"/>
      <c r="N641" s="65"/>
      <c r="O641" s="65"/>
      <c r="P641" s="65"/>
      <c r="Q641" s="65"/>
      <c r="R641" s="65"/>
      <c r="S641" s="65"/>
      <c r="T641" s="65"/>
      <c r="U641" s="65"/>
      <c r="V641" s="65"/>
      <c r="W641" s="65"/>
      <c r="X641" s="65"/>
      <c r="Y641" s="65"/>
      <c r="Z641" s="65"/>
      <c r="AA641" s="65"/>
      <c r="AB641" s="65"/>
      <c r="AC641" s="65"/>
      <c r="AD641" s="65"/>
      <c r="AE641" s="65"/>
      <c r="AF641" s="65"/>
      <c r="AG641" s="65"/>
      <c r="AH641" s="65"/>
      <c r="AI641" s="65"/>
      <c r="AJ641" s="65"/>
      <c r="AK641" s="65"/>
      <c r="AL641" s="65"/>
      <c r="AM641" s="65"/>
      <c r="AN641" s="65"/>
    </row>
    <row r="642" spans="10:40" ht="14.5" x14ac:dyDescent="0.35">
      <c r="J642" s="65"/>
      <c r="K642" s="65"/>
      <c r="L642" s="65"/>
      <c r="M642" s="65"/>
      <c r="N642" s="65"/>
      <c r="O642" s="65"/>
      <c r="P642" s="65"/>
      <c r="Q642" s="65"/>
      <c r="R642" s="65"/>
      <c r="S642" s="65"/>
      <c r="T642" s="65"/>
      <c r="U642" s="65"/>
      <c r="V642" s="65"/>
      <c r="W642" s="65"/>
      <c r="X642" s="65"/>
      <c r="Y642" s="65"/>
      <c r="Z642" s="65"/>
      <c r="AA642" s="65"/>
      <c r="AB642" s="65"/>
      <c r="AC642" s="65"/>
      <c r="AD642" s="65"/>
      <c r="AE642" s="65"/>
      <c r="AF642" s="65"/>
      <c r="AG642" s="65"/>
      <c r="AH642" s="65"/>
      <c r="AI642" s="65"/>
      <c r="AJ642" s="65"/>
      <c r="AK642" s="65"/>
      <c r="AL642" s="65"/>
      <c r="AM642" s="65"/>
      <c r="AN642" s="65"/>
    </row>
    <row r="643" spans="10:40" ht="14.5" x14ac:dyDescent="0.35">
      <c r="J643" s="65"/>
      <c r="K643" s="65"/>
      <c r="L643" s="65"/>
      <c r="M643" s="65"/>
      <c r="N643" s="65"/>
      <c r="O643" s="65"/>
      <c r="P643" s="65"/>
      <c r="Q643" s="65"/>
      <c r="R643" s="65"/>
      <c r="S643" s="65"/>
      <c r="T643" s="65"/>
      <c r="U643" s="65"/>
      <c r="V643" s="65"/>
      <c r="W643" s="65"/>
      <c r="X643" s="65"/>
      <c r="Y643" s="65"/>
      <c r="Z643" s="65"/>
      <c r="AA643" s="65"/>
      <c r="AB643" s="65"/>
      <c r="AC643" s="65"/>
      <c r="AD643" s="65"/>
      <c r="AE643" s="65"/>
      <c r="AF643" s="65"/>
      <c r="AG643" s="65"/>
      <c r="AH643" s="65"/>
      <c r="AI643" s="65"/>
      <c r="AJ643" s="65"/>
      <c r="AK643" s="65"/>
      <c r="AL643" s="65"/>
      <c r="AM643" s="65"/>
      <c r="AN643" s="65"/>
    </row>
    <row r="644" spans="10:40" ht="14.5" x14ac:dyDescent="0.35">
      <c r="J644" s="65"/>
      <c r="K644" s="65"/>
      <c r="L644" s="65"/>
      <c r="M644" s="65"/>
      <c r="N644" s="65"/>
      <c r="O644" s="65"/>
      <c r="P644" s="65"/>
      <c r="Q644" s="65"/>
      <c r="R644" s="65"/>
      <c r="S644" s="65"/>
      <c r="T644" s="65"/>
      <c r="U644" s="65"/>
      <c r="V644" s="65"/>
      <c r="W644" s="65"/>
      <c r="X644" s="65"/>
      <c r="Y644" s="65"/>
      <c r="Z644" s="65"/>
      <c r="AA644" s="65"/>
      <c r="AB644" s="65"/>
      <c r="AC644" s="65"/>
      <c r="AD644" s="65"/>
      <c r="AE644" s="65"/>
      <c r="AF644" s="65"/>
      <c r="AG644" s="65"/>
      <c r="AH644" s="65"/>
      <c r="AI644" s="65"/>
      <c r="AJ644" s="65"/>
      <c r="AK644" s="65"/>
      <c r="AL644" s="65"/>
      <c r="AM644" s="65"/>
      <c r="AN644" s="65"/>
    </row>
    <row r="645" spans="10:40" ht="14.5" x14ac:dyDescent="0.35">
      <c r="J645" s="65"/>
      <c r="K645" s="65"/>
      <c r="L645" s="65"/>
      <c r="M645" s="65"/>
      <c r="N645" s="65"/>
      <c r="O645" s="65"/>
      <c r="P645" s="65"/>
      <c r="Q645" s="65"/>
      <c r="R645" s="65"/>
      <c r="S645" s="65"/>
      <c r="T645" s="65"/>
      <c r="U645" s="65"/>
      <c r="V645" s="65"/>
      <c r="W645" s="65"/>
      <c r="X645" s="65"/>
      <c r="Y645" s="65"/>
      <c r="Z645" s="65"/>
      <c r="AA645" s="65"/>
      <c r="AB645" s="65"/>
      <c r="AC645" s="65"/>
      <c r="AD645" s="65"/>
      <c r="AE645" s="65"/>
      <c r="AF645" s="65"/>
      <c r="AG645" s="65"/>
      <c r="AH645" s="65"/>
      <c r="AI645" s="65"/>
      <c r="AJ645" s="65"/>
      <c r="AK645" s="65"/>
      <c r="AL645" s="65"/>
      <c r="AM645" s="65"/>
      <c r="AN645" s="65"/>
    </row>
    <row r="646" spans="10:40" ht="14.5" x14ac:dyDescent="0.35">
      <c r="J646" s="65"/>
      <c r="K646" s="65"/>
      <c r="L646" s="65"/>
      <c r="M646" s="65"/>
      <c r="N646" s="65"/>
      <c r="O646" s="65"/>
      <c r="P646" s="65"/>
      <c r="Q646" s="65"/>
      <c r="R646" s="65"/>
      <c r="S646" s="65"/>
      <c r="T646" s="65"/>
      <c r="U646" s="65"/>
      <c r="V646" s="65"/>
      <c r="W646" s="65"/>
      <c r="X646" s="65"/>
      <c r="Y646" s="65"/>
      <c r="Z646" s="65"/>
      <c r="AA646" s="65"/>
      <c r="AB646" s="65"/>
      <c r="AC646" s="65"/>
      <c r="AD646" s="65"/>
      <c r="AE646" s="65"/>
      <c r="AF646" s="65"/>
      <c r="AG646" s="65"/>
      <c r="AH646" s="65"/>
      <c r="AI646" s="65"/>
      <c r="AJ646" s="65"/>
      <c r="AK646" s="65"/>
      <c r="AL646" s="65"/>
      <c r="AM646" s="65"/>
      <c r="AN646" s="65"/>
    </row>
    <row r="647" spans="10:40" ht="14.5" x14ac:dyDescent="0.35">
      <c r="J647" s="65"/>
      <c r="K647" s="65"/>
      <c r="L647" s="65"/>
      <c r="M647" s="65"/>
      <c r="N647" s="65"/>
      <c r="O647" s="65"/>
      <c r="P647" s="65"/>
      <c r="Q647" s="65"/>
      <c r="R647" s="65"/>
      <c r="S647" s="65"/>
      <c r="T647" s="65"/>
      <c r="U647" s="65"/>
      <c r="V647" s="65"/>
      <c r="W647" s="65"/>
      <c r="X647" s="65"/>
      <c r="Y647" s="65"/>
      <c r="Z647" s="65"/>
      <c r="AA647" s="65"/>
      <c r="AB647" s="65"/>
      <c r="AC647" s="65"/>
      <c r="AD647" s="65"/>
      <c r="AE647" s="65"/>
      <c r="AF647" s="65"/>
      <c r="AG647" s="65"/>
      <c r="AH647" s="65"/>
      <c r="AI647" s="65"/>
      <c r="AJ647" s="65"/>
      <c r="AK647" s="65"/>
      <c r="AL647" s="65"/>
      <c r="AM647" s="65"/>
      <c r="AN647" s="65"/>
    </row>
    <row r="648" spans="10:40" ht="14.5" x14ac:dyDescent="0.35">
      <c r="J648" s="65"/>
      <c r="K648" s="65"/>
      <c r="L648" s="65"/>
      <c r="M648" s="65"/>
      <c r="N648" s="65"/>
      <c r="O648" s="65"/>
      <c r="P648" s="65"/>
      <c r="Q648" s="65"/>
      <c r="R648" s="65"/>
      <c r="S648" s="65"/>
      <c r="T648" s="65"/>
      <c r="U648" s="65"/>
      <c r="V648" s="65"/>
      <c r="W648" s="65"/>
      <c r="X648" s="65"/>
      <c r="Y648" s="65"/>
      <c r="Z648" s="65"/>
      <c r="AA648" s="65"/>
      <c r="AB648" s="65"/>
      <c r="AC648" s="65"/>
      <c r="AD648" s="65"/>
      <c r="AE648" s="65"/>
      <c r="AF648" s="65"/>
      <c r="AG648" s="65"/>
      <c r="AH648" s="65"/>
      <c r="AI648" s="65"/>
      <c r="AJ648" s="65"/>
      <c r="AK648" s="65"/>
      <c r="AL648" s="65"/>
      <c r="AM648" s="65"/>
      <c r="AN648" s="65"/>
    </row>
    <row r="649" spans="10:40" ht="14.5" x14ac:dyDescent="0.35">
      <c r="J649" s="65"/>
      <c r="K649" s="65"/>
      <c r="L649" s="65"/>
      <c r="M649" s="65"/>
      <c r="N649" s="65"/>
      <c r="O649" s="65"/>
      <c r="P649" s="65"/>
      <c r="Q649" s="65"/>
      <c r="R649" s="65"/>
      <c r="S649" s="65"/>
      <c r="T649" s="65"/>
      <c r="U649" s="65"/>
      <c r="V649" s="65"/>
      <c r="W649" s="65"/>
      <c r="X649" s="65"/>
      <c r="Y649" s="65"/>
      <c r="Z649" s="65"/>
      <c r="AA649" s="65"/>
      <c r="AB649" s="65"/>
      <c r="AC649" s="65"/>
      <c r="AD649" s="65"/>
      <c r="AE649" s="65"/>
      <c r="AF649" s="65"/>
      <c r="AG649" s="65"/>
      <c r="AH649" s="65"/>
      <c r="AI649" s="65"/>
      <c r="AJ649" s="65"/>
      <c r="AK649" s="65"/>
      <c r="AL649" s="65"/>
      <c r="AM649" s="65"/>
      <c r="AN649" s="65"/>
    </row>
    <row r="650" spans="10:40" ht="14.5" x14ac:dyDescent="0.35">
      <c r="J650" s="65"/>
      <c r="K650" s="65"/>
      <c r="L650" s="65"/>
      <c r="M650" s="65"/>
      <c r="N650" s="65"/>
      <c r="O650" s="65"/>
      <c r="P650" s="65"/>
      <c r="Q650" s="65"/>
      <c r="R650" s="65"/>
      <c r="S650" s="65"/>
      <c r="T650" s="65"/>
      <c r="U650" s="65"/>
      <c r="V650" s="65"/>
      <c r="W650" s="65"/>
      <c r="X650" s="65"/>
      <c r="Y650" s="65"/>
      <c r="Z650" s="65"/>
      <c r="AA650" s="65"/>
      <c r="AB650" s="65"/>
      <c r="AC650" s="65"/>
      <c r="AD650" s="65"/>
      <c r="AE650" s="65"/>
      <c r="AF650" s="65"/>
      <c r="AG650" s="65"/>
      <c r="AH650" s="65"/>
      <c r="AI650" s="65"/>
      <c r="AJ650" s="65"/>
      <c r="AK650" s="65"/>
      <c r="AL650" s="65"/>
      <c r="AM650" s="65"/>
      <c r="AN650" s="65"/>
    </row>
    <row r="651" spans="10:40" ht="14.5" x14ac:dyDescent="0.35">
      <c r="J651" s="65"/>
      <c r="K651" s="65"/>
      <c r="L651" s="65"/>
      <c r="M651" s="65"/>
      <c r="N651" s="65"/>
      <c r="O651" s="65"/>
      <c r="P651" s="65"/>
      <c r="Q651" s="65"/>
      <c r="R651" s="65"/>
      <c r="S651" s="65"/>
      <c r="T651" s="65"/>
      <c r="U651" s="65"/>
      <c r="V651" s="65"/>
      <c r="W651" s="65"/>
      <c r="X651" s="65"/>
      <c r="Y651" s="65"/>
      <c r="Z651" s="65"/>
      <c r="AA651" s="65"/>
      <c r="AB651" s="65"/>
      <c r="AC651" s="65"/>
      <c r="AD651" s="65"/>
      <c r="AE651" s="65"/>
      <c r="AF651" s="65"/>
      <c r="AG651" s="65"/>
      <c r="AH651" s="65"/>
      <c r="AI651" s="65"/>
      <c r="AJ651" s="65"/>
      <c r="AK651" s="65"/>
      <c r="AL651" s="65"/>
      <c r="AM651" s="65"/>
      <c r="AN651" s="65"/>
    </row>
    <row r="652" spans="10:40" ht="14.5" x14ac:dyDescent="0.35">
      <c r="J652" s="65"/>
      <c r="K652" s="65"/>
      <c r="L652" s="65"/>
      <c r="M652" s="65"/>
      <c r="N652" s="65"/>
      <c r="O652" s="65"/>
      <c r="P652" s="65"/>
      <c r="Q652" s="65"/>
      <c r="R652" s="65"/>
      <c r="S652" s="65"/>
      <c r="T652" s="65"/>
      <c r="U652" s="65"/>
      <c r="V652" s="65"/>
      <c r="W652" s="65"/>
      <c r="X652" s="65"/>
      <c r="Y652" s="65"/>
      <c r="Z652" s="65"/>
      <c r="AA652" s="65"/>
      <c r="AB652" s="65"/>
      <c r="AC652" s="65"/>
      <c r="AD652" s="65"/>
      <c r="AE652" s="65"/>
      <c r="AF652" s="65"/>
      <c r="AG652" s="65"/>
      <c r="AH652" s="65"/>
      <c r="AI652" s="65"/>
      <c r="AJ652" s="65"/>
      <c r="AK652" s="65"/>
      <c r="AL652" s="65"/>
      <c r="AM652" s="65"/>
      <c r="AN652" s="65"/>
    </row>
    <row r="653" spans="10:40" ht="14.5" x14ac:dyDescent="0.35">
      <c r="J653" s="65"/>
      <c r="K653" s="65"/>
      <c r="L653" s="65"/>
      <c r="M653" s="65"/>
      <c r="N653" s="65"/>
      <c r="O653" s="65"/>
      <c r="P653" s="65"/>
      <c r="Q653" s="65"/>
      <c r="R653" s="65"/>
      <c r="S653" s="65"/>
      <c r="T653" s="65"/>
      <c r="U653" s="65"/>
      <c r="V653" s="65"/>
      <c r="W653" s="65"/>
      <c r="X653" s="65"/>
      <c r="Y653" s="65"/>
      <c r="Z653" s="65"/>
      <c r="AA653" s="65"/>
      <c r="AB653" s="65"/>
      <c r="AC653" s="65"/>
      <c r="AD653" s="65"/>
      <c r="AE653" s="65"/>
      <c r="AF653" s="65"/>
      <c r="AG653" s="65"/>
      <c r="AH653" s="65"/>
      <c r="AI653" s="65"/>
      <c r="AJ653" s="65"/>
      <c r="AK653" s="65"/>
      <c r="AL653" s="65"/>
      <c r="AM653" s="65"/>
      <c r="AN653" s="65"/>
    </row>
    <row r="654" spans="10:40" ht="14.5" x14ac:dyDescent="0.35">
      <c r="J654" s="65"/>
      <c r="K654" s="65"/>
      <c r="L654" s="65"/>
      <c r="M654" s="65"/>
      <c r="N654" s="65"/>
      <c r="O654" s="65"/>
      <c r="P654" s="65"/>
      <c r="Q654" s="65"/>
      <c r="R654" s="65"/>
      <c r="S654" s="65"/>
      <c r="T654" s="65"/>
      <c r="U654" s="65"/>
      <c r="V654" s="65"/>
      <c r="W654" s="65"/>
      <c r="X654" s="65"/>
      <c r="Y654" s="65"/>
      <c r="Z654" s="65"/>
      <c r="AA654" s="65"/>
      <c r="AB654" s="65"/>
      <c r="AC654" s="65"/>
      <c r="AD654" s="65"/>
      <c r="AE654" s="65"/>
      <c r="AF654" s="65"/>
      <c r="AG654" s="65"/>
      <c r="AH654" s="65"/>
      <c r="AI654" s="65"/>
      <c r="AJ654" s="65"/>
      <c r="AK654" s="65"/>
      <c r="AL654" s="65"/>
      <c r="AM654" s="65"/>
      <c r="AN654" s="65"/>
    </row>
    <row r="655" spans="10:40" ht="14.5" x14ac:dyDescent="0.35">
      <c r="J655" s="65"/>
      <c r="K655" s="65"/>
      <c r="L655" s="65"/>
      <c r="M655" s="65"/>
      <c r="N655" s="65"/>
      <c r="O655" s="65"/>
      <c r="P655" s="65"/>
      <c r="Q655" s="65"/>
      <c r="R655" s="65"/>
      <c r="S655" s="65"/>
      <c r="T655" s="65"/>
      <c r="U655" s="65"/>
      <c r="V655" s="65"/>
      <c r="W655" s="65"/>
      <c r="X655" s="65"/>
      <c r="Y655" s="65"/>
      <c r="Z655" s="65"/>
      <c r="AA655" s="65"/>
      <c r="AB655" s="65"/>
      <c r="AC655" s="65"/>
      <c r="AD655" s="65"/>
      <c r="AE655" s="65"/>
      <c r="AF655" s="65"/>
      <c r="AG655" s="65"/>
      <c r="AH655" s="65"/>
      <c r="AI655" s="65"/>
      <c r="AJ655" s="65"/>
      <c r="AK655" s="65"/>
      <c r="AL655" s="65"/>
      <c r="AM655" s="65"/>
      <c r="AN655" s="65"/>
    </row>
    <row r="656" spans="10:40" ht="14.5" x14ac:dyDescent="0.35">
      <c r="J656" s="65"/>
      <c r="K656" s="65"/>
      <c r="L656" s="65"/>
      <c r="M656" s="65"/>
      <c r="N656" s="65"/>
      <c r="O656" s="65"/>
      <c r="P656" s="65"/>
      <c r="Q656" s="65"/>
      <c r="R656" s="65"/>
      <c r="S656" s="65"/>
      <c r="T656" s="65"/>
      <c r="U656" s="65"/>
      <c r="V656" s="65"/>
      <c r="W656" s="65"/>
      <c r="X656" s="65"/>
      <c r="Y656" s="65"/>
      <c r="Z656" s="65"/>
      <c r="AA656" s="65"/>
      <c r="AB656" s="65"/>
      <c r="AC656" s="65"/>
      <c r="AD656" s="65"/>
      <c r="AE656" s="65"/>
      <c r="AF656" s="65"/>
      <c r="AG656" s="65"/>
      <c r="AH656" s="65"/>
      <c r="AI656" s="65"/>
      <c r="AJ656" s="65"/>
      <c r="AK656" s="65"/>
      <c r="AL656" s="65"/>
      <c r="AM656" s="65"/>
      <c r="AN656" s="65"/>
    </row>
    <row r="657" spans="10:40" ht="14.5" x14ac:dyDescent="0.35">
      <c r="J657" s="65"/>
      <c r="K657" s="65"/>
      <c r="L657" s="65"/>
      <c r="M657" s="65"/>
      <c r="N657" s="65"/>
      <c r="O657" s="65"/>
      <c r="P657" s="65"/>
      <c r="Q657" s="65"/>
      <c r="R657" s="65"/>
      <c r="S657" s="65"/>
      <c r="T657" s="65"/>
      <c r="U657" s="65"/>
      <c r="V657" s="65"/>
      <c r="W657" s="65"/>
      <c r="X657" s="65"/>
      <c r="Y657" s="65"/>
      <c r="Z657" s="65"/>
      <c r="AA657" s="65"/>
      <c r="AB657" s="65"/>
      <c r="AC657" s="65"/>
      <c r="AD657" s="65"/>
      <c r="AE657" s="65"/>
      <c r="AF657" s="65"/>
      <c r="AG657" s="65"/>
      <c r="AH657" s="65"/>
      <c r="AI657" s="65"/>
      <c r="AJ657" s="65"/>
      <c r="AK657" s="65"/>
      <c r="AL657" s="65"/>
      <c r="AM657" s="65"/>
      <c r="AN657" s="65"/>
    </row>
    <row r="658" spans="10:40" ht="14.5" x14ac:dyDescent="0.35">
      <c r="J658" s="65"/>
      <c r="K658" s="65"/>
      <c r="L658" s="65"/>
      <c r="M658" s="65"/>
      <c r="N658" s="65"/>
      <c r="O658" s="65"/>
      <c r="P658" s="65"/>
      <c r="Q658" s="65"/>
      <c r="R658" s="65"/>
      <c r="S658" s="65"/>
      <c r="T658" s="65"/>
      <c r="U658" s="65"/>
      <c r="V658" s="65"/>
      <c r="W658" s="65"/>
      <c r="X658" s="65"/>
      <c r="Y658" s="65"/>
      <c r="Z658" s="65"/>
      <c r="AA658" s="65"/>
      <c r="AB658" s="65"/>
      <c r="AC658" s="65"/>
      <c r="AD658" s="65"/>
      <c r="AE658" s="65"/>
      <c r="AF658" s="65"/>
      <c r="AG658" s="65"/>
      <c r="AH658" s="65"/>
      <c r="AI658" s="65"/>
      <c r="AJ658" s="65"/>
      <c r="AK658" s="65"/>
      <c r="AL658" s="65"/>
      <c r="AM658" s="65"/>
      <c r="AN658" s="65"/>
    </row>
    <row r="659" spans="10:40" ht="14.5" x14ac:dyDescent="0.35">
      <c r="J659" s="65"/>
      <c r="K659" s="65"/>
      <c r="L659" s="65"/>
      <c r="M659" s="65"/>
      <c r="N659" s="65"/>
      <c r="O659" s="65"/>
      <c r="P659" s="65"/>
      <c r="Q659" s="65"/>
      <c r="R659" s="65"/>
      <c r="S659" s="65"/>
      <c r="T659" s="65"/>
      <c r="U659" s="65"/>
      <c r="V659" s="65"/>
      <c r="W659" s="65"/>
      <c r="X659" s="65"/>
      <c r="Y659" s="65"/>
      <c r="Z659" s="65"/>
      <c r="AA659" s="65"/>
      <c r="AB659" s="65"/>
      <c r="AC659" s="65"/>
      <c r="AD659" s="65"/>
      <c r="AE659" s="65"/>
      <c r="AF659" s="65"/>
      <c r="AG659" s="65"/>
      <c r="AH659" s="65"/>
      <c r="AI659" s="65"/>
      <c r="AJ659" s="65"/>
      <c r="AK659" s="65"/>
      <c r="AL659" s="65"/>
      <c r="AM659" s="65"/>
      <c r="AN659" s="65"/>
    </row>
    <row r="660" spans="10:40" ht="14.5" x14ac:dyDescent="0.35">
      <c r="J660" s="65"/>
      <c r="K660" s="65"/>
      <c r="L660" s="65"/>
      <c r="M660" s="65"/>
      <c r="N660" s="65"/>
      <c r="O660" s="65"/>
      <c r="P660" s="65"/>
      <c r="Q660" s="65"/>
      <c r="R660" s="65"/>
      <c r="S660" s="65"/>
      <c r="T660" s="65"/>
      <c r="U660" s="65"/>
      <c r="V660" s="65"/>
      <c r="W660" s="65"/>
      <c r="X660" s="65"/>
      <c r="Y660" s="65"/>
      <c r="Z660" s="65"/>
      <c r="AA660" s="65"/>
      <c r="AB660" s="65"/>
      <c r="AC660" s="65"/>
      <c r="AD660" s="65"/>
      <c r="AE660" s="65"/>
      <c r="AF660" s="65"/>
      <c r="AG660" s="65"/>
      <c r="AH660" s="65"/>
      <c r="AI660" s="65"/>
      <c r="AJ660" s="65"/>
      <c r="AK660" s="65"/>
      <c r="AL660" s="65"/>
      <c r="AM660" s="65"/>
      <c r="AN660" s="65"/>
    </row>
    <row r="661" spans="10:40" ht="14.5" x14ac:dyDescent="0.35">
      <c r="J661" s="65"/>
      <c r="K661" s="65"/>
      <c r="L661" s="65"/>
      <c r="M661" s="65"/>
      <c r="N661" s="65"/>
      <c r="O661" s="65"/>
      <c r="P661" s="65"/>
      <c r="Q661" s="65"/>
      <c r="R661" s="65"/>
      <c r="S661" s="65"/>
      <c r="T661" s="65"/>
      <c r="U661" s="65"/>
      <c r="V661" s="65"/>
      <c r="W661" s="65"/>
      <c r="X661" s="65"/>
      <c r="Y661" s="65"/>
      <c r="Z661" s="65"/>
      <c r="AA661" s="65"/>
      <c r="AB661" s="65"/>
      <c r="AC661" s="65"/>
      <c r="AD661" s="65"/>
      <c r="AE661" s="65"/>
      <c r="AF661" s="65"/>
      <c r="AG661" s="65"/>
      <c r="AH661" s="65"/>
      <c r="AI661" s="65"/>
      <c r="AJ661" s="65"/>
      <c r="AK661" s="65"/>
      <c r="AL661" s="65"/>
      <c r="AM661" s="65"/>
      <c r="AN661" s="65"/>
    </row>
    <row r="662" spans="10:40" ht="14.5" x14ac:dyDescent="0.35">
      <c r="J662" s="65"/>
      <c r="K662" s="65"/>
      <c r="L662" s="65"/>
      <c r="M662" s="65"/>
      <c r="N662" s="65"/>
      <c r="O662" s="65"/>
      <c r="P662" s="65"/>
      <c r="Q662" s="65"/>
      <c r="R662" s="65"/>
      <c r="S662" s="65"/>
      <c r="T662" s="65"/>
      <c r="U662" s="65"/>
      <c r="V662" s="65"/>
      <c r="W662" s="65"/>
      <c r="X662" s="65"/>
      <c r="Y662" s="65"/>
      <c r="Z662" s="65"/>
      <c r="AA662" s="65"/>
      <c r="AB662" s="65"/>
      <c r="AC662" s="65"/>
      <c r="AD662" s="65"/>
      <c r="AE662" s="65"/>
      <c r="AF662" s="65"/>
      <c r="AG662" s="65"/>
      <c r="AH662" s="65"/>
      <c r="AI662" s="65"/>
      <c r="AJ662" s="65"/>
      <c r="AK662" s="65"/>
      <c r="AL662" s="65"/>
      <c r="AM662" s="65"/>
      <c r="AN662" s="65"/>
    </row>
    <row r="663" spans="10:40" ht="14.5" x14ac:dyDescent="0.35">
      <c r="J663" s="65"/>
      <c r="K663" s="65"/>
      <c r="L663" s="65"/>
      <c r="M663" s="65"/>
      <c r="N663" s="65"/>
      <c r="O663" s="65"/>
      <c r="P663" s="65"/>
      <c r="Q663" s="65"/>
      <c r="R663" s="65"/>
      <c r="S663" s="65"/>
      <c r="T663" s="65"/>
      <c r="U663" s="65"/>
      <c r="V663" s="65"/>
      <c r="W663" s="65"/>
      <c r="X663" s="65"/>
      <c r="Y663" s="65"/>
      <c r="Z663" s="65"/>
      <c r="AA663" s="65"/>
      <c r="AB663" s="65"/>
      <c r="AC663" s="65"/>
      <c r="AD663" s="65"/>
      <c r="AE663" s="65"/>
      <c r="AF663" s="65"/>
      <c r="AG663" s="65"/>
      <c r="AH663" s="65"/>
      <c r="AI663" s="65"/>
      <c r="AJ663" s="65"/>
      <c r="AK663" s="65"/>
      <c r="AL663" s="65"/>
      <c r="AM663" s="65"/>
      <c r="AN663" s="65"/>
    </row>
    <row r="664" spans="10:40" ht="14.5" x14ac:dyDescent="0.35">
      <c r="J664" s="65"/>
      <c r="K664" s="65"/>
      <c r="L664" s="65"/>
      <c r="M664" s="65"/>
      <c r="N664" s="65"/>
      <c r="O664" s="65"/>
      <c r="P664" s="65"/>
      <c r="Q664" s="65"/>
      <c r="R664" s="65"/>
      <c r="S664" s="65"/>
      <c r="T664" s="65"/>
      <c r="U664" s="65"/>
      <c r="V664" s="65"/>
      <c r="W664" s="65"/>
      <c r="X664" s="65"/>
      <c r="Y664" s="65"/>
      <c r="Z664" s="65"/>
      <c r="AA664" s="65"/>
      <c r="AB664" s="65"/>
      <c r="AC664" s="65"/>
      <c r="AD664" s="65"/>
      <c r="AE664" s="65"/>
      <c r="AF664" s="65"/>
      <c r="AG664" s="65"/>
      <c r="AH664" s="65"/>
      <c r="AI664" s="65"/>
      <c r="AJ664" s="65"/>
      <c r="AK664" s="65"/>
      <c r="AL664" s="65"/>
      <c r="AM664" s="65"/>
      <c r="AN664" s="65"/>
    </row>
    <row r="665" spans="10:40" ht="14.5" x14ac:dyDescent="0.35">
      <c r="J665" s="65"/>
      <c r="K665" s="65"/>
      <c r="L665" s="65"/>
      <c r="M665" s="65"/>
      <c r="N665" s="65"/>
      <c r="O665" s="65"/>
      <c r="P665" s="65"/>
      <c r="Q665" s="65"/>
      <c r="R665" s="65"/>
      <c r="S665" s="65"/>
      <c r="T665" s="65"/>
      <c r="U665" s="65"/>
      <c r="V665" s="65"/>
      <c r="W665" s="65"/>
      <c r="X665" s="65"/>
      <c r="Y665" s="65"/>
      <c r="Z665" s="65"/>
      <c r="AA665" s="65"/>
      <c r="AB665" s="65"/>
      <c r="AC665" s="65"/>
      <c r="AD665" s="65"/>
      <c r="AE665" s="65"/>
      <c r="AF665" s="65"/>
      <c r="AG665" s="65"/>
      <c r="AH665" s="65"/>
      <c r="AI665" s="65"/>
      <c r="AJ665" s="65"/>
      <c r="AK665" s="65"/>
      <c r="AL665" s="65"/>
      <c r="AM665" s="65"/>
      <c r="AN665" s="65"/>
    </row>
    <row r="666" spans="10:40" ht="14.5" x14ac:dyDescent="0.35">
      <c r="J666" s="65"/>
      <c r="K666" s="65"/>
      <c r="L666" s="65"/>
      <c r="M666" s="65"/>
      <c r="N666" s="65"/>
      <c r="O666" s="65"/>
      <c r="P666" s="65"/>
      <c r="Q666" s="65"/>
      <c r="R666" s="65"/>
      <c r="S666" s="65"/>
      <c r="T666" s="65"/>
      <c r="U666" s="65"/>
      <c r="V666" s="65"/>
      <c r="W666" s="65"/>
      <c r="X666" s="65"/>
      <c r="Y666" s="65"/>
      <c r="Z666" s="65"/>
      <c r="AA666" s="65"/>
      <c r="AB666" s="65"/>
      <c r="AC666" s="65"/>
      <c r="AD666" s="65"/>
      <c r="AE666" s="65"/>
      <c r="AF666" s="65"/>
      <c r="AG666" s="65"/>
      <c r="AH666" s="65"/>
      <c r="AI666" s="65"/>
      <c r="AJ666" s="65"/>
      <c r="AK666" s="65"/>
      <c r="AL666" s="65"/>
      <c r="AM666" s="65"/>
      <c r="AN666" s="65"/>
    </row>
    <row r="667" spans="10:40" ht="14.5" x14ac:dyDescent="0.35">
      <c r="J667" s="65"/>
      <c r="K667" s="65"/>
      <c r="L667" s="65"/>
      <c r="M667" s="65"/>
      <c r="N667" s="65"/>
      <c r="O667" s="65"/>
      <c r="P667" s="65"/>
      <c r="Q667" s="65"/>
      <c r="R667" s="65"/>
      <c r="S667" s="65"/>
      <c r="T667" s="65"/>
      <c r="U667" s="65"/>
      <c r="V667" s="65"/>
      <c r="W667" s="65"/>
      <c r="X667" s="65"/>
      <c r="Y667" s="65"/>
      <c r="Z667" s="65"/>
      <c r="AA667" s="65"/>
      <c r="AB667" s="65"/>
      <c r="AC667" s="65"/>
      <c r="AD667" s="65"/>
      <c r="AE667" s="65"/>
      <c r="AF667" s="65"/>
      <c r="AG667" s="65"/>
      <c r="AH667" s="65"/>
      <c r="AI667" s="65"/>
      <c r="AJ667" s="65"/>
      <c r="AK667" s="65"/>
      <c r="AL667" s="65"/>
      <c r="AM667" s="65"/>
      <c r="AN667" s="65"/>
    </row>
    <row r="668" spans="10:40" ht="14.5" x14ac:dyDescent="0.35">
      <c r="J668" s="65"/>
      <c r="K668" s="65"/>
      <c r="L668" s="65"/>
      <c r="M668" s="65"/>
      <c r="N668" s="65"/>
      <c r="O668" s="65"/>
      <c r="P668" s="65"/>
      <c r="Q668" s="65"/>
      <c r="R668" s="65"/>
      <c r="S668" s="65"/>
      <c r="T668" s="65"/>
      <c r="U668" s="65"/>
      <c r="V668" s="65"/>
      <c r="W668" s="65"/>
      <c r="X668" s="65"/>
      <c r="Y668" s="65"/>
      <c r="Z668" s="65"/>
      <c r="AA668" s="65"/>
      <c r="AB668" s="65"/>
      <c r="AC668" s="65"/>
      <c r="AD668" s="65"/>
      <c r="AE668" s="65"/>
      <c r="AF668" s="65"/>
      <c r="AG668" s="65"/>
      <c r="AH668" s="65"/>
      <c r="AI668" s="65"/>
      <c r="AJ668" s="65"/>
      <c r="AK668" s="65"/>
      <c r="AL668" s="65"/>
      <c r="AM668" s="65"/>
      <c r="AN668" s="65"/>
    </row>
    <row r="669" spans="10:40" ht="14.5" x14ac:dyDescent="0.35">
      <c r="J669" s="65"/>
      <c r="K669" s="65"/>
      <c r="L669" s="65"/>
      <c r="M669" s="65"/>
      <c r="N669" s="65"/>
      <c r="O669" s="65"/>
      <c r="P669" s="65"/>
      <c r="Q669" s="65"/>
      <c r="R669" s="65"/>
      <c r="S669" s="65"/>
      <c r="T669" s="65"/>
      <c r="U669" s="65"/>
      <c r="V669" s="65"/>
      <c r="W669" s="65"/>
      <c r="X669" s="65"/>
      <c r="Y669" s="65"/>
      <c r="Z669" s="65"/>
      <c r="AA669" s="65"/>
      <c r="AB669" s="65"/>
      <c r="AC669" s="65"/>
      <c r="AD669" s="65"/>
      <c r="AE669" s="65"/>
      <c r="AF669" s="65"/>
      <c r="AG669" s="65"/>
      <c r="AH669" s="65"/>
      <c r="AI669" s="65"/>
      <c r="AJ669" s="65"/>
      <c r="AK669" s="65"/>
      <c r="AL669" s="65"/>
      <c r="AM669" s="65"/>
      <c r="AN669" s="65"/>
    </row>
    <row r="670" spans="10:40" ht="14.5" x14ac:dyDescent="0.35">
      <c r="J670" s="65"/>
      <c r="K670" s="65"/>
      <c r="L670" s="65"/>
      <c r="M670" s="65"/>
      <c r="N670" s="65"/>
      <c r="O670" s="65"/>
      <c r="P670" s="65"/>
      <c r="Q670" s="65"/>
      <c r="R670" s="65"/>
      <c r="S670" s="65"/>
      <c r="T670" s="65"/>
      <c r="U670" s="65"/>
      <c r="V670" s="65"/>
      <c r="W670" s="65"/>
      <c r="X670" s="65"/>
      <c r="Y670" s="65"/>
      <c r="Z670" s="65"/>
      <c r="AA670" s="65"/>
      <c r="AB670" s="65"/>
      <c r="AC670" s="65"/>
      <c r="AD670" s="65"/>
      <c r="AE670" s="65"/>
      <c r="AF670" s="65"/>
      <c r="AG670" s="65"/>
      <c r="AH670" s="65"/>
      <c r="AI670" s="65"/>
      <c r="AJ670" s="65"/>
      <c r="AK670" s="65"/>
      <c r="AL670" s="65"/>
      <c r="AM670" s="65"/>
      <c r="AN670" s="65"/>
    </row>
    <row r="671" spans="10:40" ht="14.5" x14ac:dyDescent="0.35">
      <c r="J671" s="65"/>
      <c r="K671" s="65"/>
      <c r="L671" s="65"/>
      <c r="M671" s="65"/>
      <c r="N671" s="65"/>
      <c r="O671" s="65"/>
      <c r="P671" s="65"/>
      <c r="Q671" s="65"/>
      <c r="R671" s="65"/>
      <c r="S671" s="65"/>
      <c r="T671" s="65"/>
      <c r="U671" s="65"/>
      <c r="V671" s="65"/>
      <c r="W671" s="65"/>
      <c r="X671" s="65"/>
      <c r="Y671" s="65"/>
      <c r="Z671" s="65"/>
      <c r="AA671" s="65"/>
      <c r="AB671" s="65"/>
      <c r="AC671" s="65"/>
      <c r="AD671" s="65"/>
      <c r="AE671" s="65"/>
      <c r="AF671" s="65"/>
      <c r="AG671" s="65"/>
      <c r="AH671" s="65"/>
      <c r="AI671" s="65"/>
      <c r="AJ671" s="65"/>
      <c r="AK671" s="65"/>
      <c r="AL671" s="65"/>
      <c r="AM671" s="65"/>
      <c r="AN671" s="65"/>
    </row>
    <row r="672" spans="10:40" ht="14.5" x14ac:dyDescent="0.35">
      <c r="J672" s="65"/>
      <c r="K672" s="65"/>
      <c r="L672" s="65"/>
      <c r="M672" s="65"/>
      <c r="N672" s="65"/>
      <c r="O672" s="65"/>
      <c r="P672" s="65"/>
      <c r="Q672" s="65"/>
      <c r="R672" s="65"/>
      <c r="S672" s="65"/>
      <c r="T672" s="65"/>
      <c r="U672" s="65"/>
      <c r="V672" s="65"/>
      <c r="W672" s="65"/>
      <c r="X672" s="65"/>
      <c r="Y672" s="65"/>
      <c r="Z672" s="65"/>
      <c r="AA672" s="65"/>
      <c r="AB672" s="65"/>
      <c r="AC672" s="65"/>
      <c r="AD672" s="65"/>
      <c r="AE672" s="65"/>
      <c r="AF672" s="65"/>
      <c r="AG672" s="65"/>
      <c r="AH672" s="65"/>
      <c r="AI672" s="65"/>
      <c r="AJ672" s="65"/>
      <c r="AK672" s="65"/>
      <c r="AL672" s="65"/>
      <c r="AM672" s="65"/>
      <c r="AN672" s="65"/>
    </row>
    <row r="673" spans="10:40" ht="14.5" x14ac:dyDescent="0.35">
      <c r="J673" s="65"/>
      <c r="K673" s="65"/>
      <c r="L673" s="65"/>
      <c r="M673" s="65"/>
      <c r="N673" s="65"/>
      <c r="O673" s="65"/>
      <c r="P673" s="65"/>
      <c r="Q673" s="65"/>
      <c r="R673" s="65"/>
      <c r="S673" s="65"/>
      <c r="T673" s="65"/>
      <c r="U673" s="65"/>
      <c r="V673" s="65"/>
      <c r="W673" s="65"/>
      <c r="X673" s="65"/>
      <c r="Y673" s="65"/>
      <c r="Z673" s="65"/>
      <c r="AA673" s="65"/>
      <c r="AB673" s="65"/>
      <c r="AC673" s="65"/>
      <c r="AD673" s="65"/>
      <c r="AE673" s="65"/>
      <c r="AF673" s="65"/>
      <c r="AG673" s="65"/>
      <c r="AH673" s="65"/>
      <c r="AI673" s="65"/>
      <c r="AJ673" s="65"/>
      <c r="AK673" s="65"/>
      <c r="AL673" s="65"/>
      <c r="AM673" s="65"/>
      <c r="AN673" s="65"/>
    </row>
    <row r="674" spans="10:40" ht="14.5" x14ac:dyDescent="0.35">
      <c r="J674" s="65"/>
      <c r="K674" s="65"/>
      <c r="L674" s="65"/>
      <c r="M674" s="65"/>
      <c r="N674" s="65"/>
      <c r="O674" s="65"/>
      <c r="P674" s="65"/>
      <c r="Q674" s="65"/>
      <c r="R674" s="65"/>
      <c r="S674" s="65"/>
      <c r="T674" s="65"/>
      <c r="U674" s="65"/>
      <c r="V674" s="65"/>
      <c r="W674" s="65"/>
      <c r="X674" s="65"/>
      <c r="Y674" s="65"/>
      <c r="Z674" s="65"/>
      <c r="AA674" s="65"/>
      <c r="AB674" s="65"/>
      <c r="AC674" s="65"/>
      <c r="AD674" s="65"/>
      <c r="AE674" s="65"/>
      <c r="AF674" s="65"/>
      <c r="AG674" s="65"/>
      <c r="AH674" s="65"/>
      <c r="AI674" s="65"/>
      <c r="AJ674" s="65"/>
      <c r="AK674" s="65"/>
      <c r="AL674" s="65"/>
      <c r="AM674" s="65"/>
      <c r="AN674" s="65"/>
    </row>
    <row r="675" spans="10:40" ht="14.5" x14ac:dyDescent="0.35">
      <c r="J675" s="65"/>
      <c r="K675" s="65"/>
      <c r="L675" s="65"/>
      <c r="M675" s="65"/>
      <c r="N675" s="65"/>
      <c r="O675" s="65"/>
      <c r="P675" s="65"/>
      <c r="Q675" s="65"/>
      <c r="R675" s="65"/>
      <c r="S675" s="65"/>
      <c r="T675" s="65"/>
      <c r="U675" s="65"/>
      <c r="V675" s="65"/>
      <c r="W675" s="65"/>
      <c r="X675" s="65"/>
      <c r="Y675" s="65"/>
      <c r="Z675" s="65"/>
      <c r="AA675" s="65"/>
      <c r="AB675" s="65"/>
      <c r="AC675" s="65"/>
      <c r="AD675" s="65"/>
      <c r="AE675" s="65"/>
      <c r="AF675" s="65"/>
      <c r="AG675" s="65"/>
      <c r="AH675" s="65"/>
      <c r="AI675" s="65"/>
      <c r="AJ675" s="65"/>
      <c r="AK675" s="65"/>
      <c r="AL675" s="65"/>
      <c r="AM675" s="65"/>
      <c r="AN675" s="65"/>
    </row>
    <row r="676" spans="10:40" ht="14.5" x14ac:dyDescent="0.35">
      <c r="J676" s="65"/>
      <c r="K676" s="65"/>
      <c r="L676" s="65"/>
      <c r="M676" s="65"/>
      <c r="N676" s="65"/>
      <c r="O676" s="65"/>
      <c r="P676" s="65"/>
      <c r="Q676" s="65"/>
      <c r="R676" s="65"/>
      <c r="S676" s="65"/>
      <c r="T676" s="65"/>
      <c r="U676" s="65"/>
      <c r="V676" s="65"/>
      <c r="W676" s="65"/>
      <c r="X676" s="65"/>
      <c r="Y676" s="65"/>
      <c r="Z676" s="65"/>
      <c r="AA676" s="65"/>
      <c r="AB676" s="65"/>
      <c r="AC676" s="65"/>
      <c r="AD676" s="65"/>
      <c r="AE676" s="65"/>
      <c r="AF676" s="65"/>
      <c r="AG676" s="65"/>
      <c r="AH676" s="65"/>
      <c r="AI676" s="65"/>
      <c r="AJ676" s="65"/>
      <c r="AK676" s="65"/>
      <c r="AL676" s="65"/>
      <c r="AM676" s="65"/>
      <c r="AN676" s="65"/>
    </row>
    <row r="677" spans="10:40" ht="14.5" x14ac:dyDescent="0.35">
      <c r="J677" s="65"/>
      <c r="K677" s="65"/>
      <c r="L677" s="65"/>
      <c r="M677" s="65"/>
      <c r="N677" s="65"/>
      <c r="O677" s="65"/>
      <c r="P677" s="65"/>
      <c r="Q677" s="65"/>
      <c r="R677" s="65"/>
      <c r="S677" s="65"/>
      <c r="T677" s="65"/>
      <c r="U677" s="65"/>
      <c r="V677" s="65"/>
      <c r="W677" s="65"/>
      <c r="X677" s="65"/>
      <c r="Y677" s="65"/>
      <c r="Z677" s="65"/>
      <c r="AA677" s="65"/>
      <c r="AB677" s="65"/>
      <c r="AC677" s="65"/>
      <c r="AD677" s="65"/>
      <c r="AE677" s="65"/>
      <c r="AF677" s="65"/>
      <c r="AG677" s="65"/>
      <c r="AH677" s="65"/>
      <c r="AI677" s="65"/>
      <c r="AJ677" s="65"/>
      <c r="AK677" s="65"/>
      <c r="AL677" s="65"/>
      <c r="AM677" s="65"/>
      <c r="AN677" s="65"/>
    </row>
    <row r="678" spans="10:40" ht="14.5" x14ac:dyDescent="0.35">
      <c r="J678" s="65"/>
      <c r="K678" s="65"/>
      <c r="L678" s="65"/>
      <c r="M678" s="65"/>
      <c r="N678" s="65"/>
      <c r="O678" s="65"/>
      <c r="P678" s="65"/>
      <c r="Q678" s="65"/>
      <c r="R678" s="65"/>
      <c r="S678" s="65"/>
      <c r="T678" s="65"/>
      <c r="U678" s="65"/>
      <c r="V678" s="65"/>
      <c r="W678" s="65"/>
      <c r="X678" s="65"/>
      <c r="Y678" s="65"/>
      <c r="Z678" s="65"/>
      <c r="AA678" s="65"/>
      <c r="AB678" s="65"/>
      <c r="AC678" s="65"/>
      <c r="AD678" s="65"/>
      <c r="AE678" s="65"/>
      <c r="AF678" s="65"/>
      <c r="AG678" s="65"/>
      <c r="AH678" s="65"/>
      <c r="AI678" s="65"/>
      <c r="AJ678" s="65"/>
      <c r="AK678" s="65"/>
      <c r="AL678" s="65"/>
      <c r="AM678" s="65"/>
      <c r="AN678" s="65"/>
    </row>
    <row r="679" spans="10:40" ht="14.5" x14ac:dyDescent="0.35">
      <c r="J679" s="65"/>
      <c r="K679" s="65"/>
      <c r="L679" s="65"/>
      <c r="M679" s="65"/>
      <c r="N679" s="65"/>
      <c r="O679" s="65"/>
      <c r="P679" s="65"/>
      <c r="Q679" s="65"/>
      <c r="R679" s="65"/>
      <c r="S679" s="65"/>
      <c r="T679" s="65"/>
      <c r="U679" s="65"/>
      <c r="V679" s="65"/>
      <c r="W679" s="65"/>
      <c r="X679" s="65"/>
      <c r="Y679" s="65"/>
      <c r="Z679" s="65"/>
      <c r="AA679" s="65"/>
      <c r="AB679" s="65"/>
      <c r="AC679" s="65"/>
      <c r="AD679" s="65"/>
      <c r="AE679" s="65"/>
      <c r="AF679" s="65"/>
      <c r="AG679" s="65"/>
      <c r="AH679" s="65"/>
      <c r="AI679" s="65"/>
      <c r="AJ679" s="65"/>
      <c r="AK679" s="65"/>
      <c r="AL679" s="65"/>
      <c r="AM679" s="65"/>
      <c r="AN679" s="65"/>
    </row>
    <row r="680" spans="10:40" ht="14.5" x14ac:dyDescent="0.35">
      <c r="J680" s="65"/>
      <c r="K680" s="65"/>
      <c r="L680" s="65"/>
      <c r="M680" s="65"/>
      <c r="N680" s="65"/>
      <c r="O680" s="65"/>
      <c r="P680" s="65"/>
      <c r="Q680" s="65"/>
      <c r="R680" s="65"/>
      <c r="S680" s="65"/>
      <c r="T680" s="65"/>
      <c r="U680" s="65"/>
      <c r="V680" s="65"/>
      <c r="W680" s="65"/>
      <c r="X680" s="65"/>
      <c r="Y680" s="65"/>
      <c r="Z680" s="65"/>
      <c r="AA680" s="65"/>
      <c r="AB680" s="65"/>
      <c r="AC680" s="65"/>
      <c r="AD680" s="65"/>
      <c r="AE680" s="65"/>
      <c r="AF680" s="65"/>
      <c r="AG680" s="65"/>
      <c r="AH680" s="65"/>
      <c r="AI680" s="65"/>
      <c r="AJ680" s="65"/>
      <c r="AK680" s="65"/>
      <c r="AL680" s="65"/>
      <c r="AM680" s="65"/>
      <c r="AN680" s="65"/>
    </row>
    <row r="681" spans="10:40" ht="14.5" x14ac:dyDescent="0.35">
      <c r="J681" s="65"/>
      <c r="K681" s="65"/>
      <c r="L681" s="65"/>
      <c r="M681" s="65"/>
      <c r="N681" s="65"/>
      <c r="O681" s="65"/>
      <c r="P681" s="65"/>
      <c r="Q681" s="65"/>
      <c r="R681" s="65"/>
      <c r="S681" s="65"/>
      <c r="T681" s="65"/>
      <c r="U681" s="65"/>
      <c r="V681" s="65"/>
      <c r="W681" s="65"/>
      <c r="X681" s="65"/>
      <c r="Y681" s="65"/>
      <c r="Z681" s="65"/>
      <c r="AA681" s="65"/>
      <c r="AB681" s="65"/>
      <c r="AC681" s="65"/>
      <c r="AD681" s="65"/>
      <c r="AE681" s="65"/>
      <c r="AF681" s="65"/>
      <c r="AG681" s="65"/>
      <c r="AH681" s="65"/>
      <c r="AI681" s="65"/>
      <c r="AJ681" s="65"/>
      <c r="AK681" s="65"/>
      <c r="AL681" s="65"/>
      <c r="AM681" s="65"/>
      <c r="AN681" s="65"/>
    </row>
    <row r="682" spans="10:40" ht="14.5" x14ac:dyDescent="0.35">
      <c r="J682" s="65"/>
      <c r="K682" s="65"/>
      <c r="L682" s="65"/>
      <c r="M682" s="65"/>
      <c r="N682" s="65"/>
      <c r="O682" s="65"/>
      <c r="P682" s="65"/>
      <c r="Q682" s="65"/>
      <c r="R682" s="65"/>
      <c r="S682" s="65"/>
      <c r="T682" s="65"/>
      <c r="U682" s="65"/>
      <c r="V682" s="65"/>
      <c r="W682" s="65"/>
      <c r="X682" s="65"/>
      <c r="Y682" s="65"/>
      <c r="Z682" s="65"/>
      <c r="AA682" s="65"/>
      <c r="AB682" s="65"/>
      <c r="AC682" s="65"/>
      <c r="AD682" s="65"/>
      <c r="AE682" s="65"/>
      <c r="AF682" s="65"/>
      <c r="AG682" s="65"/>
      <c r="AH682" s="65"/>
      <c r="AI682" s="65"/>
      <c r="AJ682" s="65"/>
      <c r="AK682" s="65"/>
      <c r="AL682" s="65"/>
      <c r="AM682" s="65"/>
      <c r="AN682" s="65"/>
    </row>
    <row r="683" spans="10:40" ht="14.5" x14ac:dyDescent="0.35">
      <c r="J683" s="65"/>
      <c r="K683" s="65"/>
      <c r="L683" s="65"/>
      <c r="M683" s="65"/>
      <c r="N683" s="65"/>
      <c r="O683" s="65"/>
      <c r="P683" s="65"/>
      <c r="Q683" s="65"/>
      <c r="R683" s="65"/>
      <c r="S683" s="65"/>
      <c r="T683" s="65"/>
      <c r="U683" s="65"/>
      <c r="V683" s="65"/>
      <c r="W683" s="65"/>
      <c r="X683" s="65"/>
      <c r="Y683" s="65"/>
      <c r="Z683" s="65"/>
      <c r="AA683" s="65"/>
      <c r="AB683" s="65"/>
      <c r="AC683" s="65"/>
      <c r="AD683" s="65"/>
      <c r="AE683" s="65"/>
      <c r="AF683" s="65"/>
      <c r="AG683" s="65"/>
      <c r="AH683" s="65"/>
      <c r="AI683" s="65"/>
      <c r="AJ683" s="65"/>
      <c r="AK683" s="65"/>
      <c r="AL683" s="65"/>
      <c r="AM683" s="65"/>
      <c r="AN683" s="65"/>
    </row>
    <row r="684" spans="10:40" ht="14.5" x14ac:dyDescent="0.35">
      <c r="J684" s="65"/>
      <c r="K684" s="65"/>
      <c r="L684" s="65"/>
      <c r="M684" s="65"/>
      <c r="N684" s="65"/>
      <c r="O684" s="65"/>
      <c r="P684" s="65"/>
      <c r="Q684" s="65"/>
      <c r="R684" s="65"/>
      <c r="S684" s="65"/>
      <c r="T684" s="65"/>
      <c r="U684" s="65"/>
      <c r="V684" s="65"/>
      <c r="W684" s="65"/>
      <c r="X684" s="65"/>
      <c r="Y684" s="65"/>
      <c r="Z684" s="65"/>
      <c r="AA684" s="65"/>
      <c r="AB684" s="65"/>
      <c r="AC684" s="65"/>
      <c r="AD684" s="65"/>
      <c r="AE684" s="65"/>
      <c r="AF684" s="65"/>
      <c r="AG684" s="65"/>
      <c r="AH684" s="65"/>
      <c r="AI684" s="65"/>
      <c r="AJ684" s="65"/>
      <c r="AK684" s="65"/>
      <c r="AL684" s="65"/>
      <c r="AM684" s="65"/>
      <c r="AN684" s="65"/>
    </row>
    <row r="685" spans="10:40" ht="14.5" x14ac:dyDescent="0.35">
      <c r="J685" s="65"/>
      <c r="K685" s="65"/>
      <c r="L685" s="65"/>
      <c r="M685" s="65"/>
      <c r="N685" s="65"/>
      <c r="O685" s="65"/>
      <c r="P685" s="65"/>
      <c r="Q685" s="65"/>
      <c r="R685" s="65"/>
      <c r="S685" s="65"/>
      <c r="T685" s="65"/>
      <c r="U685" s="65"/>
      <c r="V685" s="65"/>
      <c r="W685" s="65"/>
      <c r="X685" s="65"/>
      <c r="Y685" s="65"/>
      <c r="Z685" s="65"/>
      <c r="AA685" s="65"/>
      <c r="AB685" s="65"/>
      <c r="AC685" s="65"/>
      <c r="AD685" s="65"/>
      <c r="AE685" s="65"/>
      <c r="AF685" s="65"/>
      <c r="AG685" s="65"/>
      <c r="AH685" s="65"/>
      <c r="AI685" s="65"/>
      <c r="AJ685" s="65"/>
      <c r="AK685" s="65"/>
      <c r="AL685" s="65"/>
      <c r="AM685" s="65"/>
      <c r="AN685" s="65"/>
    </row>
    <row r="686" spans="10:40" ht="14.5" x14ac:dyDescent="0.35">
      <c r="J686" s="65"/>
      <c r="K686" s="65"/>
      <c r="L686" s="65"/>
      <c r="M686" s="65"/>
      <c r="N686" s="65"/>
      <c r="O686" s="65"/>
      <c r="P686" s="65"/>
      <c r="Q686" s="65"/>
      <c r="R686" s="65"/>
      <c r="S686" s="65"/>
      <c r="T686" s="65"/>
      <c r="U686" s="65"/>
      <c r="V686" s="65"/>
      <c r="W686" s="65"/>
      <c r="X686" s="65"/>
      <c r="Y686" s="65"/>
      <c r="Z686" s="65"/>
      <c r="AA686" s="65"/>
      <c r="AB686" s="65"/>
      <c r="AC686" s="65"/>
      <c r="AD686" s="65"/>
      <c r="AE686" s="65"/>
      <c r="AF686" s="65"/>
      <c r="AG686" s="65"/>
      <c r="AH686" s="65"/>
      <c r="AI686" s="65"/>
      <c r="AJ686" s="65"/>
      <c r="AK686" s="65"/>
      <c r="AL686" s="65"/>
      <c r="AM686" s="65"/>
      <c r="AN686" s="65"/>
    </row>
    <row r="687" spans="10:40" ht="14.5" x14ac:dyDescent="0.35">
      <c r="J687" s="65"/>
      <c r="K687" s="65"/>
      <c r="L687" s="65"/>
      <c r="M687" s="65"/>
      <c r="N687" s="65"/>
      <c r="O687" s="65"/>
      <c r="P687" s="65"/>
      <c r="Q687" s="65"/>
      <c r="R687" s="65"/>
      <c r="S687" s="65"/>
      <c r="T687" s="65"/>
      <c r="U687" s="65"/>
      <c r="V687" s="65"/>
      <c r="W687" s="65"/>
      <c r="X687" s="65"/>
      <c r="Y687" s="65"/>
      <c r="Z687" s="65"/>
      <c r="AA687" s="65"/>
      <c r="AB687" s="65"/>
      <c r="AC687" s="65"/>
      <c r="AD687" s="65"/>
      <c r="AE687" s="65"/>
      <c r="AF687" s="65"/>
      <c r="AG687" s="65"/>
      <c r="AH687" s="65"/>
      <c r="AI687" s="65"/>
      <c r="AJ687" s="65"/>
      <c r="AK687" s="65"/>
      <c r="AL687" s="65"/>
      <c r="AM687" s="65"/>
      <c r="AN687" s="65"/>
    </row>
    <row r="688" spans="10:40" ht="14.5" x14ac:dyDescent="0.35">
      <c r="J688" s="65"/>
      <c r="K688" s="65"/>
      <c r="L688" s="65"/>
      <c r="M688" s="65"/>
      <c r="N688" s="65"/>
      <c r="O688" s="65"/>
      <c r="P688" s="65"/>
      <c r="Q688" s="65"/>
      <c r="R688" s="65"/>
      <c r="S688" s="65"/>
      <c r="T688" s="65"/>
      <c r="U688" s="65"/>
      <c r="V688" s="65"/>
      <c r="W688" s="65"/>
      <c r="X688" s="65"/>
      <c r="Y688" s="65"/>
      <c r="Z688" s="65"/>
      <c r="AA688" s="65"/>
      <c r="AB688" s="65"/>
      <c r="AC688" s="65"/>
      <c r="AD688" s="65"/>
      <c r="AE688" s="65"/>
      <c r="AF688" s="65"/>
      <c r="AG688" s="65"/>
      <c r="AH688" s="65"/>
      <c r="AI688" s="65"/>
      <c r="AJ688" s="65"/>
      <c r="AK688" s="65"/>
      <c r="AL688" s="65"/>
      <c r="AM688" s="65"/>
      <c r="AN688" s="65"/>
    </row>
    <row r="689" spans="10:40" ht="14.5" x14ac:dyDescent="0.35">
      <c r="J689" s="65"/>
      <c r="K689" s="65"/>
      <c r="L689" s="65"/>
      <c r="M689" s="65"/>
      <c r="N689" s="65"/>
      <c r="O689" s="65"/>
      <c r="P689" s="65"/>
      <c r="Q689" s="65"/>
      <c r="R689" s="65"/>
      <c r="S689" s="65"/>
      <c r="T689" s="65"/>
      <c r="U689" s="65"/>
      <c r="V689" s="65"/>
      <c r="W689" s="65"/>
      <c r="X689" s="65"/>
      <c r="Y689" s="65"/>
      <c r="Z689" s="65"/>
      <c r="AA689" s="65"/>
      <c r="AB689" s="65"/>
      <c r="AC689" s="65"/>
      <c r="AD689" s="65"/>
      <c r="AE689" s="65"/>
      <c r="AF689" s="65"/>
      <c r="AG689" s="65"/>
      <c r="AH689" s="65"/>
      <c r="AI689" s="65"/>
      <c r="AJ689" s="65"/>
      <c r="AK689" s="65"/>
      <c r="AL689" s="65"/>
      <c r="AM689" s="65"/>
      <c r="AN689" s="65"/>
    </row>
    <row r="690" spans="10:40" ht="14.5" x14ac:dyDescent="0.35">
      <c r="J690" s="65"/>
      <c r="K690" s="65"/>
      <c r="L690" s="65"/>
      <c r="M690" s="65"/>
      <c r="N690" s="65"/>
      <c r="O690" s="65"/>
      <c r="P690" s="65"/>
      <c r="Q690" s="65"/>
      <c r="R690" s="65"/>
      <c r="S690" s="65"/>
      <c r="T690" s="65"/>
      <c r="U690" s="65"/>
      <c r="V690" s="65"/>
      <c r="W690" s="65"/>
      <c r="X690" s="65"/>
      <c r="Y690" s="65"/>
      <c r="Z690" s="65"/>
      <c r="AA690" s="65"/>
      <c r="AB690" s="65"/>
      <c r="AC690" s="65"/>
      <c r="AD690" s="65"/>
      <c r="AE690" s="65"/>
      <c r="AF690" s="65"/>
      <c r="AG690" s="65"/>
      <c r="AH690" s="65"/>
      <c r="AI690" s="65"/>
      <c r="AJ690" s="65"/>
      <c r="AK690" s="65"/>
      <c r="AL690" s="65"/>
      <c r="AM690" s="65"/>
      <c r="AN690" s="65"/>
    </row>
    <row r="691" spans="10:40" ht="14.5" x14ac:dyDescent="0.35">
      <c r="J691" s="65"/>
      <c r="K691" s="65"/>
      <c r="L691" s="65"/>
      <c r="M691" s="65"/>
      <c r="N691" s="65"/>
      <c r="O691" s="65"/>
      <c r="P691" s="65"/>
      <c r="Q691" s="65"/>
      <c r="R691" s="65"/>
      <c r="S691" s="65"/>
      <c r="T691" s="65"/>
      <c r="U691" s="65"/>
      <c r="V691" s="65"/>
      <c r="W691" s="65"/>
      <c r="X691" s="65"/>
      <c r="Y691" s="65"/>
      <c r="Z691" s="65"/>
      <c r="AA691" s="65"/>
      <c r="AB691" s="65"/>
      <c r="AC691" s="65"/>
      <c r="AD691" s="65"/>
      <c r="AE691" s="65"/>
      <c r="AF691" s="65"/>
      <c r="AG691" s="65"/>
      <c r="AH691" s="65"/>
      <c r="AI691" s="65"/>
      <c r="AJ691" s="65"/>
      <c r="AK691" s="65"/>
      <c r="AL691" s="65"/>
      <c r="AM691" s="65"/>
      <c r="AN691" s="65"/>
    </row>
    <row r="692" spans="10:40" ht="14.5" x14ac:dyDescent="0.35">
      <c r="J692" s="65"/>
      <c r="K692" s="65"/>
      <c r="L692" s="65"/>
      <c r="M692" s="65"/>
      <c r="N692" s="65"/>
      <c r="O692" s="65"/>
      <c r="P692" s="65"/>
      <c r="Q692" s="65"/>
      <c r="R692" s="65"/>
      <c r="S692" s="65"/>
      <c r="T692" s="65"/>
      <c r="U692" s="65"/>
      <c r="V692" s="65"/>
      <c r="W692" s="65"/>
      <c r="X692" s="65"/>
      <c r="Y692" s="65"/>
      <c r="Z692" s="65"/>
      <c r="AA692" s="65"/>
      <c r="AB692" s="65"/>
      <c r="AC692" s="65"/>
      <c r="AD692" s="65"/>
      <c r="AE692" s="65"/>
      <c r="AF692" s="65"/>
      <c r="AG692" s="65"/>
      <c r="AH692" s="65"/>
      <c r="AI692" s="65"/>
      <c r="AJ692" s="65"/>
      <c r="AK692" s="65"/>
      <c r="AL692" s="65"/>
      <c r="AM692" s="65"/>
      <c r="AN692" s="65"/>
    </row>
    <row r="693" spans="10:40" ht="14.5" x14ac:dyDescent="0.35">
      <c r="J693" s="65"/>
      <c r="K693" s="65"/>
      <c r="L693" s="65"/>
      <c r="M693" s="65"/>
      <c r="N693" s="65"/>
      <c r="O693" s="65"/>
      <c r="P693" s="65"/>
      <c r="Q693" s="65"/>
      <c r="R693" s="65"/>
      <c r="S693" s="65"/>
      <c r="T693" s="65"/>
      <c r="U693" s="65"/>
      <c r="V693" s="65"/>
      <c r="W693" s="65"/>
      <c r="X693" s="65"/>
      <c r="Y693" s="65"/>
      <c r="Z693" s="65"/>
      <c r="AA693" s="65"/>
      <c r="AB693" s="65"/>
      <c r="AC693" s="65"/>
      <c r="AD693" s="65"/>
      <c r="AE693" s="65"/>
      <c r="AF693" s="65"/>
      <c r="AG693" s="65"/>
      <c r="AH693" s="65"/>
      <c r="AI693" s="65"/>
      <c r="AJ693" s="65"/>
      <c r="AK693" s="65"/>
      <c r="AL693" s="65"/>
      <c r="AM693" s="65"/>
      <c r="AN693" s="65"/>
    </row>
    <row r="694" spans="10:40" ht="14.5" x14ac:dyDescent="0.35">
      <c r="J694" s="65"/>
      <c r="K694" s="65"/>
      <c r="L694" s="65"/>
      <c r="M694" s="65"/>
      <c r="N694" s="65"/>
      <c r="O694" s="65"/>
      <c r="P694" s="65"/>
      <c r="Q694" s="65"/>
      <c r="R694" s="65"/>
      <c r="S694" s="65"/>
      <c r="T694" s="65"/>
      <c r="U694" s="65"/>
      <c r="V694" s="65"/>
      <c r="W694" s="65"/>
      <c r="X694" s="65"/>
      <c r="Y694" s="65"/>
      <c r="Z694" s="65"/>
      <c r="AA694" s="65"/>
      <c r="AB694" s="65"/>
      <c r="AC694" s="65"/>
      <c r="AD694" s="65"/>
      <c r="AE694" s="65"/>
      <c r="AF694" s="65"/>
      <c r="AG694" s="65"/>
      <c r="AH694" s="65"/>
      <c r="AI694" s="65"/>
      <c r="AJ694" s="65"/>
      <c r="AK694" s="65"/>
      <c r="AL694" s="65"/>
      <c r="AM694" s="65"/>
      <c r="AN694" s="65"/>
    </row>
    <row r="695" spans="10:40" ht="14.5" x14ac:dyDescent="0.35">
      <c r="J695" s="65"/>
      <c r="K695" s="65"/>
      <c r="L695" s="65"/>
      <c r="M695" s="65"/>
      <c r="N695" s="65"/>
      <c r="O695" s="65"/>
      <c r="P695" s="65"/>
      <c r="Q695" s="65"/>
      <c r="R695" s="65"/>
      <c r="S695" s="65"/>
      <c r="T695" s="65"/>
      <c r="U695" s="65"/>
      <c r="V695" s="65"/>
      <c r="W695" s="65"/>
      <c r="X695" s="65"/>
      <c r="Y695" s="65"/>
      <c r="Z695" s="65"/>
      <c r="AA695" s="65"/>
      <c r="AB695" s="65"/>
      <c r="AC695" s="65"/>
      <c r="AD695" s="65"/>
      <c r="AE695" s="65"/>
      <c r="AF695" s="65"/>
      <c r="AG695" s="65"/>
      <c r="AH695" s="65"/>
      <c r="AI695" s="65"/>
      <c r="AJ695" s="65"/>
      <c r="AK695" s="65"/>
      <c r="AL695" s="65"/>
      <c r="AM695" s="65"/>
      <c r="AN695" s="65"/>
    </row>
    <row r="696" spans="10:40" ht="14.5" x14ac:dyDescent="0.35">
      <c r="J696" s="65"/>
      <c r="K696" s="65"/>
      <c r="L696" s="65"/>
      <c r="M696" s="65"/>
      <c r="N696" s="65"/>
      <c r="O696" s="65"/>
      <c r="P696" s="65"/>
      <c r="Q696" s="65"/>
      <c r="R696" s="65"/>
      <c r="S696" s="65"/>
      <c r="T696" s="65"/>
      <c r="U696" s="65"/>
      <c r="V696" s="65"/>
      <c r="W696" s="65"/>
      <c r="X696" s="65"/>
      <c r="Y696" s="65"/>
      <c r="Z696" s="65"/>
      <c r="AA696" s="65"/>
      <c r="AB696" s="65"/>
      <c r="AC696" s="65"/>
      <c r="AD696" s="65"/>
      <c r="AE696" s="65"/>
      <c r="AF696" s="65"/>
      <c r="AG696" s="65"/>
      <c r="AH696" s="65"/>
      <c r="AI696" s="65"/>
      <c r="AJ696" s="65"/>
      <c r="AK696" s="65"/>
      <c r="AL696" s="65"/>
      <c r="AM696" s="65"/>
      <c r="AN696" s="65"/>
    </row>
    <row r="697" spans="10:40" ht="14.5" x14ac:dyDescent="0.35">
      <c r="J697" s="65"/>
      <c r="K697" s="65"/>
      <c r="L697" s="65"/>
      <c r="M697" s="65"/>
      <c r="N697" s="65"/>
      <c r="O697" s="65"/>
      <c r="P697" s="65"/>
      <c r="Q697" s="65"/>
      <c r="R697" s="65"/>
      <c r="S697" s="65"/>
      <c r="T697" s="65"/>
      <c r="U697" s="65"/>
      <c r="V697" s="65"/>
      <c r="W697" s="65"/>
      <c r="X697" s="65"/>
      <c r="Y697" s="65"/>
      <c r="Z697" s="65"/>
      <c r="AA697" s="65"/>
      <c r="AB697" s="65"/>
      <c r="AC697" s="65"/>
      <c r="AD697" s="65"/>
      <c r="AE697" s="65"/>
      <c r="AF697" s="65"/>
      <c r="AG697" s="65"/>
      <c r="AH697" s="65"/>
      <c r="AI697" s="65"/>
      <c r="AJ697" s="65"/>
      <c r="AK697" s="65"/>
      <c r="AL697" s="65"/>
      <c r="AM697" s="65"/>
      <c r="AN697" s="65"/>
    </row>
    <row r="698" spans="10:40" ht="14.5" x14ac:dyDescent="0.35">
      <c r="J698" s="65"/>
      <c r="K698" s="65"/>
      <c r="L698" s="65"/>
      <c r="M698" s="65"/>
      <c r="N698" s="65"/>
      <c r="O698" s="65"/>
      <c r="P698" s="65"/>
      <c r="Q698" s="65"/>
      <c r="R698" s="65"/>
      <c r="S698" s="65"/>
      <c r="T698" s="65"/>
      <c r="U698" s="65"/>
      <c r="V698" s="65"/>
      <c r="W698" s="65"/>
      <c r="X698" s="65"/>
      <c r="Y698" s="65"/>
      <c r="Z698" s="65"/>
      <c r="AA698" s="65"/>
      <c r="AB698" s="65"/>
      <c r="AC698" s="65"/>
      <c r="AD698" s="65"/>
      <c r="AE698" s="65"/>
      <c r="AF698" s="65"/>
      <c r="AG698" s="65"/>
      <c r="AH698" s="65"/>
      <c r="AI698" s="65"/>
      <c r="AJ698" s="65"/>
      <c r="AK698" s="65"/>
      <c r="AL698" s="65"/>
      <c r="AM698" s="65"/>
      <c r="AN698" s="65"/>
    </row>
    <row r="699" spans="10:40" ht="14.5" x14ac:dyDescent="0.35">
      <c r="J699" s="65"/>
      <c r="K699" s="65"/>
      <c r="L699" s="65"/>
      <c r="M699" s="65"/>
      <c r="N699" s="65"/>
      <c r="O699" s="65"/>
      <c r="P699" s="65"/>
      <c r="Q699" s="65"/>
      <c r="R699" s="65"/>
      <c r="S699" s="65"/>
      <c r="T699" s="65"/>
      <c r="U699" s="65"/>
      <c r="V699" s="65"/>
      <c r="W699" s="65"/>
      <c r="X699" s="65"/>
      <c r="Y699" s="65"/>
      <c r="Z699" s="65"/>
      <c r="AA699" s="65"/>
      <c r="AB699" s="65"/>
      <c r="AC699" s="65"/>
      <c r="AD699" s="65"/>
      <c r="AE699" s="65"/>
      <c r="AF699" s="65"/>
      <c r="AG699" s="65"/>
      <c r="AH699" s="65"/>
      <c r="AI699" s="65"/>
      <c r="AJ699" s="65"/>
      <c r="AK699" s="65"/>
      <c r="AL699" s="65"/>
      <c r="AM699" s="65"/>
      <c r="AN699" s="65"/>
    </row>
    <row r="700" spans="10:40" ht="14.5" x14ac:dyDescent="0.35">
      <c r="J700" s="65"/>
      <c r="K700" s="65"/>
      <c r="L700" s="65"/>
      <c r="M700" s="65"/>
      <c r="N700" s="65"/>
      <c r="O700" s="65"/>
      <c r="P700" s="65"/>
      <c r="Q700" s="65"/>
      <c r="R700" s="65"/>
      <c r="S700" s="65"/>
      <c r="T700" s="65"/>
      <c r="U700" s="65"/>
      <c r="V700" s="65"/>
      <c r="W700" s="65"/>
      <c r="X700" s="65"/>
      <c r="Y700" s="65"/>
      <c r="Z700" s="65"/>
      <c r="AA700" s="65"/>
      <c r="AB700" s="65"/>
      <c r="AC700" s="65"/>
      <c r="AD700" s="65"/>
      <c r="AE700" s="65"/>
      <c r="AF700" s="65"/>
      <c r="AG700" s="65"/>
      <c r="AH700" s="65"/>
      <c r="AI700" s="65"/>
      <c r="AJ700" s="65"/>
      <c r="AK700" s="65"/>
      <c r="AL700" s="65"/>
      <c r="AM700" s="65"/>
      <c r="AN700" s="65"/>
    </row>
    <row r="701" spans="10:40" ht="14.5" x14ac:dyDescent="0.35">
      <c r="J701" s="65"/>
      <c r="K701" s="65"/>
      <c r="L701" s="65"/>
      <c r="M701" s="65"/>
      <c r="N701" s="65"/>
      <c r="O701" s="65"/>
      <c r="P701" s="65"/>
      <c r="Q701" s="65"/>
      <c r="R701" s="65"/>
      <c r="S701" s="65"/>
      <c r="T701" s="65"/>
      <c r="U701" s="65"/>
      <c r="V701" s="65"/>
      <c r="W701" s="65"/>
      <c r="X701" s="65"/>
      <c r="Y701" s="65"/>
      <c r="Z701" s="65"/>
      <c r="AA701" s="65"/>
      <c r="AB701" s="65"/>
      <c r="AC701" s="65"/>
      <c r="AD701" s="65"/>
      <c r="AE701" s="65"/>
      <c r="AF701" s="65"/>
      <c r="AG701" s="65"/>
      <c r="AH701" s="65"/>
      <c r="AI701" s="65"/>
      <c r="AJ701" s="65"/>
      <c r="AK701" s="65"/>
      <c r="AL701" s="65"/>
      <c r="AM701" s="65"/>
      <c r="AN701" s="65"/>
    </row>
    <row r="702" spans="10:40" ht="14.5" x14ac:dyDescent="0.35">
      <c r="J702" s="65"/>
      <c r="K702" s="65"/>
      <c r="L702" s="65"/>
      <c r="M702" s="65"/>
      <c r="N702" s="65"/>
      <c r="O702" s="65"/>
      <c r="P702" s="65"/>
      <c r="Q702" s="65"/>
      <c r="R702" s="65"/>
      <c r="S702" s="65"/>
      <c r="T702" s="65"/>
      <c r="U702" s="65"/>
      <c r="V702" s="65"/>
      <c r="W702" s="65"/>
      <c r="X702" s="65"/>
      <c r="Y702" s="65"/>
      <c r="Z702" s="65"/>
      <c r="AA702" s="65"/>
      <c r="AB702" s="65"/>
      <c r="AC702" s="65"/>
      <c r="AD702" s="65"/>
      <c r="AE702" s="65"/>
      <c r="AF702" s="65"/>
      <c r="AG702" s="65"/>
      <c r="AH702" s="65"/>
      <c r="AI702" s="65"/>
      <c r="AJ702" s="65"/>
      <c r="AK702" s="65"/>
      <c r="AL702" s="65"/>
      <c r="AM702" s="65"/>
      <c r="AN702" s="65"/>
    </row>
    <row r="703" spans="10:40" ht="14.5" x14ac:dyDescent="0.35">
      <c r="J703" s="65"/>
      <c r="K703" s="65"/>
      <c r="L703" s="65"/>
      <c r="M703" s="65"/>
      <c r="N703" s="65"/>
      <c r="O703" s="65"/>
      <c r="P703" s="65"/>
      <c r="Q703" s="65"/>
      <c r="R703" s="65"/>
      <c r="S703" s="65"/>
      <c r="T703" s="65"/>
      <c r="U703" s="65"/>
      <c r="V703" s="65"/>
      <c r="W703" s="65"/>
      <c r="X703" s="65"/>
      <c r="Y703" s="65"/>
      <c r="Z703" s="65"/>
      <c r="AA703" s="65"/>
      <c r="AB703" s="65"/>
      <c r="AC703" s="65"/>
      <c r="AD703" s="65"/>
      <c r="AE703" s="65"/>
      <c r="AF703" s="65"/>
      <c r="AG703" s="65"/>
      <c r="AH703" s="65"/>
      <c r="AI703" s="65"/>
      <c r="AJ703" s="65"/>
      <c r="AK703" s="65"/>
      <c r="AL703" s="65"/>
      <c r="AM703" s="65"/>
      <c r="AN703" s="65"/>
    </row>
    <row r="704" spans="10:40" ht="14.5" x14ac:dyDescent="0.35">
      <c r="J704" s="65"/>
      <c r="K704" s="65"/>
      <c r="L704" s="65"/>
      <c r="M704" s="65"/>
      <c r="N704" s="65"/>
      <c r="O704" s="65"/>
      <c r="P704" s="65"/>
      <c r="Q704" s="65"/>
      <c r="R704" s="65"/>
      <c r="S704" s="65"/>
      <c r="T704" s="65"/>
      <c r="U704" s="65"/>
      <c r="V704" s="65"/>
      <c r="W704" s="65"/>
      <c r="X704" s="65"/>
      <c r="Y704" s="65"/>
      <c r="Z704" s="65"/>
      <c r="AA704" s="65"/>
      <c r="AB704" s="65"/>
      <c r="AC704" s="65"/>
      <c r="AD704" s="65"/>
      <c r="AE704" s="65"/>
      <c r="AF704" s="65"/>
      <c r="AG704" s="65"/>
      <c r="AH704" s="65"/>
      <c r="AI704" s="65"/>
      <c r="AJ704" s="65"/>
      <c r="AK704" s="65"/>
      <c r="AL704" s="65"/>
      <c r="AM704" s="65"/>
      <c r="AN704" s="65"/>
    </row>
    <row r="705" spans="10:40" ht="14.5" x14ac:dyDescent="0.35">
      <c r="J705" s="65"/>
      <c r="K705" s="65"/>
      <c r="L705" s="65"/>
      <c r="M705" s="65"/>
      <c r="N705" s="65"/>
      <c r="O705" s="65"/>
      <c r="P705" s="65"/>
      <c r="Q705" s="65"/>
      <c r="R705" s="65"/>
      <c r="S705" s="65"/>
      <c r="T705" s="65"/>
      <c r="U705" s="65"/>
      <c r="V705" s="65"/>
      <c r="W705" s="65"/>
      <c r="X705" s="65"/>
      <c r="Y705" s="65"/>
      <c r="Z705" s="65"/>
      <c r="AA705" s="65"/>
      <c r="AB705" s="65"/>
      <c r="AC705" s="65"/>
      <c r="AD705" s="65"/>
      <c r="AE705" s="65"/>
      <c r="AF705" s="65"/>
      <c r="AG705" s="65"/>
      <c r="AH705" s="65"/>
      <c r="AI705" s="65"/>
      <c r="AJ705" s="65"/>
      <c r="AK705" s="65"/>
      <c r="AL705" s="65"/>
      <c r="AM705" s="65"/>
      <c r="AN705" s="65"/>
    </row>
    <row r="706" spans="10:40" ht="14.5" x14ac:dyDescent="0.35">
      <c r="J706" s="65"/>
      <c r="K706" s="65"/>
      <c r="L706" s="65"/>
      <c r="M706" s="65"/>
      <c r="N706" s="65"/>
      <c r="O706" s="65"/>
      <c r="P706" s="65"/>
      <c r="Q706" s="65"/>
      <c r="R706" s="65"/>
      <c r="S706" s="65"/>
      <c r="T706" s="65"/>
      <c r="U706" s="65"/>
      <c r="V706" s="65"/>
      <c r="W706" s="65"/>
      <c r="X706" s="65"/>
      <c r="Y706" s="65"/>
      <c r="Z706" s="65"/>
      <c r="AA706" s="65"/>
      <c r="AB706" s="65"/>
      <c r="AC706" s="65"/>
      <c r="AD706" s="65"/>
      <c r="AE706" s="65"/>
      <c r="AF706" s="65"/>
      <c r="AG706" s="65"/>
      <c r="AH706" s="65"/>
      <c r="AI706" s="65"/>
      <c r="AJ706" s="65"/>
      <c r="AK706" s="65"/>
      <c r="AL706" s="65"/>
      <c r="AM706" s="65"/>
      <c r="AN706" s="65"/>
    </row>
    <row r="707" spans="10:40" ht="14.5" x14ac:dyDescent="0.35">
      <c r="J707" s="65"/>
      <c r="K707" s="65"/>
      <c r="L707" s="65"/>
      <c r="M707" s="65"/>
      <c r="N707" s="65"/>
      <c r="O707" s="65"/>
      <c r="P707" s="65"/>
      <c r="Q707" s="65"/>
      <c r="R707" s="65"/>
      <c r="S707" s="65"/>
      <c r="T707" s="65"/>
      <c r="U707" s="65"/>
      <c r="V707" s="65"/>
      <c r="W707" s="65"/>
      <c r="X707" s="65"/>
      <c r="Y707" s="65"/>
      <c r="Z707" s="65"/>
      <c r="AA707" s="65"/>
      <c r="AB707" s="65"/>
      <c r="AC707" s="65"/>
      <c r="AD707" s="65"/>
      <c r="AE707" s="65"/>
      <c r="AF707" s="65"/>
      <c r="AG707" s="65"/>
      <c r="AH707" s="65"/>
      <c r="AI707" s="65"/>
      <c r="AJ707" s="65"/>
      <c r="AK707" s="65"/>
      <c r="AL707" s="65"/>
      <c r="AM707" s="65"/>
      <c r="AN707" s="65"/>
    </row>
    <row r="708" spans="10:40" ht="14.5" x14ac:dyDescent="0.35">
      <c r="J708" s="65"/>
      <c r="K708" s="65"/>
      <c r="L708" s="65"/>
      <c r="M708" s="65"/>
      <c r="N708" s="65"/>
      <c r="O708" s="65"/>
      <c r="P708" s="65"/>
      <c r="Q708" s="65"/>
      <c r="R708" s="65"/>
      <c r="S708" s="65"/>
      <c r="T708" s="65"/>
      <c r="U708" s="65"/>
      <c r="V708" s="65"/>
      <c r="W708" s="65"/>
      <c r="X708" s="65"/>
      <c r="Y708" s="65"/>
      <c r="Z708" s="65"/>
      <c r="AA708" s="65"/>
      <c r="AB708" s="65"/>
      <c r="AC708" s="65"/>
      <c r="AD708" s="65"/>
      <c r="AE708" s="65"/>
      <c r="AF708" s="65"/>
      <c r="AG708" s="65"/>
      <c r="AH708" s="65"/>
      <c r="AI708" s="65"/>
      <c r="AJ708" s="65"/>
      <c r="AK708" s="65"/>
      <c r="AL708" s="65"/>
      <c r="AM708" s="65"/>
      <c r="AN708" s="65"/>
    </row>
    <row r="709" spans="10:40" ht="14.5" x14ac:dyDescent="0.35">
      <c r="J709" s="65"/>
      <c r="K709" s="65"/>
      <c r="L709" s="65"/>
      <c r="M709" s="65"/>
      <c r="N709" s="65"/>
      <c r="O709" s="65"/>
      <c r="P709" s="65"/>
      <c r="Q709" s="65"/>
      <c r="R709" s="65"/>
      <c r="S709" s="65"/>
      <c r="T709" s="65"/>
      <c r="U709" s="65"/>
      <c r="V709" s="65"/>
      <c r="W709" s="65"/>
      <c r="X709" s="65"/>
      <c r="Y709" s="65"/>
      <c r="Z709" s="65"/>
      <c r="AA709" s="65"/>
      <c r="AB709" s="65"/>
      <c r="AC709" s="65"/>
      <c r="AD709" s="65"/>
      <c r="AE709" s="65"/>
      <c r="AF709" s="65"/>
      <c r="AG709" s="65"/>
      <c r="AH709" s="65"/>
      <c r="AI709" s="65"/>
      <c r="AJ709" s="65"/>
      <c r="AK709" s="65"/>
      <c r="AL709" s="65"/>
      <c r="AM709" s="65"/>
      <c r="AN709" s="65"/>
    </row>
    <row r="710" spans="10:40" ht="14.5" x14ac:dyDescent="0.35">
      <c r="J710" s="65"/>
      <c r="K710" s="65"/>
      <c r="L710" s="65"/>
      <c r="M710" s="65"/>
      <c r="N710" s="65"/>
      <c r="O710" s="65"/>
      <c r="P710" s="65"/>
      <c r="Q710" s="65"/>
      <c r="R710" s="65"/>
      <c r="S710" s="65"/>
      <c r="T710" s="65"/>
      <c r="U710" s="65"/>
      <c r="V710" s="65"/>
      <c r="W710" s="65"/>
      <c r="X710" s="65"/>
      <c r="Y710" s="65"/>
      <c r="Z710" s="65"/>
      <c r="AA710" s="65"/>
      <c r="AB710" s="65"/>
      <c r="AC710" s="65"/>
      <c r="AD710" s="65"/>
      <c r="AE710" s="65"/>
      <c r="AF710" s="65"/>
      <c r="AG710" s="65"/>
      <c r="AH710" s="65"/>
      <c r="AI710" s="65"/>
      <c r="AJ710" s="65"/>
      <c r="AK710" s="65"/>
      <c r="AL710" s="65"/>
      <c r="AM710" s="65"/>
      <c r="AN710" s="65"/>
    </row>
    <row r="711" spans="10:40" ht="14.5" x14ac:dyDescent="0.35">
      <c r="J711" s="65"/>
      <c r="K711" s="65"/>
      <c r="L711" s="65"/>
      <c r="M711" s="65"/>
      <c r="N711" s="65"/>
      <c r="O711" s="65"/>
      <c r="P711" s="65"/>
      <c r="Q711" s="65"/>
      <c r="R711" s="65"/>
      <c r="S711" s="65"/>
      <c r="T711" s="65"/>
      <c r="U711" s="65"/>
      <c r="V711" s="65"/>
      <c r="W711" s="65"/>
      <c r="X711" s="65"/>
      <c r="Y711" s="65"/>
      <c r="Z711" s="65"/>
      <c r="AA711" s="65"/>
      <c r="AB711" s="65"/>
      <c r="AC711" s="65"/>
      <c r="AD711" s="65"/>
      <c r="AE711" s="65"/>
      <c r="AF711" s="65"/>
      <c r="AG711" s="65"/>
      <c r="AH711" s="65"/>
      <c r="AI711" s="65"/>
      <c r="AJ711" s="65"/>
      <c r="AK711" s="65"/>
      <c r="AL711" s="65"/>
      <c r="AM711" s="65"/>
      <c r="AN711" s="65"/>
    </row>
    <row r="712" spans="10:40" ht="14.5" x14ac:dyDescent="0.35">
      <c r="J712" s="65"/>
      <c r="K712" s="65"/>
      <c r="L712" s="65"/>
      <c r="M712" s="65"/>
      <c r="N712" s="65"/>
      <c r="O712" s="65"/>
      <c r="P712" s="65"/>
      <c r="Q712" s="65"/>
      <c r="R712" s="65"/>
      <c r="S712" s="65"/>
      <c r="T712" s="65"/>
      <c r="U712" s="65"/>
      <c r="V712" s="65"/>
      <c r="W712" s="65"/>
      <c r="X712" s="65"/>
      <c r="Y712" s="65"/>
      <c r="Z712" s="65"/>
      <c r="AA712" s="65"/>
      <c r="AB712" s="65"/>
      <c r="AC712" s="65"/>
      <c r="AD712" s="65"/>
      <c r="AE712" s="65"/>
      <c r="AF712" s="65"/>
      <c r="AG712" s="65"/>
      <c r="AH712" s="65"/>
      <c r="AI712" s="65"/>
      <c r="AJ712" s="65"/>
      <c r="AK712" s="65"/>
      <c r="AL712" s="65"/>
      <c r="AM712" s="65"/>
      <c r="AN712" s="65"/>
    </row>
    <row r="713" spans="10:40" ht="14.5" x14ac:dyDescent="0.35">
      <c r="J713" s="65"/>
      <c r="K713" s="65"/>
      <c r="L713" s="65"/>
      <c r="M713" s="65"/>
      <c r="N713" s="65"/>
      <c r="O713" s="65"/>
      <c r="P713" s="65"/>
      <c r="Q713" s="65"/>
      <c r="R713" s="65"/>
      <c r="S713" s="65"/>
      <c r="T713" s="65"/>
      <c r="U713" s="65"/>
      <c r="V713" s="65"/>
      <c r="W713" s="65"/>
      <c r="X713" s="65"/>
      <c r="Y713" s="65"/>
      <c r="Z713" s="65"/>
      <c r="AA713" s="65"/>
      <c r="AB713" s="65"/>
      <c r="AC713" s="65"/>
      <c r="AD713" s="65"/>
      <c r="AE713" s="65"/>
      <c r="AF713" s="65"/>
      <c r="AG713" s="65"/>
      <c r="AH713" s="65"/>
      <c r="AI713" s="65"/>
      <c r="AJ713" s="65"/>
      <c r="AK713" s="65"/>
      <c r="AL713" s="65"/>
      <c r="AM713" s="65"/>
      <c r="AN713" s="65"/>
    </row>
    <row r="714" spans="10:40" ht="14.5" x14ac:dyDescent="0.35">
      <c r="J714" s="65"/>
      <c r="K714" s="65"/>
      <c r="L714" s="65"/>
      <c r="M714" s="65"/>
      <c r="N714" s="65"/>
      <c r="O714" s="65"/>
      <c r="P714" s="65"/>
      <c r="Q714" s="65"/>
      <c r="R714" s="65"/>
      <c r="S714" s="65"/>
      <c r="T714" s="65"/>
      <c r="U714" s="65"/>
      <c r="V714" s="65"/>
      <c r="W714" s="65"/>
      <c r="X714" s="65"/>
      <c r="Y714" s="65"/>
      <c r="Z714" s="65"/>
      <c r="AA714" s="65"/>
      <c r="AB714" s="65"/>
      <c r="AC714" s="65"/>
      <c r="AD714" s="65"/>
      <c r="AE714" s="65"/>
      <c r="AF714" s="65"/>
      <c r="AG714" s="65"/>
      <c r="AH714" s="65"/>
      <c r="AI714" s="65"/>
      <c r="AJ714" s="65"/>
      <c r="AK714" s="65"/>
      <c r="AL714" s="65"/>
      <c r="AM714" s="65"/>
      <c r="AN714" s="65"/>
    </row>
    <row r="715" spans="10:40" ht="14.5" x14ac:dyDescent="0.35">
      <c r="J715" s="65"/>
      <c r="K715" s="65"/>
      <c r="L715" s="65"/>
      <c r="M715" s="65"/>
      <c r="N715" s="65"/>
      <c r="O715" s="65"/>
      <c r="P715" s="65"/>
      <c r="Q715" s="65"/>
      <c r="R715" s="65"/>
      <c r="S715" s="65"/>
      <c r="T715" s="65"/>
      <c r="U715" s="65"/>
      <c r="V715" s="65"/>
      <c r="W715" s="65"/>
      <c r="X715" s="65"/>
      <c r="Y715" s="65"/>
      <c r="Z715" s="65"/>
      <c r="AA715" s="65"/>
      <c r="AB715" s="65"/>
      <c r="AC715" s="65"/>
      <c r="AD715" s="65"/>
      <c r="AE715" s="65"/>
      <c r="AF715" s="65"/>
      <c r="AG715" s="65"/>
      <c r="AH715" s="65"/>
      <c r="AI715" s="65"/>
      <c r="AJ715" s="65"/>
      <c r="AK715" s="65"/>
      <c r="AL715" s="65"/>
      <c r="AM715" s="65"/>
      <c r="AN715" s="65"/>
    </row>
    <row r="716" spans="10:40" ht="14.5" x14ac:dyDescent="0.35">
      <c r="J716" s="65"/>
      <c r="K716" s="65"/>
      <c r="L716" s="65"/>
      <c r="M716" s="65"/>
      <c r="N716" s="65"/>
      <c r="O716" s="65"/>
      <c r="P716" s="65"/>
      <c r="Q716" s="65"/>
      <c r="R716" s="65"/>
      <c r="S716" s="65"/>
      <c r="T716" s="65"/>
      <c r="U716" s="65"/>
      <c r="V716" s="65"/>
      <c r="W716" s="65"/>
      <c r="X716" s="65"/>
      <c r="Y716" s="65"/>
      <c r="Z716" s="65"/>
      <c r="AA716" s="65"/>
      <c r="AB716" s="65"/>
      <c r="AC716" s="65"/>
      <c r="AD716" s="65"/>
      <c r="AE716" s="65"/>
      <c r="AF716" s="65"/>
      <c r="AG716" s="65"/>
      <c r="AH716" s="65"/>
      <c r="AI716" s="65"/>
      <c r="AJ716" s="65"/>
      <c r="AK716" s="65"/>
      <c r="AL716" s="65"/>
      <c r="AM716" s="65"/>
      <c r="AN716" s="65"/>
    </row>
    <row r="717" spans="10:40" ht="14.5" x14ac:dyDescent="0.35">
      <c r="J717" s="65"/>
      <c r="K717" s="65"/>
      <c r="L717" s="65"/>
      <c r="M717" s="65"/>
      <c r="N717" s="65"/>
      <c r="O717" s="65"/>
      <c r="P717" s="65"/>
      <c r="Q717" s="65"/>
      <c r="R717" s="65"/>
      <c r="S717" s="65"/>
      <c r="T717" s="65"/>
      <c r="U717" s="65"/>
      <c r="V717" s="65"/>
      <c r="W717" s="65"/>
      <c r="X717" s="65"/>
      <c r="Y717" s="65"/>
      <c r="Z717" s="65"/>
      <c r="AA717" s="65"/>
      <c r="AB717" s="65"/>
      <c r="AC717" s="65"/>
      <c r="AD717" s="65"/>
      <c r="AE717" s="65"/>
      <c r="AF717" s="65"/>
      <c r="AG717" s="65"/>
      <c r="AH717" s="65"/>
      <c r="AI717" s="65"/>
      <c r="AJ717" s="65"/>
      <c r="AK717" s="65"/>
      <c r="AL717" s="65"/>
      <c r="AM717" s="65"/>
      <c r="AN717" s="65"/>
    </row>
    <row r="718" spans="10:40" ht="14.5" x14ac:dyDescent="0.35">
      <c r="J718" s="65"/>
      <c r="K718" s="65"/>
      <c r="L718" s="65"/>
      <c r="M718" s="65"/>
      <c r="N718" s="65"/>
      <c r="O718" s="65"/>
      <c r="P718" s="65"/>
      <c r="Q718" s="65"/>
      <c r="R718" s="65"/>
      <c r="S718" s="65"/>
      <c r="T718" s="65"/>
      <c r="U718" s="65"/>
      <c r="V718" s="65"/>
      <c r="W718" s="65"/>
      <c r="X718" s="65"/>
      <c r="Y718" s="65"/>
      <c r="Z718" s="65"/>
      <c r="AA718" s="65"/>
      <c r="AB718" s="65"/>
      <c r="AC718" s="65"/>
      <c r="AD718" s="65"/>
      <c r="AE718" s="65"/>
      <c r="AF718" s="65"/>
      <c r="AG718" s="65"/>
      <c r="AH718" s="65"/>
      <c r="AI718" s="65"/>
      <c r="AJ718" s="65"/>
      <c r="AK718" s="65"/>
      <c r="AL718" s="65"/>
      <c r="AM718" s="65"/>
      <c r="AN718" s="65"/>
    </row>
    <row r="719" spans="10:40" ht="14.5" x14ac:dyDescent="0.35">
      <c r="J719" s="65"/>
      <c r="K719" s="65"/>
      <c r="L719" s="65"/>
      <c r="M719" s="65"/>
      <c r="N719" s="65"/>
      <c r="O719" s="65"/>
      <c r="P719" s="65"/>
      <c r="Q719" s="65"/>
      <c r="R719" s="65"/>
      <c r="S719" s="65"/>
      <c r="T719" s="65"/>
      <c r="U719" s="65"/>
      <c r="V719" s="65"/>
      <c r="W719" s="65"/>
      <c r="X719" s="65"/>
      <c r="Y719" s="65"/>
      <c r="Z719" s="65"/>
      <c r="AA719" s="65"/>
      <c r="AB719" s="65"/>
      <c r="AC719" s="65"/>
      <c r="AD719" s="65"/>
      <c r="AE719" s="65"/>
      <c r="AF719" s="65"/>
      <c r="AG719" s="65"/>
      <c r="AH719" s="65"/>
      <c r="AI719" s="65"/>
      <c r="AJ719" s="65"/>
      <c r="AK719" s="65"/>
      <c r="AL719" s="65"/>
      <c r="AM719" s="65"/>
      <c r="AN719" s="65"/>
    </row>
    <row r="720" spans="10:40" ht="14.5" x14ac:dyDescent="0.35">
      <c r="J720" s="65"/>
      <c r="K720" s="65"/>
      <c r="L720" s="65"/>
      <c r="M720" s="65"/>
      <c r="N720" s="65"/>
      <c r="O720" s="65"/>
      <c r="P720" s="65"/>
      <c r="Q720" s="65"/>
      <c r="R720" s="65"/>
      <c r="S720" s="65"/>
      <c r="T720" s="65"/>
      <c r="U720" s="65"/>
      <c r="V720" s="65"/>
      <c r="W720" s="65"/>
      <c r="X720" s="65"/>
      <c r="Y720" s="65"/>
      <c r="Z720" s="65"/>
      <c r="AA720" s="65"/>
      <c r="AB720" s="65"/>
      <c r="AC720" s="65"/>
      <c r="AD720" s="65"/>
      <c r="AE720" s="65"/>
      <c r="AF720" s="65"/>
      <c r="AG720" s="65"/>
      <c r="AH720" s="65"/>
      <c r="AI720" s="65"/>
      <c r="AJ720" s="65"/>
      <c r="AK720" s="65"/>
      <c r="AL720" s="65"/>
      <c r="AM720" s="65"/>
      <c r="AN720" s="65"/>
    </row>
    <row r="721" spans="10:40" ht="14.5" x14ac:dyDescent="0.35">
      <c r="J721" s="65"/>
      <c r="K721" s="65"/>
      <c r="L721" s="65"/>
      <c r="M721" s="65"/>
      <c r="N721" s="65"/>
      <c r="O721" s="65"/>
      <c r="P721" s="65"/>
      <c r="Q721" s="65"/>
      <c r="R721" s="65"/>
      <c r="S721" s="65"/>
      <c r="T721" s="65"/>
      <c r="U721" s="65"/>
      <c r="V721" s="65"/>
      <c r="W721" s="65"/>
      <c r="X721" s="65"/>
      <c r="Y721" s="65"/>
      <c r="Z721" s="65"/>
      <c r="AA721" s="65"/>
      <c r="AB721" s="65"/>
      <c r="AC721" s="65"/>
      <c r="AD721" s="65"/>
      <c r="AE721" s="65"/>
      <c r="AF721" s="65"/>
      <c r="AG721" s="65"/>
      <c r="AH721" s="65"/>
      <c r="AI721" s="65"/>
      <c r="AJ721" s="65"/>
      <c r="AK721" s="65"/>
      <c r="AL721" s="65"/>
      <c r="AM721" s="65"/>
      <c r="AN721" s="65"/>
    </row>
    <row r="722" spans="10:40" ht="14.5" x14ac:dyDescent="0.35">
      <c r="J722" s="65"/>
      <c r="K722" s="65"/>
      <c r="L722" s="65"/>
      <c r="M722" s="65"/>
      <c r="N722" s="65"/>
      <c r="O722" s="65"/>
      <c r="P722" s="65"/>
      <c r="Q722" s="65"/>
      <c r="R722" s="65"/>
      <c r="S722" s="65"/>
      <c r="T722" s="65"/>
      <c r="U722" s="65"/>
      <c r="V722" s="65"/>
      <c r="W722" s="65"/>
      <c r="X722" s="65"/>
      <c r="Y722" s="65"/>
      <c r="Z722" s="65"/>
      <c r="AA722" s="65"/>
      <c r="AB722" s="65"/>
      <c r="AC722" s="65"/>
      <c r="AD722" s="65"/>
      <c r="AE722" s="65"/>
      <c r="AF722" s="65"/>
      <c r="AG722" s="65"/>
      <c r="AH722" s="65"/>
      <c r="AI722" s="65"/>
      <c r="AJ722" s="65"/>
      <c r="AK722" s="65"/>
      <c r="AL722" s="65"/>
      <c r="AM722" s="65"/>
      <c r="AN722" s="65"/>
    </row>
    <row r="723" spans="10:40" ht="14.5" x14ac:dyDescent="0.35">
      <c r="J723" s="65"/>
      <c r="K723" s="65"/>
      <c r="L723" s="65"/>
      <c r="M723" s="65"/>
      <c r="N723" s="65"/>
      <c r="O723" s="65"/>
      <c r="P723" s="65"/>
      <c r="Q723" s="65"/>
      <c r="R723" s="65"/>
      <c r="S723" s="65"/>
      <c r="T723" s="65"/>
      <c r="U723" s="65"/>
      <c r="V723" s="65"/>
      <c r="W723" s="65"/>
      <c r="X723" s="65"/>
      <c r="Y723" s="65"/>
      <c r="Z723" s="65"/>
      <c r="AA723" s="65"/>
      <c r="AB723" s="65"/>
      <c r="AC723" s="65"/>
      <c r="AD723" s="65"/>
      <c r="AE723" s="65"/>
      <c r="AF723" s="65"/>
      <c r="AG723" s="65"/>
      <c r="AH723" s="65"/>
      <c r="AI723" s="65"/>
      <c r="AJ723" s="65"/>
      <c r="AK723" s="65"/>
      <c r="AL723" s="65"/>
      <c r="AM723" s="65"/>
      <c r="AN723" s="65"/>
    </row>
    <row r="724" spans="10:40" ht="14.5" x14ac:dyDescent="0.35">
      <c r="J724" s="65"/>
      <c r="K724" s="65"/>
      <c r="L724" s="65"/>
      <c r="M724" s="65"/>
      <c r="N724" s="65"/>
      <c r="O724" s="65"/>
      <c r="P724" s="65"/>
      <c r="Q724" s="65"/>
      <c r="R724" s="65"/>
      <c r="S724" s="65"/>
      <c r="T724" s="65"/>
      <c r="U724" s="65"/>
      <c r="V724" s="65"/>
      <c r="W724" s="65"/>
      <c r="X724" s="65"/>
      <c r="Y724" s="65"/>
      <c r="Z724" s="65"/>
      <c r="AA724" s="65"/>
      <c r="AB724" s="65"/>
      <c r="AC724" s="65"/>
      <c r="AD724" s="65"/>
      <c r="AE724" s="65"/>
      <c r="AF724" s="65"/>
      <c r="AG724" s="65"/>
      <c r="AH724" s="65"/>
      <c r="AI724" s="65"/>
      <c r="AJ724" s="65"/>
      <c r="AK724" s="65"/>
      <c r="AL724" s="65"/>
      <c r="AM724" s="65"/>
      <c r="AN724" s="65"/>
    </row>
    <row r="725" spans="10:40" ht="14.5" x14ac:dyDescent="0.35">
      <c r="J725" s="65"/>
      <c r="K725" s="65"/>
      <c r="L725" s="65"/>
      <c r="M725" s="65"/>
      <c r="N725" s="65"/>
      <c r="O725" s="65"/>
      <c r="P725" s="65"/>
      <c r="Q725" s="65"/>
      <c r="R725" s="65"/>
      <c r="S725" s="65"/>
      <c r="T725" s="65"/>
      <c r="U725" s="65"/>
      <c r="V725" s="65"/>
      <c r="W725" s="65"/>
      <c r="X725" s="65"/>
      <c r="Y725" s="65"/>
      <c r="Z725" s="65"/>
      <c r="AA725" s="65"/>
      <c r="AB725" s="65"/>
      <c r="AC725" s="65"/>
      <c r="AD725" s="65"/>
      <c r="AE725" s="65"/>
      <c r="AF725" s="65"/>
      <c r="AG725" s="65"/>
      <c r="AH725" s="65"/>
      <c r="AI725" s="65"/>
      <c r="AJ725" s="65"/>
      <c r="AK725" s="65"/>
      <c r="AL725" s="65"/>
      <c r="AM725" s="65"/>
      <c r="AN725" s="65"/>
    </row>
    <row r="726" spans="10:40" ht="14.5" x14ac:dyDescent="0.35">
      <c r="J726" s="65"/>
      <c r="K726" s="65"/>
      <c r="L726" s="65"/>
      <c r="M726" s="65"/>
      <c r="N726" s="65"/>
      <c r="O726" s="65"/>
      <c r="P726" s="65"/>
      <c r="Q726" s="65"/>
      <c r="R726" s="65"/>
      <c r="S726" s="65"/>
      <c r="T726" s="65"/>
      <c r="U726" s="65"/>
      <c r="V726" s="65"/>
      <c r="W726" s="65"/>
      <c r="X726" s="65"/>
      <c r="Y726" s="65"/>
      <c r="Z726" s="65"/>
      <c r="AA726" s="65"/>
      <c r="AB726" s="65"/>
      <c r="AC726" s="65"/>
      <c r="AD726" s="65"/>
      <c r="AE726" s="65"/>
      <c r="AF726" s="65"/>
      <c r="AG726" s="65"/>
      <c r="AH726" s="65"/>
      <c r="AI726" s="65"/>
      <c r="AJ726" s="65"/>
      <c r="AK726" s="65"/>
      <c r="AL726" s="65"/>
      <c r="AM726" s="65"/>
      <c r="AN726" s="65"/>
    </row>
    <row r="727" spans="10:40" ht="14.5" x14ac:dyDescent="0.35">
      <c r="J727" s="65"/>
      <c r="K727" s="65"/>
      <c r="L727" s="65"/>
      <c r="M727" s="65"/>
      <c r="N727" s="65"/>
      <c r="O727" s="65"/>
      <c r="P727" s="65"/>
      <c r="Q727" s="65"/>
      <c r="R727" s="65"/>
      <c r="S727" s="65"/>
      <c r="T727" s="65"/>
      <c r="U727" s="65"/>
      <c r="V727" s="65"/>
      <c r="W727" s="65"/>
      <c r="X727" s="65"/>
      <c r="Y727" s="65"/>
      <c r="Z727" s="65"/>
      <c r="AA727" s="65"/>
      <c r="AB727" s="65"/>
      <c r="AC727" s="65"/>
      <c r="AD727" s="65"/>
      <c r="AE727" s="65"/>
      <c r="AF727" s="65"/>
      <c r="AG727" s="65"/>
      <c r="AH727" s="65"/>
      <c r="AI727" s="65"/>
      <c r="AJ727" s="65"/>
      <c r="AK727" s="65"/>
      <c r="AL727" s="65"/>
      <c r="AM727" s="65"/>
      <c r="AN727" s="65"/>
    </row>
    <row r="728" spans="10:40" ht="14.5" x14ac:dyDescent="0.35">
      <c r="J728" s="65"/>
      <c r="K728" s="65"/>
      <c r="L728" s="65"/>
      <c r="M728" s="65"/>
      <c r="N728" s="65"/>
      <c r="O728" s="65"/>
      <c r="P728" s="65"/>
      <c r="Q728" s="65"/>
      <c r="R728" s="65"/>
      <c r="S728" s="65"/>
      <c r="T728" s="65"/>
      <c r="U728" s="65"/>
      <c r="V728" s="65"/>
      <c r="W728" s="65"/>
      <c r="X728" s="65"/>
      <c r="Y728" s="65"/>
      <c r="Z728" s="65"/>
      <c r="AA728" s="65"/>
      <c r="AB728" s="65"/>
      <c r="AC728" s="65"/>
      <c r="AD728" s="65"/>
      <c r="AE728" s="65"/>
      <c r="AF728" s="65"/>
      <c r="AG728" s="65"/>
      <c r="AH728" s="65"/>
      <c r="AI728" s="65"/>
      <c r="AJ728" s="65"/>
      <c r="AK728" s="65"/>
      <c r="AL728" s="65"/>
      <c r="AM728" s="65"/>
      <c r="AN728" s="65"/>
    </row>
    <row r="729" spans="10:40" ht="14.5" x14ac:dyDescent="0.35">
      <c r="J729" s="65"/>
      <c r="K729" s="65"/>
      <c r="L729" s="65"/>
      <c r="M729" s="65"/>
      <c r="N729" s="65"/>
      <c r="O729" s="65"/>
      <c r="P729" s="65"/>
      <c r="Q729" s="65"/>
      <c r="R729" s="65"/>
      <c r="S729" s="65"/>
      <c r="T729" s="65"/>
      <c r="U729" s="65"/>
      <c r="V729" s="65"/>
      <c r="W729" s="65"/>
      <c r="X729" s="65"/>
      <c r="Y729" s="65"/>
      <c r="Z729" s="65"/>
      <c r="AA729" s="65"/>
      <c r="AB729" s="65"/>
      <c r="AC729" s="65"/>
      <c r="AD729" s="65"/>
      <c r="AE729" s="65"/>
      <c r="AF729" s="65"/>
      <c r="AG729" s="65"/>
      <c r="AH729" s="65"/>
      <c r="AI729" s="65"/>
      <c r="AJ729" s="65"/>
      <c r="AK729" s="65"/>
      <c r="AL729" s="65"/>
      <c r="AM729" s="65"/>
      <c r="AN729" s="65"/>
    </row>
    <row r="730" spans="10:40" ht="14.5" x14ac:dyDescent="0.35">
      <c r="J730" s="65"/>
      <c r="K730" s="65"/>
      <c r="L730" s="65"/>
      <c r="M730" s="65"/>
      <c r="N730" s="65"/>
      <c r="O730" s="65"/>
      <c r="P730" s="65"/>
      <c r="Q730" s="65"/>
      <c r="R730" s="65"/>
      <c r="S730" s="65"/>
      <c r="T730" s="65"/>
      <c r="U730" s="65"/>
      <c r="V730" s="65"/>
      <c r="W730" s="65"/>
      <c r="X730" s="65"/>
      <c r="Y730" s="65"/>
      <c r="Z730" s="65"/>
      <c r="AA730" s="65"/>
      <c r="AB730" s="65"/>
      <c r="AC730" s="65"/>
      <c r="AD730" s="65"/>
      <c r="AE730" s="65"/>
      <c r="AF730" s="65"/>
      <c r="AG730" s="65"/>
      <c r="AH730" s="65"/>
      <c r="AI730" s="65"/>
      <c r="AJ730" s="65"/>
      <c r="AK730" s="65"/>
      <c r="AL730" s="65"/>
      <c r="AM730" s="65"/>
      <c r="AN730" s="65"/>
    </row>
    <row r="731" spans="10:40" ht="14.5" x14ac:dyDescent="0.35">
      <c r="J731" s="65"/>
      <c r="K731" s="65"/>
      <c r="L731" s="65"/>
      <c r="M731" s="65"/>
      <c r="N731" s="65"/>
      <c r="O731" s="65"/>
      <c r="P731" s="65"/>
      <c r="Q731" s="65"/>
      <c r="R731" s="65"/>
      <c r="S731" s="65"/>
      <c r="T731" s="65"/>
      <c r="U731" s="65"/>
      <c r="V731" s="65"/>
      <c r="W731" s="65"/>
      <c r="X731" s="65"/>
      <c r="Y731" s="65"/>
      <c r="Z731" s="65"/>
      <c r="AA731" s="65"/>
      <c r="AB731" s="65"/>
      <c r="AC731" s="65"/>
      <c r="AD731" s="65"/>
      <c r="AE731" s="65"/>
      <c r="AF731" s="65"/>
      <c r="AG731" s="65"/>
      <c r="AH731" s="65"/>
      <c r="AI731" s="65"/>
      <c r="AJ731" s="65"/>
      <c r="AK731" s="65"/>
      <c r="AL731" s="65"/>
      <c r="AM731" s="65"/>
      <c r="AN731" s="65"/>
    </row>
    <row r="732" spans="10:40" ht="14.5" x14ac:dyDescent="0.35">
      <c r="J732" s="65"/>
      <c r="K732" s="65"/>
      <c r="L732" s="65"/>
      <c r="M732" s="65"/>
      <c r="N732" s="65"/>
      <c r="O732" s="65"/>
      <c r="P732" s="65"/>
      <c r="Q732" s="65"/>
      <c r="R732" s="65"/>
      <c r="S732" s="65"/>
      <c r="T732" s="65"/>
      <c r="U732" s="65"/>
      <c r="V732" s="65"/>
      <c r="W732" s="65"/>
      <c r="X732" s="65"/>
      <c r="Y732" s="65"/>
      <c r="Z732" s="65"/>
      <c r="AA732" s="65"/>
      <c r="AB732" s="65"/>
      <c r="AC732" s="65"/>
      <c r="AD732" s="65"/>
      <c r="AE732" s="65"/>
      <c r="AF732" s="65"/>
      <c r="AG732" s="65"/>
      <c r="AH732" s="65"/>
      <c r="AI732" s="65"/>
      <c r="AJ732" s="65"/>
      <c r="AK732" s="65"/>
      <c r="AL732" s="65"/>
      <c r="AM732" s="65"/>
      <c r="AN732" s="65"/>
    </row>
    <row r="733" spans="10:40" ht="14.5" x14ac:dyDescent="0.35">
      <c r="J733" s="65"/>
      <c r="K733" s="65"/>
      <c r="L733" s="65"/>
      <c r="M733" s="65"/>
      <c r="N733" s="65"/>
      <c r="O733" s="65"/>
      <c r="P733" s="65"/>
      <c r="Q733" s="65"/>
      <c r="R733" s="65"/>
      <c r="S733" s="65"/>
      <c r="T733" s="65"/>
      <c r="U733" s="65"/>
      <c r="V733" s="65"/>
      <c r="W733" s="65"/>
      <c r="X733" s="65"/>
      <c r="Y733" s="65"/>
      <c r="Z733" s="65"/>
      <c r="AA733" s="65"/>
      <c r="AB733" s="65"/>
      <c r="AC733" s="65"/>
      <c r="AD733" s="65"/>
      <c r="AE733" s="65"/>
      <c r="AF733" s="65"/>
      <c r="AG733" s="65"/>
      <c r="AH733" s="65"/>
      <c r="AI733" s="65"/>
      <c r="AJ733" s="65"/>
      <c r="AK733" s="65"/>
      <c r="AL733" s="65"/>
      <c r="AM733" s="65"/>
      <c r="AN733" s="65"/>
    </row>
    <row r="734" spans="10:40" ht="14.5" x14ac:dyDescent="0.35">
      <c r="J734" s="65"/>
      <c r="K734" s="65"/>
      <c r="L734" s="65"/>
      <c r="M734" s="65"/>
      <c r="N734" s="65"/>
      <c r="O734" s="65"/>
      <c r="P734" s="65"/>
      <c r="Q734" s="65"/>
      <c r="R734" s="65"/>
      <c r="S734" s="65"/>
      <c r="T734" s="65"/>
      <c r="U734" s="65"/>
      <c r="V734" s="65"/>
      <c r="W734" s="65"/>
      <c r="X734" s="65"/>
      <c r="Y734" s="65"/>
      <c r="Z734" s="65"/>
      <c r="AA734" s="65"/>
      <c r="AB734" s="65"/>
      <c r="AC734" s="65"/>
      <c r="AD734" s="65"/>
      <c r="AE734" s="65"/>
      <c r="AF734" s="65"/>
      <c r="AG734" s="65"/>
      <c r="AH734" s="65"/>
      <c r="AI734" s="65"/>
      <c r="AJ734" s="65"/>
      <c r="AK734" s="65"/>
      <c r="AL734" s="65"/>
      <c r="AM734" s="65"/>
      <c r="AN734" s="65"/>
    </row>
    <row r="735" spans="10:40" ht="14.5" x14ac:dyDescent="0.35">
      <c r="J735" s="65"/>
      <c r="K735" s="65"/>
      <c r="L735" s="65"/>
      <c r="M735" s="65"/>
      <c r="N735" s="65"/>
      <c r="O735" s="65"/>
      <c r="P735" s="65"/>
      <c r="Q735" s="65"/>
      <c r="R735" s="65"/>
      <c r="S735" s="65"/>
      <c r="T735" s="65"/>
      <c r="U735" s="65"/>
      <c r="V735" s="65"/>
      <c r="W735" s="65"/>
      <c r="X735" s="65"/>
      <c r="Y735" s="65"/>
      <c r="Z735" s="65"/>
      <c r="AA735" s="65"/>
      <c r="AB735" s="65"/>
      <c r="AC735" s="65"/>
      <c r="AD735" s="65"/>
      <c r="AE735" s="65"/>
      <c r="AF735" s="65"/>
      <c r="AG735" s="65"/>
      <c r="AH735" s="65"/>
      <c r="AI735" s="65"/>
      <c r="AJ735" s="65"/>
      <c r="AK735" s="65"/>
      <c r="AL735" s="65"/>
      <c r="AM735" s="65"/>
      <c r="AN735" s="65"/>
    </row>
    <row r="736" spans="10:40" ht="14.5" x14ac:dyDescent="0.35">
      <c r="J736" s="65"/>
      <c r="K736" s="65"/>
      <c r="L736" s="65"/>
      <c r="M736" s="65"/>
      <c r="N736" s="65"/>
      <c r="O736" s="65"/>
      <c r="P736" s="65"/>
      <c r="Q736" s="65"/>
      <c r="R736" s="65"/>
      <c r="S736" s="65"/>
      <c r="T736" s="65"/>
      <c r="U736" s="65"/>
      <c r="V736" s="65"/>
      <c r="W736" s="65"/>
      <c r="X736" s="65"/>
      <c r="Y736" s="65"/>
      <c r="Z736" s="65"/>
      <c r="AA736" s="65"/>
      <c r="AB736" s="65"/>
      <c r="AC736" s="65"/>
      <c r="AD736" s="65"/>
      <c r="AE736" s="65"/>
      <c r="AF736" s="65"/>
      <c r="AG736" s="65"/>
      <c r="AH736" s="65"/>
      <c r="AI736" s="65"/>
      <c r="AJ736" s="65"/>
      <c r="AK736" s="65"/>
      <c r="AL736" s="65"/>
      <c r="AM736" s="65"/>
      <c r="AN736" s="65"/>
    </row>
    <row r="737" spans="10:40" ht="14.5" x14ac:dyDescent="0.35">
      <c r="J737" s="65"/>
      <c r="K737" s="65"/>
      <c r="L737" s="65"/>
      <c r="M737" s="65"/>
      <c r="N737" s="65"/>
      <c r="O737" s="65"/>
      <c r="P737" s="65"/>
      <c r="Q737" s="65"/>
      <c r="R737" s="65"/>
      <c r="S737" s="65"/>
      <c r="T737" s="65"/>
      <c r="U737" s="65"/>
      <c r="V737" s="65"/>
      <c r="W737" s="65"/>
      <c r="X737" s="65"/>
      <c r="Y737" s="65"/>
      <c r="Z737" s="65"/>
      <c r="AA737" s="65"/>
      <c r="AB737" s="65"/>
      <c r="AC737" s="65"/>
      <c r="AD737" s="65"/>
      <c r="AE737" s="65"/>
      <c r="AF737" s="65"/>
      <c r="AG737" s="65"/>
      <c r="AH737" s="65"/>
      <c r="AI737" s="65"/>
      <c r="AJ737" s="65"/>
      <c r="AK737" s="65"/>
      <c r="AL737" s="65"/>
      <c r="AM737" s="65"/>
      <c r="AN737" s="65"/>
    </row>
    <row r="738" spans="10:40" ht="14.5" x14ac:dyDescent="0.35">
      <c r="J738" s="65"/>
      <c r="K738" s="65"/>
      <c r="L738" s="65"/>
      <c r="M738" s="65"/>
      <c r="N738" s="65"/>
      <c r="O738" s="65"/>
      <c r="P738" s="65"/>
      <c r="Q738" s="65"/>
      <c r="R738" s="65"/>
      <c r="S738" s="65"/>
      <c r="T738" s="65"/>
      <c r="U738" s="65"/>
      <c r="V738" s="65"/>
      <c r="W738" s="65"/>
      <c r="X738" s="65"/>
      <c r="Y738" s="65"/>
      <c r="Z738" s="65"/>
      <c r="AA738" s="65"/>
      <c r="AB738" s="65"/>
      <c r="AC738" s="65"/>
      <c r="AD738" s="65"/>
      <c r="AE738" s="65"/>
      <c r="AF738" s="65"/>
      <c r="AG738" s="65"/>
      <c r="AH738" s="65"/>
      <c r="AI738" s="65"/>
      <c r="AJ738" s="65"/>
      <c r="AK738" s="65"/>
      <c r="AL738" s="65"/>
      <c r="AM738" s="65"/>
      <c r="AN738" s="65"/>
    </row>
    <row r="739" spans="10:40" ht="14.5" x14ac:dyDescent="0.35">
      <c r="J739" s="65"/>
      <c r="K739" s="65"/>
      <c r="L739" s="65"/>
      <c r="M739" s="65"/>
      <c r="N739" s="65"/>
      <c r="O739" s="65"/>
      <c r="P739" s="65"/>
      <c r="Q739" s="65"/>
      <c r="R739" s="65"/>
      <c r="S739" s="65"/>
      <c r="T739" s="65"/>
      <c r="U739" s="65"/>
      <c r="V739" s="65"/>
      <c r="W739" s="65"/>
      <c r="X739" s="65"/>
      <c r="Y739" s="65"/>
      <c r="Z739" s="65"/>
      <c r="AA739" s="65"/>
      <c r="AB739" s="65"/>
      <c r="AC739" s="65"/>
      <c r="AD739" s="65"/>
      <c r="AE739" s="65"/>
      <c r="AF739" s="65"/>
      <c r="AG739" s="65"/>
      <c r="AH739" s="65"/>
      <c r="AI739" s="65"/>
      <c r="AJ739" s="65"/>
      <c r="AK739" s="65"/>
      <c r="AL739" s="65"/>
      <c r="AM739" s="65"/>
      <c r="AN739" s="65"/>
    </row>
    <row r="740" spans="10:40" ht="14.5" x14ac:dyDescent="0.35">
      <c r="J740" s="65"/>
      <c r="K740" s="65"/>
      <c r="L740" s="65"/>
      <c r="M740" s="65"/>
      <c r="N740" s="65"/>
      <c r="O740" s="65"/>
      <c r="P740" s="65"/>
      <c r="Q740" s="65"/>
      <c r="R740" s="65"/>
      <c r="S740" s="65"/>
      <c r="T740" s="65"/>
      <c r="U740" s="65"/>
      <c r="V740" s="65"/>
      <c r="W740" s="65"/>
      <c r="X740" s="65"/>
      <c r="Y740" s="65"/>
      <c r="Z740" s="65"/>
      <c r="AA740" s="65"/>
      <c r="AB740" s="65"/>
      <c r="AC740" s="65"/>
      <c r="AD740" s="65"/>
      <c r="AE740" s="65"/>
      <c r="AF740" s="65"/>
      <c r="AG740" s="65"/>
      <c r="AH740" s="65"/>
      <c r="AI740" s="65"/>
      <c r="AJ740" s="65"/>
      <c r="AK740" s="65"/>
      <c r="AL740" s="65"/>
      <c r="AM740" s="65"/>
      <c r="AN740" s="65"/>
    </row>
    <row r="741" spans="10:40" ht="14.5" x14ac:dyDescent="0.35">
      <c r="J741" s="65"/>
      <c r="K741" s="65"/>
      <c r="L741" s="65"/>
      <c r="M741" s="65"/>
      <c r="N741" s="65"/>
      <c r="O741" s="65"/>
      <c r="P741" s="65"/>
      <c r="Q741" s="65"/>
      <c r="R741" s="65"/>
      <c r="S741" s="65"/>
      <c r="T741" s="65"/>
      <c r="U741" s="65"/>
      <c r="V741" s="65"/>
      <c r="W741" s="65"/>
      <c r="X741" s="65"/>
      <c r="Y741" s="65"/>
      <c r="Z741" s="65"/>
      <c r="AA741" s="65"/>
      <c r="AB741" s="65"/>
      <c r="AC741" s="65"/>
      <c r="AD741" s="65"/>
      <c r="AE741" s="65"/>
      <c r="AF741" s="65"/>
      <c r="AG741" s="65"/>
      <c r="AH741" s="65"/>
      <c r="AI741" s="65"/>
      <c r="AJ741" s="65"/>
      <c r="AK741" s="65"/>
      <c r="AL741" s="65"/>
      <c r="AM741" s="65"/>
      <c r="AN741" s="65"/>
    </row>
    <row r="742" spans="10:40" ht="14.5" x14ac:dyDescent="0.35">
      <c r="J742" s="65"/>
      <c r="K742" s="65"/>
      <c r="L742" s="65"/>
      <c r="M742" s="65"/>
      <c r="N742" s="65"/>
      <c r="O742" s="65"/>
      <c r="P742" s="65"/>
      <c r="Q742" s="65"/>
      <c r="R742" s="65"/>
      <c r="S742" s="65"/>
      <c r="T742" s="65"/>
      <c r="U742" s="65"/>
      <c r="V742" s="65"/>
      <c r="W742" s="65"/>
      <c r="X742" s="65"/>
      <c r="Y742" s="65"/>
      <c r="Z742" s="65"/>
      <c r="AA742" s="65"/>
      <c r="AB742" s="65"/>
      <c r="AC742" s="65"/>
      <c r="AD742" s="65"/>
      <c r="AE742" s="65"/>
      <c r="AF742" s="65"/>
      <c r="AG742" s="65"/>
      <c r="AH742" s="65"/>
      <c r="AI742" s="65"/>
      <c r="AJ742" s="65"/>
      <c r="AK742" s="65"/>
      <c r="AL742" s="65"/>
      <c r="AM742" s="65"/>
      <c r="AN742" s="65"/>
    </row>
    <row r="743" spans="10:40" ht="14.5" x14ac:dyDescent="0.35">
      <c r="J743" s="65"/>
      <c r="K743" s="65"/>
      <c r="L743" s="65"/>
      <c r="M743" s="65"/>
      <c r="N743" s="65"/>
      <c r="O743" s="65"/>
      <c r="P743" s="65"/>
      <c r="Q743" s="65"/>
      <c r="R743" s="65"/>
      <c r="S743" s="65"/>
      <c r="T743" s="65"/>
      <c r="U743" s="65"/>
      <c r="V743" s="65"/>
      <c r="W743" s="65"/>
      <c r="X743" s="65"/>
      <c r="Y743" s="65"/>
      <c r="Z743" s="65"/>
      <c r="AA743" s="65"/>
      <c r="AB743" s="65"/>
      <c r="AC743" s="65"/>
      <c r="AD743" s="65"/>
      <c r="AE743" s="65"/>
      <c r="AF743" s="65"/>
      <c r="AG743" s="65"/>
      <c r="AH743" s="65"/>
      <c r="AI743" s="65"/>
      <c r="AJ743" s="65"/>
      <c r="AK743" s="65"/>
      <c r="AL743" s="65"/>
      <c r="AM743" s="65"/>
      <c r="AN743" s="65"/>
    </row>
    <row r="744" spans="10:40" ht="14.5" x14ac:dyDescent="0.35">
      <c r="J744" s="65"/>
      <c r="K744" s="65"/>
      <c r="L744" s="65"/>
      <c r="M744" s="65"/>
      <c r="N744" s="65"/>
      <c r="O744" s="65"/>
      <c r="P744" s="65"/>
      <c r="Q744" s="65"/>
      <c r="R744" s="65"/>
      <c r="S744" s="65"/>
      <c r="T744" s="65"/>
      <c r="U744" s="65"/>
      <c r="V744" s="65"/>
      <c r="W744" s="65"/>
      <c r="X744" s="65"/>
      <c r="Y744" s="65"/>
      <c r="Z744" s="65"/>
      <c r="AA744" s="65"/>
      <c r="AB744" s="65"/>
      <c r="AC744" s="65"/>
      <c r="AD744" s="65"/>
      <c r="AE744" s="65"/>
      <c r="AF744" s="65"/>
      <c r="AG744" s="65"/>
      <c r="AH744" s="65"/>
      <c r="AI744" s="65"/>
      <c r="AJ744" s="65"/>
      <c r="AK744" s="65"/>
      <c r="AL744" s="65"/>
      <c r="AM744" s="65"/>
      <c r="AN744" s="65"/>
    </row>
    <row r="745" spans="10:40" ht="14.5" x14ac:dyDescent="0.35">
      <c r="J745" s="65"/>
      <c r="K745" s="65"/>
      <c r="L745" s="65"/>
      <c r="M745" s="65"/>
      <c r="N745" s="65"/>
      <c r="O745" s="65"/>
      <c r="P745" s="65"/>
      <c r="Q745" s="65"/>
      <c r="R745" s="65"/>
      <c r="S745" s="65"/>
      <c r="T745" s="65"/>
      <c r="U745" s="65"/>
      <c r="V745" s="65"/>
      <c r="W745" s="65"/>
      <c r="X745" s="65"/>
      <c r="Y745" s="65"/>
      <c r="Z745" s="65"/>
      <c r="AA745" s="65"/>
      <c r="AB745" s="65"/>
      <c r="AC745" s="65"/>
      <c r="AD745" s="65"/>
      <c r="AE745" s="65"/>
      <c r="AF745" s="65"/>
      <c r="AG745" s="65"/>
      <c r="AH745" s="65"/>
      <c r="AI745" s="65"/>
      <c r="AJ745" s="65"/>
      <c r="AK745" s="65"/>
      <c r="AL745" s="65"/>
      <c r="AM745" s="65"/>
      <c r="AN745" s="65"/>
    </row>
    <row r="746" spans="10:40" ht="14.5" x14ac:dyDescent="0.35">
      <c r="J746" s="65"/>
      <c r="K746" s="65"/>
      <c r="L746" s="65"/>
      <c r="M746" s="65"/>
      <c r="N746" s="65"/>
      <c r="O746" s="65"/>
      <c r="P746" s="65"/>
      <c r="Q746" s="65"/>
      <c r="R746" s="65"/>
      <c r="S746" s="65"/>
      <c r="T746" s="65"/>
      <c r="U746" s="65"/>
      <c r="V746" s="65"/>
      <c r="W746" s="65"/>
      <c r="X746" s="65"/>
      <c r="Y746" s="65"/>
      <c r="Z746" s="65"/>
      <c r="AA746" s="65"/>
      <c r="AB746" s="65"/>
      <c r="AC746" s="65"/>
      <c r="AD746" s="65"/>
      <c r="AE746" s="65"/>
      <c r="AF746" s="65"/>
      <c r="AG746" s="65"/>
      <c r="AH746" s="65"/>
      <c r="AI746" s="65"/>
      <c r="AJ746" s="65"/>
      <c r="AK746" s="65"/>
      <c r="AL746" s="65"/>
      <c r="AM746" s="65"/>
      <c r="AN746" s="65"/>
    </row>
    <row r="747" spans="10:40" ht="14.5" x14ac:dyDescent="0.35">
      <c r="J747" s="65"/>
      <c r="K747" s="65"/>
      <c r="L747" s="65"/>
      <c r="M747" s="65"/>
      <c r="N747" s="65"/>
      <c r="O747" s="65"/>
      <c r="P747" s="65"/>
      <c r="Q747" s="65"/>
      <c r="R747" s="65"/>
      <c r="S747" s="65"/>
      <c r="T747" s="65"/>
      <c r="U747" s="65"/>
      <c r="V747" s="65"/>
      <c r="W747" s="65"/>
      <c r="X747" s="65"/>
      <c r="Y747" s="65"/>
      <c r="Z747" s="65"/>
      <c r="AA747" s="65"/>
      <c r="AB747" s="65"/>
      <c r="AC747" s="65"/>
      <c r="AD747" s="65"/>
      <c r="AE747" s="65"/>
      <c r="AF747" s="65"/>
      <c r="AG747" s="65"/>
      <c r="AH747" s="65"/>
      <c r="AI747" s="65"/>
      <c r="AJ747" s="65"/>
      <c r="AK747" s="65"/>
      <c r="AL747" s="65"/>
      <c r="AM747" s="65"/>
      <c r="AN747" s="65"/>
    </row>
    <row r="748" spans="10:40" ht="14.5" x14ac:dyDescent="0.35">
      <c r="J748" s="65"/>
      <c r="K748" s="65"/>
      <c r="L748" s="65"/>
      <c r="M748" s="65"/>
      <c r="N748" s="65"/>
      <c r="O748" s="65"/>
      <c r="P748" s="65"/>
      <c r="Q748" s="65"/>
      <c r="R748" s="65"/>
      <c r="S748" s="65"/>
      <c r="T748" s="65"/>
      <c r="U748" s="65"/>
      <c r="V748" s="65"/>
      <c r="W748" s="65"/>
      <c r="X748" s="65"/>
      <c r="Y748" s="65"/>
      <c r="Z748" s="65"/>
      <c r="AA748" s="65"/>
      <c r="AB748" s="65"/>
      <c r="AC748" s="65"/>
      <c r="AD748" s="65"/>
      <c r="AE748" s="65"/>
      <c r="AF748" s="65"/>
      <c r="AG748" s="65"/>
      <c r="AH748" s="65"/>
      <c r="AI748" s="65"/>
      <c r="AJ748" s="65"/>
      <c r="AK748" s="65"/>
      <c r="AL748" s="65"/>
      <c r="AM748" s="65"/>
      <c r="AN748" s="65"/>
    </row>
    <row r="749" spans="10:40" ht="14.5" x14ac:dyDescent="0.35">
      <c r="J749" s="65"/>
      <c r="K749" s="65"/>
      <c r="L749" s="65"/>
      <c r="M749" s="65"/>
      <c r="N749" s="65"/>
      <c r="O749" s="65"/>
      <c r="P749" s="65"/>
      <c r="Q749" s="65"/>
      <c r="R749" s="65"/>
      <c r="S749" s="65"/>
      <c r="T749" s="65"/>
      <c r="U749" s="65"/>
      <c r="V749" s="65"/>
      <c r="W749" s="65"/>
      <c r="X749" s="65"/>
      <c r="Y749" s="65"/>
      <c r="Z749" s="65"/>
      <c r="AA749" s="65"/>
      <c r="AB749" s="65"/>
      <c r="AC749" s="65"/>
      <c r="AD749" s="65"/>
      <c r="AE749" s="65"/>
      <c r="AF749" s="65"/>
      <c r="AG749" s="65"/>
      <c r="AH749" s="65"/>
      <c r="AI749" s="65"/>
      <c r="AJ749" s="65"/>
      <c r="AK749" s="65"/>
      <c r="AL749" s="65"/>
      <c r="AM749" s="65"/>
      <c r="AN749" s="65"/>
    </row>
    <row r="750" spans="10:40" ht="14.5" x14ac:dyDescent="0.35">
      <c r="J750" s="65"/>
      <c r="K750" s="65"/>
      <c r="L750" s="65"/>
      <c r="M750" s="65"/>
      <c r="N750" s="65"/>
      <c r="O750" s="65"/>
      <c r="P750" s="65"/>
      <c r="Q750" s="65"/>
      <c r="R750" s="65"/>
      <c r="S750" s="65"/>
      <c r="T750" s="65"/>
      <c r="U750" s="65"/>
      <c r="V750" s="65"/>
      <c r="W750" s="65"/>
      <c r="X750" s="65"/>
      <c r="Y750" s="65"/>
      <c r="Z750" s="65"/>
      <c r="AA750" s="65"/>
      <c r="AB750" s="65"/>
      <c r="AC750" s="65"/>
      <c r="AD750" s="65"/>
      <c r="AE750" s="65"/>
      <c r="AF750" s="65"/>
      <c r="AG750" s="65"/>
      <c r="AH750" s="65"/>
      <c r="AI750" s="65"/>
      <c r="AJ750" s="65"/>
      <c r="AK750" s="65"/>
      <c r="AL750" s="65"/>
      <c r="AM750" s="65"/>
      <c r="AN750" s="65"/>
    </row>
    <row r="751" spans="10:40" ht="14.5" x14ac:dyDescent="0.35">
      <c r="J751" s="65"/>
      <c r="K751" s="65"/>
      <c r="L751" s="65"/>
      <c r="M751" s="65"/>
      <c r="N751" s="65"/>
      <c r="O751" s="65"/>
      <c r="P751" s="65"/>
      <c r="Q751" s="65"/>
      <c r="R751" s="65"/>
      <c r="S751" s="65"/>
      <c r="T751" s="65"/>
      <c r="U751" s="65"/>
      <c r="V751" s="65"/>
      <c r="W751" s="65"/>
      <c r="X751" s="65"/>
      <c r="Y751" s="65"/>
      <c r="Z751" s="65"/>
      <c r="AA751" s="65"/>
      <c r="AB751" s="65"/>
      <c r="AC751" s="65"/>
      <c r="AD751" s="65"/>
      <c r="AE751" s="65"/>
      <c r="AF751" s="65"/>
      <c r="AG751" s="65"/>
      <c r="AH751" s="65"/>
      <c r="AI751" s="65"/>
      <c r="AJ751" s="65"/>
      <c r="AK751" s="65"/>
      <c r="AL751" s="65"/>
      <c r="AM751" s="65"/>
      <c r="AN751" s="65"/>
    </row>
    <row r="752" spans="10:40" ht="14.5" x14ac:dyDescent="0.35">
      <c r="J752" s="65"/>
      <c r="K752" s="65"/>
      <c r="L752" s="65"/>
      <c r="M752" s="65"/>
      <c r="N752" s="65"/>
      <c r="O752" s="65"/>
      <c r="P752" s="65"/>
      <c r="Q752" s="65"/>
      <c r="R752" s="65"/>
      <c r="S752" s="65"/>
      <c r="T752" s="65"/>
      <c r="U752" s="65"/>
      <c r="V752" s="65"/>
      <c r="W752" s="65"/>
      <c r="X752" s="65"/>
      <c r="Y752" s="65"/>
      <c r="Z752" s="65"/>
      <c r="AA752" s="65"/>
      <c r="AB752" s="65"/>
      <c r="AC752" s="65"/>
      <c r="AD752" s="65"/>
      <c r="AE752" s="65"/>
      <c r="AF752" s="65"/>
      <c r="AG752" s="65"/>
      <c r="AH752" s="65"/>
      <c r="AI752" s="65"/>
      <c r="AJ752" s="65"/>
      <c r="AK752" s="65"/>
      <c r="AL752" s="65"/>
      <c r="AM752" s="65"/>
      <c r="AN752" s="65"/>
    </row>
    <row r="753" spans="10:40" ht="14.5" x14ac:dyDescent="0.35">
      <c r="J753" s="65"/>
      <c r="K753" s="65"/>
      <c r="L753" s="65"/>
      <c r="M753" s="65"/>
      <c r="N753" s="65"/>
      <c r="O753" s="65"/>
      <c r="P753" s="65"/>
      <c r="Q753" s="65"/>
      <c r="R753" s="65"/>
      <c r="S753" s="65"/>
      <c r="T753" s="65"/>
      <c r="U753" s="65"/>
      <c r="V753" s="65"/>
      <c r="W753" s="65"/>
      <c r="X753" s="65"/>
      <c r="Y753" s="65"/>
      <c r="Z753" s="65"/>
      <c r="AA753" s="65"/>
      <c r="AB753" s="65"/>
      <c r="AC753" s="65"/>
      <c r="AD753" s="65"/>
      <c r="AE753" s="65"/>
      <c r="AF753" s="65"/>
      <c r="AG753" s="65"/>
      <c r="AH753" s="65"/>
      <c r="AI753" s="65"/>
      <c r="AJ753" s="65"/>
      <c r="AK753" s="65"/>
      <c r="AL753" s="65"/>
      <c r="AM753" s="65"/>
      <c r="AN753" s="65"/>
    </row>
    <row r="754" spans="10:40" ht="14.5" x14ac:dyDescent="0.35">
      <c r="J754" s="65"/>
      <c r="K754" s="65"/>
      <c r="L754" s="65"/>
      <c r="M754" s="65"/>
      <c r="N754" s="65"/>
      <c r="O754" s="65"/>
      <c r="P754" s="65"/>
      <c r="Q754" s="65"/>
      <c r="R754" s="65"/>
      <c r="S754" s="65"/>
      <c r="T754" s="65"/>
      <c r="U754" s="65"/>
      <c r="V754" s="65"/>
      <c r="W754" s="65"/>
      <c r="X754" s="65"/>
      <c r="Y754" s="65"/>
      <c r="Z754" s="65"/>
      <c r="AA754" s="65"/>
      <c r="AB754" s="65"/>
      <c r="AC754" s="65"/>
      <c r="AD754" s="65"/>
      <c r="AE754" s="65"/>
      <c r="AF754" s="65"/>
      <c r="AG754" s="65"/>
      <c r="AH754" s="65"/>
      <c r="AI754" s="65"/>
      <c r="AJ754" s="65"/>
      <c r="AK754" s="65"/>
      <c r="AL754" s="65"/>
      <c r="AM754" s="65"/>
      <c r="AN754" s="65"/>
    </row>
    <row r="755" spans="10:40" ht="14.5" x14ac:dyDescent="0.35">
      <c r="J755" s="65"/>
      <c r="K755" s="65"/>
      <c r="L755" s="65"/>
      <c r="M755" s="65"/>
      <c r="N755" s="65"/>
      <c r="O755" s="65"/>
      <c r="P755" s="65"/>
      <c r="Q755" s="65"/>
      <c r="R755" s="65"/>
      <c r="S755" s="65"/>
      <c r="T755" s="65"/>
      <c r="U755" s="65"/>
      <c r="V755" s="65"/>
      <c r="W755" s="65"/>
      <c r="X755" s="65"/>
      <c r="Y755" s="65"/>
      <c r="Z755" s="65"/>
      <c r="AA755" s="65"/>
      <c r="AB755" s="65"/>
      <c r="AC755" s="65"/>
      <c r="AD755" s="65"/>
      <c r="AE755" s="65"/>
      <c r="AF755" s="65"/>
      <c r="AG755" s="65"/>
      <c r="AH755" s="65"/>
      <c r="AI755" s="65"/>
      <c r="AJ755" s="65"/>
      <c r="AK755" s="65"/>
      <c r="AL755" s="65"/>
      <c r="AM755" s="65"/>
      <c r="AN755" s="65"/>
    </row>
    <row r="756" spans="10:40" ht="14.5" x14ac:dyDescent="0.35">
      <c r="J756" s="65"/>
      <c r="K756" s="65"/>
      <c r="L756" s="65"/>
      <c r="M756" s="65"/>
      <c r="N756" s="65"/>
      <c r="O756" s="65"/>
      <c r="P756" s="65"/>
      <c r="Q756" s="65"/>
      <c r="R756" s="65"/>
      <c r="S756" s="65"/>
      <c r="T756" s="65"/>
      <c r="U756" s="65"/>
      <c r="V756" s="65"/>
      <c r="W756" s="65"/>
      <c r="X756" s="65"/>
      <c r="Y756" s="65"/>
      <c r="Z756" s="65"/>
      <c r="AA756" s="65"/>
      <c r="AB756" s="65"/>
      <c r="AC756" s="65"/>
      <c r="AD756" s="65"/>
      <c r="AE756" s="65"/>
      <c r="AF756" s="65"/>
      <c r="AG756" s="65"/>
      <c r="AH756" s="65"/>
      <c r="AI756" s="65"/>
      <c r="AJ756" s="65"/>
      <c r="AK756" s="65"/>
      <c r="AL756" s="65"/>
      <c r="AM756" s="65"/>
      <c r="AN756" s="65"/>
    </row>
    <row r="757" spans="10:40" ht="14.5" x14ac:dyDescent="0.3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c r="AH757" s="65"/>
      <c r="AI757" s="65"/>
      <c r="AJ757" s="65"/>
      <c r="AK757" s="65"/>
      <c r="AL757" s="65"/>
      <c r="AM757" s="65"/>
      <c r="AN757" s="65"/>
    </row>
    <row r="758" spans="10:40" ht="14.5" x14ac:dyDescent="0.35">
      <c r="J758" s="65"/>
      <c r="K758" s="65"/>
      <c r="L758" s="65"/>
      <c r="M758" s="65"/>
      <c r="N758" s="65"/>
      <c r="O758" s="65"/>
      <c r="P758" s="65"/>
      <c r="Q758" s="65"/>
      <c r="R758" s="65"/>
      <c r="S758" s="65"/>
      <c r="T758" s="65"/>
      <c r="U758" s="65"/>
      <c r="V758" s="65"/>
      <c r="W758" s="65"/>
      <c r="X758" s="65"/>
      <c r="Y758" s="65"/>
      <c r="Z758" s="65"/>
      <c r="AA758" s="65"/>
      <c r="AB758" s="65"/>
      <c r="AC758" s="65"/>
      <c r="AD758" s="65"/>
      <c r="AE758" s="65"/>
      <c r="AF758" s="65"/>
      <c r="AG758" s="65"/>
      <c r="AH758" s="65"/>
      <c r="AI758" s="65"/>
      <c r="AJ758" s="65"/>
      <c r="AK758" s="65"/>
      <c r="AL758" s="65"/>
      <c r="AM758" s="65"/>
      <c r="AN758" s="65"/>
    </row>
    <row r="759" spans="10:40" ht="14.5" x14ac:dyDescent="0.35">
      <c r="J759" s="65"/>
      <c r="K759" s="65"/>
      <c r="L759" s="65"/>
      <c r="M759" s="65"/>
      <c r="N759" s="65"/>
      <c r="O759" s="65"/>
      <c r="P759" s="65"/>
      <c r="Q759" s="65"/>
      <c r="R759" s="65"/>
      <c r="S759" s="65"/>
      <c r="T759" s="65"/>
      <c r="U759" s="65"/>
      <c r="V759" s="65"/>
      <c r="W759" s="65"/>
      <c r="X759" s="65"/>
      <c r="Y759" s="65"/>
      <c r="Z759" s="65"/>
      <c r="AA759" s="65"/>
      <c r="AB759" s="65"/>
      <c r="AC759" s="65"/>
      <c r="AD759" s="65"/>
      <c r="AE759" s="65"/>
      <c r="AF759" s="65"/>
      <c r="AG759" s="65"/>
      <c r="AH759" s="65"/>
      <c r="AI759" s="65"/>
      <c r="AJ759" s="65"/>
      <c r="AK759" s="65"/>
      <c r="AL759" s="65"/>
      <c r="AM759" s="65"/>
      <c r="AN759" s="65"/>
    </row>
    <row r="760" spans="10:40" ht="14.5" x14ac:dyDescent="0.35">
      <c r="J760" s="65"/>
      <c r="K760" s="65"/>
      <c r="L760" s="65"/>
      <c r="M760" s="65"/>
      <c r="N760" s="65"/>
      <c r="O760" s="65"/>
      <c r="P760" s="65"/>
      <c r="Q760" s="65"/>
      <c r="R760" s="65"/>
      <c r="S760" s="65"/>
      <c r="T760" s="65"/>
      <c r="U760" s="65"/>
      <c r="V760" s="65"/>
      <c r="W760" s="65"/>
      <c r="X760" s="65"/>
      <c r="Y760" s="65"/>
      <c r="Z760" s="65"/>
      <c r="AA760" s="65"/>
      <c r="AB760" s="65"/>
      <c r="AC760" s="65"/>
      <c r="AD760" s="65"/>
      <c r="AE760" s="65"/>
      <c r="AF760" s="65"/>
      <c r="AG760" s="65"/>
      <c r="AH760" s="65"/>
      <c r="AI760" s="65"/>
      <c r="AJ760" s="65"/>
      <c r="AK760" s="65"/>
      <c r="AL760" s="65"/>
      <c r="AM760" s="65"/>
      <c r="AN760" s="65"/>
    </row>
    <row r="761" spans="10:40" ht="14.5" x14ac:dyDescent="0.35">
      <c r="J761" s="65"/>
      <c r="K761" s="65"/>
      <c r="L761" s="65"/>
      <c r="M761" s="65"/>
      <c r="N761" s="65"/>
      <c r="O761" s="65"/>
      <c r="P761" s="65"/>
      <c r="Q761" s="65"/>
      <c r="R761" s="65"/>
      <c r="S761" s="65"/>
      <c r="T761" s="65"/>
      <c r="U761" s="65"/>
      <c r="V761" s="65"/>
      <c r="W761" s="65"/>
      <c r="X761" s="65"/>
      <c r="Y761" s="65"/>
      <c r="Z761" s="65"/>
      <c r="AA761" s="65"/>
      <c r="AB761" s="65"/>
      <c r="AC761" s="65"/>
      <c r="AD761" s="65"/>
      <c r="AE761" s="65"/>
      <c r="AF761" s="65"/>
      <c r="AG761" s="65"/>
      <c r="AH761" s="65"/>
      <c r="AI761" s="65"/>
      <c r="AJ761" s="65"/>
      <c r="AK761" s="65"/>
      <c r="AL761" s="65"/>
      <c r="AM761" s="65"/>
      <c r="AN761" s="65"/>
    </row>
    <row r="762" spans="10:40" ht="14.5" x14ac:dyDescent="0.35">
      <c r="J762" s="65"/>
      <c r="K762" s="65"/>
      <c r="L762" s="65"/>
      <c r="M762" s="65"/>
      <c r="N762" s="65"/>
      <c r="O762" s="65"/>
      <c r="P762" s="65"/>
      <c r="Q762" s="65"/>
      <c r="R762" s="65"/>
      <c r="S762" s="65"/>
      <c r="T762" s="65"/>
      <c r="U762" s="65"/>
      <c r="V762" s="65"/>
      <c r="W762" s="65"/>
      <c r="X762" s="65"/>
      <c r="Y762" s="65"/>
      <c r="Z762" s="65"/>
      <c r="AA762" s="65"/>
      <c r="AB762" s="65"/>
      <c r="AC762" s="65"/>
      <c r="AD762" s="65"/>
      <c r="AE762" s="65"/>
      <c r="AF762" s="65"/>
      <c r="AG762" s="65"/>
      <c r="AH762" s="65"/>
      <c r="AI762" s="65"/>
      <c r="AJ762" s="65"/>
      <c r="AK762" s="65"/>
      <c r="AL762" s="65"/>
      <c r="AM762" s="65"/>
      <c r="AN762" s="65"/>
    </row>
    <row r="763" spans="10:40" ht="14.5" x14ac:dyDescent="0.35">
      <c r="J763" s="65"/>
      <c r="K763" s="65"/>
      <c r="L763" s="65"/>
      <c r="M763" s="65"/>
      <c r="N763" s="65"/>
      <c r="O763" s="65"/>
      <c r="P763" s="65"/>
      <c r="Q763" s="65"/>
      <c r="R763" s="65"/>
      <c r="S763" s="65"/>
      <c r="T763" s="65"/>
      <c r="U763" s="65"/>
      <c r="V763" s="65"/>
      <c r="W763" s="65"/>
      <c r="X763" s="65"/>
      <c r="Y763" s="65"/>
      <c r="Z763" s="65"/>
      <c r="AA763" s="65"/>
      <c r="AB763" s="65"/>
      <c r="AC763" s="65"/>
      <c r="AD763" s="65"/>
      <c r="AE763" s="65"/>
      <c r="AF763" s="65"/>
      <c r="AG763" s="65"/>
      <c r="AH763" s="65"/>
      <c r="AI763" s="65"/>
      <c r="AJ763" s="65"/>
      <c r="AK763" s="65"/>
      <c r="AL763" s="65"/>
      <c r="AM763" s="65"/>
      <c r="AN763" s="65"/>
    </row>
    <row r="764" spans="10:40" ht="14.5" x14ac:dyDescent="0.35">
      <c r="J764" s="65"/>
      <c r="K764" s="65"/>
      <c r="L764" s="65"/>
      <c r="M764" s="65"/>
      <c r="N764" s="65"/>
      <c r="O764" s="65"/>
      <c r="P764" s="65"/>
      <c r="Q764" s="65"/>
      <c r="R764" s="65"/>
      <c r="S764" s="65"/>
      <c r="T764" s="65"/>
      <c r="U764" s="65"/>
      <c r="V764" s="65"/>
      <c r="W764" s="65"/>
      <c r="X764" s="65"/>
      <c r="Y764" s="65"/>
      <c r="Z764" s="65"/>
      <c r="AA764" s="65"/>
      <c r="AB764" s="65"/>
      <c r="AC764" s="65"/>
      <c r="AD764" s="65"/>
      <c r="AE764" s="65"/>
      <c r="AF764" s="65"/>
      <c r="AG764" s="65"/>
      <c r="AH764" s="65"/>
      <c r="AI764" s="65"/>
      <c r="AJ764" s="65"/>
      <c r="AK764" s="65"/>
      <c r="AL764" s="65"/>
      <c r="AM764" s="65"/>
      <c r="AN764" s="65"/>
    </row>
    <row r="765" spans="10:40" ht="14.5" x14ac:dyDescent="0.35">
      <c r="J765" s="65"/>
      <c r="K765" s="65"/>
      <c r="L765" s="65"/>
      <c r="M765" s="65"/>
      <c r="N765" s="65"/>
      <c r="O765" s="65"/>
      <c r="P765" s="65"/>
      <c r="Q765" s="65"/>
      <c r="R765" s="65"/>
      <c r="S765" s="65"/>
      <c r="T765" s="65"/>
      <c r="U765" s="65"/>
      <c r="V765" s="65"/>
      <c r="W765" s="65"/>
      <c r="X765" s="65"/>
      <c r="Y765" s="65"/>
      <c r="Z765" s="65"/>
      <c r="AA765" s="65"/>
      <c r="AB765" s="65"/>
      <c r="AC765" s="65"/>
      <c r="AD765" s="65"/>
      <c r="AE765" s="65"/>
      <c r="AF765" s="65"/>
      <c r="AG765" s="65"/>
      <c r="AH765" s="65"/>
      <c r="AI765" s="65"/>
      <c r="AJ765" s="65"/>
      <c r="AK765" s="65"/>
      <c r="AL765" s="65"/>
      <c r="AM765" s="65"/>
      <c r="AN765" s="65"/>
    </row>
    <row r="766" spans="10:40" ht="14.5" x14ac:dyDescent="0.35">
      <c r="J766" s="65"/>
      <c r="K766" s="65"/>
      <c r="L766" s="65"/>
      <c r="M766" s="65"/>
      <c r="N766" s="65"/>
      <c r="O766" s="65"/>
      <c r="P766" s="65"/>
      <c r="Q766" s="65"/>
      <c r="R766" s="65"/>
      <c r="S766" s="65"/>
      <c r="T766" s="65"/>
      <c r="U766" s="65"/>
      <c r="V766" s="65"/>
      <c r="W766" s="65"/>
      <c r="X766" s="65"/>
      <c r="Y766" s="65"/>
      <c r="Z766" s="65"/>
      <c r="AA766" s="65"/>
      <c r="AB766" s="65"/>
      <c r="AC766" s="65"/>
      <c r="AD766" s="65"/>
      <c r="AE766" s="65"/>
      <c r="AF766" s="65"/>
      <c r="AG766" s="65"/>
      <c r="AH766" s="65"/>
      <c r="AI766" s="65"/>
      <c r="AJ766" s="65"/>
      <c r="AK766" s="65"/>
      <c r="AL766" s="65"/>
      <c r="AM766" s="65"/>
      <c r="AN766" s="65"/>
    </row>
    <row r="767" spans="10:40" ht="14.5" x14ac:dyDescent="0.35">
      <c r="J767" s="65"/>
      <c r="K767" s="65"/>
      <c r="L767" s="65"/>
      <c r="M767" s="65"/>
      <c r="N767" s="65"/>
      <c r="O767" s="65"/>
      <c r="P767" s="65"/>
      <c r="Q767" s="65"/>
      <c r="R767" s="65"/>
      <c r="S767" s="65"/>
      <c r="T767" s="65"/>
      <c r="U767" s="65"/>
      <c r="V767" s="65"/>
      <c r="W767" s="65"/>
      <c r="X767" s="65"/>
      <c r="Y767" s="65"/>
      <c r="Z767" s="65"/>
      <c r="AA767" s="65"/>
      <c r="AB767" s="65"/>
      <c r="AC767" s="65"/>
      <c r="AD767" s="65"/>
      <c r="AE767" s="65"/>
      <c r="AF767" s="65"/>
      <c r="AG767" s="65"/>
      <c r="AH767" s="65"/>
      <c r="AI767" s="65"/>
      <c r="AJ767" s="65"/>
      <c r="AK767" s="65"/>
      <c r="AL767" s="65"/>
      <c r="AM767" s="65"/>
      <c r="AN767" s="65"/>
    </row>
    <row r="768" spans="10:40" ht="14.5" x14ac:dyDescent="0.35">
      <c r="J768" s="65"/>
      <c r="K768" s="65"/>
      <c r="L768" s="65"/>
      <c r="M768" s="65"/>
      <c r="N768" s="65"/>
      <c r="O768" s="65"/>
      <c r="P768" s="65"/>
      <c r="Q768" s="65"/>
      <c r="R768" s="65"/>
      <c r="S768" s="65"/>
      <c r="T768" s="65"/>
      <c r="U768" s="65"/>
      <c r="V768" s="65"/>
      <c r="W768" s="65"/>
      <c r="X768" s="65"/>
      <c r="Y768" s="65"/>
      <c r="Z768" s="65"/>
      <c r="AA768" s="65"/>
      <c r="AB768" s="65"/>
      <c r="AC768" s="65"/>
      <c r="AD768" s="65"/>
      <c r="AE768" s="65"/>
      <c r="AF768" s="65"/>
      <c r="AG768" s="65"/>
      <c r="AH768" s="65"/>
      <c r="AI768" s="65"/>
      <c r="AJ768" s="65"/>
      <c r="AK768" s="65"/>
      <c r="AL768" s="65"/>
      <c r="AM768" s="65"/>
      <c r="AN768" s="65"/>
    </row>
    <row r="769" spans="10:40" ht="14.5" x14ac:dyDescent="0.35">
      <c r="J769" s="65"/>
      <c r="K769" s="65"/>
      <c r="L769" s="65"/>
      <c r="M769" s="65"/>
      <c r="N769" s="65"/>
      <c r="O769" s="65"/>
      <c r="P769" s="65"/>
      <c r="Q769" s="65"/>
      <c r="R769" s="65"/>
      <c r="S769" s="65"/>
      <c r="T769" s="65"/>
      <c r="U769" s="65"/>
      <c r="V769" s="65"/>
      <c r="W769" s="65"/>
      <c r="X769" s="65"/>
      <c r="Y769" s="65"/>
      <c r="Z769" s="65"/>
      <c r="AA769" s="65"/>
      <c r="AB769" s="65"/>
      <c r="AC769" s="65"/>
      <c r="AD769" s="65"/>
      <c r="AE769" s="65"/>
      <c r="AF769" s="65"/>
      <c r="AG769" s="65"/>
      <c r="AH769" s="65"/>
      <c r="AI769" s="65"/>
      <c r="AJ769" s="65"/>
      <c r="AK769" s="65"/>
      <c r="AL769" s="65"/>
      <c r="AM769" s="65"/>
      <c r="AN769" s="65"/>
    </row>
    <row r="770" spans="10:40" ht="14.5" x14ac:dyDescent="0.35">
      <c r="J770" s="65"/>
      <c r="K770" s="65"/>
      <c r="L770" s="65"/>
      <c r="M770" s="65"/>
      <c r="N770" s="65"/>
      <c r="O770" s="65"/>
      <c r="P770" s="65"/>
      <c r="Q770" s="65"/>
      <c r="R770" s="65"/>
      <c r="S770" s="65"/>
      <c r="T770" s="65"/>
      <c r="U770" s="65"/>
      <c r="V770" s="65"/>
      <c r="W770" s="65"/>
      <c r="X770" s="65"/>
      <c r="Y770" s="65"/>
      <c r="Z770" s="65"/>
      <c r="AA770" s="65"/>
      <c r="AB770" s="65"/>
      <c r="AC770" s="65"/>
      <c r="AD770" s="65"/>
      <c r="AE770" s="65"/>
      <c r="AF770" s="65"/>
      <c r="AG770" s="65"/>
      <c r="AH770" s="65"/>
      <c r="AI770" s="65"/>
      <c r="AJ770" s="65"/>
      <c r="AK770" s="65"/>
      <c r="AL770" s="65"/>
      <c r="AM770" s="65"/>
      <c r="AN770" s="65"/>
    </row>
    <row r="771" spans="10:40" ht="14.5" x14ac:dyDescent="0.35">
      <c r="J771" s="65"/>
      <c r="K771" s="65"/>
      <c r="L771" s="65"/>
      <c r="M771" s="65"/>
      <c r="N771" s="65"/>
      <c r="O771" s="65"/>
      <c r="P771" s="65"/>
      <c r="Q771" s="65"/>
      <c r="R771" s="65"/>
      <c r="S771" s="65"/>
      <c r="T771" s="65"/>
      <c r="U771" s="65"/>
      <c r="V771" s="65"/>
      <c r="W771" s="65"/>
      <c r="X771" s="65"/>
      <c r="Y771" s="65"/>
      <c r="Z771" s="65"/>
      <c r="AA771" s="65"/>
      <c r="AB771" s="65"/>
      <c r="AC771" s="65"/>
      <c r="AD771" s="65"/>
      <c r="AE771" s="65"/>
      <c r="AF771" s="65"/>
      <c r="AG771" s="65"/>
      <c r="AH771" s="65"/>
      <c r="AI771" s="65"/>
      <c r="AJ771" s="65"/>
      <c r="AK771" s="65"/>
      <c r="AL771" s="65"/>
      <c r="AM771" s="65"/>
      <c r="AN771" s="65"/>
    </row>
    <row r="772" spans="10:40" ht="14.5" x14ac:dyDescent="0.35">
      <c r="J772" s="65"/>
      <c r="K772" s="65"/>
      <c r="L772" s="65"/>
      <c r="M772" s="65"/>
      <c r="N772" s="65"/>
      <c r="O772" s="65"/>
      <c r="P772" s="65"/>
      <c r="Q772" s="65"/>
      <c r="R772" s="65"/>
      <c r="S772" s="65"/>
      <c r="T772" s="65"/>
      <c r="U772" s="65"/>
      <c r="V772" s="65"/>
      <c r="W772" s="65"/>
      <c r="X772" s="65"/>
      <c r="Y772" s="65"/>
      <c r="Z772" s="65"/>
      <c r="AA772" s="65"/>
      <c r="AB772" s="65"/>
      <c r="AC772" s="65"/>
      <c r="AD772" s="65"/>
      <c r="AE772" s="65"/>
      <c r="AF772" s="65"/>
      <c r="AG772" s="65"/>
      <c r="AH772" s="65"/>
      <c r="AI772" s="65"/>
      <c r="AJ772" s="65"/>
      <c r="AK772" s="65"/>
      <c r="AL772" s="65"/>
      <c r="AM772" s="65"/>
      <c r="AN772" s="65"/>
    </row>
    <row r="773" spans="10:40" ht="14.5" x14ac:dyDescent="0.35">
      <c r="J773" s="65"/>
      <c r="K773" s="65"/>
      <c r="L773" s="65"/>
      <c r="M773" s="65"/>
      <c r="N773" s="65"/>
      <c r="O773" s="65"/>
      <c r="P773" s="65"/>
      <c r="Q773" s="65"/>
      <c r="R773" s="65"/>
      <c r="S773" s="65"/>
      <c r="T773" s="65"/>
      <c r="U773" s="65"/>
      <c r="V773" s="65"/>
      <c r="W773" s="65"/>
      <c r="X773" s="65"/>
      <c r="Y773" s="65"/>
      <c r="Z773" s="65"/>
      <c r="AA773" s="65"/>
      <c r="AB773" s="65"/>
      <c r="AC773" s="65"/>
      <c r="AD773" s="65"/>
      <c r="AE773" s="65"/>
      <c r="AF773" s="65"/>
      <c r="AG773" s="65"/>
      <c r="AH773" s="65"/>
      <c r="AI773" s="65"/>
      <c r="AJ773" s="65"/>
      <c r="AK773" s="65"/>
      <c r="AL773" s="65"/>
      <c r="AM773" s="65"/>
      <c r="AN773" s="65"/>
    </row>
    <row r="774" spans="10:40" ht="14.5" x14ac:dyDescent="0.35">
      <c r="J774" s="65"/>
      <c r="K774" s="65"/>
      <c r="L774" s="65"/>
      <c r="M774" s="65"/>
      <c r="N774" s="65"/>
      <c r="O774" s="65"/>
      <c r="P774" s="65"/>
      <c r="Q774" s="65"/>
      <c r="R774" s="65"/>
      <c r="S774" s="65"/>
      <c r="T774" s="65"/>
      <c r="U774" s="65"/>
      <c r="V774" s="65"/>
      <c r="W774" s="65"/>
      <c r="X774" s="65"/>
      <c r="Y774" s="65"/>
      <c r="Z774" s="65"/>
      <c r="AA774" s="65"/>
      <c r="AB774" s="65"/>
      <c r="AC774" s="65"/>
      <c r="AD774" s="65"/>
      <c r="AE774" s="65"/>
      <c r="AF774" s="65"/>
      <c r="AG774" s="65"/>
      <c r="AH774" s="65"/>
      <c r="AI774" s="65"/>
      <c r="AJ774" s="65"/>
      <c r="AK774" s="65"/>
      <c r="AL774" s="65"/>
      <c r="AM774" s="65"/>
      <c r="AN774" s="65"/>
    </row>
    <row r="775" spans="10:40" ht="14.5" x14ac:dyDescent="0.35">
      <c r="J775" s="65"/>
      <c r="K775" s="65"/>
      <c r="L775" s="65"/>
      <c r="M775" s="65"/>
      <c r="N775" s="65"/>
      <c r="O775" s="65"/>
      <c r="P775" s="65"/>
      <c r="Q775" s="65"/>
      <c r="R775" s="65"/>
      <c r="S775" s="65"/>
      <c r="T775" s="65"/>
      <c r="U775" s="65"/>
      <c r="V775" s="65"/>
      <c r="W775" s="65"/>
      <c r="X775" s="65"/>
      <c r="Y775" s="65"/>
      <c r="Z775" s="65"/>
      <c r="AA775" s="65"/>
      <c r="AB775" s="65"/>
      <c r="AC775" s="65"/>
      <c r="AD775" s="65"/>
      <c r="AE775" s="65"/>
      <c r="AF775" s="65"/>
      <c r="AG775" s="65"/>
      <c r="AH775" s="65"/>
      <c r="AI775" s="65"/>
      <c r="AJ775" s="65"/>
      <c r="AK775" s="65"/>
      <c r="AL775" s="65"/>
      <c r="AM775" s="65"/>
      <c r="AN775" s="65"/>
    </row>
    <row r="776" spans="10:40" ht="14.5" x14ac:dyDescent="0.35">
      <c r="J776" s="65"/>
      <c r="K776" s="65"/>
      <c r="L776" s="65"/>
      <c r="M776" s="65"/>
      <c r="N776" s="65"/>
      <c r="O776" s="65"/>
      <c r="P776" s="65"/>
      <c r="Q776" s="65"/>
      <c r="R776" s="65"/>
      <c r="S776" s="65"/>
      <c r="T776" s="65"/>
      <c r="U776" s="65"/>
      <c r="V776" s="65"/>
      <c r="W776" s="65"/>
      <c r="X776" s="65"/>
      <c r="Y776" s="65"/>
      <c r="Z776" s="65"/>
      <c r="AA776" s="65"/>
      <c r="AB776" s="65"/>
      <c r="AC776" s="65"/>
      <c r="AD776" s="65"/>
      <c r="AE776" s="65"/>
      <c r="AF776" s="65"/>
      <c r="AG776" s="65"/>
      <c r="AH776" s="65"/>
      <c r="AI776" s="65"/>
      <c r="AJ776" s="65"/>
      <c r="AK776" s="65"/>
      <c r="AL776" s="65"/>
      <c r="AM776" s="65"/>
      <c r="AN776" s="65"/>
    </row>
    <row r="777" spans="10:40" ht="14.5" x14ac:dyDescent="0.35">
      <c r="J777" s="65"/>
      <c r="K777" s="65"/>
      <c r="L777" s="65"/>
      <c r="M777" s="65"/>
      <c r="N777" s="65"/>
      <c r="O777" s="65"/>
      <c r="P777" s="65"/>
      <c r="Q777" s="65"/>
      <c r="R777" s="65"/>
      <c r="S777" s="65"/>
      <c r="T777" s="65"/>
      <c r="U777" s="65"/>
      <c r="V777" s="65"/>
      <c r="W777" s="65"/>
      <c r="X777" s="65"/>
      <c r="Y777" s="65"/>
      <c r="Z777" s="65"/>
      <c r="AA777" s="65"/>
      <c r="AB777" s="65"/>
      <c r="AC777" s="65"/>
      <c r="AD777" s="65"/>
      <c r="AE777" s="65"/>
      <c r="AF777" s="65"/>
      <c r="AG777" s="65"/>
      <c r="AH777" s="65"/>
      <c r="AI777" s="65"/>
      <c r="AJ777" s="65"/>
      <c r="AK777" s="65"/>
      <c r="AL777" s="65"/>
      <c r="AM777" s="65"/>
      <c r="AN777" s="65"/>
    </row>
    <row r="778" spans="10:40" ht="14.5" x14ac:dyDescent="0.35">
      <c r="J778" s="65"/>
      <c r="K778" s="65"/>
      <c r="L778" s="65"/>
      <c r="M778" s="65"/>
      <c r="N778" s="65"/>
      <c r="O778" s="65"/>
      <c r="P778" s="65"/>
      <c r="Q778" s="65"/>
      <c r="R778" s="65"/>
      <c r="S778" s="65"/>
      <c r="T778" s="65"/>
      <c r="U778" s="65"/>
      <c r="V778" s="65"/>
      <c r="W778" s="65"/>
      <c r="X778" s="65"/>
      <c r="Y778" s="65"/>
      <c r="Z778" s="65"/>
      <c r="AA778" s="65"/>
      <c r="AB778" s="65"/>
      <c r="AC778" s="65"/>
      <c r="AD778" s="65"/>
      <c r="AE778" s="65"/>
      <c r="AF778" s="65"/>
      <c r="AG778" s="65"/>
      <c r="AH778" s="65"/>
      <c r="AI778" s="65"/>
      <c r="AJ778" s="65"/>
      <c r="AK778" s="65"/>
      <c r="AL778" s="65"/>
      <c r="AM778" s="65"/>
      <c r="AN778" s="65"/>
    </row>
    <row r="779" spans="10:40" ht="14.5" x14ac:dyDescent="0.35">
      <c r="J779" s="65"/>
      <c r="K779" s="65"/>
      <c r="L779" s="65"/>
      <c r="M779" s="65"/>
      <c r="N779" s="65"/>
      <c r="O779" s="65"/>
      <c r="P779" s="65"/>
      <c r="Q779" s="65"/>
      <c r="R779" s="65"/>
      <c r="S779" s="65"/>
      <c r="T779" s="65"/>
      <c r="U779" s="65"/>
      <c r="V779" s="65"/>
      <c r="W779" s="65"/>
      <c r="X779" s="65"/>
      <c r="Y779" s="65"/>
      <c r="Z779" s="65"/>
      <c r="AA779" s="65"/>
      <c r="AB779" s="65"/>
      <c r="AC779" s="65"/>
      <c r="AD779" s="65"/>
      <c r="AE779" s="65"/>
      <c r="AF779" s="65"/>
      <c r="AG779" s="65"/>
      <c r="AH779" s="65"/>
      <c r="AI779" s="65"/>
      <c r="AJ779" s="65"/>
      <c r="AK779" s="65"/>
      <c r="AL779" s="65"/>
      <c r="AM779" s="65"/>
      <c r="AN779" s="65"/>
    </row>
    <row r="780" spans="10:40" ht="14.5" x14ac:dyDescent="0.35">
      <c r="J780" s="65"/>
      <c r="K780" s="65"/>
      <c r="L780" s="65"/>
      <c r="M780" s="65"/>
      <c r="N780" s="65"/>
      <c r="O780" s="65"/>
      <c r="P780" s="65"/>
      <c r="Q780" s="65"/>
      <c r="R780" s="65"/>
      <c r="S780" s="65"/>
      <c r="T780" s="65"/>
      <c r="U780" s="65"/>
      <c r="V780" s="65"/>
      <c r="W780" s="65"/>
      <c r="X780" s="65"/>
      <c r="Y780" s="65"/>
      <c r="Z780" s="65"/>
      <c r="AA780" s="65"/>
      <c r="AB780" s="65"/>
      <c r="AC780" s="65"/>
      <c r="AD780" s="65"/>
      <c r="AE780" s="65"/>
      <c r="AF780" s="65"/>
      <c r="AG780" s="65"/>
      <c r="AH780" s="65"/>
      <c r="AI780" s="65"/>
      <c r="AJ780" s="65"/>
      <c r="AK780" s="65"/>
      <c r="AL780" s="65"/>
      <c r="AM780" s="65"/>
      <c r="AN780" s="65"/>
    </row>
    <row r="781" spans="10:40" ht="14.5" x14ac:dyDescent="0.35">
      <c r="J781" s="65"/>
      <c r="K781" s="65"/>
      <c r="L781" s="65"/>
      <c r="M781" s="65"/>
      <c r="N781" s="65"/>
      <c r="O781" s="65"/>
      <c r="P781" s="65"/>
      <c r="Q781" s="65"/>
      <c r="R781" s="65"/>
      <c r="S781" s="65"/>
      <c r="T781" s="65"/>
      <c r="U781" s="65"/>
      <c r="V781" s="65"/>
      <c r="W781" s="65"/>
      <c r="X781" s="65"/>
      <c r="Y781" s="65"/>
      <c r="Z781" s="65"/>
      <c r="AA781" s="65"/>
      <c r="AB781" s="65"/>
      <c r="AC781" s="65"/>
      <c r="AD781" s="65"/>
      <c r="AE781" s="65"/>
      <c r="AF781" s="65"/>
      <c r="AG781" s="65"/>
      <c r="AH781" s="65"/>
      <c r="AI781" s="65"/>
      <c r="AJ781" s="65"/>
      <c r="AK781" s="65"/>
      <c r="AL781" s="65"/>
      <c r="AM781" s="65"/>
      <c r="AN781" s="65"/>
    </row>
    <row r="782" spans="10:40" ht="14.5" x14ac:dyDescent="0.35">
      <c r="J782" s="65"/>
      <c r="K782" s="65"/>
      <c r="L782" s="65"/>
      <c r="M782" s="65"/>
      <c r="N782" s="65"/>
      <c r="O782" s="65"/>
      <c r="P782" s="65"/>
      <c r="Q782" s="65"/>
      <c r="R782" s="65"/>
      <c r="S782" s="65"/>
      <c r="T782" s="65"/>
      <c r="U782" s="65"/>
      <c r="V782" s="65"/>
      <c r="W782" s="65"/>
      <c r="X782" s="65"/>
      <c r="Y782" s="65"/>
      <c r="Z782" s="65"/>
      <c r="AA782" s="65"/>
      <c r="AB782" s="65"/>
      <c r="AC782" s="65"/>
      <c r="AD782" s="65"/>
      <c r="AE782" s="65"/>
      <c r="AF782" s="65"/>
      <c r="AG782" s="65"/>
      <c r="AH782" s="65"/>
      <c r="AI782" s="65"/>
      <c r="AJ782" s="65"/>
      <c r="AK782" s="65"/>
      <c r="AL782" s="65"/>
      <c r="AM782" s="65"/>
      <c r="AN782" s="65"/>
    </row>
    <row r="783" spans="10:40" ht="14.5" x14ac:dyDescent="0.35">
      <c r="J783" s="65"/>
      <c r="K783" s="65"/>
      <c r="L783" s="65"/>
      <c r="M783" s="65"/>
      <c r="N783" s="65"/>
      <c r="O783" s="65"/>
      <c r="P783" s="65"/>
      <c r="Q783" s="65"/>
      <c r="R783" s="65"/>
      <c r="S783" s="65"/>
      <c r="T783" s="65"/>
      <c r="U783" s="65"/>
      <c r="V783" s="65"/>
      <c r="W783" s="65"/>
      <c r="X783" s="65"/>
      <c r="Y783" s="65"/>
      <c r="Z783" s="65"/>
      <c r="AA783" s="65"/>
      <c r="AB783" s="65"/>
      <c r="AC783" s="65"/>
      <c r="AD783" s="65"/>
      <c r="AE783" s="65"/>
      <c r="AF783" s="65"/>
      <c r="AG783" s="65"/>
      <c r="AH783" s="65"/>
      <c r="AI783" s="65"/>
      <c r="AJ783" s="65"/>
      <c r="AK783" s="65"/>
      <c r="AL783" s="65"/>
      <c r="AM783" s="65"/>
      <c r="AN783" s="65"/>
    </row>
    <row r="784" spans="10:40" ht="14.5" x14ac:dyDescent="0.35">
      <c r="J784" s="65"/>
      <c r="K784" s="65"/>
      <c r="L784" s="65"/>
      <c r="M784" s="65"/>
      <c r="N784" s="65"/>
      <c r="O784" s="65"/>
      <c r="P784" s="65"/>
      <c r="Q784" s="65"/>
      <c r="R784" s="65"/>
      <c r="S784" s="65"/>
      <c r="T784" s="65"/>
      <c r="U784" s="65"/>
      <c r="V784" s="65"/>
      <c r="W784" s="65"/>
      <c r="X784" s="65"/>
      <c r="Y784" s="65"/>
      <c r="Z784" s="65"/>
      <c r="AA784" s="65"/>
      <c r="AB784" s="65"/>
      <c r="AC784" s="65"/>
      <c r="AD784" s="65"/>
      <c r="AE784" s="65"/>
      <c r="AF784" s="65"/>
      <c r="AG784" s="65"/>
      <c r="AH784" s="65"/>
      <c r="AI784" s="65"/>
      <c r="AJ784" s="65"/>
      <c r="AK784" s="65"/>
      <c r="AL784" s="65"/>
      <c r="AM784" s="65"/>
      <c r="AN784" s="65"/>
    </row>
    <row r="785" spans="10:40" ht="14.5" x14ac:dyDescent="0.35">
      <c r="J785" s="65"/>
      <c r="K785" s="65"/>
      <c r="L785" s="65"/>
      <c r="M785" s="65"/>
      <c r="N785" s="65"/>
      <c r="O785" s="65"/>
      <c r="P785" s="65"/>
      <c r="Q785" s="65"/>
      <c r="R785" s="65"/>
      <c r="S785" s="65"/>
      <c r="T785" s="65"/>
      <c r="U785" s="65"/>
      <c r="V785" s="65"/>
      <c r="W785" s="65"/>
      <c r="X785" s="65"/>
      <c r="Y785" s="65"/>
      <c r="Z785" s="65"/>
      <c r="AA785" s="65"/>
      <c r="AB785" s="65"/>
      <c r="AC785" s="65"/>
      <c r="AD785" s="65"/>
      <c r="AE785" s="65"/>
      <c r="AF785" s="65"/>
      <c r="AG785" s="65"/>
      <c r="AH785" s="65"/>
      <c r="AI785" s="65"/>
      <c r="AJ785" s="65"/>
      <c r="AK785" s="65"/>
      <c r="AL785" s="65"/>
      <c r="AM785" s="65"/>
      <c r="AN785" s="65"/>
    </row>
    <row r="786" spans="10:40" ht="14.5" x14ac:dyDescent="0.35">
      <c r="J786" s="65"/>
      <c r="K786" s="65"/>
      <c r="L786" s="65"/>
      <c r="M786" s="65"/>
      <c r="N786" s="65"/>
      <c r="O786" s="65"/>
      <c r="P786" s="65"/>
      <c r="Q786" s="65"/>
      <c r="R786" s="65"/>
      <c r="S786" s="65"/>
      <c r="T786" s="65"/>
      <c r="U786" s="65"/>
      <c r="V786" s="65"/>
      <c r="W786" s="65"/>
      <c r="X786" s="65"/>
      <c r="Y786" s="65"/>
      <c r="Z786" s="65"/>
      <c r="AA786" s="65"/>
      <c r="AB786" s="65"/>
      <c r="AC786" s="65"/>
      <c r="AD786" s="65"/>
      <c r="AE786" s="65"/>
      <c r="AF786" s="65"/>
      <c r="AG786" s="65"/>
      <c r="AH786" s="65"/>
      <c r="AI786" s="65"/>
      <c r="AJ786" s="65"/>
      <c r="AK786" s="65"/>
      <c r="AL786" s="65"/>
      <c r="AM786" s="65"/>
      <c r="AN786" s="65"/>
    </row>
    <row r="787" spans="10:40" ht="14.5" x14ac:dyDescent="0.35">
      <c r="J787" s="65"/>
      <c r="K787" s="65"/>
      <c r="L787" s="65"/>
      <c r="M787" s="65"/>
      <c r="N787" s="65"/>
      <c r="O787" s="65"/>
      <c r="P787" s="65"/>
      <c r="Q787" s="65"/>
      <c r="R787" s="65"/>
      <c r="S787" s="65"/>
      <c r="T787" s="65"/>
      <c r="U787" s="65"/>
      <c r="V787" s="65"/>
      <c r="W787" s="65"/>
      <c r="X787" s="65"/>
      <c r="Y787" s="65"/>
      <c r="Z787" s="65"/>
      <c r="AA787" s="65"/>
      <c r="AB787" s="65"/>
      <c r="AC787" s="65"/>
      <c r="AD787" s="65"/>
      <c r="AE787" s="65"/>
      <c r="AF787" s="65"/>
      <c r="AG787" s="65"/>
      <c r="AH787" s="65"/>
      <c r="AI787" s="65"/>
      <c r="AJ787" s="65"/>
      <c r="AK787" s="65"/>
      <c r="AL787" s="65"/>
      <c r="AM787" s="65"/>
      <c r="AN787" s="65"/>
    </row>
    <row r="788" spans="10:40" ht="14.5" x14ac:dyDescent="0.35">
      <c r="J788" s="65"/>
      <c r="K788" s="65"/>
      <c r="L788" s="65"/>
      <c r="M788" s="65"/>
      <c r="N788" s="65"/>
      <c r="O788" s="65"/>
      <c r="P788" s="65"/>
      <c r="Q788" s="65"/>
      <c r="R788" s="65"/>
      <c r="S788" s="65"/>
      <c r="T788" s="65"/>
      <c r="U788" s="65"/>
      <c r="V788" s="65"/>
      <c r="W788" s="65"/>
      <c r="X788" s="65"/>
      <c r="Y788" s="65"/>
      <c r="Z788" s="65"/>
      <c r="AA788" s="65"/>
      <c r="AB788" s="65"/>
      <c r="AC788" s="65"/>
      <c r="AD788" s="65"/>
      <c r="AE788" s="65"/>
      <c r="AF788" s="65"/>
      <c r="AG788" s="65"/>
      <c r="AH788" s="65"/>
      <c r="AI788" s="65"/>
      <c r="AJ788" s="65"/>
      <c r="AK788" s="65"/>
      <c r="AL788" s="65"/>
      <c r="AM788" s="65"/>
      <c r="AN788" s="65"/>
    </row>
    <row r="789" spans="10:40" ht="14.5" x14ac:dyDescent="0.35">
      <c r="J789" s="65"/>
      <c r="K789" s="65"/>
      <c r="L789" s="65"/>
      <c r="M789" s="65"/>
      <c r="N789" s="65"/>
      <c r="O789" s="65"/>
      <c r="P789" s="65"/>
      <c r="Q789" s="65"/>
      <c r="R789" s="65"/>
      <c r="S789" s="65"/>
      <c r="T789" s="65"/>
      <c r="U789" s="65"/>
      <c r="V789" s="65"/>
      <c r="W789" s="65"/>
      <c r="X789" s="65"/>
      <c r="Y789" s="65"/>
      <c r="Z789" s="65"/>
      <c r="AA789" s="65"/>
      <c r="AB789" s="65"/>
      <c r="AC789" s="65"/>
      <c r="AD789" s="65"/>
      <c r="AE789" s="65"/>
      <c r="AF789" s="65"/>
      <c r="AG789" s="65"/>
      <c r="AH789" s="65"/>
      <c r="AI789" s="65"/>
      <c r="AJ789" s="65"/>
      <c r="AK789" s="65"/>
      <c r="AL789" s="65"/>
      <c r="AM789" s="65"/>
      <c r="AN789" s="65"/>
    </row>
    <row r="790" spans="10:40" ht="14.5" x14ac:dyDescent="0.35">
      <c r="J790" s="65"/>
      <c r="K790" s="65"/>
      <c r="L790" s="65"/>
      <c r="M790" s="65"/>
      <c r="N790" s="65"/>
      <c r="O790" s="65"/>
      <c r="P790" s="65"/>
      <c r="Q790" s="65"/>
      <c r="R790" s="65"/>
      <c r="S790" s="65"/>
      <c r="T790" s="65"/>
      <c r="U790" s="65"/>
      <c r="V790" s="65"/>
      <c r="W790" s="65"/>
      <c r="X790" s="65"/>
      <c r="Y790" s="65"/>
      <c r="Z790" s="65"/>
      <c r="AA790" s="65"/>
      <c r="AB790" s="65"/>
      <c r="AC790" s="65"/>
      <c r="AD790" s="65"/>
      <c r="AE790" s="65"/>
      <c r="AF790" s="65"/>
      <c r="AG790" s="65"/>
      <c r="AH790" s="65"/>
      <c r="AI790" s="65"/>
      <c r="AJ790" s="65"/>
      <c r="AK790" s="65"/>
      <c r="AL790" s="65"/>
      <c r="AM790" s="65"/>
      <c r="AN790" s="65"/>
    </row>
    <row r="791" spans="10:40" ht="14.5" x14ac:dyDescent="0.35">
      <c r="J791" s="65"/>
      <c r="K791" s="65"/>
      <c r="L791" s="65"/>
      <c r="M791" s="65"/>
      <c r="N791" s="65"/>
      <c r="O791" s="65"/>
      <c r="P791" s="65"/>
      <c r="Q791" s="65"/>
      <c r="R791" s="65"/>
      <c r="S791" s="65"/>
      <c r="T791" s="65"/>
      <c r="U791" s="65"/>
      <c r="V791" s="65"/>
      <c r="W791" s="65"/>
      <c r="X791" s="65"/>
      <c r="Y791" s="65"/>
      <c r="Z791" s="65"/>
      <c r="AA791" s="65"/>
      <c r="AB791" s="65"/>
      <c r="AC791" s="65"/>
      <c r="AD791" s="65"/>
      <c r="AE791" s="65"/>
      <c r="AF791" s="65"/>
      <c r="AG791" s="65"/>
      <c r="AH791" s="65"/>
      <c r="AI791" s="65"/>
      <c r="AJ791" s="65"/>
      <c r="AK791" s="65"/>
      <c r="AL791" s="65"/>
      <c r="AM791" s="65"/>
      <c r="AN791" s="65"/>
    </row>
    <row r="792" spans="10:40" ht="14.5" x14ac:dyDescent="0.35">
      <c r="J792" s="65"/>
      <c r="K792" s="65"/>
      <c r="L792" s="65"/>
      <c r="M792" s="65"/>
      <c r="N792" s="65"/>
      <c r="O792" s="65"/>
      <c r="P792" s="65"/>
      <c r="Q792" s="65"/>
      <c r="R792" s="65"/>
      <c r="S792" s="65"/>
      <c r="T792" s="65"/>
      <c r="U792" s="65"/>
      <c r="V792" s="65"/>
      <c r="W792" s="65"/>
      <c r="X792" s="65"/>
      <c r="Y792" s="65"/>
      <c r="Z792" s="65"/>
      <c r="AA792" s="65"/>
      <c r="AB792" s="65"/>
      <c r="AC792" s="65"/>
      <c r="AD792" s="65"/>
      <c r="AE792" s="65"/>
      <c r="AF792" s="65"/>
      <c r="AG792" s="65"/>
      <c r="AH792" s="65"/>
      <c r="AI792" s="65"/>
      <c r="AJ792" s="65"/>
      <c r="AK792" s="65"/>
      <c r="AL792" s="65"/>
      <c r="AM792" s="65"/>
      <c r="AN792" s="65"/>
    </row>
    <row r="793" spans="10:40" ht="14.5" x14ac:dyDescent="0.35">
      <c r="J793" s="65"/>
      <c r="K793" s="65"/>
      <c r="L793" s="65"/>
      <c r="M793" s="65"/>
      <c r="N793" s="65"/>
      <c r="O793" s="65"/>
      <c r="P793" s="65"/>
      <c r="Q793" s="65"/>
      <c r="R793" s="65"/>
      <c r="S793" s="65"/>
      <c r="T793" s="65"/>
      <c r="U793" s="65"/>
      <c r="V793" s="65"/>
      <c r="W793" s="65"/>
      <c r="X793" s="65"/>
      <c r="Y793" s="65"/>
      <c r="Z793" s="65"/>
      <c r="AA793" s="65"/>
      <c r="AB793" s="65"/>
      <c r="AC793" s="65"/>
      <c r="AD793" s="65"/>
      <c r="AE793" s="65"/>
      <c r="AF793" s="65"/>
      <c r="AG793" s="65"/>
      <c r="AH793" s="65"/>
      <c r="AI793" s="65"/>
      <c r="AJ793" s="65"/>
      <c r="AK793" s="65"/>
      <c r="AL793" s="65"/>
    </row>
    <row r="794" spans="10:40" ht="14.5" x14ac:dyDescent="0.35">
      <c r="J794" s="65"/>
      <c r="K794" s="65"/>
      <c r="L794" s="65"/>
      <c r="M794" s="65"/>
      <c r="N794" s="65"/>
      <c r="O794" s="65"/>
      <c r="P794" s="65"/>
      <c r="Q794" s="65"/>
      <c r="R794" s="65"/>
      <c r="S794" s="65"/>
      <c r="T794" s="65"/>
      <c r="U794" s="65"/>
      <c r="V794" s="65"/>
      <c r="W794" s="65"/>
      <c r="X794" s="65"/>
      <c r="Y794" s="65"/>
      <c r="Z794" s="65"/>
      <c r="AA794" s="65"/>
      <c r="AB794" s="65"/>
      <c r="AC794" s="65"/>
      <c r="AD794" s="65"/>
      <c r="AE794" s="65"/>
      <c r="AF794" s="65"/>
      <c r="AG794" s="65"/>
      <c r="AH794" s="65"/>
      <c r="AI794" s="65"/>
      <c r="AJ794" s="65"/>
      <c r="AK794" s="65"/>
      <c r="AL794" s="65"/>
    </row>
    <row r="795" spans="10:40" ht="14.5" x14ac:dyDescent="0.35">
      <c r="J795" s="65"/>
      <c r="K795" s="65"/>
      <c r="L795" s="65"/>
      <c r="M795" s="65"/>
      <c r="N795" s="65"/>
      <c r="O795" s="65"/>
      <c r="P795" s="65"/>
      <c r="Q795" s="65"/>
      <c r="R795" s="65"/>
      <c r="S795" s="65"/>
      <c r="T795" s="65"/>
      <c r="U795" s="65"/>
      <c r="V795" s="65"/>
      <c r="W795" s="65"/>
      <c r="X795" s="65"/>
      <c r="Y795" s="65"/>
      <c r="Z795" s="65"/>
      <c r="AA795" s="65"/>
      <c r="AB795" s="65"/>
      <c r="AC795" s="65"/>
      <c r="AD795" s="65"/>
      <c r="AE795" s="65"/>
      <c r="AF795" s="65"/>
      <c r="AG795" s="65"/>
      <c r="AH795" s="65"/>
      <c r="AI795" s="65"/>
      <c r="AJ795" s="65"/>
      <c r="AK795" s="65"/>
      <c r="AL795" s="65"/>
    </row>
    <row r="796" spans="10:40" ht="14.5" x14ac:dyDescent="0.35">
      <c r="J796" s="65"/>
      <c r="K796" s="65"/>
      <c r="L796" s="65"/>
      <c r="M796" s="65"/>
      <c r="N796" s="65"/>
      <c r="O796" s="65"/>
      <c r="P796" s="65"/>
      <c r="Q796" s="65"/>
      <c r="R796" s="65"/>
      <c r="S796" s="65"/>
      <c r="T796" s="65"/>
      <c r="U796" s="65"/>
      <c r="V796" s="65"/>
      <c r="W796" s="65"/>
      <c r="X796" s="65"/>
      <c r="Y796" s="65"/>
      <c r="Z796" s="65"/>
      <c r="AA796" s="65"/>
      <c r="AB796" s="65"/>
      <c r="AC796" s="65"/>
      <c r="AD796" s="65"/>
      <c r="AE796" s="65"/>
      <c r="AF796" s="65"/>
      <c r="AG796" s="65"/>
      <c r="AH796" s="65"/>
      <c r="AI796" s="65"/>
      <c r="AJ796" s="65"/>
      <c r="AK796" s="65"/>
      <c r="AL796" s="65"/>
    </row>
    <row r="797" spans="10:40" ht="14.5" x14ac:dyDescent="0.35">
      <c r="J797" s="65"/>
      <c r="K797" s="65"/>
      <c r="L797" s="65"/>
      <c r="M797" s="65"/>
      <c r="N797" s="65"/>
      <c r="O797" s="65"/>
      <c r="P797" s="65"/>
      <c r="Q797" s="65"/>
      <c r="R797" s="65"/>
      <c r="S797" s="65"/>
      <c r="T797" s="65"/>
      <c r="U797" s="65"/>
      <c r="V797" s="65"/>
      <c r="W797" s="65"/>
      <c r="X797" s="65"/>
      <c r="Y797" s="65"/>
      <c r="Z797" s="65"/>
      <c r="AA797" s="65"/>
      <c r="AB797" s="65"/>
      <c r="AC797" s="65"/>
      <c r="AD797" s="65"/>
      <c r="AE797" s="65"/>
      <c r="AF797" s="65"/>
      <c r="AG797" s="65"/>
      <c r="AH797" s="65"/>
      <c r="AI797" s="65"/>
      <c r="AJ797" s="65"/>
      <c r="AK797" s="65"/>
      <c r="AL797" s="65"/>
    </row>
    <row r="798" spans="10:40" ht="14.5" x14ac:dyDescent="0.35">
      <c r="J798" s="65"/>
      <c r="K798" s="65"/>
      <c r="L798" s="65"/>
      <c r="M798" s="65"/>
      <c r="N798" s="65"/>
      <c r="O798" s="65"/>
      <c r="P798" s="65"/>
      <c r="Q798" s="65"/>
      <c r="R798" s="65"/>
      <c r="S798" s="65"/>
      <c r="T798" s="65"/>
      <c r="U798" s="65"/>
      <c r="V798" s="65"/>
      <c r="W798" s="65"/>
      <c r="X798" s="65"/>
      <c r="Y798" s="65"/>
      <c r="Z798" s="65"/>
      <c r="AA798" s="65"/>
      <c r="AB798" s="65"/>
      <c r="AC798" s="65"/>
      <c r="AD798" s="65"/>
      <c r="AE798" s="65"/>
      <c r="AF798" s="65"/>
      <c r="AG798" s="65"/>
      <c r="AH798" s="65"/>
      <c r="AI798" s="65"/>
      <c r="AJ798" s="65"/>
      <c r="AK798" s="65"/>
      <c r="AL798" s="65"/>
    </row>
    <row r="799" spans="10:40" ht="14.5" x14ac:dyDescent="0.35">
      <c r="J799" s="65"/>
      <c r="K799" s="65"/>
      <c r="L799" s="65"/>
      <c r="M799" s="65"/>
      <c r="N799" s="65"/>
      <c r="O799" s="65"/>
      <c r="P799" s="65"/>
      <c r="Q799" s="65"/>
      <c r="R799" s="65"/>
      <c r="S799" s="65"/>
      <c r="T799" s="65"/>
      <c r="U799" s="65"/>
      <c r="V799" s="65"/>
      <c r="W799" s="65"/>
      <c r="X799" s="65"/>
      <c r="Y799" s="65"/>
      <c r="Z799" s="65"/>
      <c r="AA799" s="65"/>
      <c r="AB799" s="65"/>
      <c r="AC799" s="65"/>
      <c r="AD799" s="65"/>
      <c r="AE799" s="65"/>
      <c r="AF799" s="65"/>
      <c r="AG799" s="65"/>
      <c r="AH799" s="65"/>
      <c r="AI799" s="65"/>
      <c r="AJ799" s="65"/>
      <c r="AL799" s="65"/>
    </row>
    <row r="800" spans="10:40" ht="14.5" x14ac:dyDescent="0.35">
      <c r="J800" s="65"/>
      <c r="K800" s="65"/>
      <c r="L800" s="65"/>
      <c r="M800" s="65"/>
      <c r="N800" s="65"/>
      <c r="O800" s="65"/>
      <c r="P800" s="65"/>
      <c r="Q800" s="65"/>
      <c r="R800" s="65"/>
      <c r="S800" s="65"/>
      <c r="T800" s="65"/>
      <c r="U800" s="65"/>
      <c r="V800" s="65"/>
      <c r="W800" s="65"/>
      <c r="X800" s="65"/>
      <c r="Y800" s="65"/>
      <c r="Z800" s="65"/>
      <c r="AA800" s="65"/>
      <c r="AB800" s="65"/>
      <c r="AC800" s="65"/>
      <c r="AD800" s="65"/>
      <c r="AE800" s="65"/>
      <c r="AF800" s="65"/>
      <c r="AG800" s="65"/>
      <c r="AH800" s="65"/>
      <c r="AI800" s="65"/>
      <c r="AJ800" s="65"/>
      <c r="AL800" s="65"/>
    </row>
    <row r="801" spans="10:38" ht="14.5" x14ac:dyDescent="0.3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c r="AH801" s="65"/>
      <c r="AI801" s="65"/>
      <c r="AJ801" s="65"/>
      <c r="AL801" s="65"/>
    </row>
    <row r="802" spans="10:38" ht="14.5" x14ac:dyDescent="0.35">
      <c r="J802" s="65"/>
      <c r="K802" s="65"/>
      <c r="L802" s="65"/>
      <c r="M802" s="65"/>
      <c r="N802" s="65"/>
      <c r="O802" s="65"/>
      <c r="P802" s="65"/>
      <c r="Q802" s="65"/>
      <c r="R802" s="65"/>
      <c r="S802" s="65"/>
      <c r="T802" s="65"/>
      <c r="U802" s="65"/>
      <c r="V802" s="65"/>
      <c r="W802" s="65"/>
      <c r="X802" s="65"/>
      <c r="Y802" s="65"/>
      <c r="Z802" s="65"/>
      <c r="AA802" s="65"/>
      <c r="AB802" s="65"/>
      <c r="AC802" s="65"/>
      <c r="AD802" s="65"/>
      <c r="AE802" s="65"/>
      <c r="AF802" s="65"/>
      <c r="AG802" s="65"/>
      <c r="AH802" s="65"/>
      <c r="AI802" s="65"/>
      <c r="AJ802" s="65"/>
      <c r="AL802" s="65"/>
    </row>
    <row r="803" spans="10:38" ht="14.5" x14ac:dyDescent="0.35">
      <c r="J803" s="65"/>
      <c r="K803" s="65"/>
      <c r="L803" s="65"/>
      <c r="M803" s="65"/>
      <c r="N803" s="65"/>
      <c r="O803" s="65"/>
      <c r="P803" s="65"/>
      <c r="Q803" s="65"/>
      <c r="R803" s="65"/>
      <c r="S803" s="65"/>
      <c r="T803" s="65"/>
      <c r="U803" s="65"/>
      <c r="V803" s="65"/>
      <c r="W803" s="65"/>
      <c r="X803" s="65"/>
      <c r="Y803" s="65"/>
      <c r="Z803" s="65"/>
      <c r="AA803" s="65"/>
      <c r="AB803" s="65"/>
      <c r="AC803" s="65"/>
      <c r="AD803" s="65"/>
      <c r="AE803" s="65"/>
      <c r="AF803" s="65"/>
      <c r="AG803" s="65"/>
      <c r="AH803" s="65"/>
      <c r="AI803" s="65"/>
      <c r="AJ803" s="65"/>
      <c r="AL803" s="65"/>
    </row>
    <row r="804" spans="10:38" ht="14.5" x14ac:dyDescent="0.35">
      <c r="J804" s="65"/>
      <c r="K804" s="65"/>
      <c r="L804" s="65"/>
      <c r="M804" s="65"/>
      <c r="N804" s="65"/>
      <c r="O804" s="65"/>
      <c r="P804" s="65"/>
      <c r="Q804" s="65"/>
      <c r="R804" s="65"/>
      <c r="S804" s="65"/>
      <c r="T804" s="65"/>
      <c r="U804" s="65"/>
      <c r="V804" s="65"/>
      <c r="W804" s="65"/>
      <c r="X804" s="65"/>
      <c r="Y804" s="65"/>
      <c r="Z804" s="65"/>
      <c r="AA804" s="65"/>
      <c r="AB804" s="65"/>
      <c r="AC804" s="65"/>
      <c r="AD804" s="65"/>
      <c r="AE804" s="65"/>
      <c r="AF804" s="65"/>
      <c r="AG804" s="65"/>
      <c r="AH804" s="65"/>
      <c r="AI804" s="65"/>
      <c r="AJ804" s="65"/>
      <c r="AL804" s="65"/>
    </row>
    <row r="805" spans="10:38" ht="14.5" x14ac:dyDescent="0.35">
      <c r="J805" s="65"/>
      <c r="K805" s="65"/>
      <c r="L805" s="65"/>
      <c r="M805" s="65"/>
      <c r="N805" s="65"/>
      <c r="O805" s="65"/>
      <c r="P805" s="65"/>
      <c r="Q805" s="65"/>
      <c r="R805" s="65"/>
      <c r="S805" s="65"/>
      <c r="T805" s="65"/>
      <c r="U805" s="65"/>
      <c r="V805" s="65"/>
      <c r="W805" s="65"/>
      <c r="X805" s="65"/>
      <c r="Y805" s="65"/>
      <c r="Z805" s="65"/>
      <c r="AA805" s="65"/>
      <c r="AB805" s="65"/>
      <c r="AC805" s="65"/>
      <c r="AD805" s="65"/>
      <c r="AE805" s="65"/>
      <c r="AF805" s="65"/>
      <c r="AG805" s="65"/>
      <c r="AH805" s="65"/>
      <c r="AI805" s="65"/>
      <c r="AJ805" s="65"/>
      <c r="AL805" s="65"/>
    </row>
    <row r="806" spans="10:38" ht="14.5" x14ac:dyDescent="0.35">
      <c r="J806" s="65"/>
      <c r="K806" s="65"/>
      <c r="L806" s="65"/>
      <c r="M806" s="65"/>
      <c r="N806" s="65"/>
      <c r="O806" s="65"/>
      <c r="P806" s="65"/>
      <c r="Q806" s="65"/>
      <c r="R806" s="65"/>
      <c r="S806" s="65"/>
      <c r="T806" s="65"/>
      <c r="U806" s="65"/>
      <c r="V806" s="65"/>
      <c r="W806" s="65"/>
      <c r="X806" s="65"/>
      <c r="Y806" s="65"/>
      <c r="Z806" s="65"/>
      <c r="AA806" s="65"/>
      <c r="AB806" s="65"/>
      <c r="AC806" s="65"/>
      <c r="AD806" s="65"/>
      <c r="AE806" s="65"/>
      <c r="AF806" s="65"/>
      <c r="AG806" s="65"/>
      <c r="AH806" s="65"/>
      <c r="AI806" s="65"/>
      <c r="AJ806" s="65"/>
      <c r="AL806" s="65"/>
    </row>
    <row r="807" spans="10:38" ht="14.5" x14ac:dyDescent="0.35">
      <c r="J807" s="65"/>
      <c r="K807" s="65"/>
      <c r="L807" s="65"/>
      <c r="M807" s="65"/>
      <c r="N807" s="65"/>
      <c r="O807" s="65"/>
      <c r="P807" s="65"/>
      <c r="Q807" s="65"/>
      <c r="R807" s="65"/>
      <c r="S807" s="65"/>
      <c r="T807" s="65"/>
      <c r="U807" s="65"/>
      <c r="V807" s="65"/>
      <c r="W807" s="65"/>
      <c r="X807" s="65"/>
      <c r="Y807" s="65"/>
      <c r="Z807" s="65"/>
      <c r="AA807" s="65"/>
      <c r="AB807" s="65"/>
      <c r="AC807" s="65"/>
      <c r="AD807" s="65"/>
      <c r="AE807" s="65"/>
      <c r="AF807" s="65"/>
      <c r="AG807" s="65"/>
      <c r="AH807" s="65"/>
      <c r="AI807" s="65"/>
      <c r="AJ807" s="65"/>
      <c r="AL807" s="65"/>
    </row>
    <row r="808" spans="10:38" ht="14.5" x14ac:dyDescent="0.3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c r="AH808" s="65"/>
      <c r="AI808" s="65"/>
      <c r="AJ808" s="65"/>
      <c r="AL808" s="65"/>
    </row>
    <row r="809" spans="10:38" ht="14.5" x14ac:dyDescent="0.35">
      <c r="J809" s="65"/>
      <c r="K809" s="65"/>
      <c r="L809" s="65"/>
      <c r="M809" s="65"/>
      <c r="N809" s="65"/>
      <c r="O809" s="65"/>
      <c r="P809" s="65"/>
      <c r="Q809" s="65"/>
      <c r="R809" s="65"/>
      <c r="S809" s="65"/>
      <c r="T809" s="65"/>
      <c r="U809" s="65"/>
      <c r="V809" s="65"/>
      <c r="W809" s="65"/>
      <c r="X809" s="65"/>
      <c r="Y809" s="65"/>
      <c r="Z809" s="65"/>
      <c r="AA809" s="65"/>
      <c r="AB809" s="65"/>
      <c r="AC809" s="65"/>
      <c r="AD809" s="65"/>
      <c r="AE809" s="65"/>
      <c r="AF809" s="65"/>
      <c r="AG809" s="65"/>
      <c r="AH809" s="65"/>
      <c r="AI809" s="65"/>
      <c r="AJ809" s="65"/>
      <c r="AL809" s="65"/>
    </row>
    <row r="810" spans="10:38" ht="14.5" x14ac:dyDescent="0.35">
      <c r="J810" s="65"/>
      <c r="K810" s="65"/>
      <c r="L810" s="65"/>
      <c r="M810" s="65"/>
      <c r="N810" s="65"/>
      <c r="O810" s="65"/>
      <c r="P810" s="65"/>
      <c r="Q810" s="65"/>
      <c r="R810" s="65"/>
      <c r="S810" s="65"/>
      <c r="T810" s="65"/>
      <c r="U810" s="65"/>
      <c r="V810" s="65"/>
      <c r="W810" s="65"/>
      <c r="X810" s="65"/>
      <c r="Y810" s="65"/>
      <c r="Z810" s="65"/>
      <c r="AA810" s="65"/>
      <c r="AB810" s="65"/>
      <c r="AC810" s="65"/>
      <c r="AD810" s="65"/>
      <c r="AE810" s="65"/>
      <c r="AF810" s="65"/>
      <c r="AG810" s="65"/>
      <c r="AH810" s="65"/>
      <c r="AI810" s="65"/>
      <c r="AJ810" s="65"/>
      <c r="AL810" s="65"/>
    </row>
    <row r="811" spans="10:38" ht="14.5" x14ac:dyDescent="0.35">
      <c r="J811" s="65"/>
      <c r="K811" s="65"/>
      <c r="L811" s="65"/>
      <c r="M811" s="65"/>
      <c r="N811" s="65"/>
      <c r="O811" s="65"/>
      <c r="P811" s="65"/>
      <c r="Q811" s="65"/>
      <c r="R811" s="65"/>
      <c r="S811" s="65"/>
      <c r="T811" s="65"/>
      <c r="U811" s="65"/>
      <c r="V811" s="65"/>
      <c r="W811" s="65"/>
      <c r="X811" s="65"/>
      <c r="Y811" s="65"/>
      <c r="Z811" s="65"/>
      <c r="AA811" s="65"/>
      <c r="AB811" s="65"/>
      <c r="AC811" s="65"/>
      <c r="AD811" s="65"/>
      <c r="AE811" s="65"/>
      <c r="AF811" s="65"/>
      <c r="AG811" s="65"/>
      <c r="AH811" s="65"/>
      <c r="AI811" s="65"/>
      <c r="AJ811" s="65"/>
      <c r="AL811" s="65"/>
    </row>
    <row r="812" spans="10:38" ht="14.5" x14ac:dyDescent="0.35">
      <c r="J812" s="65"/>
      <c r="K812" s="65"/>
      <c r="L812" s="65"/>
      <c r="M812" s="65"/>
      <c r="N812" s="65"/>
      <c r="O812" s="65"/>
      <c r="P812" s="65"/>
      <c r="Q812" s="65"/>
      <c r="R812" s="65"/>
      <c r="S812" s="65"/>
      <c r="T812" s="65"/>
      <c r="U812" s="65"/>
      <c r="V812" s="65"/>
      <c r="W812" s="65"/>
      <c r="X812" s="65"/>
      <c r="Y812" s="65"/>
      <c r="Z812" s="65"/>
      <c r="AA812" s="65"/>
      <c r="AB812" s="65"/>
      <c r="AC812" s="65"/>
      <c r="AD812" s="65"/>
      <c r="AE812" s="65"/>
      <c r="AF812" s="65"/>
      <c r="AG812" s="65"/>
      <c r="AH812" s="65"/>
      <c r="AI812" s="65"/>
      <c r="AJ812" s="65"/>
      <c r="AL812" s="65"/>
    </row>
    <row r="813" spans="10:38" ht="14.5" x14ac:dyDescent="0.35">
      <c r="J813" s="65"/>
      <c r="K813" s="65"/>
      <c r="L813" s="65"/>
      <c r="M813" s="65"/>
      <c r="N813" s="65"/>
      <c r="O813" s="65"/>
      <c r="P813" s="65"/>
      <c r="Q813" s="65"/>
      <c r="R813" s="65"/>
      <c r="S813" s="65"/>
      <c r="T813" s="65"/>
      <c r="U813" s="65"/>
      <c r="V813" s="65"/>
      <c r="W813" s="65"/>
      <c r="X813" s="65"/>
      <c r="Y813" s="65"/>
      <c r="Z813" s="65"/>
      <c r="AA813" s="65"/>
      <c r="AB813" s="65"/>
      <c r="AC813" s="65"/>
      <c r="AD813" s="65"/>
      <c r="AE813" s="65"/>
      <c r="AF813" s="65"/>
      <c r="AG813" s="65"/>
      <c r="AH813" s="65"/>
      <c r="AI813" s="65"/>
      <c r="AJ813" s="65"/>
      <c r="AL813" s="65"/>
    </row>
    <row r="814" spans="10:38" ht="14.5" x14ac:dyDescent="0.35">
      <c r="J814" s="65"/>
      <c r="K814" s="65"/>
      <c r="L814" s="65"/>
      <c r="M814" s="65"/>
      <c r="N814" s="65"/>
      <c r="O814" s="65"/>
      <c r="P814" s="65"/>
      <c r="Q814" s="65"/>
      <c r="R814" s="65"/>
      <c r="S814" s="65"/>
      <c r="T814" s="65"/>
      <c r="U814" s="65"/>
      <c r="V814" s="65"/>
      <c r="W814" s="65"/>
      <c r="X814" s="65"/>
      <c r="Y814" s="65"/>
      <c r="Z814" s="65"/>
      <c r="AA814" s="65"/>
      <c r="AB814" s="65"/>
      <c r="AC814" s="65"/>
      <c r="AD814" s="65"/>
      <c r="AE814" s="65"/>
      <c r="AF814" s="65"/>
      <c r="AG814" s="65"/>
      <c r="AH814" s="65"/>
      <c r="AI814" s="65"/>
      <c r="AJ814" s="65"/>
      <c r="AL814" s="65"/>
    </row>
    <row r="815" spans="10:38" ht="14.5" x14ac:dyDescent="0.3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c r="AH815" s="65"/>
      <c r="AI815" s="65"/>
      <c r="AJ815" s="65"/>
      <c r="AL815" s="65"/>
    </row>
    <row r="816" spans="10:38" ht="14.5" x14ac:dyDescent="0.3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L816" s="65"/>
    </row>
    <row r="817" spans="10:38" ht="14.5" x14ac:dyDescent="0.35">
      <c r="J817" s="65"/>
      <c r="K817" s="65"/>
      <c r="L817" s="65"/>
      <c r="M817" s="65"/>
      <c r="N817" s="65"/>
      <c r="O817" s="65"/>
      <c r="P817" s="65"/>
      <c r="Q817" s="65"/>
      <c r="R817" s="65"/>
      <c r="S817" s="65"/>
      <c r="T817" s="65"/>
      <c r="U817" s="65"/>
      <c r="V817" s="65"/>
      <c r="W817" s="65"/>
      <c r="X817" s="65"/>
      <c r="Y817" s="65"/>
      <c r="Z817" s="65"/>
      <c r="AA817" s="65"/>
      <c r="AB817" s="65"/>
      <c r="AC817" s="65"/>
      <c r="AD817" s="65"/>
      <c r="AE817" s="65"/>
      <c r="AF817" s="65"/>
      <c r="AG817" s="65"/>
      <c r="AH817" s="65"/>
      <c r="AI817" s="65"/>
      <c r="AJ817" s="65"/>
      <c r="AL817" s="65"/>
    </row>
    <row r="818" spans="10:38" ht="14.5" x14ac:dyDescent="0.35">
      <c r="J818" s="65"/>
      <c r="K818" s="65"/>
      <c r="L818" s="65"/>
      <c r="M818" s="65"/>
      <c r="N818" s="65"/>
      <c r="O818" s="65"/>
      <c r="P818" s="65"/>
      <c r="Q818" s="65"/>
      <c r="R818" s="65"/>
      <c r="S818" s="65"/>
      <c r="T818" s="65"/>
      <c r="U818" s="65"/>
      <c r="V818" s="65"/>
      <c r="W818" s="65"/>
      <c r="X818" s="65"/>
      <c r="Y818" s="65"/>
      <c r="Z818" s="65"/>
      <c r="AA818" s="65"/>
      <c r="AB818" s="65"/>
      <c r="AC818" s="65"/>
      <c r="AD818" s="65"/>
      <c r="AE818" s="65"/>
      <c r="AF818" s="65"/>
      <c r="AG818" s="65"/>
      <c r="AH818" s="65"/>
      <c r="AI818" s="65"/>
      <c r="AJ818" s="65"/>
      <c r="AL818" s="65"/>
    </row>
    <row r="819" spans="10:38" ht="14.5" x14ac:dyDescent="0.35">
      <c r="J819" s="65"/>
      <c r="K819" s="65"/>
      <c r="L819" s="65"/>
      <c r="M819" s="65"/>
      <c r="N819" s="65"/>
      <c r="O819" s="65"/>
      <c r="P819" s="65"/>
      <c r="Q819" s="65"/>
      <c r="R819" s="65"/>
      <c r="S819" s="65"/>
      <c r="T819" s="65"/>
      <c r="U819" s="65"/>
      <c r="V819" s="65"/>
      <c r="W819" s="65"/>
      <c r="X819" s="65"/>
      <c r="Y819" s="65"/>
      <c r="Z819" s="65"/>
      <c r="AA819" s="65"/>
      <c r="AB819" s="65"/>
      <c r="AC819" s="65"/>
      <c r="AD819" s="65"/>
      <c r="AE819" s="65"/>
      <c r="AF819" s="65"/>
      <c r="AG819" s="65"/>
      <c r="AH819" s="65"/>
      <c r="AI819" s="65"/>
      <c r="AJ819" s="65"/>
    </row>
    <row r="820" spans="10:38" ht="14.5" x14ac:dyDescent="0.35">
      <c r="J820" s="65"/>
      <c r="K820" s="65"/>
      <c r="L820" s="65"/>
      <c r="M820" s="65"/>
      <c r="N820" s="65"/>
      <c r="O820" s="65"/>
      <c r="P820" s="65"/>
      <c r="Q820" s="65"/>
      <c r="R820" s="65"/>
      <c r="S820" s="65"/>
      <c r="T820" s="65"/>
      <c r="U820" s="65"/>
      <c r="V820" s="65"/>
      <c r="W820" s="65"/>
      <c r="X820" s="65"/>
      <c r="Y820" s="65"/>
      <c r="Z820" s="65"/>
      <c r="AA820" s="65"/>
      <c r="AB820" s="65"/>
      <c r="AC820" s="65"/>
      <c r="AD820" s="65"/>
      <c r="AE820" s="65"/>
      <c r="AF820" s="65"/>
      <c r="AG820" s="65"/>
      <c r="AH820" s="65"/>
      <c r="AI820" s="65"/>
      <c r="AJ820" s="65"/>
    </row>
    <row r="821" spans="10:38" ht="14.5" x14ac:dyDescent="0.35">
      <c r="J821" s="65"/>
      <c r="K821" s="65"/>
      <c r="L821" s="65"/>
      <c r="M821" s="65"/>
      <c r="N821" s="65"/>
      <c r="O821" s="65"/>
      <c r="P821" s="65"/>
      <c r="Q821" s="65"/>
      <c r="R821" s="65"/>
      <c r="S821" s="65"/>
      <c r="T821" s="65"/>
      <c r="U821" s="65"/>
      <c r="V821" s="65"/>
      <c r="W821" s="65"/>
      <c r="X821" s="65"/>
      <c r="Y821" s="65"/>
      <c r="Z821" s="65"/>
      <c r="AA821" s="65"/>
      <c r="AB821" s="65"/>
      <c r="AC821" s="65"/>
      <c r="AD821" s="65"/>
      <c r="AE821" s="65"/>
      <c r="AF821" s="65"/>
      <c r="AG821" s="65"/>
      <c r="AH821" s="65"/>
      <c r="AI821" s="65"/>
      <c r="AJ821" s="65"/>
    </row>
    <row r="822" spans="10:38" ht="14.5" x14ac:dyDescent="0.35">
      <c r="J822" s="65"/>
      <c r="K822" s="65"/>
      <c r="L822" s="65"/>
      <c r="M822" s="65"/>
      <c r="N822" s="65"/>
      <c r="O822" s="65"/>
      <c r="P822" s="65"/>
      <c r="Q822" s="65"/>
      <c r="R822" s="65"/>
      <c r="S822" s="65"/>
      <c r="T822" s="65"/>
      <c r="U822" s="65"/>
      <c r="V822" s="65"/>
      <c r="W822" s="65"/>
      <c r="X822" s="65"/>
      <c r="Y822" s="65"/>
      <c r="Z822" s="65"/>
      <c r="AA822" s="65"/>
      <c r="AB822" s="65"/>
      <c r="AC822" s="65"/>
      <c r="AD822" s="65"/>
      <c r="AE822" s="65"/>
      <c r="AF822" s="65"/>
      <c r="AG822" s="65"/>
      <c r="AH822" s="65"/>
      <c r="AI822" s="65"/>
      <c r="AJ822" s="65"/>
    </row>
    <row r="823" spans="10:38" ht="14.5" x14ac:dyDescent="0.35">
      <c r="J823" s="65"/>
      <c r="K823" s="65"/>
      <c r="L823" s="65"/>
      <c r="M823" s="65"/>
      <c r="N823" s="65"/>
      <c r="O823" s="65"/>
      <c r="P823" s="65"/>
      <c r="Q823" s="65"/>
      <c r="R823" s="65"/>
      <c r="S823" s="65"/>
      <c r="T823" s="65"/>
      <c r="U823" s="65"/>
      <c r="V823" s="65"/>
      <c r="W823" s="65"/>
      <c r="X823" s="65"/>
      <c r="Y823" s="65"/>
      <c r="Z823" s="65"/>
      <c r="AA823" s="65"/>
      <c r="AB823" s="65"/>
      <c r="AC823" s="65"/>
      <c r="AD823" s="65"/>
      <c r="AE823" s="65"/>
      <c r="AF823" s="65"/>
      <c r="AG823" s="65"/>
      <c r="AH823" s="65"/>
      <c r="AI823" s="65"/>
      <c r="AJ823" s="65"/>
    </row>
    <row r="824" spans="10:38" ht="14.5" x14ac:dyDescent="0.35">
      <c r="J824" s="65"/>
      <c r="K824" s="65"/>
      <c r="L824" s="65"/>
      <c r="M824" s="65"/>
      <c r="N824" s="65"/>
      <c r="O824" s="65"/>
      <c r="P824" s="65"/>
      <c r="Q824" s="65"/>
      <c r="R824" s="65"/>
      <c r="S824" s="65"/>
      <c r="T824" s="65"/>
      <c r="U824" s="65"/>
      <c r="V824" s="65"/>
      <c r="W824" s="65"/>
      <c r="X824" s="65"/>
      <c r="Y824" s="65"/>
      <c r="Z824" s="65"/>
      <c r="AA824" s="65"/>
      <c r="AB824" s="65"/>
      <c r="AC824" s="65"/>
      <c r="AD824" s="65"/>
      <c r="AE824" s="65"/>
      <c r="AF824" s="65"/>
      <c r="AG824" s="65"/>
      <c r="AH824" s="65"/>
      <c r="AI824" s="65"/>
      <c r="AJ824" s="65"/>
    </row>
    <row r="825" spans="10:38" ht="14.5" x14ac:dyDescent="0.35">
      <c r="J825" s="65"/>
      <c r="K825" s="65"/>
      <c r="L825" s="65"/>
      <c r="M825" s="65"/>
      <c r="N825" s="65"/>
      <c r="O825" s="65"/>
      <c r="P825" s="65"/>
      <c r="Q825" s="65"/>
      <c r="R825" s="65"/>
      <c r="S825" s="65"/>
      <c r="T825" s="65"/>
      <c r="U825" s="65"/>
      <c r="V825" s="65"/>
      <c r="W825" s="65"/>
      <c r="X825" s="65"/>
      <c r="Y825" s="65"/>
      <c r="Z825" s="65"/>
      <c r="AA825" s="65"/>
      <c r="AB825" s="65"/>
      <c r="AC825" s="65"/>
      <c r="AD825" s="65"/>
      <c r="AE825" s="65"/>
      <c r="AF825" s="65"/>
      <c r="AG825" s="65"/>
      <c r="AH825" s="65"/>
      <c r="AI825" s="65"/>
      <c r="AJ825" s="65"/>
    </row>
    <row r="826" spans="10:38" ht="14.5" x14ac:dyDescent="0.35">
      <c r="J826" s="65"/>
      <c r="K826" s="65"/>
      <c r="L826" s="65"/>
      <c r="M826" s="65"/>
      <c r="N826" s="65"/>
      <c r="O826" s="65"/>
      <c r="P826" s="65"/>
      <c r="Q826" s="65"/>
      <c r="R826" s="65"/>
      <c r="S826" s="65"/>
      <c r="T826" s="65"/>
      <c r="U826" s="65"/>
      <c r="V826" s="65"/>
      <c r="W826" s="65"/>
      <c r="X826" s="65"/>
      <c r="Y826" s="65"/>
      <c r="Z826" s="65"/>
      <c r="AA826" s="65"/>
      <c r="AB826" s="65"/>
      <c r="AC826" s="65"/>
      <c r="AD826" s="65"/>
      <c r="AE826" s="65"/>
      <c r="AF826" s="65"/>
      <c r="AG826" s="65"/>
      <c r="AH826" s="65"/>
      <c r="AI826" s="65"/>
      <c r="AJ826" s="65"/>
    </row>
    <row r="827" spans="10:38" ht="14.5" x14ac:dyDescent="0.35">
      <c r="J827" s="65"/>
      <c r="K827" s="65"/>
      <c r="L827" s="65"/>
      <c r="M827" s="65"/>
      <c r="N827" s="65"/>
      <c r="O827" s="65"/>
      <c r="P827" s="65"/>
      <c r="Q827" s="65"/>
      <c r="R827" s="65"/>
      <c r="S827" s="65"/>
      <c r="T827" s="65"/>
      <c r="U827" s="65"/>
      <c r="V827" s="65"/>
      <c r="W827" s="65"/>
      <c r="X827" s="65"/>
      <c r="Y827" s="65"/>
      <c r="Z827" s="65"/>
      <c r="AA827" s="65"/>
      <c r="AB827" s="65"/>
      <c r="AC827" s="65"/>
      <c r="AD827" s="65"/>
      <c r="AE827" s="65"/>
      <c r="AF827" s="65"/>
      <c r="AG827" s="65"/>
      <c r="AH827" s="65"/>
      <c r="AI827" s="65"/>
      <c r="AJ827" s="65"/>
    </row>
    <row r="828" spans="10:38" ht="14.5" x14ac:dyDescent="0.35"/>
    <row r="829" spans="10:38" ht="14.5" x14ac:dyDescent="0.35"/>
    <row r="830" spans="10:38" ht="14.5" x14ac:dyDescent="0.35"/>
    <row r="831" spans="10:38" ht="14.5" x14ac:dyDescent="0.35"/>
    <row r="832" spans="10:38" ht="14.5" x14ac:dyDescent="0.35"/>
    <row r="833" ht="14.5" x14ac:dyDescent="0.35"/>
    <row r="834" ht="14.5" x14ac:dyDescent="0.35"/>
    <row r="835" ht="14.5" x14ac:dyDescent="0.35"/>
    <row r="836" ht="14.5" x14ac:dyDescent="0.35"/>
    <row r="837" ht="14.5" x14ac:dyDescent="0.35"/>
    <row r="838" ht="14.5" x14ac:dyDescent="0.35"/>
    <row r="839" ht="14.5" x14ac:dyDescent="0.35"/>
    <row r="840" ht="14.5" x14ac:dyDescent="0.35"/>
    <row r="841" ht="14.5" x14ac:dyDescent="0.35"/>
    <row r="842" ht="14.5" x14ac:dyDescent="0.35"/>
    <row r="843" ht="14.5" x14ac:dyDescent="0.35"/>
    <row r="844" ht="14.5" x14ac:dyDescent="0.35"/>
    <row r="845" ht="14.5" x14ac:dyDescent="0.35"/>
    <row r="846" ht="14.5" x14ac:dyDescent="0.35"/>
    <row r="847" ht="14.5" x14ac:dyDescent="0.35"/>
    <row r="848" ht="14.5" x14ac:dyDescent="0.35"/>
    <row r="849" ht="14.5" x14ac:dyDescent="0.35"/>
    <row r="850" ht="14.5" x14ac:dyDescent="0.35"/>
    <row r="851" ht="14.5" x14ac:dyDescent="0.35"/>
    <row r="852" ht="14.5" x14ac:dyDescent="0.35"/>
    <row r="853" ht="14.5" x14ac:dyDescent="0.35"/>
    <row r="854" ht="14.5" x14ac:dyDescent="0.35"/>
    <row r="855" ht="14.5" x14ac:dyDescent="0.35"/>
    <row r="856" ht="14.5" x14ac:dyDescent="0.35"/>
    <row r="857" ht="14.5" x14ac:dyDescent="0.35"/>
    <row r="858" ht="14.5" x14ac:dyDescent="0.35"/>
    <row r="859" ht="14.5" x14ac:dyDescent="0.35"/>
    <row r="860" ht="14.5" x14ac:dyDescent="0.35"/>
    <row r="861" ht="14.5" x14ac:dyDescent="0.35"/>
    <row r="862" ht="14.5" x14ac:dyDescent="0.35"/>
    <row r="863" ht="14.5" x14ac:dyDescent="0.35"/>
    <row r="864" ht="14.5" x14ac:dyDescent="0.35"/>
    <row r="865" ht="14.5" x14ac:dyDescent="0.35"/>
    <row r="866" ht="14.5" x14ac:dyDescent="0.35"/>
    <row r="867" ht="14.5" x14ac:dyDescent="0.35"/>
    <row r="868" ht="14.5" x14ac:dyDescent="0.35"/>
    <row r="869" ht="14.5" x14ac:dyDescent="0.35"/>
    <row r="870" ht="14.5" x14ac:dyDescent="0.35"/>
    <row r="871" ht="14.5" x14ac:dyDescent="0.35"/>
    <row r="872" ht="14.5" x14ac:dyDescent="0.35"/>
    <row r="873" ht="14.5" x14ac:dyDescent="0.35"/>
    <row r="874" ht="14.5" x14ac:dyDescent="0.35"/>
    <row r="875" ht="14.5" x14ac:dyDescent="0.35"/>
    <row r="876" ht="14.5" x14ac:dyDescent="0.35"/>
    <row r="877" ht="14.5" x14ac:dyDescent="0.35"/>
    <row r="878" ht="14.5" x14ac:dyDescent="0.35"/>
    <row r="879" ht="14.5" x14ac:dyDescent="0.35"/>
    <row r="880" ht="14.5" x14ac:dyDescent="0.35"/>
    <row r="881" ht="14.5" x14ac:dyDescent="0.35"/>
    <row r="882" ht="14.5" x14ac:dyDescent="0.35"/>
    <row r="883" ht="14.5" x14ac:dyDescent="0.35"/>
    <row r="884" ht="14.5" x14ac:dyDescent="0.35"/>
    <row r="885" ht="14.5" x14ac:dyDescent="0.35"/>
    <row r="886" ht="14.5" x14ac:dyDescent="0.35"/>
    <row r="887" ht="14.5" x14ac:dyDescent="0.35"/>
    <row r="888" ht="14.5" x14ac:dyDescent="0.35"/>
    <row r="889" ht="14.5" x14ac:dyDescent="0.35"/>
    <row r="890" ht="14.5" x14ac:dyDescent="0.35"/>
    <row r="891" ht="14.5" x14ac:dyDescent="0.35"/>
    <row r="892" ht="14.5" x14ac:dyDescent="0.35"/>
    <row r="893" ht="14.5" x14ac:dyDescent="0.35"/>
    <row r="894" ht="14.5" x14ac:dyDescent="0.35"/>
    <row r="895" ht="14.5" x14ac:dyDescent="0.35"/>
    <row r="896" ht="14.5" x14ac:dyDescent="0.35"/>
    <row r="897" ht="14.5" x14ac:dyDescent="0.35"/>
    <row r="898" ht="14.5" x14ac:dyDescent="0.35"/>
    <row r="899" ht="14.5" x14ac:dyDescent="0.35"/>
    <row r="900" ht="14.5" x14ac:dyDescent="0.35"/>
    <row r="901" ht="14.5" x14ac:dyDescent="0.35"/>
    <row r="902" ht="14.5" x14ac:dyDescent="0.35"/>
    <row r="903" ht="14.5" x14ac:dyDescent="0.35"/>
    <row r="904" ht="14.5" x14ac:dyDescent="0.35"/>
    <row r="905" ht="14.5" x14ac:dyDescent="0.35"/>
    <row r="906" ht="14.5" x14ac:dyDescent="0.35"/>
    <row r="907" ht="14.5" x14ac:dyDescent="0.35"/>
    <row r="908" ht="14.5" x14ac:dyDescent="0.35"/>
    <row r="909" ht="14.5" x14ac:dyDescent="0.35"/>
    <row r="910" ht="14.5" x14ac:dyDescent="0.35"/>
    <row r="911" ht="14.5" x14ac:dyDescent="0.35"/>
    <row r="912" ht="14.5" x14ac:dyDescent="0.35"/>
    <row r="913" ht="14.5" x14ac:dyDescent="0.35"/>
    <row r="914" ht="14.5" x14ac:dyDescent="0.35"/>
    <row r="915" ht="14.5" x14ac:dyDescent="0.35"/>
    <row r="916" ht="14.5" x14ac:dyDescent="0.35"/>
    <row r="917" ht="14.5" x14ac:dyDescent="0.35"/>
    <row r="918" ht="14.5" x14ac:dyDescent="0.35"/>
    <row r="919" ht="14.5" x14ac:dyDescent="0.35"/>
    <row r="920" ht="14.5" x14ac:dyDescent="0.35"/>
    <row r="921" ht="14.5" x14ac:dyDescent="0.35"/>
    <row r="922" ht="14.5" x14ac:dyDescent="0.35"/>
    <row r="923" ht="14.5" x14ac:dyDescent="0.35"/>
    <row r="924" ht="14.5" x14ac:dyDescent="0.35"/>
    <row r="925" ht="14.5" x14ac:dyDescent="0.35"/>
    <row r="926" ht="14.5" x14ac:dyDescent="0.35"/>
    <row r="927" ht="14.5" x14ac:dyDescent="0.35"/>
    <row r="928" ht="14.5" x14ac:dyDescent="0.35"/>
    <row r="929" ht="14.5" x14ac:dyDescent="0.35"/>
    <row r="930" ht="14.5" x14ac:dyDescent="0.35"/>
    <row r="931" ht="14.5" x14ac:dyDescent="0.35"/>
    <row r="932" ht="14.5" x14ac:dyDescent="0.35"/>
    <row r="933" ht="14.5" x14ac:dyDescent="0.35"/>
    <row r="934" ht="14.5" x14ac:dyDescent="0.35"/>
    <row r="935" ht="14.5" x14ac:dyDescent="0.35"/>
    <row r="936" ht="14.5" x14ac:dyDescent="0.35"/>
    <row r="937" ht="14.5" x14ac:dyDescent="0.35"/>
    <row r="938" ht="14.5" x14ac:dyDescent="0.35"/>
    <row r="939" ht="14.5" x14ac:dyDescent="0.35"/>
    <row r="940" ht="14.5" x14ac:dyDescent="0.35"/>
    <row r="941" ht="14.5" x14ac:dyDescent="0.35"/>
    <row r="942" ht="14.5" x14ac:dyDescent="0.35"/>
    <row r="943" ht="14.5" x14ac:dyDescent="0.35"/>
    <row r="944" ht="14.5" x14ac:dyDescent="0.35"/>
    <row r="945" ht="14.5" x14ac:dyDescent="0.35"/>
    <row r="946" ht="14.5" x14ac:dyDescent="0.35"/>
    <row r="947" ht="14.5" x14ac:dyDescent="0.35"/>
    <row r="948" ht="14.5" x14ac:dyDescent="0.35"/>
    <row r="949" ht="14.5" x14ac:dyDescent="0.35"/>
    <row r="950" ht="14.5" x14ac:dyDescent="0.35"/>
    <row r="951" ht="14.5" x14ac:dyDescent="0.35"/>
    <row r="952" ht="14.5" x14ac:dyDescent="0.35"/>
    <row r="953" ht="14.5" x14ac:dyDescent="0.35"/>
    <row r="954" ht="14.5" x14ac:dyDescent="0.35"/>
    <row r="955" ht="14.5" x14ac:dyDescent="0.35"/>
    <row r="956" ht="14.5" x14ac:dyDescent="0.35"/>
    <row r="957" ht="14.5" x14ac:dyDescent="0.35"/>
    <row r="958" ht="14.5" x14ac:dyDescent="0.35"/>
    <row r="959" ht="14.5" x14ac:dyDescent="0.35"/>
    <row r="960" ht="14.5" x14ac:dyDescent="0.35"/>
    <row r="961" ht="14.5" x14ac:dyDescent="0.35"/>
    <row r="962" ht="14.5" x14ac:dyDescent="0.35"/>
    <row r="963" ht="14.5" x14ac:dyDescent="0.35"/>
    <row r="964" ht="14.5" x14ac:dyDescent="0.35"/>
    <row r="965" ht="14.5" x14ac:dyDescent="0.35"/>
    <row r="966" ht="14.5" x14ac:dyDescent="0.35"/>
    <row r="967" ht="14.5" x14ac:dyDescent="0.35"/>
    <row r="968" ht="14.5" x14ac:dyDescent="0.35"/>
    <row r="969" ht="14.5" x14ac:dyDescent="0.35"/>
    <row r="970" ht="14.5" x14ac:dyDescent="0.35"/>
    <row r="971" ht="14.5" x14ac:dyDescent="0.35"/>
    <row r="972" ht="14.5" x14ac:dyDescent="0.35"/>
    <row r="973" ht="14.5" x14ac:dyDescent="0.35"/>
    <row r="974" ht="14.5" x14ac:dyDescent="0.35"/>
    <row r="975" ht="14.5" x14ac:dyDescent="0.35"/>
    <row r="976" ht="14.5" x14ac:dyDescent="0.35"/>
    <row r="977" ht="14.5" x14ac:dyDescent="0.35"/>
    <row r="978" ht="14.5" x14ac:dyDescent="0.35"/>
    <row r="979" ht="14.5" x14ac:dyDescent="0.35"/>
    <row r="980" ht="14.5" x14ac:dyDescent="0.35"/>
    <row r="981" ht="14.5" x14ac:dyDescent="0.35"/>
    <row r="982" ht="14.5" x14ac:dyDescent="0.35"/>
    <row r="983" ht="14.5" x14ac:dyDescent="0.35"/>
    <row r="984" ht="14.5" x14ac:dyDescent="0.35"/>
    <row r="985" ht="14.5" x14ac:dyDescent="0.35"/>
    <row r="986" ht="14.5" x14ac:dyDescent="0.35"/>
    <row r="987" ht="14.5" x14ac:dyDescent="0.35"/>
    <row r="988" ht="14.5" x14ac:dyDescent="0.35"/>
    <row r="989" ht="14.5" x14ac:dyDescent="0.35"/>
    <row r="990" ht="14.5" x14ac:dyDescent="0.35"/>
    <row r="991" ht="14.5" x14ac:dyDescent="0.35"/>
    <row r="992" ht="14.5" x14ac:dyDescent="0.35"/>
    <row r="993" ht="14.5" x14ac:dyDescent="0.35"/>
    <row r="994" ht="14.5" x14ac:dyDescent="0.35"/>
    <row r="995" ht="14.5" x14ac:dyDescent="0.35"/>
    <row r="996" ht="14.5" x14ac:dyDescent="0.35"/>
    <row r="997" ht="14.5" x14ac:dyDescent="0.35"/>
    <row r="998" ht="14.5" x14ac:dyDescent="0.35"/>
    <row r="999" ht="14.5" x14ac:dyDescent="0.35"/>
    <row r="1000" ht="14.5" x14ac:dyDescent="0.35"/>
  </sheetData>
  <phoneticPr fontId="2" type="noConversion"/>
  <conditionalFormatting sqref="C2:AJ436">
    <cfRule type="expression" dxfId="408" priority="1">
      <formula>$B2&lt;&gt;0</formula>
    </cfRule>
  </conditionalFormatting>
  <conditionalFormatting sqref="AK300:AK407">
    <cfRule type="expression" dxfId="407" priority="31">
      <formula>$B329&lt;&gt;0</formula>
    </cfRule>
  </conditionalFormatting>
  <conditionalFormatting sqref="AL335:AL1526">
    <cfRule type="expression" dxfId="406" priority="2">
      <formula>$B344&lt;&gt;0</formula>
    </cfRule>
  </conditionalFormatting>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6968F-8DE2-44C7-9044-26312A25BBDD}">
  <sheetPr codeName="Sheet16">
    <tabColor rgb="FF0070C0"/>
  </sheetPr>
  <dimension ref="A1:AF88"/>
  <sheetViews>
    <sheetView zoomScale="80" zoomScaleNormal="80" workbookViewId="0">
      <pane xSplit="1" ySplit="1" topLeftCell="B2" activePane="bottomRight" state="frozen"/>
      <selection activeCell="A15" sqref="A15"/>
      <selection pane="topRight" activeCell="A15" sqref="A15"/>
      <selection pane="bottomLeft" activeCell="A15" sqref="A15"/>
      <selection pane="bottomRight" activeCell="K24" sqref="K24"/>
    </sheetView>
  </sheetViews>
  <sheetFormatPr defaultRowHeight="14.5" zeroHeight="1" x14ac:dyDescent="0.35"/>
  <cols>
    <col min="1" max="1" width="47.7265625" bestFit="1" customWidth="1"/>
    <col min="2" max="9" width="4.7265625" style="1" bestFit="1" customWidth="1"/>
    <col min="10" max="31" width="5.7265625" style="1" bestFit="1" customWidth="1"/>
    <col min="32" max="32" width="4.7265625" style="1" bestFit="1" customWidth="1"/>
  </cols>
  <sheetData>
    <row r="1" spans="1:32" x14ac:dyDescent="0.35">
      <c r="A1" s="61" t="s">
        <v>386</v>
      </c>
      <c r="B1" s="61" t="s">
        <v>37</v>
      </c>
      <c r="C1" s="61" t="s">
        <v>38</v>
      </c>
      <c r="D1" s="61" t="s">
        <v>39</v>
      </c>
      <c r="E1" s="61" t="s">
        <v>40</v>
      </c>
      <c r="F1" s="61" t="s">
        <v>41</v>
      </c>
      <c r="G1" s="61" t="s">
        <v>42</v>
      </c>
      <c r="H1" s="61" t="s">
        <v>43</v>
      </c>
      <c r="I1" s="61" t="s">
        <v>44</v>
      </c>
      <c r="J1" s="61" t="s">
        <v>45</v>
      </c>
      <c r="K1" s="61" t="s">
        <v>46</v>
      </c>
      <c r="L1" s="61" t="s">
        <v>47</v>
      </c>
      <c r="M1" s="61" t="s">
        <v>48</v>
      </c>
      <c r="N1" s="61" t="s">
        <v>49</v>
      </c>
      <c r="O1" s="61" t="s">
        <v>50</v>
      </c>
      <c r="P1" s="61" t="s">
        <v>51</v>
      </c>
      <c r="Q1" s="61" t="s">
        <v>52</v>
      </c>
      <c r="R1" s="61" t="s">
        <v>53</v>
      </c>
      <c r="S1" s="61" t="s">
        <v>54</v>
      </c>
      <c r="T1" s="61" t="s">
        <v>55</v>
      </c>
      <c r="U1" s="61" t="s">
        <v>56</v>
      </c>
      <c r="V1" s="61" t="s">
        <v>57</v>
      </c>
      <c r="W1" s="61" t="s">
        <v>58</v>
      </c>
      <c r="X1" s="61" t="s">
        <v>59</v>
      </c>
      <c r="Y1" s="61" t="s">
        <v>60</v>
      </c>
      <c r="Z1" s="61" t="s">
        <v>61</v>
      </c>
      <c r="AA1" s="61" t="s">
        <v>62</v>
      </c>
      <c r="AB1" s="61" t="s">
        <v>63</v>
      </c>
      <c r="AC1" s="61" t="s">
        <v>64</v>
      </c>
      <c r="AD1" s="61" t="s">
        <v>65</v>
      </c>
      <c r="AE1" s="61" t="s">
        <v>66</v>
      </c>
      <c r="AF1" s="61" t="s">
        <v>36</v>
      </c>
    </row>
    <row r="2" spans="1:32" x14ac:dyDescent="0.35">
      <c r="A2" t="s">
        <v>514</v>
      </c>
    </row>
    <row r="3" spans="1:32" x14ac:dyDescent="0.35">
      <c r="A3" t="s">
        <v>483</v>
      </c>
    </row>
    <row r="4" spans="1:32" x14ac:dyDescent="0.35">
      <c r="A4" t="s">
        <v>489</v>
      </c>
    </row>
    <row r="5" spans="1:32" x14ac:dyDescent="0.35">
      <c r="A5" t="s">
        <v>491</v>
      </c>
    </row>
    <row r="6" spans="1:32" x14ac:dyDescent="0.35">
      <c r="A6" t="s">
        <v>493</v>
      </c>
    </row>
    <row r="7" spans="1:32" x14ac:dyDescent="0.35"/>
    <row r="8" spans="1:32" x14ac:dyDescent="0.35">
      <c r="A8" t="s">
        <v>1467</v>
      </c>
    </row>
    <row r="9" spans="1:32" x14ac:dyDescent="0.35">
      <c r="A9" t="s">
        <v>495</v>
      </c>
    </row>
    <row r="10" spans="1:32" x14ac:dyDescent="0.35">
      <c r="A10" t="s">
        <v>506</v>
      </c>
    </row>
    <row r="11" spans="1:32" x14ac:dyDescent="0.35">
      <c r="A11" t="s">
        <v>1337</v>
      </c>
    </row>
    <row r="12" spans="1:32" x14ac:dyDescent="0.35"/>
    <row r="13" spans="1:32" x14ac:dyDescent="0.35">
      <c r="A13" t="s">
        <v>624</v>
      </c>
    </row>
    <row r="14" spans="1:32" x14ac:dyDescent="0.35">
      <c r="A14" t="s">
        <v>539</v>
      </c>
    </row>
    <row r="15" spans="1:32" x14ac:dyDescent="0.35"/>
    <row r="16" spans="1:32" x14ac:dyDescent="0.35">
      <c r="A16" t="s">
        <v>399</v>
      </c>
    </row>
    <row r="17" spans="1:1" x14ac:dyDescent="0.35">
      <c r="A17" t="s">
        <v>1153</v>
      </c>
    </row>
    <row r="18" spans="1:1" x14ac:dyDescent="0.35">
      <c r="A18" t="s">
        <v>1151</v>
      </c>
    </row>
    <row r="19" spans="1:1" x14ac:dyDescent="0.35">
      <c r="A19" t="s">
        <v>1149</v>
      </c>
    </row>
    <row r="20" spans="1:1" x14ac:dyDescent="0.35"/>
    <row r="21" spans="1:1" x14ac:dyDescent="0.35">
      <c r="A21" t="s">
        <v>515</v>
      </c>
    </row>
    <row r="22" spans="1:1" x14ac:dyDescent="0.35">
      <c r="A22" t="s">
        <v>487</v>
      </c>
    </row>
    <row r="23" spans="1:1" x14ac:dyDescent="0.35">
      <c r="A23" t="s">
        <v>490</v>
      </c>
    </row>
    <row r="24" spans="1:1" x14ac:dyDescent="0.35">
      <c r="A24" t="s">
        <v>492</v>
      </c>
    </row>
    <row r="25" spans="1:1" x14ac:dyDescent="0.35">
      <c r="A25" t="s">
        <v>494</v>
      </c>
    </row>
    <row r="26" spans="1:1" x14ac:dyDescent="0.35"/>
    <row r="27" spans="1:1" x14ac:dyDescent="0.35">
      <c r="A27" t="s">
        <v>1468</v>
      </c>
    </row>
    <row r="28" spans="1:1" x14ac:dyDescent="0.35">
      <c r="A28" t="s">
        <v>502</v>
      </c>
    </row>
    <row r="29" spans="1:1" x14ac:dyDescent="0.35">
      <c r="A29" t="s">
        <v>508</v>
      </c>
    </row>
    <row r="30" spans="1:1" x14ac:dyDescent="0.35">
      <c r="A30" t="s">
        <v>1338</v>
      </c>
    </row>
    <row r="31" spans="1:1" x14ac:dyDescent="0.35"/>
    <row r="32" spans="1:1" x14ac:dyDescent="0.35">
      <c r="A32" t="s">
        <v>750</v>
      </c>
    </row>
    <row r="33" spans="1:1" x14ac:dyDescent="0.35">
      <c r="A33" t="s">
        <v>543</v>
      </c>
    </row>
    <row r="34" spans="1:1" x14ac:dyDescent="0.35"/>
    <row r="35" spans="1:1" x14ac:dyDescent="0.35">
      <c r="A35" t="s">
        <v>402</v>
      </c>
    </row>
    <row r="36" spans="1:1" x14ac:dyDescent="0.35">
      <c r="A36" t="s">
        <v>1152</v>
      </c>
    </row>
    <row r="37" spans="1:1" x14ac:dyDescent="0.35">
      <c r="A37" t="s">
        <v>1150</v>
      </c>
    </row>
    <row r="38" spans="1:1" x14ac:dyDescent="0.35">
      <c r="A38" t="s">
        <v>1148</v>
      </c>
    </row>
    <row r="39" spans="1:1" x14ac:dyDescent="0.35"/>
    <row r="40" spans="1:1" x14ac:dyDescent="0.35">
      <c r="A40" t="s">
        <v>403</v>
      </c>
    </row>
    <row r="41" spans="1:1" x14ac:dyDescent="0.35">
      <c r="A41" t="s">
        <v>836</v>
      </c>
    </row>
    <row r="42" spans="1:1" x14ac:dyDescent="0.35">
      <c r="A42" t="s">
        <v>1144</v>
      </c>
    </row>
    <row r="43" spans="1:1" x14ac:dyDescent="0.35">
      <c r="A43" t="s">
        <v>1145</v>
      </c>
    </row>
    <row r="44" spans="1:1" x14ac:dyDescent="0.35">
      <c r="A44" t="s">
        <v>1192</v>
      </c>
    </row>
    <row r="45" spans="1:1" x14ac:dyDescent="0.35">
      <c r="A45" t="s">
        <v>1154</v>
      </c>
    </row>
    <row r="46" spans="1:1" x14ac:dyDescent="0.35">
      <c r="A46" t="s">
        <v>1334</v>
      </c>
    </row>
    <row r="47" spans="1:1" x14ac:dyDescent="0.35">
      <c r="A47" t="s">
        <v>1335</v>
      </c>
    </row>
    <row r="48" spans="1:1" x14ac:dyDescent="0.35">
      <c r="A48" t="s">
        <v>1336</v>
      </c>
    </row>
    <row r="49" spans="1:1" x14ac:dyDescent="0.35"/>
    <row r="50" spans="1:1" x14ac:dyDescent="0.35"/>
    <row r="51" spans="1:1" x14ac:dyDescent="0.35">
      <c r="A51" t="s">
        <v>404</v>
      </c>
    </row>
    <row r="52" spans="1:1" x14ac:dyDescent="0.35">
      <c r="A52" t="s">
        <v>488</v>
      </c>
    </row>
    <row r="53" spans="1:1" x14ac:dyDescent="0.35">
      <c r="A53" t="s">
        <v>986</v>
      </c>
    </row>
    <row r="54" spans="1:1" x14ac:dyDescent="0.35">
      <c r="A54" t="s">
        <v>485</v>
      </c>
    </row>
    <row r="55" spans="1:1" x14ac:dyDescent="0.35">
      <c r="A55" t="s">
        <v>922</v>
      </c>
    </row>
    <row r="56" spans="1:1" x14ac:dyDescent="0.35"/>
    <row r="57" spans="1:1" x14ac:dyDescent="0.35"/>
    <row r="58" spans="1:1" x14ac:dyDescent="0.35"/>
    <row r="59" spans="1:1" x14ac:dyDescent="0.35"/>
    <row r="60" spans="1:1" x14ac:dyDescent="0.35"/>
    <row r="61" spans="1:1" x14ac:dyDescent="0.35"/>
    <row r="62" spans="1:1" x14ac:dyDescent="0.35"/>
    <row r="63" spans="1:1" x14ac:dyDescent="0.35"/>
    <row r="64" spans="1:1"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sheetData>
  <phoneticPr fontId="2" type="noConversion"/>
  <conditionalFormatting sqref="A2:A112">
    <cfRule type="cellIs" dxfId="399" priority="1" operator="equal">
      <formula>0</formula>
    </cfRule>
    <cfRule type="containsText" dxfId="398" priority="2" operator="containsText" text="DINE IN/TAKE AWAY|">
      <formula>NOT(ISERROR(SEARCH("DINE IN/TAKE AWAY|",A2)))</formula>
    </cfRule>
    <cfRule type="containsText" dxfId="397" priority="3" operator="containsText" text="TAKE AWAY|">
      <formula>NOT(ISERROR(SEARCH("TAKE AWAY|",A2)))</formula>
    </cfRule>
    <cfRule type="containsText" dxfId="396" priority="4" operator="containsText" text="DINE IN|">
      <formula>NOT(ISERROR(SEARCH("DINE IN|",A2)))</formula>
    </cfRule>
  </conditionalFormatting>
  <pageMargins left="0.7" right="0.7" top="0.75" bottom="0.75" header="0.3" footer="0.3"/>
  <pageSetup paperSize="9" orientation="portrait" horizontalDpi="0" verticalDpi="0"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FE66B-8506-4BCE-837E-CB425B832502}">
  <sheetPr codeName="Sheet18">
    <tabColor theme="7"/>
  </sheetPr>
  <dimension ref="A1:AF90"/>
  <sheetViews>
    <sheetView showGridLines="0" zoomScale="85" zoomScaleNormal="85" workbookViewId="0">
      <pane xSplit="1" ySplit="1" topLeftCell="B2" activePane="bottomRight" state="frozen"/>
      <selection activeCell="F85" sqref="F85"/>
      <selection pane="topRight" activeCell="F85" sqref="F85"/>
      <selection pane="bottomLeft" activeCell="F85" sqref="F85"/>
      <selection pane="bottomRight" activeCell="B3" sqref="B3"/>
    </sheetView>
  </sheetViews>
  <sheetFormatPr defaultRowHeight="14.5" zeroHeight="1" x14ac:dyDescent="0.35"/>
  <cols>
    <col min="1" max="1" width="46.54296875" bestFit="1" customWidth="1"/>
    <col min="2" max="2" width="4.7265625" style="1" bestFit="1" customWidth="1"/>
    <col min="3" max="3" width="6.26953125" style="1" bestFit="1" customWidth="1"/>
    <col min="4" max="10" width="4.7265625" style="1" bestFit="1" customWidth="1"/>
    <col min="11" max="32" width="5.7265625" style="1" bestFit="1" customWidth="1"/>
  </cols>
  <sheetData>
    <row r="1" spans="1:32" x14ac:dyDescent="0.35">
      <c r="A1" s="61" t="s">
        <v>386</v>
      </c>
      <c r="B1" s="61" t="s">
        <v>36</v>
      </c>
      <c r="C1" s="61" t="s">
        <v>37</v>
      </c>
      <c r="D1" s="61" t="s">
        <v>38</v>
      </c>
      <c r="E1" s="61" t="s">
        <v>39</v>
      </c>
      <c r="F1" s="61" t="s">
        <v>40</v>
      </c>
      <c r="G1" s="61" t="s">
        <v>41</v>
      </c>
      <c r="H1" s="61" t="s">
        <v>42</v>
      </c>
      <c r="I1" s="61" t="s">
        <v>43</v>
      </c>
      <c r="J1" s="61" t="s">
        <v>44</v>
      </c>
      <c r="K1" s="61" t="s">
        <v>45</v>
      </c>
      <c r="L1" s="61" t="s">
        <v>46</v>
      </c>
      <c r="M1" s="61" t="s">
        <v>47</v>
      </c>
      <c r="N1" s="61" t="s">
        <v>48</v>
      </c>
      <c r="O1" s="61" t="s">
        <v>49</v>
      </c>
      <c r="P1" s="61" t="s">
        <v>50</v>
      </c>
      <c r="Q1" s="61" t="s">
        <v>51</v>
      </c>
      <c r="R1" s="61" t="s">
        <v>52</v>
      </c>
      <c r="S1" s="61" t="s">
        <v>53</v>
      </c>
      <c r="T1" s="61" t="s">
        <v>54</v>
      </c>
      <c r="U1" s="61" t="s">
        <v>55</v>
      </c>
      <c r="V1" s="61" t="s">
        <v>56</v>
      </c>
      <c r="W1" s="61" t="s">
        <v>57</v>
      </c>
      <c r="X1" s="61" t="s">
        <v>58</v>
      </c>
      <c r="Y1" s="61" t="s">
        <v>59</v>
      </c>
      <c r="Z1" s="61" t="s">
        <v>60</v>
      </c>
      <c r="AA1" s="61" t="s">
        <v>61</v>
      </c>
      <c r="AB1" s="61" t="s">
        <v>62</v>
      </c>
      <c r="AC1" s="61" t="s">
        <v>63</v>
      </c>
      <c r="AD1" s="61" t="s">
        <v>64</v>
      </c>
      <c r="AE1" s="61" t="s">
        <v>65</v>
      </c>
      <c r="AF1" s="61" t="s">
        <v>66</v>
      </c>
    </row>
    <row r="2" spans="1:32" x14ac:dyDescent="0.35">
      <c r="A2" t="s">
        <v>514</v>
      </c>
    </row>
    <row r="3" spans="1:32" x14ac:dyDescent="0.35">
      <c r="A3" t="s">
        <v>483</v>
      </c>
    </row>
    <row r="4" spans="1:32" x14ac:dyDescent="0.35">
      <c r="A4" t="s">
        <v>489</v>
      </c>
    </row>
    <row r="5" spans="1:32" x14ac:dyDescent="0.35">
      <c r="A5" t="s">
        <v>491</v>
      </c>
    </row>
    <row r="6" spans="1:32" x14ac:dyDescent="0.35">
      <c r="A6" t="s">
        <v>493</v>
      </c>
    </row>
    <row r="7" spans="1:32" x14ac:dyDescent="0.35"/>
    <row r="8" spans="1:32" x14ac:dyDescent="0.35">
      <c r="A8" t="s">
        <v>1467</v>
      </c>
    </row>
    <row r="9" spans="1:32" x14ac:dyDescent="0.35">
      <c r="A9" t="s">
        <v>495</v>
      </c>
    </row>
    <row r="10" spans="1:32" x14ac:dyDescent="0.35">
      <c r="A10" t="s">
        <v>506</v>
      </c>
    </row>
    <row r="11" spans="1:32" x14ac:dyDescent="0.35">
      <c r="A11" t="s">
        <v>1337</v>
      </c>
    </row>
    <row r="12" spans="1:32" x14ac:dyDescent="0.35"/>
    <row r="13" spans="1:32" x14ac:dyDescent="0.35">
      <c r="A13" t="s">
        <v>624</v>
      </c>
    </row>
    <row r="14" spans="1:32" x14ac:dyDescent="0.35">
      <c r="A14" t="s">
        <v>539</v>
      </c>
    </row>
    <row r="15" spans="1:32" x14ac:dyDescent="0.35"/>
    <row r="16" spans="1:32" x14ac:dyDescent="0.35">
      <c r="A16" t="s">
        <v>399</v>
      </c>
    </row>
    <row r="17" spans="1:1" x14ac:dyDescent="0.35">
      <c r="A17" t="s">
        <v>1153</v>
      </c>
    </row>
    <row r="18" spans="1:1" x14ac:dyDescent="0.35">
      <c r="A18" t="s">
        <v>1151</v>
      </c>
    </row>
    <row r="19" spans="1:1" x14ac:dyDescent="0.35">
      <c r="A19" t="s">
        <v>1149</v>
      </c>
    </row>
    <row r="20" spans="1:1" x14ac:dyDescent="0.35"/>
    <row r="21" spans="1:1" x14ac:dyDescent="0.35">
      <c r="A21" t="s">
        <v>515</v>
      </c>
    </row>
    <row r="22" spans="1:1" x14ac:dyDescent="0.35">
      <c r="A22" t="s">
        <v>487</v>
      </c>
    </row>
    <row r="23" spans="1:1" x14ac:dyDescent="0.35">
      <c r="A23" t="s">
        <v>490</v>
      </c>
    </row>
    <row r="24" spans="1:1" x14ac:dyDescent="0.35">
      <c r="A24" t="s">
        <v>492</v>
      </c>
    </row>
    <row r="25" spans="1:1" x14ac:dyDescent="0.35">
      <c r="A25" t="s">
        <v>494</v>
      </c>
    </row>
    <row r="26" spans="1:1" x14ac:dyDescent="0.35"/>
    <row r="27" spans="1:1" x14ac:dyDescent="0.35">
      <c r="A27" t="s">
        <v>1468</v>
      </c>
    </row>
    <row r="28" spans="1:1" x14ac:dyDescent="0.35">
      <c r="A28" t="s">
        <v>502</v>
      </c>
    </row>
    <row r="29" spans="1:1" x14ac:dyDescent="0.35">
      <c r="A29" t="s">
        <v>508</v>
      </c>
    </row>
    <row r="30" spans="1:1" x14ac:dyDescent="0.35">
      <c r="A30" t="s">
        <v>1338</v>
      </c>
    </row>
    <row r="31" spans="1:1" x14ac:dyDescent="0.35"/>
    <row r="32" spans="1:1" x14ac:dyDescent="0.35">
      <c r="A32" t="s">
        <v>750</v>
      </c>
    </row>
    <row r="33" spans="1:1" x14ac:dyDescent="0.35">
      <c r="A33" t="s">
        <v>543</v>
      </c>
    </row>
    <row r="34" spans="1:1" x14ac:dyDescent="0.35"/>
    <row r="35" spans="1:1" x14ac:dyDescent="0.35">
      <c r="A35" t="s">
        <v>402</v>
      </c>
    </row>
    <row r="36" spans="1:1" x14ac:dyDescent="0.35">
      <c r="A36" t="s">
        <v>1152</v>
      </c>
    </row>
    <row r="37" spans="1:1" x14ac:dyDescent="0.35">
      <c r="A37" t="s">
        <v>1150</v>
      </c>
    </row>
    <row r="38" spans="1:1" x14ac:dyDescent="0.35">
      <c r="A38" t="s">
        <v>1148</v>
      </c>
    </row>
    <row r="39" spans="1:1" x14ac:dyDescent="0.35"/>
    <row r="40" spans="1:1" x14ac:dyDescent="0.35">
      <c r="A40" t="s">
        <v>403</v>
      </c>
    </row>
    <row r="41" spans="1:1" x14ac:dyDescent="0.35">
      <c r="A41" t="s">
        <v>836</v>
      </c>
    </row>
    <row r="42" spans="1:1" x14ac:dyDescent="0.35">
      <c r="A42" t="s">
        <v>1144</v>
      </c>
    </row>
    <row r="43" spans="1:1" x14ac:dyDescent="0.35">
      <c r="A43" t="s">
        <v>1145</v>
      </c>
    </row>
    <row r="44" spans="1:1" x14ac:dyDescent="0.35">
      <c r="A44" t="s">
        <v>1192</v>
      </c>
    </row>
    <row r="45" spans="1:1" x14ac:dyDescent="0.35">
      <c r="A45" t="s">
        <v>1154</v>
      </c>
    </row>
    <row r="46" spans="1:1" x14ac:dyDescent="0.35">
      <c r="A46" t="s">
        <v>1334</v>
      </c>
    </row>
    <row r="47" spans="1:1" x14ac:dyDescent="0.35">
      <c r="A47" t="s">
        <v>1335</v>
      </c>
    </row>
    <row r="48" spans="1:1" x14ac:dyDescent="0.35">
      <c r="A48" t="s">
        <v>1336</v>
      </c>
    </row>
    <row r="49" spans="1:1" x14ac:dyDescent="0.35"/>
    <row r="50" spans="1:1" x14ac:dyDescent="0.35"/>
    <row r="51" spans="1:1" x14ac:dyDescent="0.35">
      <c r="A51" t="s">
        <v>404</v>
      </c>
    </row>
    <row r="52" spans="1:1" x14ac:dyDescent="0.35">
      <c r="A52" t="s">
        <v>488</v>
      </c>
    </row>
    <row r="53" spans="1:1" x14ac:dyDescent="0.35">
      <c r="A53" t="s">
        <v>986</v>
      </c>
    </row>
    <row r="54" spans="1:1" x14ac:dyDescent="0.35">
      <c r="A54" t="s">
        <v>485</v>
      </c>
    </row>
    <row r="55" spans="1:1" x14ac:dyDescent="0.35">
      <c r="A55" t="s">
        <v>922</v>
      </c>
    </row>
    <row r="56" spans="1:1" x14ac:dyDescent="0.35"/>
    <row r="57" spans="1:1" x14ac:dyDescent="0.35"/>
    <row r="58" spans="1:1" x14ac:dyDescent="0.35"/>
    <row r="59" spans="1:1" x14ac:dyDescent="0.35"/>
    <row r="60" spans="1:1" x14ac:dyDescent="0.35"/>
    <row r="61" spans="1:1" x14ac:dyDescent="0.35"/>
    <row r="62" spans="1:1" x14ac:dyDescent="0.35"/>
    <row r="63" spans="1:1" x14ac:dyDescent="0.35"/>
    <row r="64" spans="1:1"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row r="90" x14ac:dyDescent="0.35"/>
  </sheetData>
  <phoneticPr fontId="2" type="noConversion"/>
  <conditionalFormatting sqref="A2:A112">
    <cfRule type="cellIs" dxfId="393" priority="1" operator="equal">
      <formula>0</formula>
    </cfRule>
    <cfRule type="containsText" dxfId="392" priority="2" operator="containsText" text="DINE IN/TAKE AWAY|">
      <formula>NOT(ISERROR(SEARCH("DINE IN/TAKE AWAY|",A2)))</formula>
    </cfRule>
    <cfRule type="containsText" dxfId="391" priority="3" operator="containsText" text="TAKE AWAY|">
      <formula>NOT(ISERROR(SEARCH("TAKE AWAY|",A2)))</formula>
    </cfRule>
    <cfRule type="containsText" dxfId="390" priority="4" operator="containsText" text="DINE IN|">
      <formula>NOT(ISERROR(SEARCH("DINE IN|",A2)))</formula>
    </cfRule>
  </conditionalFormatting>
  <pageMargins left="0.7" right="0.7" top="0.75" bottom="0.75" header="0.3" footer="0.3"/>
  <pageSetup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15EAA-C96D-4BDA-B627-799DB5CB2108}">
  <sheetPr codeName="Sheet19">
    <tabColor theme="7"/>
  </sheetPr>
  <dimension ref="A1:AG88"/>
  <sheetViews>
    <sheetView zoomScale="80" zoomScaleNormal="80" workbookViewId="0">
      <pane xSplit="1" ySplit="1" topLeftCell="B2" activePane="bottomRight" state="frozen"/>
      <selection activeCell="F85" sqref="F85"/>
      <selection pane="topRight" activeCell="F85" sqref="F85"/>
      <selection pane="bottomLeft" activeCell="F85" sqref="F85"/>
      <selection pane="bottomRight" activeCell="E17" sqref="E17"/>
    </sheetView>
  </sheetViews>
  <sheetFormatPr defaultColWidth="0" defaultRowHeight="14.5" zeroHeight="1" x14ac:dyDescent="0.35"/>
  <cols>
    <col min="1" max="1" width="46.54296875" bestFit="1" customWidth="1"/>
    <col min="2" max="10" width="4.7265625" style="1" bestFit="1" customWidth="1"/>
    <col min="11" max="32" width="5.7265625" style="1" bestFit="1" customWidth="1"/>
    <col min="33" max="33" width="8.7265625" customWidth="1"/>
    <col min="34" max="16384" width="8.7265625" hidden="1"/>
  </cols>
  <sheetData>
    <row r="1" spans="1:32" x14ac:dyDescent="0.35">
      <c r="A1" s="61" t="s">
        <v>386</v>
      </c>
      <c r="B1" s="61" t="s">
        <v>36</v>
      </c>
      <c r="C1" s="61" t="s">
        <v>37</v>
      </c>
      <c r="D1" s="61" t="s">
        <v>38</v>
      </c>
      <c r="E1" s="61" t="s">
        <v>39</v>
      </c>
      <c r="F1" s="61" t="s">
        <v>40</v>
      </c>
      <c r="G1" s="61" t="s">
        <v>41</v>
      </c>
      <c r="H1" s="61" t="s">
        <v>42</v>
      </c>
      <c r="I1" s="61" t="s">
        <v>43</v>
      </c>
      <c r="J1" s="61" t="s">
        <v>44</v>
      </c>
      <c r="K1" s="61" t="s">
        <v>45</v>
      </c>
      <c r="L1" s="61" t="s">
        <v>46</v>
      </c>
      <c r="M1" s="61" t="s">
        <v>47</v>
      </c>
      <c r="N1" s="61" t="s">
        <v>48</v>
      </c>
      <c r="O1" s="61" t="s">
        <v>49</v>
      </c>
      <c r="P1" s="61" t="s">
        <v>50</v>
      </c>
      <c r="Q1" s="61" t="s">
        <v>51</v>
      </c>
      <c r="R1" s="61" t="s">
        <v>52</v>
      </c>
      <c r="S1" s="61" t="s">
        <v>53</v>
      </c>
      <c r="T1" s="61" t="s">
        <v>54</v>
      </c>
      <c r="U1" s="61" t="s">
        <v>55</v>
      </c>
      <c r="V1" s="61" t="s">
        <v>56</v>
      </c>
      <c r="W1" s="61" t="s">
        <v>57</v>
      </c>
      <c r="X1" s="61" t="s">
        <v>58</v>
      </c>
      <c r="Y1" s="61" t="s">
        <v>59</v>
      </c>
      <c r="Z1" s="61" t="s">
        <v>60</v>
      </c>
      <c r="AA1" s="61" t="s">
        <v>61</v>
      </c>
      <c r="AB1" s="61" t="s">
        <v>62</v>
      </c>
      <c r="AC1" s="61" t="s">
        <v>63</v>
      </c>
      <c r="AD1" s="61" t="s">
        <v>64</v>
      </c>
      <c r="AE1" s="61" t="s">
        <v>65</v>
      </c>
      <c r="AF1" s="61" t="s">
        <v>66</v>
      </c>
    </row>
    <row r="2" spans="1:32" x14ac:dyDescent="0.35">
      <c r="A2" t="s">
        <v>514</v>
      </c>
    </row>
    <row r="3" spans="1:32" x14ac:dyDescent="0.35">
      <c r="A3" t="s">
        <v>483</v>
      </c>
    </row>
    <row r="4" spans="1:32" x14ac:dyDescent="0.35">
      <c r="A4" t="s">
        <v>489</v>
      </c>
    </row>
    <row r="5" spans="1:32" x14ac:dyDescent="0.35">
      <c r="A5" t="s">
        <v>491</v>
      </c>
    </row>
    <row r="6" spans="1:32" x14ac:dyDescent="0.35">
      <c r="A6" t="s">
        <v>493</v>
      </c>
    </row>
    <row r="7" spans="1:32" x14ac:dyDescent="0.35"/>
    <row r="8" spans="1:32" x14ac:dyDescent="0.35">
      <c r="A8" t="s">
        <v>1467</v>
      </c>
    </row>
    <row r="9" spans="1:32" x14ac:dyDescent="0.35">
      <c r="A9" t="s">
        <v>495</v>
      </c>
    </row>
    <row r="10" spans="1:32" x14ac:dyDescent="0.35">
      <c r="A10" t="s">
        <v>506</v>
      </c>
    </row>
    <row r="11" spans="1:32" x14ac:dyDescent="0.35">
      <c r="A11" t="s">
        <v>1337</v>
      </c>
    </row>
    <row r="12" spans="1:32" x14ac:dyDescent="0.35"/>
    <row r="13" spans="1:32" x14ac:dyDescent="0.35">
      <c r="A13" t="s">
        <v>624</v>
      </c>
    </row>
    <row r="14" spans="1:32" x14ac:dyDescent="0.35">
      <c r="A14" t="s">
        <v>539</v>
      </c>
    </row>
    <row r="15" spans="1:32" x14ac:dyDescent="0.35"/>
    <row r="16" spans="1:32" x14ac:dyDescent="0.35">
      <c r="A16" t="s">
        <v>399</v>
      </c>
    </row>
    <row r="17" spans="1:1" x14ac:dyDescent="0.35">
      <c r="A17" t="s">
        <v>1153</v>
      </c>
    </row>
    <row r="18" spans="1:1" x14ac:dyDescent="0.35">
      <c r="A18" t="s">
        <v>1151</v>
      </c>
    </row>
    <row r="19" spans="1:1" x14ac:dyDescent="0.35">
      <c r="A19" t="s">
        <v>1149</v>
      </c>
    </row>
    <row r="20" spans="1:1" x14ac:dyDescent="0.35"/>
    <row r="21" spans="1:1" x14ac:dyDescent="0.35">
      <c r="A21" t="s">
        <v>515</v>
      </c>
    </row>
    <row r="22" spans="1:1" x14ac:dyDescent="0.35">
      <c r="A22" t="s">
        <v>487</v>
      </c>
    </row>
    <row r="23" spans="1:1" x14ac:dyDescent="0.35">
      <c r="A23" t="s">
        <v>490</v>
      </c>
    </row>
    <row r="24" spans="1:1" x14ac:dyDescent="0.35">
      <c r="A24" t="s">
        <v>492</v>
      </c>
    </row>
    <row r="25" spans="1:1" x14ac:dyDescent="0.35">
      <c r="A25" t="s">
        <v>494</v>
      </c>
    </row>
    <row r="26" spans="1:1" x14ac:dyDescent="0.35"/>
    <row r="27" spans="1:1" x14ac:dyDescent="0.35">
      <c r="A27" t="s">
        <v>1468</v>
      </c>
    </row>
    <row r="28" spans="1:1" x14ac:dyDescent="0.35">
      <c r="A28" t="s">
        <v>502</v>
      </c>
    </row>
    <row r="29" spans="1:1" x14ac:dyDescent="0.35">
      <c r="A29" t="s">
        <v>508</v>
      </c>
    </row>
    <row r="30" spans="1:1" x14ac:dyDescent="0.35">
      <c r="A30" t="s">
        <v>1338</v>
      </c>
    </row>
    <row r="31" spans="1:1" x14ac:dyDescent="0.35"/>
    <row r="32" spans="1:1" x14ac:dyDescent="0.35">
      <c r="A32" t="s">
        <v>750</v>
      </c>
    </row>
    <row r="33" spans="1:1" x14ac:dyDescent="0.35">
      <c r="A33" t="s">
        <v>543</v>
      </c>
    </row>
    <row r="34" spans="1:1" x14ac:dyDescent="0.35"/>
    <row r="35" spans="1:1" x14ac:dyDescent="0.35">
      <c r="A35" t="s">
        <v>402</v>
      </c>
    </row>
    <row r="36" spans="1:1" x14ac:dyDescent="0.35">
      <c r="A36" t="s">
        <v>1152</v>
      </c>
    </row>
    <row r="37" spans="1:1" x14ac:dyDescent="0.35">
      <c r="A37" t="s">
        <v>1150</v>
      </c>
    </row>
    <row r="38" spans="1:1" x14ac:dyDescent="0.35">
      <c r="A38" t="s">
        <v>1148</v>
      </c>
    </row>
    <row r="39" spans="1:1" x14ac:dyDescent="0.35"/>
    <row r="40" spans="1:1" x14ac:dyDescent="0.35">
      <c r="A40" t="s">
        <v>403</v>
      </c>
    </row>
    <row r="41" spans="1:1" x14ac:dyDescent="0.35">
      <c r="A41" t="s">
        <v>836</v>
      </c>
    </row>
    <row r="42" spans="1:1" x14ac:dyDescent="0.35">
      <c r="A42" t="s">
        <v>1144</v>
      </c>
    </row>
    <row r="43" spans="1:1" x14ac:dyDescent="0.35">
      <c r="A43" t="s">
        <v>1145</v>
      </c>
    </row>
    <row r="44" spans="1:1" x14ac:dyDescent="0.35">
      <c r="A44" t="s">
        <v>1192</v>
      </c>
    </row>
    <row r="45" spans="1:1" x14ac:dyDescent="0.35">
      <c r="A45" t="s">
        <v>1154</v>
      </c>
    </row>
    <row r="46" spans="1:1" x14ac:dyDescent="0.35">
      <c r="A46" t="s">
        <v>1334</v>
      </c>
    </row>
    <row r="47" spans="1:1" x14ac:dyDescent="0.35">
      <c r="A47" t="s">
        <v>1335</v>
      </c>
    </row>
    <row r="48" spans="1:1" x14ac:dyDescent="0.35">
      <c r="A48" t="s">
        <v>1336</v>
      </c>
    </row>
    <row r="49" spans="1:1" x14ac:dyDescent="0.35"/>
    <row r="50" spans="1:1" x14ac:dyDescent="0.35"/>
    <row r="51" spans="1:1" x14ac:dyDescent="0.35">
      <c r="A51" t="s">
        <v>404</v>
      </c>
    </row>
    <row r="52" spans="1:1" x14ac:dyDescent="0.35">
      <c r="A52" t="s">
        <v>488</v>
      </c>
    </row>
    <row r="53" spans="1:1" x14ac:dyDescent="0.35">
      <c r="A53" t="s">
        <v>986</v>
      </c>
    </row>
    <row r="54" spans="1:1" x14ac:dyDescent="0.35">
      <c r="A54" t="s">
        <v>485</v>
      </c>
    </row>
    <row r="55" spans="1:1" x14ac:dyDescent="0.35">
      <c r="A55" t="s">
        <v>922</v>
      </c>
    </row>
    <row r="56" spans="1:1" x14ac:dyDescent="0.35"/>
    <row r="57" spans="1:1" x14ac:dyDescent="0.35"/>
    <row r="58" spans="1:1" x14ac:dyDescent="0.35"/>
    <row r="59" spans="1:1" x14ac:dyDescent="0.35"/>
    <row r="60" spans="1:1" x14ac:dyDescent="0.35"/>
    <row r="61" spans="1:1" x14ac:dyDescent="0.35"/>
    <row r="62" spans="1:1" x14ac:dyDescent="0.35"/>
    <row r="63" spans="1:1" x14ac:dyDescent="0.35"/>
    <row r="64" spans="1:1"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sheetData>
  <conditionalFormatting sqref="A2:A112">
    <cfRule type="cellIs" dxfId="387" priority="1" operator="equal">
      <formula>0</formula>
    </cfRule>
    <cfRule type="containsText" dxfId="386" priority="2" operator="containsText" text="DINE IN/TAKE AWAY|">
      <formula>NOT(ISERROR(SEARCH("DINE IN/TAKE AWAY|",A2)))</formula>
    </cfRule>
    <cfRule type="containsText" dxfId="385" priority="3" operator="containsText" text="TAKE AWAY|">
      <formula>NOT(ISERROR(SEARCH("TAKE AWAY|",A2)))</formula>
    </cfRule>
    <cfRule type="containsText" dxfId="384" priority="4" operator="containsText" text="DINE IN|">
      <formula>NOT(ISERROR(SEARCH("DINE IN|",A2)))</formula>
    </cfRule>
  </conditionalFormatting>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1D543-7797-4B9A-97DD-E3D317DB359C}">
  <sheetPr codeName="Sheet27">
    <tabColor theme="0" tint="-0.249977111117893"/>
  </sheetPr>
  <dimension ref="A1:AQ77"/>
  <sheetViews>
    <sheetView zoomScale="80" zoomScaleNormal="80" workbookViewId="0">
      <pane xSplit="4" ySplit="1" topLeftCell="R41" activePane="bottomRight" state="frozen"/>
      <selection pane="topRight" activeCell="E1" sqref="E1"/>
      <selection pane="bottomLeft" activeCell="A2" sqref="A2"/>
      <selection pane="bottomRight" activeCell="R66" sqref="R66"/>
    </sheetView>
  </sheetViews>
  <sheetFormatPr defaultColWidth="0" defaultRowHeight="14.5" zeroHeight="1" x14ac:dyDescent="0.35"/>
  <cols>
    <col min="1" max="1" width="31" bestFit="1" customWidth="1"/>
    <col min="2" max="2" width="33.54296875" bestFit="1" customWidth="1"/>
    <col min="3" max="3" width="11.26953125" bestFit="1" customWidth="1"/>
    <col min="4" max="4" width="12.7265625" bestFit="1" customWidth="1"/>
    <col min="5" max="13" width="7.81640625" bestFit="1" customWidth="1"/>
    <col min="14" max="35" width="9" bestFit="1" customWidth="1"/>
    <col min="36" max="36" width="0" hidden="1" customWidth="1"/>
    <col min="37" max="37" width="8" hidden="1" customWidth="1"/>
    <col min="38" max="42" width="0" hidden="1" customWidth="1"/>
    <col min="43" max="43" width="8" hidden="1" customWidth="1"/>
    <col min="44" max="16384" width="24.26953125" hidden="1"/>
  </cols>
  <sheetData>
    <row r="1" spans="1:35" ht="15.5" x14ac:dyDescent="0.35">
      <c r="A1" t="s">
        <v>172</v>
      </c>
      <c r="B1" t="s">
        <v>177</v>
      </c>
      <c r="C1" t="s">
        <v>1</v>
      </c>
      <c r="D1" t="s">
        <v>458</v>
      </c>
      <c r="E1" s="119" t="s">
        <v>36</v>
      </c>
      <c r="F1" s="119" t="s">
        <v>37</v>
      </c>
      <c r="G1" s="119" t="s">
        <v>38</v>
      </c>
      <c r="H1" s="119" t="s">
        <v>39</v>
      </c>
      <c r="I1" s="119" t="s">
        <v>40</v>
      </c>
      <c r="J1" s="119" t="s">
        <v>41</v>
      </c>
      <c r="K1" s="119" t="s">
        <v>42</v>
      </c>
      <c r="L1" s="119" t="s">
        <v>43</v>
      </c>
      <c r="M1" s="119" t="s">
        <v>44</v>
      </c>
      <c r="N1" s="119" t="s">
        <v>45</v>
      </c>
      <c r="O1" s="119" t="s">
        <v>46</v>
      </c>
      <c r="P1" s="119" t="s">
        <v>47</v>
      </c>
      <c r="Q1" s="119" t="s">
        <v>48</v>
      </c>
      <c r="R1" s="119" t="s">
        <v>49</v>
      </c>
      <c r="S1" s="119" t="s">
        <v>50</v>
      </c>
      <c r="T1" s="119" t="s">
        <v>51</v>
      </c>
      <c r="U1" s="119" t="s">
        <v>52</v>
      </c>
      <c r="V1" s="119" t="s">
        <v>53</v>
      </c>
      <c r="W1" s="119" t="s">
        <v>54</v>
      </c>
      <c r="X1" s="119" t="s">
        <v>55</v>
      </c>
      <c r="Y1" s="119" t="s">
        <v>56</v>
      </c>
      <c r="Z1" s="119" t="s">
        <v>57</v>
      </c>
      <c r="AA1" s="119" t="s">
        <v>58</v>
      </c>
      <c r="AB1" s="119" t="s">
        <v>59</v>
      </c>
      <c r="AC1" s="119" t="s">
        <v>60</v>
      </c>
      <c r="AD1" s="119" t="s">
        <v>61</v>
      </c>
      <c r="AE1" s="119" t="s">
        <v>62</v>
      </c>
      <c r="AF1" s="119" t="s">
        <v>63</v>
      </c>
      <c r="AG1" s="119" t="s">
        <v>64</v>
      </c>
      <c r="AH1" s="119" t="s">
        <v>65</v>
      </c>
      <c r="AI1" s="119" t="s">
        <v>66</v>
      </c>
    </row>
    <row r="2" spans="1:35" x14ac:dyDescent="0.35">
      <c r="A2" t="s">
        <v>1316</v>
      </c>
      <c r="C2" t="s">
        <v>35</v>
      </c>
      <c r="D2">
        <v>1</v>
      </c>
      <c r="E2" s="1"/>
      <c r="J2">
        <v>1000</v>
      </c>
    </row>
    <row r="3" spans="1:35" x14ac:dyDescent="0.35">
      <c r="A3" t="s">
        <v>837</v>
      </c>
      <c r="C3" t="s">
        <v>69</v>
      </c>
      <c r="D3">
        <v>1</v>
      </c>
      <c r="M3">
        <v>1</v>
      </c>
    </row>
    <row r="4" spans="1:35" x14ac:dyDescent="0.35">
      <c r="A4" t="s">
        <v>914</v>
      </c>
      <c r="C4" t="s">
        <v>35</v>
      </c>
      <c r="D4">
        <v>1</v>
      </c>
    </row>
    <row r="5" spans="1:35" x14ac:dyDescent="0.35">
      <c r="A5" t="s">
        <v>484</v>
      </c>
      <c r="C5" t="s">
        <v>67</v>
      </c>
      <c r="D5">
        <v>1</v>
      </c>
    </row>
    <row r="6" spans="1:35" x14ac:dyDescent="0.35">
      <c r="A6" t="s">
        <v>507</v>
      </c>
      <c r="C6" t="s">
        <v>67</v>
      </c>
      <c r="D6">
        <v>1</v>
      </c>
    </row>
    <row r="7" spans="1:35" x14ac:dyDescent="0.35">
      <c r="A7" t="s">
        <v>915</v>
      </c>
      <c r="C7" t="s">
        <v>35</v>
      </c>
      <c r="D7">
        <v>1</v>
      </c>
    </row>
    <row r="8" spans="1:35" x14ac:dyDescent="0.35">
      <c r="A8" t="s">
        <v>540</v>
      </c>
      <c r="C8" t="s">
        <v>67</v>
      </c>
      <c r="D8">
        <v>1</v>
      </c>
      <c r="E8">
        <v>18</v>
      </c>
    </row>
    <row r="9" spans="1:35" x14ac:dyDescent="0.35">
      <c r="A9" t="s">
        <v>496</v>
      </c>
      <c r="C9" t="s">
        <v>35</v>
      </c>
      <c r="D9">
        <v>1</v>
      </c>
      <c r="R9">
        <v>10</v>
      </c>
    </row>
    <row r="10" spans="1:35" x14ac:dyDescent="0.35">
      <c r="A10" t="s">
        <v>1195</v>
      </c>
      <c r="C10" t="s">
        <v>35</v>
      </c>
      <c r="D10">
        <v>1</v>
      </c>
    </row>
    <row r="11" spans="1:35" x14ac:dyDescent="0.35">
      <c r="A11" t="s">
        <v>511</v>
      </c>
      <c r="B11" t="s">
        <v>634</v>
      </c>
      <c r="C11" t="s">
        <v>35</v>
      </c>
      <c r="D11">
        <v>0.46666666666666667</v>
      </c>
    </row>
    <row r="12" spans="1:35" x14ac:dyDescent="0.35">
      <c r="A12" t="s">
        <v>511</v>
      </c>
      <c r="B12" t="s">
        <v>749</v>
      </c>
      <c r="C12" t="s">
        <v>35</v>
      </c>
      <c r="D12">
        <v>0.46666666666666667</v>
      </c>
    </row>
    <row r="13" spans="1:35" x14ac:dyDescent="0.35">
      <c r="A13" t="s">
        <v>509</v>
      </c>
      <c r="C13" t="s">
        <v>35</v>
      </c>
      <c r="D13">
        <v>1</v>
      </c>
    </row>
    <row r="14" spans="1:35" x14ac:dyDescent="0.35">
      <c r="A14" t="s">
        <v>1345</v>
      </c>
      <c r="C14" t="s">
        <v>35</v>
      </c>
      <c r="D14">
        <v>1</v>
      </c>
    </row>
    <row r="15" spans="1:35" x14ac:dyDescent="0.35">
      <c r="A15" t="s">
        <v>1344</v>
      </c>
      <c r="C15" t="s">
        <v>35</v>
      </c>
      <c r="D15">
        <v>1</v>
      </c>
    </row>
    <row r="16" spans="1:35" x14ac:dyDescent="0.35">
      <c r="A16" t="s">
        <v>1343</v>
      </c>
      <c r="C16" t="s">
        <v>35</v>
      </c>
      <c r="D16">
        <v>1</v>
      </c>
    </row>
    <row r="17" spans="1:18" x14ac:dyDescent="0.35">
      <c r="A17" t="s">
        <v>1196</v>
      </c>
      <c r="C17" t="s">
        <v>35</v>
      </c>
      <c r="D17">
        <v>1</v>
      </c>
      <c r="M17">
        <v>50</v>
      </c>
    </row>
    <row r="18" spans="1:18" x14ac:dyDescent="0.35">
      <c r="A18" t="s">
        <v>1196</v>
      </c>
      <c r="B18" t="s">
        <v>886</v>
      </c>
      <c r="C18" t="s">
        <v>35</v>
      </c>
      <c r="D18">
        <v>1</v>
      </c>
    </row>
    <row r="19" spans="1:18" x14ac:dyDescent="0.35">
      <c r="A19" t="s">
        <v>1196</v>
      </c>
      <c r="B19" t="s">
        <v>887</v>
      </c>
      <c r="C19" t="s">
        <v>35</v>
      </c>
      <c r="D19">
        <v>1</v>
      </c>
    </row>
    <row r="20" spans="1:18" x14ac:dyDescent="0.35">
      <c r="A20" t="s">
        <v>1196</v>
      </c>
      <c r="B20" t="s">
        <v>888</v>
      </c>
      <c r="C20" t="s">
        <v>35</v>
      </c>
      <c r="D20">
        <v>1</v>
      </c>
    </row>
    <row r="21" spans="1:18" x14ac:dyDescent="0.35">
      <c r="A21" t="s">
        <v>1194</v>
      </c>
      <c r="C21" t="s">
        <v>35</v>
      </c>
      <c r="D21">
        <v>1</v>
      </c>
    </row>
    <row r="22" spans="1:18" x14ac:dyDescent="0.35">
      <c r="A22" t="s">
        <v>2</v>
      </c>
      <c r="C22" t="s">
        <v>35</v>
      </c>
      <c r="D22">
        <v>1</v>
      </c>
    </row>
    <row r="23" spans="1:18" x14ac:dyDescent="0.35">
      <c r="A23" t="s">
        <v>2</v>
      </c>
      <c r="B23" t="s">
        <v>927</v>
      </c>
      <c r="C23" t="s">
        <v>35</v>
      </c>
      <c r="D23">
        <v>1</v>
      </c>
    </row>
    <row r="24" spans="1:18" x14ac:dyDescent="0.35">
      <c r="A24" t="s">
        <v>353</v>
      </c>
      <c r="C24" t="s">
        <v>35</v>
      </c>
      <c r="D24">
        <v>1</v>
      </c>
    </row>
    <row r="25" spans="1:18" x14ac:dyDescent="0.35">
      <c r="A25" t="s">
        <v>352</v>
      </c>
      <c r="C25" t="s">
        <v>68</v>
      </c>
      <c r="D25">
        <v>1</v>
      </c>
    </row>
    <row r="26" spans="1:18" x14ac:dyDescent="0.35">
      <c r="A26" t="s">
        <v>1346</v>
      </c>
      <c r="C26" t="s">
        <v>35</v>
      </c>
      <c r="D26">
        <v>1</v>
      </c>
    </row>
    <row r="27" spans="1:18" x14ac:dyDescent="0.35">
      <c r="A27" t="s">
        <v>922</v>
      </c>
      <c r="C27" t="s">
        <v>67</v>
      </c>
      <c r="D27">
        <v>1</v>
      </c>
    </row>
    <row r="28" spans="1:18" x14ac:dyDescent="0.35">
      <c r="A28" t="s">
        <v>923</v>
      </c>
      <c r="C28" t="s">
        <v>67</v>
      </c>
      <c r="D28">
        <v>1</v>
      </c>
    </row>
    <row r="29" spans="1:18" x14ac:dyDescent="0.35">
      <c r="A29" t="s">
        <v>919</v>
      </c>
      <c r="C29" t="s">
        <v>67</v>
      </c>
      <c r="D29">
        <v>1</v>
      </c>
    </row>
    <row r="30" spans="1:18" x14ac:dyDescent="0.35">
      <c r="A30" t="s">
        <v>497</v>
      </c>
      <c r="C30" t="s">
        <v>35</v>
      </c>
      <c r="D30">
        <v>1</v>
      </c>
      <c r="R30">
        <v>30</v>
      </c>
    </row>
    <row r="31" spans="1:18" x14ac:dyDescent="0.35">
      <c r="A31" t="s">
        <v>1306</v>
      </c>
      <c r="C31" t="s">
        <v>35</v>
      </c>
      <c r="D31">
        <v>1</v>
      </c>
    </row>
    <row r="32" spans="1:18" x14ac:dyDescent="0.35">
      <c r="A32" t="s">
        <v>1416</v>
      </c>
      <c r="B32" t="s">
        <v>1416</v>
      </c>
      <c r="C32" t="s">
        <v>67</v>
      </c>
      <c r="D32">
        <v>1</v>
      </c>
      <c r="R32">
        <v>8</v>
      </c>
    </row>
    <row r="33" spans="1:18" x14ac:dyDescent="0.35">
      <c r="A33" t="s">
        <v>349</v>
      </c>
      <c r="C33" t="s">
        <v>35</v>
      </c>
      <c r="D33">
        <v>1</v>
      </c>
    </row>
    <row r="34" spans="1:18" x14ac:dyDescent="0.35">
      <c r="A34" t="s">
        <v>985</v>
      </c>
      <c r="C34" t="s">
        <v>35</v>
      </c>
      <c r="D34">
        <v>1</v>
      </c>
    </row>
    <row r="35" spans="1:18" x14ac:dyDescent="0.35">
      <c r="A35" t="s">
        <v>355</v>
      </c>
      <c r="C35" t="s">
        <v>35</v>
      </c>
      <c r="D35">
        <v>1</v>
      </c>
    </row>
    <row r="36" spans="1:18" x14ac:dyDescent="0.35">
      <c r="A36" t="s">
        <v>554</v>
      </c>
      <c r="C36" t="s">
        <v>67</v>
      </c>
      <c r="D36">
        <v>1</v>
      </c>
    </row>
    <row r="37" spans="1:18" x14ac:dyDescent="0.35">
      <c r="A37" t="s">
        <v>10</v>
      </c>
      <c r="C37" t="s">
        <v>149</v>
      </c>
      <c r="D37">
        <v>1</v>
      </c>
    </row>
    <row r="38" spans="1:18" x14ac:dyDescent="0.35">
      <c r="A38" t="s">
        <v>503</v>
      </c>
      <c r="C38" t="s">
        <v>67</v>
      </c>
      <c r="D38">
        <v>1</v>
      </c>
    </row>
    <row r="39" spans="1:18" x14ac:dyDescent="0.35">
      <c r="A39" t="s">
        <v>498</v>
      </c>
      <c r="B39" t="s">
        <v>498</v>
      </c>
      <c r="C39" t="s">
        <v>35</v>
      </c>
      <c r="D39">
        <v>1</v>
      </c>
      <c r="M39">
        <v>200</v>
      </c>
      <c r="R39">
        <v>2000</v>
      </c>
    </row>
    <row r="40" spans="1:18" x14ac:dyDescent="0.35">
      <c r="A40" t="s">
        <v>1339</v>
      </c>
      <c r="C40" t="s">
        <v>67</v>
      </c>
      <c r="D40">
        <v>1</v>
      </c>
      <c r="J40">
        <v>50</v>
      </c>
    </row>
    <row r="41" spans="1:18" x14ac:dyDescent="0.35">
      <c r="A41" t="s">
        <v>1348</v>
      </c>
      <c r="C41" t="s">
        <v>35</v>
      </c>
      <c r="D41">
        <v>1</v>
      </c>
    </row>
    <row r="42" spans="1:18" x14ac:dyDescent="0.35">
      <c r="A42" t="s">
        <v>354</v>
      </c>
      <c r="C42" t="s">
        <v>35</v>
      </c>
      <c r="D42">
        <v>1</v>
      </c>
    </row>
    <row r="43" spans="1:18" x14ac:dyDescent="0.35">
      <c r="A43" t="s">
        <v>918</v>
      </c>
      <c r="C43" t="s">
        <v>67</v>
      </c>
      <c r="D43">
        <v>1</v>
      </c>
    </row>
    <row r="44" spans="1:18" x14ac:dyDescent="0.35">
      <c r="A44" t="s">
        <v>743</v>
      </c>
      <c r="C44" t="s">
        <v>35</v>
      </c>
      <c r="D44">
        <v>1</v>
      </c>
    </row>
    <row r="45" spans="1:18" x14ac:dyDescent="0.35">
      <c r="A45" t="s">
        <v>917</v>
      </c>
      <c r="C45" t="s">
        <v>35</v>
      </c>
      <c r="D45">
        <v>1</v>
      </c>
    </row>
    <row r="46" spans="1:18" x14ac:dyDescent="0.35">
      <c r="A46" t="s">
        <v>19</v>
      </c>
      <c r="B46" t="s">
        <v>459</v>
      </c>
      <c r="C46" t="s">
        <v>35</v>
      </c>
      <c r="D46">
        <v>9.5000000000000001E-2</v>
      </c>
    </row>
    <row r="47" spans="1:18" x14ac:dyDescent="0.35">
      <c r="A47" t="s">
        <v>20</v>
      </c>
      <c r="C47" t="s">
        <v>35</v>
      </c>
      <c r="D47">
        <v>1</v>
      </c>
    </row>
    <row r="48" spans="1:18" x14ac:dyDescent="0.35">
      <c r="A48" t="s">
        <v>499</v>
      </c>
      <c r="C48" t="s">
        <v>67</v>
      </c>
      <c r="D48">
        <v>1</v>
      </c>
      <c r="R48">
        <v>10</v>
      </c>
    </row>
    <row r="49" spans="1:18" x14ac:dyDescent="0.35">
      <c r="A49" t="s">
        <v>488</v>
      </c>
      <c r="C49" t="s">
        <v>67</v>
      </c>
      <c r="D49">
        <v>1</v>
      </c>
      <c r="R49">
        <v>8</v>
      </c>
    </row>
    <row r="50" spans="1:18" x14ac:dyDescent="0.35">
      <c r="A50" t="s">
        <v>485</v>
      </c>
      <c r="C50" t="s">
        <v>67</v>
      </c>
      <c r="D50">
        <v>1</v>
      </c>
    </row>
    <row r="51" spans="1:18" x14ac:dyDescent="0.35">
      <c r="A51" t="s">
        <v>504</v>
      </c>
      <c r="C51" t="s">
        <v>67</v>
      </c>
      <c r="D51">
        <v>1</v>
      </c>
    </row>
    <row r="52" spans="1:18" x14ac:dyDescent="0.35">
      <c r="A52" t="s">
        <v>350</v>
      </c>
      <c r="C52" t="s">
        <v>35</v>
      </c>
      <c r="D52">
        <v>1</v>
      </c>
    </row>
    <row r="53" spans="1:18" x14ac:dyDescent="0.35">
      <c r="A53" t="s">
        <v>1347</v>
      </c>
      <c r="C53" t="s">
        <v>35</v>
      </c>
      <c r="D53">
        <v>1</v>
      </c>
    </row>
    <row r="54" spans="1:18" x14ac:dyDescent="0.35">
      <c r="A54" t="s">
        <v>505</v>
      </c>
      <c r="C54" t="s">
        <v>67</v>
      </c>
      <c r="D54">
        <v>1</v>
      </c>
    </row>
    <row r="55" spans="1:18" x14ac:dyDescent="0.35">
      <c r="A55" t="s">
        <v>351</v>
      </c>
      <c r="C55" t="s">
        <v>35</v>
      </c>
      <c r="D55">
        <v>1</v>
      </c>
    </row>
    <row r="56" spans="1:18" x14ac:dyDescent="0.35">
      <c r="A56" t="s">
        <v>512</v>
      </c>
      <c r="C56" t="s">
        <v>150</v>
      </c>
      <c r="D56">
        <v>1</v>
      </c>
    </row>
    <row r="57" spans="1:18" x14ac:dyDescent="0.35">
      <c r="A57" t="s">
        <v>500</v>
      </c>
      <c r="C57" t="s">
        <v>35</v>
      </c>
      <c r="D57">
        <v>1</v>
      </c>
    </row>
    <row r="58" spans="1:18" x14ac:dyDescent="0.35">
      <c r="A58" t="s">
        <v>26</v>
      </c>
      <c r="C58" t="s">
        <v>35</v>
      </c>
      <c r="D58">
        <v>1</v>
      </c>
    </row>
    <row r="59" spans="1:18" x14ac:dyDescent="0.35">
      <c r="A59" t="s">
        <v>27</v>
      </c>
      <c r="C59" t="s">
        <v>67</v>
      </c>
      <c r="D59">
        <v>1</v>
      </c>
    </row>
    <row r="60" spans="1:18" x14ac:dyDescent="0.35">
      <c r="A60" t="s">
        <v>501</v>
      </c>
      <c r="C60" t="s">
        <v>35</v>
      </c>
      <c r="D60">
        <v>1</v>
      </c>
    </row>
    <row r="61" spans="1:18" x14ac:dyDescent="0.35">
      <c r="A61" t="s">
        <v>916</v>
      </c>
      <c r="C61" t="s">
        <v>35</v>
      </c>
      <c r="D61">
        <v>1</v>
      </c>
    </row>
    <row r="62" spans="1:18" x14ac:dyDescent="0.35">
      <c r="A62" t="s">
        <v>486</v>
      </c>
      <c r="C62" t="s">
        <v>67</v>
      </c>
      <c r="D62">
        <v>1</v>
      </c>
    </row>
    <row r="63" spans="1:18" x14ac:dyDescent="0.35">
      <c r="A63" t="s">
        <v>28</v>
      </c>
      <c r="C63" t="s">
        <v>35</v>
      </c>
      <c r="D63">
        <v>1</v>
      </c>
    </row>
    <row r="64" spans="1:18" x14ac:dyDescent="0.35">
      <c r="A64" t="s">
        <v>541</v>
      </c>
      <c r="C64" t="s">
        <v>67</v>
      </c>
      <c r="D64">
        <v>1</v>
      </c>
    </row>
    <row r="65" spans="1:18" x14ac:dyDescent="0.35">
      <c r="A65" t="s">
        <v>920</v>
      </c>
      <c r="C65" t="s">
        <v>67</v>
      </c>
      <c r="D65">
        <v>1</v>
      </c>
    </row>
    <row r="66" spans="1:18" x14ac:dyDescent="0.35">
      <c r="A66" t="s">
        <v>1318</v>
      </c>
      <c r="C66" t="s">
        <v>67</v>
      </c>
      <c r="D66">
        <v>1</v>
      </c>
      <c r="E66">
        <v>20</v>
      </c>
      <c r="R66">
        <v>16</v>
      </c>
    </row>
    <row r="67" spans="1:18" x14ac:dyDescent="0.35">
      <c r="A67" t="s">
        <v>30</v>
      </c>
      <c r="C67" t="s">
        <v>67</v>
      </c>
      <c r="D67">
        <v>1</v>
      </c>
    </row>
    <row r="68" spans="1:18" x14ac:dyDescent="0.35">
      <c r="A68" t="s">
        <v>31</v>
      </c>
      <c r="C68" t="s">
        <v>35</v>
      </c>
      <c r="D68">
        <v>1</v>
      </c>
    </row>
    <row r="69" spans="1:18" x14ac:dyDescent="0.35">
      <c r="A69" t="s">
        <v>72</v>
      </c>
      <c r="B69" t="s">
        <v>459</v>
      </c>
      <c r="C69" t="s">
        <v>35</v>
      </c>
      <c r="D69">
        <v>0.15</v>
      </c>
    </row>
    <row r="70" spans="1:18" x14ac:dyDescent="0.35">
      <c r="A70" t="s">
        <v>542</v>
      </c>
      <c r="C70" t="s">
        <v>35</v>
      </c>
      <c r="D70">
        <v>1</v>
      </c>
    </row>
    <row r="71" spans="1:18" x14ac:dyDescent="0.35">
      <c r="A71" t="s">
        <v>555</v>
      </c>
      <c r="C71" t="s">
        <v>67</v>
      </c>
      <c r="D71">
        <v>1</v>
      </c>
    </row>
    <row r="72" spans="1:18" x14ac:dyDescent="0.35">
      <c r="A72" t="s">
        <v>34</v>
      </c>
      <c r="B72" t="s">
        <v>459</v>
      </c>
      <c r="C72" t="s">
        <v>68</v>
      </c>
      <c r="D72">
        <v>9.9255583130000005E-2</v>
      </c>
    </row>
    <row r="73" spans="1:18" x14ac:dyDescent="0.35"/>
    <row r="74" spans="1:18" x14ac:dyDescent="0.35"/>
    <row r="75" spans="1:18" x14ac:dyDescent="0.35"/>
    <row r="76" spans="1:18" x14ac:dyDescent="0.35"/>
    <row r="77" spans="1:18" x14ac:dyDescent="0.35"/>
  </sheetData>
  <phoneticPr fontId="2" type="noConversion"/>
  <pageMargins left="0.7" right="0.7" top="0.75" bottom="0.75" header="0.3" footer="0.3"/>
  <pageSetup paperSize="9" orientation="portrait" horizontalDpi="300" verticalDpi="300"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007FF-173E-4078-86DE-6B5A678A6C62}">
  <sheetPr codeName="Sheet21">
    <tabColor theme="0" tint="-0.34998626667073579"/>
  </sheetPr>
  <dimension ref="A1:AF96"/>
  <sheetViews>
    <sheetView zoomScale="80" zoomScaleNormal="80" workbookViewId="0">
      <pane xSplit="1" ySplit="1" topLeftCell="B2" activePane="bottomRight" state="frozen"/>
      <selection activeCell="D33" sqref="D33"/>
      <selection pane="topRight" activeCell="D33" sqref="D33"/>
      <selection pane="bottomLeft" activeCell="D33" sqref="D33"/>
      <selection pane="bottomRight" activeCell="O2" sqref="O2:O62"/>
    </sheetView>
  </sheetViews>
  <sheetFormatPr defaultRowHeight="14.5" zeroHeight="1" x14ac:dyDescent="0.35"/>
  <cols>
    <col min="1" max="1" width="46" customWidth="1"/>
    <col min="2" max="4" width="5.26953125" style="1" bestFit="1" customWidth="1"/>
    <col min="5" max="10" width="4.7265625" style="1" bestFit="1" customWidth="1"/>
    <col min="11" max="32" width="5.7265625" style="1" bestFit="1" customWidth="1"/>
  </cols>
  <sheetData>
    <row r="1" spans="1:32" x14ac:dyDescent="0.35">
      <c r="A1" s="61" t="s">
        <v>386</v>
      </c>
      <c r="B1" s="61" t="s">
        <v>36</v>
      </c>
      <c r="C1" s="61" t="s">
        <v>37</v>
      </c>
      <c r="D1" s="61" t="s">
        <v>38</v>
      </c>
      <c r="E1" s="61" t="s">
        <v>39</v>
      </c>
      <c r="F1" s="61" t="s">
        <v>40</v>
      </c>
      <c r="G1" s="61" t="s">
        <v>41</v>
      </c>
      <c r="H1" s="61" t="s">
        <v>42</v>
      </c>
      <c r="I1" s="61" t="s">
        <v>43</v>
      </c>
      <c r="J1" s="61" t="s">
        <v>44</v>
      </c>
      <c r="K1" s="61" t="s">
        <v>45</v>
      </c>
      <c r="L1" s="61" t="s">
        <v>46</v>
      </c>
      <c r="M1" s="61" t="s">
        <v>47</v>
      </c>
      <c r="N1" s="61" t="s">
        <v>48</v>
      </c>
      <c r="O1" s="61" t="s">
        <v>49</v>
      </c>
      <c r="P1" s="61" t="s">
        <v>50</v>
      </c>
      <c r="Q1" s="61" t="s">
        <v>51</v>
      </c>
      <c r="R1" s="61" t="s">
        <v>52</v>
      </c>
      <c r="S1" s="61" t="s">
        <v>53</v>
      </c>
      <c r="T1" s="61" t="s">
        <v>54</v>
      </c>
      <c r="U1" s="61" t="s">
        <v>55</v>
      </c>
      <c r="V1" s="61" t="s">
        <v>56</v>
      </c>
      <c r="W1" s="61" t="s">
        <v>57</v>
      </c>
      <c r="X1" s="61" t="s">
        <v>58</v>
      </c>
      <c r="Y1" s="61" t="s">
        <v>59</v>
      </c>
      <c r="Z1" s="61" t="s">
        <v>60</v>
      </c>
      <c r="AA1" s="61" t="s">
        <v>61</v>
      </c>
      <c r="AB1" s="61" t="s">
        <v>62</v>
      </c>
      <c r="AC1" s="61" t="s">
        <v>63</v>
      </c>
      <c r="AD1" s="61" t="s">
        <v>64</v>
      </c>
      <c r="AE1" s="61" t="s">
        <v>65</v>
      </c>
      <c r="AF1" s="61" t="s">
        <v>66</v>
      </c>
    </row>
    <row r="2" spans="1:32" x14ac:dyDescent="0.35">
      <c r="A2" t="s">
        <v>514</v>
      </c>
    </row>
    <row r="3" spans="1:32" x14ac:dyDescent="0.35">
      <c r="A3" t="s">
        <v>483</v>
      </c>
    </row>
    <row r="4" spans="1:32" x14ac:dyDescent="0.35">
      <c r="A4" t="s">
        <v>489</v>
      </c>
    </row>
    <row r="5" spans="1:32" x14ac:dyDescent="0.35">
      <c r="A5" t="s">
        <v>491</v>
      </c>
    </row>
    <row r="6" spans="1:32" x14ac:dyDescent="0.35">
      <c r="A6" t="s">
        <v>493</v>
      </c>
    </row>
    <row r="7" spans="1:32" x14ac:dyDescent="0.35"/>
    <row r="8" spans="1:32" x14ac:dyDescent="0.35">
      <c r="A8" t="s">
        <v>1467</v>
      </c>
    </row>
    <row r="9" spans="1:32" x14ac:dyDescent="0.35">
      <c r="A9" t="s">
        <v>495</v>
      </c>
      <c r="O9" s="1">
        <v>6</v>
      </c>
    </row>
    <row r="10" spans="1:32" x14ac:dyDescent="0.35">
      <c r="A10" t="s">
        <v>506</v>
      </c>
      <c r="O10" s="1">
        <v>2</v>
      </c>
    </row>
    <row r="11" spans="1:32" x14ac:dyDescent="0.35">
      <c r="A11" t="s">
        <v>1337</v>
      </c>
    </row>
    <row r="12" spans="1:32" x14ac:dyDescent="0.35"/>
    <row r="13" spans="1:32" x14ac:dyDescent="0.35">
      <c r="A13" t="s">
        <v>624</v>
      </c>
    </row>
    <row r="14" spans="1:32" x14ac:dyDescent="0.35">
      <c r="A14" t="s">
        <v>539</v>
      </c>
    </row>
    <row r="15" spans="1:32" x14ac:dyDescent="0.35"/>
    <row r="16" spans="1:32" x14ac:dyDescent="0.35">
      <c r="A16" t="s">
        <v>399</v>
      </c>
    </row>
    <row r="17" spans="1:15" x14ac:dyDescent="0.35">
      <c r="A17" t="s">
        <v>1153</v>
      </c>
    </row>
    <row r="18" spans="1:15" x14ac:dyDescent="0.35">
      <c r="A18" t="s">
        <v>1151</v>
      </c>
    </row>
    <row r="19" spans="1:15" x14ac:dyDescent="0.35">
      <c r="A19" t="s">
        <v>1149</v>
      </c>
      <c r="O19" s="1">
        <v>5</v>
      </c>
    </row>
    <row r="20" spans="1:15" x14ac:dyDescent="0.35"/>
    <row r="21" spans="1:15" x14ac:dyDescent="0.35">
      <c r="A21" t="s">
        <v>515</v>
      </c>
    </row>
    <row r="22" spans="1:15" x14ac:dyDescent="0.35">
      <c r="A22" t="s">
        <v>487</v>
      </c>
      <c r="O22" s="1">
        <v>2</v>
      </c>
    </row>
    <row r="23" spans="1:15" x14ac:dyDescent="0.35">
      <c r="A23" t="s">
        <v>490</v>
      </c>
    </row>
    <row r="24" spans="1:15" x14ac:dyDescent="0.35">
      <c r="A24" t="s">
        <v>492</v>
      </c>
      <c r="J24" s="1">
        <v>4</v>
      </c>
    </row>
    <row r="25" spans="1:15" x14ac:dyDescent="0.35">
      <c r="A25" t="s">
        <v>494</v>
      </c>
    </row>
    <row r="26" spans="1:15" x14ac:dyDescent="0.35"/>
    <row r="27" spans="1:15" x14ac:dyDescent="0.35">
      <c r="A27" t="s">
        <v>1468</v>
      </c>
    </row>
    <row r="28" spans="1:15" x14ac:dyDescent="0.35">
      <c r="A28" t="s">
        <v>502</v>
      </c>
    </row>
    <row r="29" spans="1:15" x14ac:dyDescent="0.35">
      <c r="A29" t="s">
        <v>508</v>
      </c>
    </row>
    <row r="30" spans="1:15" x14ac:dyDescent="0.35">
      <c r="A30" t="s">
        <v>1338</v>
      </c>
    </row>
    <row r="31" spans="1:15" x14ac:dyDescent="0.35"/>
    <row r="32" spans="1:15" x14ac:dyDescent="0.35">
      <c r="A32" t="s">
        <v>750</v>
      </c>
    </row>
    <row r="33" spans="1:1" x14ac:dyDescent="0.35">
      <c r="A33" t="s">
        <v>543</v>
      </c>
    </row>
    <row r="34" spans="1:1" x14ac:dyDescent="0.35"/>
    <row r="35" spans="1:1" x14ac:dyDescent="0.35">
      <c r="A35" t="s">
        <v>402</v>
      </c>
    </row>
    <row r="36" spans="1:1" x14ac:dyDescent="0.35">
      <c r="A36" t="s">
        <v>1152</v>
      </c>
    </row>
    <row r="37" spans="1:1" x14ac:dyDescent="0.35">
      <c r="A37" t="s">
        <v>1150</v>
      </c>
    </row>
    <row r="38" spans="1:1" x14ac:dyDescent="0.35">
      <c r="A38" t="s">
        <v>1148</v>
      </c>
    </row>
    <row r="39" spans="1:1" x14ac:dyDescent="0.35"/>
    <row r="40" spans="1:1" x14ac:dyDescent="0.35">
      <c r="A40" t="s">
        <v>403</v>
      </c>
    </row>
    <row r="41" spans="1:1" x14ac:dyDescent="0.35">
      <c r="A41" t="s">
        <v>836</v>
      </c>
    </row>
    <row r="42" spans="1:1" x14ac:dyDescent="0.35">
      <c r="A42" t="s">
        <v>1144</v>
      </c>
    </row>
    <row r="43" spans="1:1" x14ac:dyDescent="0.35">
      <c r="A43" t="s">
        <v>1145</v>
      </c>
    </row>
    <row r="44" spans="1:1" x14ac:dyDescent="0.35">
      <c r="A44" t="s">
        <v>1192</v>
      </c>
    </row>
    <row r="45" spans="1:1" x14ac:dyDescent="0.35">
      <c r="A45" t="s">
        <v>1154</v>
      </c>
    </row>
    <row r="46" spans="1:1" x14ac:dyDescent="0.35">
      <c r="A46" t="s">
        <v>1334</v>
      </c>
    </row>
    <row r="47" spans="1:1" x14ac:dyDescent="0.35">
      <c r="A47" t="s">
        <v>1335</v>
      </c>
    </row>
    <row r="48" spans="1:1" x14ac:dyDescent="0.35">
      <c r="A48" t="s">
        <v>1336</v>
      </c>
    </row>
    <row r="49" spans="1:1" x14ac:dyDescent="0.35"/>
    <row r="50" spans="1:1" x14ac:dyDescent="0.35">
      <c r="A50" t="s">
        <v>405</v>
      </c>
    </row>
    <row r="51" spans="1:1" x14ac:dyDescent="0.35">
      <c r="A51" t="s">
        <v>1466</v>
      </c>
    </row>
    <row r="52" spans="1:1" x14ac:dyDescent="0.35">
      <c r="A52" t="s">
        <v>1469</v>
      </c>
    </row>
    <row r="53" spans="1:1" x14ac:dyDescent="0.35">
      <c r="A53" t="s">
        <v>1106</v>
      </c>
    </row>
    <row r="54" spans="1:1" x14ac:dyDescent="0.35">
      <c r="A54" t="s">
        <v>1103</v>
      </c>
    </row>
    <row r="55" spans="1:1" x14ac:dyDescent="0.35">
      <c r="A55" t="s">
        <v>1104</v>
      </c>
    </row>
    <row r="56" spans="1:1" x14ac:dyDescent="0.35">
      <c r="A56" t="s">
        <v>1105</v>
      </c>
    </row>
    <row r="57" spans="1:1" x14ac:dyDescent="0.35"/>
    <row r="58" spans="1:1" x14ac:dyDescent="0.35">
      <c r="A58" t="s">
        <v>404</v>
      </c>
    </row>
    <row r="59" spans="1:1" x14ac:dyDescent="0.35">
      <c r="A59" t="s">
        <v>488</v>
      </c>
    </row>
    <row r="60" spans="1:1" x14ac:dyDescent="0.35">
      <c r="A60" t="s">
        <v>986</v>
      </c>
    </row>
    <row r="61" spans="1:1" x14ac:dyDescent="0.35">
      <c r="A61" t="s">
        <v>485</v>
      </c>
    </row>
    <row r="62" spans="1:1" x14ac:dyDescent="0.35">
      <c r="A62" t="s">
        <v>922</v>
      </c>
    </row>
    <row r="63" spans="1:1" x14ac:dyDescent="0.35"/>
    <row r="64" spans="1:1"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sheetData>
  <conditionalFormatting sqref="A2:A111">
    <cfRule type="cellIs" dxfId="347" priority="1" operator="equal">
      <formula>0</formula>
    </cfRule>
    <cfRule type="containsText" dxfId="346" priority="2" operator="containsText" text="DINE IN/TAKE AWAY|">
      <formula>NOT(ISERROR(SEARCH("DINE IN/TAKE AWAY|",A2)))</formula>
    </cfRule>
    <cfRule type="containsText" dxfId="345" priority="3" operator="containsText" text="TAKE AWAY|">
      <formula>NOT(ISERROR(SEARCH("TAKE AWAY|",A2)))</formula>
    </cfRule>
    <cfRule type="containsText" dxfId="344" priority="4" operator="containsText" text="DINE IN|">
      <formula>NOT(ISERROR(SEARCH("DINE IN|",A2)))</formula>
    </cfRule>
  </conditionalFormatting>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5F3D0-BAD9-4201-8594-1FE9003ED790}">
  <sheetPr codeName="Sheet24">
    <tabColor rgb="FFFF0000"/>
  </sheetPr>
  <dimension ref="A1:AI72"/>
  <sheetViews>
    <sheetView zoomScale="70" zoomScaleNormal="70" workbookViewId="0">
      <pane xSplit="4" ySplit="1" topLeftCell="E14" activePane="bottomRight" state="frozen"/>
      <selection pane="topRight" activeCell="E1" sqref="E1"/>
      <selection pane="bottomLeft" activeCell="A2" sqref="A2"/>
      <selection pane="bottomRight" activeCell="R31" sqref="R31"/>
    </sheetView>
  </sheetViews>
  <sheetFormatPr defaultColWidth="34.26953125" defaultRowHeight="14.5" x14ac:dyDescent="0.35"/>
  <cols>
    <col min="1" max="1" width="30.1796875" bestFit="1" customWidth="1"/>
    <col min="2" max="2" width="31.1796875" customWidth="1"/>
    <col min="3" max="3" width="10.81640625" bestFit="1" customWidth="1"/>
    <col min="4" max="4" width="12.26953125" bestFit="1" customWidth="1"/>
    <col min="5" max="13" width="8.26953125" bestFit="1" customWidth="1"/>
    <col min="14" max="35" width="9.1796875" bestFit="1" customWidth="1"/>
    <col min="36" max="38" width="11.54296875" customWidth="1"/>
  </cols>
  <sheetData>
    <row r="1" spans="1:35" x14ac:dyDescent="0.35">
      <c r="A1" t="s">
        <v>172</v>
      </c>
      <c r="B1" t="s">
        <v>177</v>
      </c>
      <c r="C1" t="s">
        <v>1</v>
      </c>
      <c r="D1" t="s">
        <v>458</v>
      </c>
      <c r="E1" s="71" t="s">
        <v>36</v>
      </c>
      <c r="F1" s="71" t="s">
        <v>37</v>
      </c>
      <c r="G1" s="71" t="s">
        <v>38</v>
      </c>
      <c r="H1" s="71" t="s">
        <v>39</v>
      </c>
      <c r="I1" s="71" t="s">
        <v>40</v>
      </c>
      <c r="J1" s="71" t="s">
        <v>41</v>
      </c>
      <c r="K1" s="71" t="s">
        <v>42</v>
      </c>
      <c r="L1" s="71" t="s">
        <v>43</v>
      </c>
      <c r="M1" s="71" t="s">
        <v>44</v>
      </c>
      <c r="N1" s="71" t="s">
        <v>45</v>
      </c>
      <c r="O1" s="71" t="s">
        <v>46</v>
      </c>
      <c r="P1" s="71" t="s">
        <v>47</v>
      </c>
      <c r="Q1" s="71" t="s">
        <v>48</v>
      </c>
      <c r="R1" s="71" t="s">
        <v>49</v>
      </c>
      <c r="S1" s="71" t="s">
        <v>50</v>
      </c>
      <c r="T1" s="71" t="s">
        <v>51</v>
      </c>
      <c r="U1" s="71" t="s">
        <v>52</v>
      </c>
      <c r="V1" s="71" t="s">
        <v>53</v>
      </c>
      <c r="W1" s="71" t="s">
        <v>54</v>
      </c>
      <c r="X1" s="71" t="s">
        <v>55</v>
      </c>
      <c r="Y1" s="71" t="s">
        <v>56</v>
      </c>
      <c r="Z1" s="71" t="s">
        <v>57</v>
      </c>
      <c r="AA1" s="71" t="s">
        <v>58</v>
      </c>
      <c r="AB1" s="71" t="s">
        <v>59</v>
      </c>
      <c r="AC1" s="71" t="s">
        <v>60</v>
      </c>
      <c r="AD1" s="71" t="s">
        <v>61</v>
      </c>
      <c r="AE1" s="71" t="s">
        <v>62</v>
      </c>
      <c r="AF1" s="71" t="s">
        <v>63</v>
      </c>
      <c r="AG1" s="71" t="s">
        <v>64</v>
      </c>
      <c r="AH1" s="71" t="s">
        <v>65</v>
      </c>
      <c r="AI1" s="72" t="s">
        <v>66</v>
      </c>
    </row>
    <row r="2" spans="1:35" x14ac:dyDescent="0.35">
      <c r="A2" t="s">
        <v>1316</v>
      </c>
      <c r="C2" t="s">
        <v>35</v>
      </c>
      <c r="D2">
        <v>1</v>
      </c>
      <c r="E2" s="162"/>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4"/>
    </row>
    <row r="3" spans="1:35" x14ac:dyDescent="0.35">
      <c r="A3" t="s">
        <v>837</v>
      </c>
      <c r="C3" t="s">
        <v>69</v>
      </c>
      <c r="D3">
        <v>1</v>
      </c>
      <c r="E3" s="161"/>
      <c r="F3" s="161"/>
      <c r="G3" s="161"/>
      <c r="H3" s="161"/>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4"/>
    </row>
    <row r="4" spans="1:35" x14ac:dyDescent="0.35">
      <c r="A4" t="s">
        <v>914</v>
      </c>
      <c r="C4" t="s">
        <v>35</v>
      </c>
      <c r="D4">
        <v>1</v>
      </c>
      <c r="E4" s="161"/>
      <c r="F4" s="161"/>
      <c r="G4" s="161"/>
      <c r="H4" s="161"/>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4"/>
    </row>
    <row r="5" spans="1:35" x14ac:dyDescent="0.35">
      <c r="A5" t="s">
        <v>484</v>
      </c>
      <c r="C5" t="s">
        <v>67</v>
      </c>
      <c r="D5">
        <v>1</v>
      </c>
      <c r="E5" s="161"/>
      <c r="F5" s="161"/>
      <c r="G5" s="161"/>
      <c r="H5" s="161"/>
      <c r="I5" s="161"/>
      <c r="J5" s="161"/>
      <c r="K5" s="161"/>
      <c r="L5" s="161"/>
      <c r="M5" s="161"/>
      <c r="N5" s="161"/>
      <c r="O5" s="161"/>
      <c r="P5" s="161"/>
      <c r="Q5" s="161"/>
      <c r="R5" s="161"/>
      <c r="S5" s="161"/>
      <c r="T5" s="161"/>
      <c r="U5" s="161"/>
      <c r="V5" s="161"/>
      <c r="W5" s="161"/>
      <c r="X5" s="161"/>
      <c r="Y5" s="161"/>
      <c r="Z5" s="161"/>
      <c r="AA5" s="161"/>
      <c r="AB5" s="161"/>
      <c r="AC5" s="161"/>
      <c r="AD5" s="161"/>
      <c r="AE5" s="161"/>
      <c r="AF5" s="161"/>
      <c r="AG5" s="161"/>
      <c r="AH5" s="161"/>
      <c r="AI5" s="164"/>
    </row>
    <row r="6" spans="1:35" x14ac:dyDescent="0.35">
      <c r="A6" t="s">
        <v>507</v>
      </c>
      <c r="C6" t="s">
        <v>67</v>
      </c>
      <c r="D6">
        <v>1</v>
      </c>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4"/>
    </row>
    <row r="7" spans="1:35" x14ac:dyDescent="0.35">
      <c r="A7" t="s">
        <v>915</v>
      </c>
      <c r="C7" t="s">
        <v>35</v>
      </c>
      <c r="D7">
        <v>1</v>
      </c>
      <c r="E7" s="161"/>
      <c r="F7" s="161"/>
      <c r="G7" s="161"/>
      <c r="H7" s="161"/>
      <c r="I7" s="161"/>
      <c r="J7" s="161"/>
      <c r="K7" s="161"/>
      <c r="L7" s="161"/>
      <c r="M7" s="161"/>
      <c r="N7" s="161"/>
      <c r="O7" s="161"/>
      <c r="P7" s="161"/>
      <c r="Q7" s="161"/>
      <c r="R7" s="161"/>
      <c r="S7" s="161"/>
      <c r="T7" s="161"/>
      <c r="U7" s="161"/>
      <c r="V7" s="161"/>
      <c r="W7" s="161"/>
      <c r="X7" s="161"/>
      <c r="Y7" s="161"/>
      <c r="Z7" s="161"/>
      <c r="AA7" s="161"/>
      <c r="AB7" s="161"/>
      <c r="AC7" s="161"/>
      <c r="AD7" s="161"/>
      <c r="AE7" s="161"/>
      <c r="AF7" s="161"/>
      <c r="AG7" s="161"/>
      <c r="AH7" s="161"/>
      <c r="AI7" s="164"/>
    </row>
    <row r="8" spans="1:35" x14ac:dyDescent="0.35">
      <c r="A8" t="s">
        <v>540</v>
      </c>
      <c r="C8" t="s">
        <v>67</v>
      </c>
      <c r="D8">
        <v>1</v>
      </c>
      <c r="E8" s="161"/>
      <c r="F8" s="161"/>
      <c r="G8" s="161"/>
      <c r="H8" s="161"/>
      <c r="I8" s="161"/>
      <c r="J8" s="161"/>
      <c r="K8" s="161"/>
      <c r="L8" s="161"/>
      <c r="M8" s="161"/>
      <c r="N8" s="161"/>
      <c r="O8" s="161"/>
      <c r="P8" s="161"/>
      <c r="Q8" s="161"/>
      <c r="R8" s="161"/>
      <c r="S8" s="161"/>
      <c r="T8" s="161"/>
      <c r="U8" s="161"/>
      <c r="V8" s="161"/>
      <c r="W8" s="161"/>
      <c r="X8" s="161"/>
      <c r="Y8" s="161"/>
      <c r="Z8" s="161"/>
      <c r="AA8" s="161"/>
      <c r="AB8" s="161"/>
      <c r="AC8" s="161"/>
      <c r="AD8" s="161"/>
      <c r="AE8" s="161"/>
      <c r="AF8" s="161"/>
      <c r="AG8" s="161"/>
      <c r="AH8" s="161"/>
      <c r="AI8" s="164"/>
    </row>
    <row r="9" spans="1:35" x14ac:dyDescent="0.35">
      <c r="A9" t="s">
        <v>496</v>
      </c>
      <c r="C9" t="s">
        <v>35</v>
      </c>
      <c r="D9">
        <v>1</v>
      </c>
      <c r="E9" s="161"/>
      <c r="F9" s="161"/>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F9" s="161"/>
      <c r="AG9" s="161"/>
      <c r="AH9" s="161"/>
      <c r="AI9" s="164"/>
    </row>
    <row r="10" spans="1:35" x14ac:dyDescent="0.35">
      <c r="A10" t="s">
        <v>1195</v>
      </c>
      <c r="C10" t="s">
        <v>35</v>
      </c>
      <c r="D10">
        <v>1</v>
      </c>
      <c r="E10" s="161"/>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4"/>
    </row>
    <row r="11" spans="1:35" x14ac:dyDescent="0.35">
      <c r="A11" t="s">
        <v>511</v>
      </c>
      <c r="B11" t="s">
        <v>634</v>
      </c>
      <c r="C11" t="s">
        <v>35</v>
      </c>
      <c r="D11">
        <v>0.46666666666666667</v>
      </c>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4"/>
    </row>
    <row r="12" spans="1:35" x14ac:dyDescent="0.35">
      <c r="A12" t="s">
        <v>511</v>
      </c>
      <c r="B12" t="s">
        <v>749</v>
      </c>
      <c r="C12" t="s">
        <v>35</v>
      </c>
      <c r="D12">
        <v>0.46666666666666667</v>
      </c>
      <c r="E12" s="161"/>
      <c r="F12" s="161"/>
      <c r="G12" s="161"/>
      <c r="H12" s="161"/>
      <c r="I12" s="161"/>
      <c r="J12" s="161"/>
      <c r="K12" s="161"/>
      <c r="L12" s="161"/>
      <c r="M12" s="161"/>
      <c r="N12" s="161"/>
      <c r="O12" s="161"/>
      <c r="P12" s="161"/>
      <c r="Q12" s="161"/>
      <c r="R12" s="161"/>
      <c r="S12" s="161"/>
      <c r="T12" s="161"/>
      <c r="U12" s="161"/>
      <c r="V12" s="161"/>
      <c r="W12" s="161"/>
      <c r="X12" s="161"/>
      <c r="Y12" s="161"/>
      <c r="Z12" s="161"/>
      <c r="AA12" s="161"/>
      <c r="AB12" s="161"/>
      <c r="AC12" s="161"/>
      <c r="AD12" s="161"/>
      <c r="AE12" s="161"/>
      <c r="AF12" s="161"/>
      <c r="AG12" s="161"/>
      <c r="AH12" s="161"/>
      <c r="AI12" s="164"/>
    </row>
    <row r="13" spans="1:35" x14ac:dyDescent="0.35">
      <c r="A13" t="s">
        <v>509</v>
      </c>
      <c r="C13" t="s">
        <v>35</v>
      </c>
      <c r="D13">
        <v>1</v>
      </c>
      <c r="E13" s="161"/>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4"/>
    </row>
    <row r="14" spans="1:35" x14ac:dyDescent="0.35">
      <c r="A14" t="s">
        <v>1345</v>
      </c>
      <c r="C14" t="s">
        <v>35</v>
      </c>
      <c r="D14">
        <v>1</v>
      </c>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4"/>
    </row>
    <row r="15" spans="1:35" x14ac:dyDescent="0.35">
      <c r="A15" t="s">
        <v>1344</v>
      </c>
      <c r="C15" t="s">
        <v>35</v>
      </c>
      <c r="D15">
        <v>1</v>
      </c>
      <c r="E15" s="161"/>
      <c r="F15" s="161"/>
      <c r="G15" s="161"/>
      <c r="H15" s="161"/>
      <c r="I15" s="161"/>
      <c r="J15" s="161"/>
      <c r="K15" s="161"/>
      <c r="L15" s="161"/>
      <c r="M15" s="161"/>
      <c r="N15" s="161"/>
      <c r="O15" s="161"/>
      <c r="P15" s="161"/>
      <c r="Q15" s="161"/>
      <c r="R15" s="161"/>
      <c r="S15" s="161"/>
      <c r="T15" s="161"/>
      <c r="U15" s="161"/>
      <c r="V15" s="161"/>
      <c r="W15" s="161"/>
      <c r="X15" s="161"/>
      <c r="Y15" s="161"/>
      <c r="Z15" s="161"/>
      <c r="AA15" s="161"/>
      <c r="AB15" s="161"/>
      <c r="AC15" s="161"/>
      <c r="AD15" s="161"/>
      <c r="AE15" s="161"/>
      <c r="AF15" s="161"/>
      <c r="AG15" s="161"/>
      <c r="AH15" s="161"/>
      <c r="AI15" s="164"/>
    </row>
    <row r="16" spans="1:35" x14ac:dyDescent="0.35">
      <c r="A16" t="s">
        <v>1343</v>
      </c>
      <c r="C16" t="s">
        <v>35</v>
      </c>
      <c r="D16">
        <v>1</v>
      </c>
      <c r="E16" s="161"/>
      <c r="F16" s="161"/>
      <c r="G16" s="161"/>
      <c r="H16" s="161"/>
      <c r="I16" s="161"/>
      <c r="J16" s="161"/>
      <c r="K16" s="161"/>
      <c r="L16" s="161"/>
      <c r="M16" s="161"/>
      <c r="N16" s="161"/>
      <c r="O16" s="161"/>
      <c r="P16" s="161"/>
      <c r="Q16" s="161"/>
      <c r="R16" s="161"/>
      <c r="S16" s="161"/>
      <c r="T16" s="161"/>
      <c r="U16" s="161"/>
      <c r="V16" s="161"/>
      <c r="W16" s="161"/>
      <c r="X16" s="161"/>
      <c r="Y16" s="161"/>
      <c r="Z16" s="161"/>
      <c r="AA16" s="161"/>
      <c r="AB16" s="161"/>
      <c r="AC16" s="161"/>
      <c r="AD16" s="161"/>
      <c r="AE16" s="161"/>
      <c r="AF16" s="161"/>
      <c r="AG16" s="161"/>
      <c r="AH16" s="161"/>
      <c r="AI16" s="164"/>
    </row>
    <row r="17" spans="1:35" x14ac:dyDescent="0.35">
      <c r="A17" t="s">
        <v>1196</v>
      </c>
      <c r="C17" t="s">
        <v>35</v>
      </c>
      <c r="D17">
        <v>1</v>
      </c>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c r="AH17" s="161"/>
      <c r="AI17" s="164"/>
    </row>
    <row r="18" spans="1:35" x14ac:dyDescent="0.35">
      <c r="A18" t="s">
        <v>1196</v>
      </c>
      <c r="B18" t="s">
        <v>886</v>
      </c>
      <c r="C18" t="s">
        <v>35</v>
      </c>
      <c r="D18">
        <v>1</v>
      </c>
      <c r="E18" s="163"/>
      <c r="F18" s="161"/>
      <c r="G18" s="161"/>
      <c r="H18" s="161"/>
      <c r="I18" s="161"/>
      <c r="J18" s="161"/>
      <c r="K18" s="161"/>
      <c r="L18" s="161"/>
      <c r="M18" s="161"/>
      <c r="N18" s="161"/>
      <c r="O18" s="161"/>
      <c r="P18" s="161"/>
      <c r="Q18" s="161"/>
      <c r="R18" s="161"/>
      <c r="S18" s="161"/>
      <c r="T18" s="161"/>
      <c r="U18" s="161"/>
      <c r="V18" s="161"/>
      <c r="W18" s="161"/>
      <c r="X18" s="161"/>
      <c r="Y18" s="161"/>
      <c r="Z18" s="161"/>
      <c r="AA18" s="161"/>
      <c r="AB18" s="161"/>
      <c r="AC18" s="161"/>
      <c r="AD18" s="161"/>
      <c r="AE18" s="161"/>
      <c r="AF18" s="161"/>
      <c r="AG18" s="161"/>
      <c r="AH18" s="161"/>
      <c r="AI18" s="164"/>
    </row>
    <row r="19" spans="1:35" x14ac:dyDescent="0.35">
      <c r="A19" t="s">
        <v>1196</v>
      </c>
      <c r="B19" t="s">
        <v>887</v>
      </c>
      <c r="C19" t="s">
        <v>35</v>
      </c>
      <c r="D19">
        <v>1</v>
      </c>
      <c r="E19" s="163"/>
      <c r="F19" s="161"/>
      <c r="G19" s="161"/>
      <c r="H19" s="161"/>
      <c r="I19" s="161"/>
      <c r="J19" s="161"/>
      <c r="K19" s="161"/>
      <c r="L19" s="161"/>
      <c r="M19" s="161"/>
      <c r="N19" s="161"/>
      <c r="O19" s="161"/>
      <c r="P19" s="161"/>
      <c r="Q19" s="161"/>
      <c r="R19" s="161"/>
      <c r="S19" s="161"/>
      <c r="T19" s="161"/>
      <c r="U19" s="161"/>
      <c r="V19" s="161"/>
      <c r="W19" s="161"/>
      <c r="X19" s="161"/>
      <c r="Y19" s="161"/>
      <c r="Z19" s="161"/>
      <c r="AA19" s="161"/>
      <c r="AB19" s="161"/>
      <c r="AC19" s="161"/>
      <c r="AD19" s="161"/>
      <c r="AE19" s="161"/>
      <c r="AF19" s="161"/>
      <c r="AG19" s="161"/>
      <c r="AH19" s="161"/>
      <c r="AI19" s="164"/>
    </row>
    <row r="20" spans="1:35" x14ac:dyDescent="0.35">
      <c r="A20" t="s">
        <v>1196</v>
      </c>
      <c r="B20" t="s">
        <v>888</v>
      </c>
      <c r="C20" t="s">
        <v>35</v>
      </c>
      <c r="D20">
        <v>1</v>
      </c>
      <c r="E20" s="163"/>
      <c r="F20" s="161"/>
      <c r="G20" s="161"/>
      <c r="H20" s="161"/>
      <c r="I20" s="161"/>
      <c r="J20" s="161"/>
      <c r="K20" s="161"/>
      <c r="L20" s="161"/>
      <c r="M20" s="161"/>
      <c r="N20" s="161"/>
      <c r="O20" s="161"/>
      <c r="P20" s="161"/>
      <c r="Q20" s="161"/>
      <c r="R20" s="161"/>
      <c r="S20" s="161"/>
      <c r="T20" s="161"/>
      <c r="U20" s="161"/>
      <c r="V20" s="161"/>
      <c r="W20" s="161"/>
      <c r="X20" s="161"/>
      <c r="Y20" s="161"/>
      <c r="Z20" s="161"/>
      <c r="AA20" s="161"/>
      <c r="AB20" s="161"/>
      <c r="AC20" s="161"/>
      <c r="AD20" s="161"/>
      <c r="AE20" s="161"/>
      <c r="AF20" s="161"/>
      <c r="AG20" s="161"/>
      <c r="AH20" s="161"/>
      <c r="AI20" s="164"/>
    </row>
    <row r="21" spans="1:35" x14ac:dyDescent="0.35">
      <c r="A21" t="s">
        <v>1194</v>
      </c>
      <c r="C21" t="s">
        <v>35</v>
      </c>
      <c r="D21">
        <v>1</v>
      </c>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4"/>
    </row>
    <row r="22" spans="1:35" x14ac:dyDescent="0.35">
      <c r="A22" t="s">
        <v>2</v>
      </c>
      <c r="C22" t="s">
        <v>35</v>
      </c>
      <c r="D22">
        <v>1</v>
      </c>
      <c r="E22" s="161"/>
      <c r="F22" s="161"/>
      <c r="G22" s="161"/>
      <c r="H22" s="161"/>
      <c r="I22" s="161"/>
      <c r="J22" s="161"/>
      <c r="K22" s="161"/>
      <c r="L22" s="161"/>
      <c r="M22" s="161"/>
      <c r="N22" s="161"/>
      <c r="O22" s="161"/>
      <c r="P22" s="161"/>
      <c r="Q22" s="161"/>
      <c r="R22" s="161"/>
      <c r="S22" s="161"/>
      <c r="T22" s="161"/>
      <c r="U22" s="161"/>
      <c r="V22" s="161"/>
      <c r="W22" s="161"/>
      <c r="X22" s="161"/>
      <c r="Y22" s="161"/>
      <c r="Z22" s="161"/>
      <c r="AA22" s="161"/>
      <c r="AB22" s="161"/>
      <c r="AC22" s="161"/>
      <c r="AD22" s="161"/>
      <c r="AE22" s="161"/>
      <c r="AF22" s="161"/>
      <c r="AG22" s="161"/>
      <c r="AH22" s="161"/>
      <c r="AI22" s="164"/>
    </row>
    <row r="23" spans="1:35" x14ac:dyDescent="0.35">
      <c r="A23" t="s">
        <v>2</v>
      </c>
      <c r="B23" t="s">
        <v>927</v>
      </c>
      <c r="C23" t="s">
        <v>35</v>
      </c>
      <c r="D23">
        <v>1</v>
      </c>
      <c r="E23" s="161"/>
      <c r="F23" s="161"/>
      <c r="G23" s="161"/>
      <c r="H23" s="161"/>
      <c r="I23" s="161"/>
      <c r="J23" s="161"/>
      <c r="K23" s="161"/>
      <c r="L23" s="161"/>
      <c r="M23" s="161"/>
      <c r="N23" s="161"/>
      <c r="O23" s="161"/>
      <c r="P23" s="161"/>
      <c r="Q23" s="161"/>
      <c r="R23" s="161"/>
      <c r="S23" s="161"/>
      <c r="T23" s="161"/>
      <c r="U23" s="161"/>
      <c r="V23" s="161"/>
      <c r="W23" s="161"/>
      <c r="X23" s="161"/>
      <c r="Y23" s="161"/>
      <c r="Z23" s="161"/>
      <c r="AA23" s="161"/>
      <c r="AB23" s="161"/>
      <c r="AC23" s="161"/>
      <c r="AD23" s="161"/>
      <c r="AE23" s="161"/>
      <c r="AF23" s="161"/>
      <c r="AG23" s="161"/>
      <c r="AH23" s="161"/>
      <c r="AI23" s="164"/>
    </row>
    <row r="24" spans="1:35" x14ac:dyDescent="0.35">
      <c r="A24" t="s">
        <v>353</v>
      </c>
      <c r="C24" t="s">
        <v>35</v>
      </c>
      <c r="D24">
        <v>1</v>
      </c>
      <c r="E24" s="161"/>
      <c r="F24" s="161"/>
      <c r="G24" s="161"/>
      <c r="H24" s="161"/>
      <c r="I24" s="161"/>
      <c r="J24" s="161"/>
      <c r="K24" s="161"/>
      <c r="L24" s="161"/>
      <c r="M24" s="161"/>
      <c r="N24" s="161"/>
      <c r="O24" s="161"/>
      <c r="P24" s="161"/>
      <c r="Q24" s="161"/>
      <c r="R24" s="161"/>
      <c r="S24" s="161"/>
      <c r="T24" s="161"/>
      <c r="U24" s="161"/>
      <c r="V24" s="161"/>
      <c r="W24" s="161"/>
      <c r="X24" s="161"/>
      <c r="Y24" s="161"/>
      <c r="Z24" s="161"/>
      <c r="AA24" s="161"/>
      <c r="AB24" s="161"/>
      <c r="AC24" s="161"/>
      <c r="AD24" s="161"/>
      <c r="AE24" s="161"/>
      <c r="AF24" s="161"/>
      <c r="AG24" s="161"/>
      <c r="AH24" s="161"/>
      <c r="AI24" s="164"/>
    </row>
    <row r="25" spans="1:35" x14ac:dyDescent="0.35">
      <c r="A25" t="s">
        <v>352</v>
      </c>
      <c r="C25" t="s">
        <v>68</v>
      </c>
      <c r="D25">
        <v>1</v>
      </c>
      <c r="E25" s="161"/>
      <c r="F25" s="161"/>
      <c r="G25" s="161"/>
      <c r="H25" s="161"/>
      <c r="I25" s="161"/>
      <c r="J25" s="161"/>
      <c r="K25" s="161"/>
      <c r="L25" s="161"/>
      <c r="M25" s="161"/>
      <c r="N25" s="161"/>
      <c r="O25" s="161"/>
      <c r="P25" s="161"/>
      <c r="Q25" s="161"/>
      <c r="R25" s="161"/>
      <c r="S25" s="161"/>
      <c r="T25" s="161"/>
      <c r="U25" s="161"/>
      <c r="V25" s="161"/>
      <c r="W25" s="161"/>
      <c r="X25" s="161"/>
      <c r="Y25" s="161"/>
      <c r="Z25" s="161"/>
      <c r="AA25" s="161"/>
      <c r="AB25" s="161"/>
      <c r="AC25" s="161"/>
      <c r="AD25" s="161"/>
      <c r="AE25" s="161"/>
      <c r="AF25" s="161"/>
      <c r="AG25" s="161"/>
      <c r="AH25" s="161"/>
      <c r="AI25" s="164"/>
    </row>
    <row r="26" spans="1:35" x14ac:dyDescent="0.35">
      <c r="A26" t="s">
        <v>1346</v>
      </c>
      <c r="C26" t="s">
        <v>35</v>
      </c>
      <c r="D26">
        <v>1</v>
      </c>
      <c r="E26" s="161"/>
      <c r="F26" s="161"/>
      <c r="G26" s="161"/>
      <c r="H26" s="161"/>
      <c r="I26" s="161"/>
      <c r="J26" s="161"/>
      <c r="K26" s="161"/>
      <c r="L26" s="161"/>
      <c r="M26" s="161"/>
      <c r="N26" s="161"/>
      <c r="O26" s="161"/>
      <c r="P26" s="161"/>
      <c r="Q26" s="161"/>
      <c r="R26" s="161"/>
      <c r="S26" s="161"/>
      <c r="T26" s="161"/>
      <c r="U26" s="161"/>
      <c r="V26" s="161"/>
      <c r="W26" s="161"/>
      <c r="X26" s="161"/>
      <c r="Y26" s="161"/>
      <c r="Z26" s="161"/>
      <c r="AA26" s="161"/>
      <c r="AB26" s="161"/>
      <c r="AC26" s="161"/>
      <c r="AD26" s="161"/>
      <c r="AE26" s="161"/>
      <c r="AF26" s="161"/>
      <c r="AG26" s="161"/>
      <c r="AH26" s="161"/>
      <c r="AI26" s="164"/>
    </row>
    <row r="27" spans="1:35" x14ac:dyDescent="0.35">
      <c r="A27" t="s">
        <v>922</v>
      </c>
      <c r="C27" t="s">
        <v>67</v>
      </c>
      <c r="D27">
        <v>1</v>
      </c>
      <c r="E27" s="161"/>
      <c r="F27" s="161"/>
      <c r="G27" s="161"/>
      <c r="H27" s="161"/>
      <c r="I27" s="161"/>
      <c r="J27" s="161"/>
      <c r="K27" s="161"/>
      <c r="L27" s="161"/>
      <c r="M27" s="161"/>
      <c r="N27" s="161"/>
      <c r="O27" s="161"/>
      <c r="P27" s="161"/>
      <c r="Q27" s="161"/>
      <c r="R27" s="161"/>
      <c r="S27" s="161"/>
      <c r="T27" s="161"/>
      <c r="U27" s="161"/>
      <c r="V27" s="161"/>
      <c r="W27" s="161"/>
      <c r="X27" s="161"/>
      <c r="Y27" s="161"/>
      <c r="Z27" s="161"/>
      <c r="AA27" s="161"/>
      <c r="AB27" s="161"/>
      <c r="AC27" s="161"/>
      <c r="AD27" s="161"/>
      <c r="AE27" s="161"/>
      <c r="AF27" s="161"/>
      <c r="AG27" s="161"/>
      <c r="AH27" s="161"/>
      <c r="AI27" s="164"/>
    </row>
    <row r="28" spans="1:35" x14ac:dyDescent="0.35">
      <c r="A28" t="s">
        <v>923</v>
      </c>
      <c r="C28" t="s">
        <v>67</v>
      </c>
      <c r="D28">
        <v>1</v>
      </c>
      <c r="E28" s="161"/>
      <c r="F28" s="161"/>
      <c r="G28" s="161"/>
      <c r="H28" s="161"/>
      <c r="I28" s="161"/>
      <c r="J28" s="161"/>
      <c r="K28" s="161"/>
      <c r="L28" s="161"/>
      <c r="M28" s="161"/>
      <c r="N28" s="161"/>
      <c r="O28" s="161"/>
      <c r="P28" s="161"/>
      <c r="Q28" s="161"/>
      <c r="R28" s="161"/>
      <c r="S28" s="161"/>
      <c r="T28" s="161"/>
      <c r="U28" s="161"/>
      <c r="V28" s="161"/>
      <c r="W28" s="161"/>
      <c r="X28" s="161"/>
      <c r="Y28" s="161"/>
      <c r="Z28" s="161"/>
      <c r="AA28" s="161"/>
      <c r="AB28" s="161"/>
      <c r="AC28" s="161"/>
      <c r="AD28" s="161"/>
      <c r="AE28" s="161"/>
      <c r="AF28" s="161"/>
      <c r="AG28" s="161"/>
      <c r="AH28" s="161"/>
      <c r="AI28" s="164"/>
    </row>
    <row r="29" spans="1:35" x14ac:dyDescent="0.35">
      <c r="A29" t="s">
        <v>919</v>
      </c>
      <c r="C29" t="s">
        <v>67</v>
      </c>
      <c r="D29">
        <v>1</v>
      </c>
      <c r="E29" s="161"/>
      <c r="F29" s="161"/>
      <c r="G29" s="161"/>
      <c r="H29" s="161"/>
      <c r="I29" s="161"/>
      <c r="J29" s="161"/>
      <c r="K29" s="161"/>
      <c r="L29" s="161"/>
      <c r="M29" s="161"/>
      <c r="N29" s="161"/>
      <c r="O29" s="161"/>
      <c r="P29" s="161"/>
      <c r="Q29" s="161"/>
      <c r="R29" s="161"/>
      <c r="S29" s="161"/>
      <c r="T29" s="161"/>
      <c r="U29" s="161"/>
      <c r="V29" s="161"/>
      <c r="W29" s="161"/>
      <c r="X29" s="161"/>
      <c r="Y29" s="161"/>
      <c r="Z29" s="161"/>
      <c r="AA29" s="161"/>
      <c r="AB29" s="161"/>
      <c r="AC29" s="161"/>
      <c r="AD29" s="161"/>
      <c r="AE29" s="161"/>
      <c r="AF29" s="161"/>
      <c r="AG29" s="161"/>
      <c r="AH29" s="161"/>
      <c r="AI29" s="164"/>
    </row>
    <row r="30" spans="1:35" x14ac:dyDescent="0.35">
      <c r="A30" t="s">
        <v>497</v>
      </c>
      <c r="C30" t="s">
        <v>35</v>
      </c>
      <c r="D30">
        <v>1</v>
      </c>
      <c r="E30" s="161">
        <v>376</v>
      </c>
      <c r="F30" s="161"/>
      <c r="G30" s="161"/>
      <c r="H30" s="161"/>
      <c r="I30" s="161">
        <v>274</v>
      </c>
      <c r="J30" s="161"/>
      <c r="K30" s="161">
        <v>129</v>
      </c>
      <c r="L30" s="161"/>
      <c r="M30" s="161"/>
      <c r="N30" s="161"/>
      <c r="O30" s="161"/>
      <c r="P30" s="161"/>
      <c r="Q30" s="174">
        <v>199</v>
      </c>
      <c r="R30" s="161">
        <f>375+87</f>
        <v>462</v>
      </c>
      <c r="S30" s="161"/>
      <c r="T30" s="161"/>
      <c r="U30" s="161"/>
      <c r="V30" s="161"/>
      <c r="W30" s="161"/>
      <c r="X30" s="161"/>
      <c r="Y30" s="161"/>
      <c r="Z30" s="161"/>
      <c r="AA30" s="161"/>
      <c r="AB30" s="161"/>
      <c r="AC30" s="161"/>
      <c r="AD30" s="161"/>
      <c r="AE30" s="161"/>
      <c r="AF30" s="161"/>
      <c r="AG30" s="161"/>
      <c r="AH30" s="161"/>
      <c r="AI30" s="164"/>
    </row>
    <row r="31" spans="1:35" x14ac:dyDescent="0.35">
      <c r="A31" t="s">
        <v>1306</v>
      </c>
      <c r="C31" t="s">
        <v>35</v>
      </c>
      <c r="D31">
        <v>1</v>
      </c>
      <c r="E31" s="161"/>
      <c r="F31" s="161"/>
      <c r="G31" s="161"/>
      <c r="H31" s="161"/>
      <c r="I31" s="161"/>
      <c r="J31" s="161"/>
      <c r="K31" s="161"/>
      <c r="L31" s="161"/>
      <c r="M31" s="161"/>
      <c r="N31" s="161"/>
      <c r="O31" s="161"/>
      <c r="P31" s="161"/>
      <c r="Q31" s="161"/>
      <c r="R31" s="161"/>
      <c r="S31" s="161"/>
      <c r="T31" s="161"/>
      <c r="U31" s="161"/>
      <c r="V31" s="161"/>
      <c r="W31" s="161"/>
      <c r="X31" s="161"/>
      <c r="Y31" s="161"/>
      <c r="Z31" s="161"/>
      <c r="AA31" s="161"/>
      <c r="AB31" s="161"/>
      <c r="AC31" s="161"/>
      <c r="AD31" s="161"/>
      <c r="AE31" s="161"/>
      <c r="AF31" s="161"/>
      <c r="AG31" s="161"/>
      <c r="AH31" s="161"/>
      <c r="AI31" s="164"/>
    </row>
    <row r="32" spans="1:35" x14ac:dyDescent="0.35">
      <c r="A32" t="s">
        <v>1416</v>
      </c>
      <c r="B32" t="s">
        <v>1416</v>
      </c>
      <c r="C32" t="s">
        <v>67</v>
      </c>
      <c r="D32">
        <v>1</v>
      </c>
      <c r="E32" s="161"/>
      <c r="F32" s="161"/>
      <c r="G32" s="161"/>
      <c r="H32" s="161"/>
      <c r="I32" s="161"/>
      <c r="J32" s="161"/>
      <c r="K32" s="161"/>
      <c r="L32" s="161"/>
      <c r="M32" s="161"/>
      <c r="N32" s="161"/>
      <c r="O32" s="161"/>
      <c r="P32" s="161"/>
      <c r="Q32" s="161"/>
      <c r="R32" s="161"/>
      <c r="S32" s="161"/>
      <c r="T32" s="161"/>
      <c r="U32" s="161"/>
      <c r="V32" s="161"/>
      <c r="W32" s="161"/>
      <c r="X32" s="161"/>
      <c r="Y32" s="161"/>
      <c r="Z32" s="161"/>
      <c r="AA32" s="161"/>
      <c r="AB32" s="161"/>
      <c r="AC32" s="161"/>
      <c r="AD32" s="161"/>
      <c r="AE32" s="161"/>
      <c r="AF32" s="161"/>
      <c r="AG32" s="161"/>
      <c r="AH32" s="161"/>
      <c r="AI32" s="164"/>
    </row>
    <row r="33" spans="1:35" x14ac:dyDescent="0.35">
      <c r="A33" t="s">
        <v>349</v>
      </c>
      <c r="C33" t="s">
        <v>35</v>
      </c>
      <c r="D33">
        <v>1</v>
      </c>
      <c r="E33" s="161"/>
      <c r="F33" s="161"/>
      <c r="G33" s="161"/>
      <c r="H33" s="161"/>
      <c r="I33" s="161"/>
      <c r="J33" s="161"/>
      <c r="K33" s="161"/>
      <c r="L33" s="161"/>
      <c r="M33" s="161"/>
      <c r="N33" s="161"/>
      <c r="O33" s="161"/>
      <c r="P33" s="161"/>
      <c r="Q33" s="161"/>
      <c r="R33" s="161"/>
      <c r="S33" s="161"/>
      <c r="T33" s="161"/>
      <c r="U33" s="161"/>
      <c r="V33" s="161"/>
      <c r="W33" s="161"/>
      <c r="X33" s="161"/>
      <c r="Y33" s="161"/>
      <c r="Z33" s="161"/>
      <c r="AA33" s="161"/>
      <c r="AB33" s="161"/>
      <c r="AC33" s="161"/>
      <c r="AD33" s="161"/>
      <c r="AE33" s="161"/>
      <c r="AF33" s="161"/>
      <c r="AG33" s="161"/>
      <c r="AH33" s="161"/>
      <c r="AI33" s="164"/>
    </row>
    <row r="34" spans="1:35" x14ac:dyDescent="0.35">
      <c r="A34" t="s">
        <v>985</v>
      </c>
      <c r="C34" t="s">
        <v>35</v>
      </c>
      <c r="D34">
        <v>1</v>
      </c>
      <c r="E34" s="161"/>
      <c r="F34" s="161"/>
      <c r="G34" s="161"/>
      <c r="H34" s="161"/>
      <c r="I34" s="161"/>
      <c r="J34" s="161"/>
      <c r="K34" s="161"/>
      <c r="L34" s="161"/>
      <c r="M34" s="161"/>
      <c r="N34" s="161"/>
      <c r="O34" s="161"/>
      <c r="P34" s="161"/>
      <c r="Q34" s="161"/>
      <c r="R34" s="161"/>
      <c r="S34" s="161"/>
      <c r="T34" s="161"/>
      <c r="U34" s="161"/>
      <c r="V34" s="161"/>
      <c r="W34" s="161"/>
      <c r="X34" s="161"/>
      <c r="Y34" s="161"/>
      <c r="Z34" s="161"/>
      <c r="AA34" s="161"/>
      <c r="AB34" s="161"/>
      <c r="AC34" s="161"/>
      <c r="AD34" s="161"/>
      <c r="AE34" s="161"/>
      <c r="AF34" s="161"/>
      <c r="AG34" s="161"/>
      <c r="AH34" s="161"/>
      <c r="AI34" s="164"/>
    </row>
    <row r="35" spans="1:35" x14ac:dyDescent="0.35">
      <c r="A35" t="s">
        <v>355</v>
      </c>
      <c r="C35" t="s">
        <v>35</v>
      </c>
      <c r="D35">
        <v>1</v>
      </c>
      <c r="E35" s="161"/>
      <c r="F35" s="161"/>
      <c r="G35" s="161"/>
      <c r="H35" s="161"/>
      <c r="I35" s="161"/>
      <c r="J35" s="161"/>
      <c r="K35" s="161"/>
      <c r="L35" s="161"/>
      <c r="M35" s="161"/>
      <c r="N35" s="161"/>
      <c r="O35" s="161"/>
      <c r="P35" s="161"/>
      <c r="Q35" s="161"/>
      <c r="R35" s="161"/>
      <c r="S35" s="161"/>
      <c r="T35" s="161"/>
      <c r="U35" s="161"/>
      <c r="V35" s="161"/>
      <c r="W35" s="161"/>
      <c r="X35" s="161"/>
      <c r="Y35" s="161"/>
      <c r="Z35" s="161"/>
      <c r="AA35" s="161"/>
      <c r="AB35" s="161"/>
      <c r="AC35" s="161"/>
      <c r="AD35" s="161"/>
      <c r="AE35" s="161"/>
      <c r="AF35" s="161"/>
      <c r="AG35" s="161"/>
      <c r="AH35" s="161"/>
      <c r="AI35" s="164"/>
    </row>
    <row r="36" spans="1:35" x14ac:dyDescent="0.35">
      <c r="A36" t="s">
        <v>554</v>
      </c>
      <c r="C36" t="s">
        <v>67</v>
      </c>
      <c r="D36">
        <v>1</v>
      </c>
      <c r="E36" s="161"/>
      <c r="F36" s="161"/>
      <c r="G36" s="161"/>
      <c r="H36" s="161"/>
      <c r="I36" s="161"/>
      <c r="J36" s="161"/>
      <c r="K36" s="161"/>
      <c r="L36" s="161"/>
      <c r="M36" s="161"/>
      <c r="N36" s="161"/>
      <c r="O36" s="161"/>
      <c r="P36" s="161"/>
      <c r="Q36" s="161"/>
      <c r="R36" s="161"/>
      <c r="S36" s="161"/>
      <c r="T36" s="161"/>
      <c r="U36" s="161"/>
      <c r="V36" s="161"/>
      <c r="W36" s="161"/>
      <c r="X36" s="161"/>
      <c r="Y36" s="161"/>
      <c r="Z36" s="161"/>
      <c r="AA36" s="161"/>
      <c r="AB36" s="161"/>
      <c r="AC36" s="161"/>
      <c r="AD36" s="161"/>
      <c r="AE36" s="161"/>
      <c r="AF36" s="161"/>
      <c r="AG36" s="161"/>
      <c r="AH36" s="161"/>
      <c r="AI36" s="164"/>
    </row>
    <row r="37" spans="1:35" x14ac:dyDescent="0.35">
      <c r="A37" t="s">
        <v>10</v>
      </c>
      <c r="C37" t="s">
        <v>149</v>
      </c>
      <c r="D37">
        <v>1</v>
      </c>
      <c r="E37" s="161"/>
      <c r="F37" s="161"/>
      <c r="G37" s="161"/>
      <c r="H37" s="161"/>
      <c r="I37" s="161"/>
      <c r="J37" s="161"/>
      <c r="K37" s="161"/>
      <c r="L37" s="161"/>
      <c r="M37" s="161"/>
      <c r="N37" s="161"/>
      <c r="O37" s="161"/>
      <c r="P37" s="161"/>
      <c r="Q37" s="161"/>
      <c r="R37" s="161"/>
      <c r="S37" s="161"/>
      <c r="T37" s="161"/>
      <c r="U37" s="161"/>
      <c r="V37" s="161"/>
      <c r="W37" s="161"/>
      <c r="X37" s="161"/>
      <c r="Y37" s="161"/>
      <c r="Z37" s="161"/>
      <c r="AA37" s="161"/>
      <c r="AB37" s="161"/>
      <c r="AC37" s="161"/>
      <c r="AD37" s="161"/>
      <c r="AE37" s="161"/>
      <c r="AF37" s="161"/>
      <c r="AG37" s="161"/>
      <c r="AH37" s="161"/>
      <c r="AI37" s="164"/>
    </row>
    <row r="38" spans="1:35" x14ac:dyDescent="0.35">
      <c r="A38" t="s">
        <v>503</v>
      </c>
      <c r="C38" t="s">
        <v>67</v>
      </c>
      <c r="D38">
        <v>1</v>
      </c>
      <c r="E38" s="161"/>
      <c r="F38" s="161"/>
      <c r="G38" s="161"/>
      <c r="H38" s="161"/>
      <c r="I38" s="161"/>
      <c r="J38" s="161"/>
      <c r="K38" s="161"/>
      <c r="L38" s="161"/>
      <c r="M38" s="161"/>
      <c r="N38" s="161"/>
      <c r="O38" s="161"/>
      <c r="P38" s="161"/>
      <c r="Q38" s="161"/>
      <c r="R38" s="161"/>
      <c r="S38" s="161"/>
      <c r="T38" s="161"/>
      <c r="U38" s="161"/>
      <c r="V38" s="161"/>
      <c r="W38" s="161"/>
      <c r="X38" s="161"/>
      <c r="Y38" s="161"/>
      <c r="Z38" s="161"/>
      <c r="AA38" s="161"/>
      <c r="AB38" s="161"/>
      <c r="AC38" s="161"/>
      <c r="AD38" s="161"/>
      <c r="AE38" s="161"/>
      <c r="AF38" s="161"/>
      <c r="AG38" s="161"/>
      <c r="AH38" s="161"/>
      <c r="AI38" s="164"/>
    </row>
    <row r="39" spans="1:35" x14ac:dyDescent="0.35">
      <c r="A39" t="s">
        <v>498</v>
      </c>
      <c r="B39" t="s">
        <v>498</v>
      </c>
      <c r="C39" t="s">
        <v>35</v>
      </c>
      <c r="D39">
        <v>1</v>
      </c>
      <c r="E39" s="161"/>
      <c r="F39" s="161"/>
      <c r="G39" s="161"/>
      <c r="H39" s="161"/>
      <c r="I39" s="161"/>
      <c r="J39" s="161"/>
      <c r="K39" s="161"/>
      <c r="L39" s="161"/>
      <c r="M39" s="161"/>
      <c r="N39" s="161"/>
      <c r="O39" s="161"/>
      <c r="P39" s="161"/>
      <c r="Q39" s="161"/>
      <c r="R39" s="161"/>
      <c r="S39" s="161"/>
      <c r="T39" s="161"/>
      <c r="U39" s="161"/>
      <c r="V39" s="161"/>
      <c r="W39" s="161"/>
      <c r="X39" s="161"/>
      <c r="Y39" s="161"/>
      <c r="Z39" s="161"/>
      <c r="AA39" s="161"/>
      <c r="AB39" s="161"/>
      <c r="AC39" s="161"/>
      <c r="AD39" s="161"/>
      <c r="AE39" s="161"/>
      <c r="AF39" s="161"/>
      <c r="AG39" s="161"/>
      <c r="AH39" s="161"/>
      <c r="AI39" s="164"/>
    </row>
    <row r="40" spans="1:35" x14ac:dyDescent="0.35">
      <c r="A40" t="s">
        <v>1339</v>
      </c>
      <c r="C40" t="s">
        <v>67</v>
      </c>
      <c r="D40">
        <v>1</v>
      </c>
      <c r="E40" s="161"/>
      <c r="F40" s="161"/>
      <c r="G40" s="161"/>
      <c r="H40" s="161"/>
      <c r="I40" s="161"/>
      <c r="J40" s="161"/>
      <c r="K40" s="161"/>
      <c r="L40" s="161"/>
      <c r="M40" s="161"/>
      <c r="N40" s="161"/>
      <c r="O40" s="161"/>
      <c r="P40" s="161"/>
      <c r="Q40" s="161"/>
      <c r="R40" s="161"/>
      <c r="S40" s="161"/>
      <c r="T40" s="161"/>
      <c r="U40" s="161"/>
      <c r="V40" s="161"/>
      <c r="W40" s="161"/>
      <c r="X40" s="161"/>
      <c r="Y40" s="161"/>
      <c r="Z40" s="161"/>
      <c r="AA40" s="161"/>
      <c r="AB40" s="161"/>
      <c r="AC40" s="161"/>
      <c r="AD40" s="161"/>
      <c r="AE40" s="161"/>
      <c r="AF40" s="161"/>
      <c r="AG40" s="161"/>
      <c r="AH40" s="161"/>
      <c r="AI40" s="164"/>
    </row>
    <row r="41" spans="1:35" x14ac:dyDescent="0.35">
      <c r="A41" t="s">
        <v>1348</v>
      </c>
      <c r="C41" t="s">
        <v>35</v>
      </c>
      <c r="D41">
        <v>1</v>
      </c>
      <c r="E41" s="161"/>
      <c r="F41" s="161"/>
      <c r="G41" s="161"/>
      <c r="H41" s="161"/>
      <c r="I41" s="161"/>
      <c r="J41" s="161"/>
      <c r="K41" s="161"/>
      <c r="L41" s="161"/>
      <c r="M41" s="161"/>
      <c r="N41" s="161"/>
      <c r="O41" s="161"/>
      <c r="P41" s="161"/>
      <c r="Q41" s="161"/>
      <c r="R41" s="161"/>
      <c r="S41" s="161"/>
      <c r="T41" s="161"/>
      <c r="U41" s="161"/>
      <c r="V41" s="161"/>
      <c r="W41" s="161"/>
      <c r="X41" s="161"/>
      <c r="Y41" s="161"/>
      <c r="Z41" s="161"/>
      <c r="AA41" s="161"/>
      <c r="AB41" s="161"/>
      <c r="AC41" s="161"/>
      <c r="AD41" s="161"/>
      <c r="AE41" s="161"/>
      <c r="AF41" s="161"/>
      <c r="AG41" s="161"/>
      <c r="AH41" s="161"/>
      <c r="AI41" s="164"/>
    </row>
    <row r="42" spans="1:35" x14ac:dyDescent="0.35">
      <c r="A42" t="s">
        <v>354</v>
      </c>
      <c r="C42" t="s">
        <v>35</v>
      </c>
      <c r="D42">
        <v>1</v>
      </c>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161"/>
      <c r="AF42" s="161"/>
      <c r="AG42" s="161"/>
      <c r="AH42" s="161"/>
      <c r="AI42" s="164"/>
    </row>
    <row r="43" spans="1:35" x14ac:dyDescent="0.35">
      <c r="A43" t="s">
        <v>918</v>
      </c>
      <c r="C43" t="s">
        <v>67</v>
      </c>
      <c r="D43">
        <v>1</v>
      </c>
      <c r="E43" s="161"/>
      <c r="F43" s="161"/>
      <c r="G43" s="161"/>
      <c r="H43" s="161"/>
      <c r="I43" s="161"/>
      <c r="J43" s="161"/>
      <c r="K43" s="161"/>
      <c r="L43" s="161"/>
      <c r="M43" s="161"/>
      <c r="N43" s="161"/>
      <c r="O43" s="161"/>
      <c r="P43" s="161"/>
      <c r="Q43" s="161"/>
      <c r="R43" s="161"/>
      <c r="S43" s="161"/>
      <c r="T43" s="161"/>
      <c r="U43" s="161"/>
      <c r="V43" s="161"/>
      <c r="W43" s="161"/>
      <c r="X43" s="161"/>
      <c r="Y43" s="161"/>
      <c r="Z43" s="161"/>
      <c r="AA43" s="161"/>
      <c r="AB43" s="161"/>
      <c r="AC43" s="161"/>
      <c r="AD43" s="161"/>
      <c r="AE43" s="161"/>
      <c r="AF43" s="161"/>
      <c r="AG43" s="161"/>
      <c r="AH43" s="161"/>
      <c r="AI43" s="164"/>
    </row>
    <row r="44" spans="1:35" x14ac:dyDescent="0.35">
      <c r="A44" t="s">
        <v>743</v>
      </c>
      <c r="C44" t="s">
        <v>35</v>
      </c>
      <c r="D44">
        <v>1</v>
      </c>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4"/>
    </row>
    <row r="45" spans="1:35" x14ac:dyDescent="0.35">
      <c r="A45" t="s">
        <v>917</v>
      </c>
      <c r="C45" t="s">
        <v>35</v>
      </c>
      <c r="D45">
        <v>1</v>
      </c>
      <c r="E45" s="161"/>
      <c r="F45" s="161"/>
      <c r="G45" s="161"/>
      <c r="H45" s="161"/>
      <c r="I45" s="161"/>
      <c r="J45" s="161"/>
      <c r="K45" s="161"/>
      <c r="L45" s="161"/>
      <c r="M45" s="161"/>
      <c r="N45" s="161"/>
      <c r="O45" s="161"/>
      <c r="P45" s="161"/>
      <c r="Q45" s="161"/>
      <c r="R45" s="161"/>
      <c r="S45" s="161"/>
      <c r="T45" s="161"/>
      <c r="U45" s="161"/>
      <c r="V45" s="161"/>
      <c r="W45" s="161"/>
      <c r="X45" s="161"/>
      <c r="Y45" s="161"/>
      <c r="Z45" s="161"/>
      <c r="AA45" s="161"/>
      <c r="AB45" s="161"/>
      <c r="AC45" s="161"/>
      <c r="AD45" s="161"/>
      <c r="AE45" s="161"/>
      <c r="AF45" s="161"/>
      <c r="AG45" s="161"/>
      <c r="AH45" s="161"/>
      <c r="AI45" s="164"/>
    </row>
    <row r="46" spans="1:35" x14ac:dyDescent="0.35">
      <c r="A46" t="s">
        <v>19</v>
      </c>
      <c r="B46" t="s">
        <v>459</v>
      </c>
      <c r="C46" t="s">
        <v>35</v>
      </c>
      <c r="D46">
        <v>9.5000000000000001E-2</v>
      </c>
      <c r="E46" s="161"/>
      <c r="F46" s="161"/>
      <c r="G46" s="161"/>
      <c r="H46" s="161"/>
      <c r="I46" s="161"/>
      <c r="J46" s="161"/>
      <c r="K46" s="161"/>
      <c r="L46" s="161"/>
      <c r="M46" s="161"/>
      <c r="N46" s="161"/>
      <c r="O46" s="161"/>
      <c r="P46" s="161"/>
      <c r="Q46" s="161"/>
      <c r="R46" s="161"/>
      <c r="S46" s="161"/>
      <c r="T46" s="161"/>
      <c r="U46" s="161"/>
      <c r="V46" s="161"/>
      <c r="W46" s="161"/>
      <c r="X46" s="161"/>
      <c r="Y46" s="161"/>
      <c r="Z46" s="161"/>
      <c r="AA46" s="161"/>
      <c r="AB46" s="161"/>
      <c r="AC46" s="161"/>
      <c r="AD46" s="161"/>
      <c r="AE46" s="161"/>
      <c r="AF46" s="161"/>
      <c r="AG46" s="161"/>
      <c r="AH46" s="161"/>
      <c r="AI46" s="164"/>
    </row>
    <row r="47" spans="1:35" x14ac:dyDescent="0.35">
      <c r="A47" t="s">
        <v>20</v>
      </c>
      <c r="C47" t="s">
        <v>35</v>
      </c>
      <c r="D47">
        <v>1</v>
      </c>
      <c r="E47" s="161"/>
      <c r="F47" s="161"/>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161"/>
      <c r="AF47" s="161"/>
      <c r="AG47" s="161"/>
      <c r="AH47" s="161"/>
      <c r="AI47" s="164"/>
    </row>
    <row r="48" spans="1:35" x14ac:dyDescent="0.35">
      <c r="A48" t="s">
        <v>499</v>
      </c>
      <c r="C48" t="s">
        <v>67</v>
      </c>
      <c r="D48">
        <v>1</v>
      </c>
      <c r="E48" s="161"/>
      <c r="F48" s="161"/>
      <c r="G48" s="161"/>
      <c r="H48" s="161"/>
      <c r="I48" s="161"/>
      <c r="J48" s="161"/>
      <c r="K48" s="161"/>
      <c r="L48" s="161"/>
      <c r="M48" s="161"/>
      <c r="N48" s="161"/>
      <c r="O48" s="161"/>
      <c r="P48" s="161"/>
      <c r="Q48" s="161"/>
      <c r="R48" s="161"/>
      <c r="S48" s="161"/>
      <c r="T48" s="161"/>
      <c r="U48" s="161"/>
      <c r="V48" s="161"/>
      <c r="W48" s="161"/>
      <c r="X48" s="161"/>
      <c r="Y48" s="161"/>
      <c r="Z48" s="161"/>
      <c r="AA48" s="161"/>
      <c r="AB48" s="161"/>
      <c r="AC48" s="161"/>
      <c r="AD48" s="161"/>
      <c r="AE48" s="161"/>
      <c r="AF48" s="161"/>
      <c r="AG48" s="161"/>
      <c r="AH48" s="161"/>
      <c r="AI48" s="164"/>
    </row>
    <row r="49" spans="1:35" x14ac:dyDescent="0.35">
      <c r="A49" t="s">
        <v>488</v>
      </c>
      <c r="C49" t="s">
        <v>67</v>
      </c>
      <c r="D49">
        <v>1</v>
      </c>
      <c r="E49" s="161"/>
      <c r="F49" s="161"/>
      <c r="G49" s="161"/>
      <c r="H49" s="161"/>
      <c r="I49" s="161"/>
      <c r="J49" s="161"/>
      <c r="K49" s="161"/>
      <c r="L49" s="161"/>
      <c r="M49" s="161"/>
      <c r="N49" s="161"/>
      <c r="O49" s="161"/>
      <c r="P49" s="161"/>
      <c r="Q49" s="161"/>
      <c r="R49" s="161"/>
      <c r="S49" s="161"/>
      <c r="T49" s="161"/>
      <c r="U49" s="161"/>
      <c r="V49" s="161"/>
      <c r="W49" s="161"/>
      <c r="X49" s="161"/>
      <c r="Y49" s="161"/>
      <c r="Z49" s="161"/>
      <c r="AA49" s="161"/>
      <c r="AB49" s="161"/>
      <c r="AC49" s="161"/>
      <c r="AD49" s="161"/>
      <c r="AE49" s="161"/>
      <c r="AF49" s="161"/>
      <c r="AG49" s="161"/>
      <c r="AH49" s="161"/>
      <c r="AI49" s="164"/>
    </row>
    <row r="50" spans="1:35" x14ac:dyDescent="0.35">
      <c r="A50" t="s">
        <v>485</v>
      </c>
      <c r="C50" t="s">
        <v>67</v>
      </c>
      <c r="D50">
        <v>1</v>
      </c>
      <c r="E50" s="161"/>
      <c r="F50" s="161"/>
      <c r="G50" s="161"/>
      <c r="H50" s="161"/>
      <c r="I50" s="161"/>
      <c r="J50" s="161"/>
      <c r="K50" s="161"/>
      <c r="L50" s="161"/>
      <c r="M50" s="161"/>
      <c r="N50" s="161"/>
      <c r="O50" s="161"/>
      <c r="P50" s="161"/>
      <c r="Q50" s="161"/>
      <c r="R50" s="161"/>
      <c r="S50" s="161"/>
      <c r="T50" s="161"/>
      <c r="U50" s="161"/>
      <c r="V50" s="161"/>
      <c r="W50" s="161"/>
      <c r="X50" s="161"/>
      <c r="Y50" s="161"/>
      <c r="Z50" s="161"/>
      <c r="AA50" s="161"/>
      <c r="AB50" s="161"/>
      <c r="AC50" s="161"/>
      <c r="AD50" s="161"/>
      <c r="AE50" s="161"/>
      <c r="AF50" s="161"/>
      <c r="AG50" s="161"/>
      <c r="AH50" s="161"/>
      <c r="AI50" s="164"/>
    </row>
    <row r="51" spans="1:35" x14ac:dyDescent="0.35">
      <c r="A51" t="s">
        <v>504</v>
      </c>
      <c r="C51" t="s">
        <v>67</v>
      </c>
      <c r="D51">
        <v>1</v>
      </c>
      <c r="E51" s="161"/>
      <c r="F51" s="161"/>
      <c r="G51" s="161"/>
      <c r="H51" s="161"/>
      <c r="I51" s="161"/>
      <c r="J51" s="161"/>
      <c r="K51" s="161"/>
      <c r="L51" s="161"/>
      <c r="M51" s="161"/>
      <c r="N51" s="161"/>
      <c r="O51" s="161"/>
      <c r="P51" s="161"/>
      <c r="Q51" s="161"/>
      <c r="R51" s="161"/>
      <c r="S51" s="161"/>
      <c r="T51" s="161"/>
      <c r="U51" s="161"/>
      <c r="V51" s="161"/>
      <c r="W51" s="161"/>
      <c r="X51" s="161"/>
      <c r="Y51" s="161"/>
      <c r="Z51" s="161"/>
      <c r="AA51" s="161"/>
      <c r="AB51" s="161"/>
      <c r="AC51" s="161"/>
      <c r="AD51" s="161"/>
      <c r="AE51" s="161"/>
      <c r="AF51" s="161"/>
      <c r="AG51" s="161"/>
      <c r="AH51" s="161"/>
      <c r="AI51" s="164"/>
    </row>
    <row r="52" spans="1:35" x14ac:dyDescent="0.35">
      <c r="A52" t="s">
        <v>350</v>
      </c>
      <c r="C52" t="s">
        <v>35</v>
      </c>
      <c r="D52">
        <v>1</v>
      </c>
      <c r="E52" s="161"/>
      <c r="F52" s="161"/>
      <c r="G52" s="161"/>
      <c r="H52" s="161"/>
      <c r="I52" s="161"/>
      <c r="J52" s="161"/>
      <c r="K52" s="161"/>
      <c r="L52" s="161"/>
      <c r="M52" s="161"/>
      <c r="N52" s="161"/>
      <c r="O52" s="161"/>
      <c r="P52" s="161"/>
      <c r="Q52" s="161"/>
      <c r="R52" s="161"/>
      <c r="S52" s="161"/>
      <c r="T52" s="161"/>
      <c r="U52" s="161"/>
      <c r="V52" s="161"/>
      <c r="W52" s="161"/>
      <c r="X52" s="161"/>
      <c r="Y52" s="161"/>
      <c r="Z52" s="161"/>
      <c r="AA52" s="161"/>
      <c r="AB52" s="161"/>
      <c r="AC52" s="161"/>
      <c r="AD52" s="161"/>
      <c r="AE52" s="161"/>
      <c r="AF52" s="161"/>
      <c r="AG52" s="161"/>
      <c r="AH52" s="161"/>
      <c r="AI52" s="164"/>
    </row>
    <row r="53" spans="1:35" x14ac:dyDescent="0.35">
      <c r="A53" t="s">
        <v>1347</v>
      </c>
      <c r="C53" t="s">
        <v>35</v>
      </c>
      <c r="D53">
        <v>1</v>
      </c>
      <c r="E53" s="161"/>
      <c r="F53" s="161"/>
      <c r="G53" s="161"/>
      <c r="H53" s="161"/>
      <c r="I53" s="161"/>
      <c r="J53" s="161"/>
      <c r="K53" s="161"/>
      <c r="L53" s="161"/>
      <c r="M53" s="161"/>
      <c r="N53" s="161"/>
      <c r="O53" s="161"/>
      <c r="P53" s="161"/>
      <c r="Q53" s="161"/>
      <c r="R53" s="161"/>
      <c r="S53" s="161"/>
      <c r="T53" s="161"/>
      <c r="U53" s="161"/>
      <c r="V53" s="161"/>
      <c r="W53" s="161"/>
      <c r="X53" s="161"/>
      <c r="Y53" s="161"/>
      <c r="Z53" s="161"/>
      <c r="AA53" s="161"/>
      <c r="AB53" s="161"/>
      <c r="AC53" s="161"/>
      <c r="AD53" s="161"/>
      <c r="AE53" s="161"/>
      <c r="AF53" s="161"/>
      <c r="AG53" s="161"/>
      <c r="AH53" s="161"/>
      <c r="AI53" s="164"/>
    </row>
    <row r="54" spans="1:35" x14ac:dyDescent="0.35">
      <c r="A54" t="s">
        <v>505</v>
      </c>
      <c r="C54" t="s">
        <v>67</v>
      </c>
      <c r="D54">
        <v>1</v>
      </c>
      <c r="E54" s="161"/>
      <c r="F54" s="161"/>
      <c r="G54" s="161"/>
      <c r="H54" s="161"/>
      <c r="I54" s="161"/>
      <c r="J54" s="161"/>
      <c r="K54" s="161"/>
      <c r="L54" s="161"/>
      <c r="M54" s="161"/>
      <c r="N54" s="161"/>
      <c r="O54" s="161"/>
      <c r="P54" s="161"/>
      <c r="Q54" s="161"/>
      <c r="R54" s="161"/>
      <c r="S54" s="161"/>
      <c r="T54" s="161"/>
      <c r="U54" s="161"/>
      <c r="V54" s="161"/>
      <c r="W54" s="161"/>
      <c r="X54" s="161"/>
      <c r="Y54" s="161"/>
      <c r="Z54" s="161"/>
      <c r="AA54" s="161"/>
      <c r="AB54" s="161"/>
      <c r="AC54" s="161"/>
      <c r="AD54" s="161"/>
      <c r="AE54" s="161"/>
      <c r="AF54" s="161"/>
      <c r="AG54" s="161"/>
      <c r="AH54" s="161"/>
      <c r="AI54" s="164"/>
    </row>
    <row r="55" spans="1:35" x14ac:dyDescent="0.35">
      <c r="A55" t="s">
        <v>351</v>
      </c>
      <c r="C55" t="s">
        <v>35</v>
      </c>
      <c r="D55">
        <v>1</v>
      </c>
      <c r="E55" s="161"/>
      <c r="F55" s="161"/>
      <c r="G55" s="161"/>
      <c r="H55" s="161"/>
      <c r="I55" s="161"/>
      <c r="J55" s="161"/>
      <c r="K55" s="161"/>
      <c r="L55" s="161"/>
      <c r="M55" s="161"/>
      <c r="N55" s="161"/>
      <c r="O55" s="161"/>
      <c r="P55" s="161"/>
      <c r="Q55" s="161"/>
      <c r="R55" s="161"/>
      <c r="S55" s="161"/>
      <c r="T55" s="161"/>
      <c r="U55" s="161"/>
      <c r="V55" s="161"/>
      <c r="W55" s="161"/>
      <c r="X55" s="161"/>
      <c r="Y55" s="161"/>
      <c r="Z55" s="161"/>
      <c r="AA55" s="161"/>
      <c r="AB55" s="161"/>
      <c r="AC55" s="161"/>
      <c r="AD55" s="161"/>
      <c r="AE55" s="161"/>
      <c r="AF55" s="161"/>
      <c r="AG55" s="161"/>
      <c r="AH55" s="161"/>
      <c r="AI55" s="164"/>
    </row>
    <row r="56" spans="1:35" x14ac:dyDescent="0.35">
      <c r="A56" t="s">
        <v>512</v>
      </c>
      <c r="C56" t="s">
        <v>150</v>
      </c>
      <c r="D56">
        <v>1</v>
      </c>
      <c r="E56" s="161"/>
      <c r="F56" s="161"/>
      <c r="G56" s="161"/>
      <c r="H56" s="161"/>
      <c r="I56" s="161"/>
      <c r="J56" s="161"/>
      <c r="K56" s="161"/>
      <c r="L56" s="161"/>
      <c r="M56" s="161"/>
      <c r="N56" s="161"/>
      <c r="O56" s="161"/>
      <c r="P56" s="161"/>
      <c r="Q56" s="161"/>
      <c r="R56" s="161"/>
      <c r="S56" s="161"/>
      <c r="T56" s="161"/>
      <c r="U56" s="161"/>
      <c r="V56" s="161"/>
      <c r="W56" s="161"/>
      <c r="X56" s="161"/>
      <c r="Y56" s="161"/>
      <c r="Z56" s="161"/>
      <c r="AA56" s="161"/>
      <c r="AB56" s="161"/>
      <c r="AC56" s="161"/>
      <c r="AD56" s="161"/>
      <c r="AE56" s="161"/>
      <c r="AF56" s="161"/>
      <c r="AG56" s="161"/>
      <c r="AH56" s="161"/>
      <c r="AI56" s="164"/>
    </row>
    <row r="57" spans="1:35" x14ac:dyDescent="0.35">
      <c r="A57" t="s">
        <v>500</v>
      </c>
      <c r="C57" t="s">
        <v>35</v>
      </c>
      <c r="D57">
        <v>1</v>
      </c>
      <c r="E57" s="161"/>
      <c r="F57" s="161"/>
      <c r="G57" s="161"/>
      <c r="H57" s="161"/>
      <c r="I57" s="161"/>
      <c r="J57" s="161"/>
      <c r="K57" s="161"/>
      <c r="L57" s="161"/>
      <c r="M57" s="161"/>
      <c r="N57" s="161"/>
      <c r="O57" s="161"/>
      <c r="P57" s="161"/>
      <c r="Q57" s="161"/>
      <c r="R57" s="161"/>
      <c r="S57" s="161"/>
      <c r="T57" s="161"/>
      <c r="U57" s="161"/>
      <c r="V57" s="161"/>
      <c r="W57" s="161"/>
      <c r="X57" s="161"/>
      <c r="Y57" s="161"/>
      <c r="Z57" s="161"/>
      <c r="AA57" s="161"/>
      <c r="AB57" s="161"/>
      <c r="AC57" s="161"/>
      <c r="AD57" s="161"/>
      <c r="AE57" s="161"/>
      <c r="AF57" s="161"/>
      <c r="AG57" s="161"/>
      <c r="AH57" s="161"/>
      <c r="AI57" s="164"/>
    </row>
    <row r="58" spans="1:35" x14ac:dyDescent="0.35">
      <c r="A58" t="s">
        <v>26</v>
      </c>
      <c r="C58" t="s">
        <v>35</v>
      </c>
      <c r="D58">
        <v>1</v>
      </c>
      <c r="E58" s="161"/>
      <c r="F58" s="161"/>
      <c r="G58" s="161"/>
      <c r="H58" s="161"/>
      <c r="I58" s="161"/>
      <c r="J58" s="161"/>
      <c r="K58" s="161"/>
      <c r="L58" s="161"/>
      <c r="M58" s="161"/>
      <c r="N58" s="161"/>
      <c r="O58" s="161"/>
      <c r="P58" s="161"/>
      <c r="Q58" s="161"/>
      <c r="R58" s="161"/>
      <c r="S58" s="161"/>
      <c r="T58" s="161"/>
      <c r="U58" s="161"/>
      <c r="V58" s="161"/>
      <c r="W58" s="161"/>
      <c r="X58" s="161"/>
      <c r="Y58" s="161"/>
      <c r="Z58" s="161"/>
      <c r="AA58" s="161"/>
      <c r="AB58" s="161"/>
      <c r="AC58" s="161"/>
      <c r="AD58" s="161"/>
      <c r="AE58" s="161"/>
      <c r="AF58" s="161"/>
      <c r="AG58" s="161"/>
      <c r="AH58" s="161"/>
      <c r="AI58" s="164"/>
    </row>
    <row r="59" spans="1:35" x14ac:dyDescent="0.35">
      <c r="A59" t="s">
        <v>27</v>
      </c>
      <c r="C59" t="s">
        <v>67</v>
      </c>
      <c r="D59">
        <v>1</v>
      </c>
      <c r="E59" s="161"/>
      <c r="F59" s="161"/>
      <c r="G59" s="161"/>
      <c r="H59" s="161"/>
      <c r="I59" s="161"/>
      <c r="J59" s="161"/>
      <c r="K59" s="161"/>
      <c r="L59" s="161"/>
      <c r="M59" s="161"/>
      <c r="N59" s="161"/>
      <c r="O59" s="161"/>
      <c r="P59" s="161"/>
      <c r="Q59" s="161"/>
      <c r="R59" s="161"/>
      <c r="S59" s="161"/>
      <c r="T59" s="161"/>
      <c r="U59" s="161"/>
      <c r="V59" s="161"/>
      <c r="W59" s="161"/>
      <c r="X59" s="161"/>
      <c r="Y59" s="161"/>
      <c r="Z59" s="161"/>
      <c r="AA59" s="161"/>
      <c r="AB59" s="161"/>
      <c r="AC59" s="161"/>
      <c r="AD59" s="161"/>
      <c r="AE59" s="161"/>
      <c r="AF59" s="161"/>
      <c r="AG59" s="161"/>
      <c r="AH59" s="161"/>
      <c r="AI59" s="164"/>
    </row>
    <row r="60" spans="1:35" x14ac:dyDescent="0.35">
      <c r="A60" t="s">
        <v>501</v>
      </c>
      <c r="C60" t="s">
        <v>35</v>
      </c>
      <c r="D60">
        <v>1</v>
      </c>
      <c r="E60" s="161"/>
      <c r="F60" s="161"/>
      <c r="G60" s="161"/>
      <c r="H60" s="161"/>
      <c r="I60" s="161"/>
      <c r="J60" s="161"/>
      <c r="K60" s="161"/>
      <c r="L60" s="161"/>
      <c r="M60" s="161"/>
      <c r="N60" s="161"/>
      <c r="O60" s="161"/>
      <c r="P60" s="161"/>
      <c r="Q60" s="161"/>
      <c r="R60" s="161"/>
      <c r="S60" s="161"/>
      <c r="T60" s="161"/>
      <c r="U60" s="161"/>
      <c r="V60" s="161"/>
      <c r="W60" s="161"/>
      <c r="X60" s="161"/>
      <c r="Y60" s="161"/>
      <c r="Z60" s="161"/>
      <c r="AA60" s="161"/>
      <c r="AB60" s="161"/>
      <c r="AC60" s="161"/>
      <c r="AD60" s="161"/>
      <c r="AE60" s="161"/>
      <c r="AF60" s="161"/>
      <c r="AG60" s="161"/>
      <c r="AH60" s="161"/>
      <c r="AI60" s="164"/>
    </row>
    <row r="61" spans="1:35" x14ac:dyDescent="0.35">
      <c r="A61" t="s">
        <v>916</v>
      </c>
      <c r="C61" t="s">
        <v>35</v>
      </c>
      <c r="D61">
        <v>1</v>
      </c>
      <c r="E61" s="161"/>
      <c r="F61" s="161"/>
      <c r="G61" s="161"/>
      <c r="H61" s="161"/>
      <c r="I61" s="161"/>
      <c r="J61" s="161"/>
      <c r="K61" s="161"/>
      <c r="L61" s="161"/>
      <c r="M61" s="161"/>
      <c r="N61" s="161"/>
      <c r="O61" s="161"/>
      <c r="P61" s="161"/>
      <c r="Q61" s="161"/>
      <c r="R61" s="161"/>
      <c r="S61" s="161"/>
      <c r="T61" s="161"/>
      <c r="U61" s="161"/>
      <c r="V61" s="161"/>
      <c r="W61" s="161"/>
      <c r="X61" s="161"/>
      <c r="Y61" s="161"/>
      <c r="Z61" s="161"/>
      <c r="AA61" s="161"/>
      <c r="AB61" s="161"/>
      <c r="AC61" s="161"/>
      <c r="AD61" s="161"/>
      <c r="AE61" s="161"/>
      <c r="AF61" s="161"/>
      <c r="AG61" s="161"/>
      <c r="AH61" s="161"/>
      <c r="AI61" s="164"/>
    </row>
    <row r="62" spans="1:35" x14ac:dyDescent="0.35">
      <c r="A62" t="s">
        <v>486</v>
      </c>
      <c r="C62" t="s">
        <v>67</v>
      </c>
      <c r="D62">
        <v>1</v>
      </c>
      <c r="E62" s="161"/>
      <c r="F62" s="161"/>
      <c r="G62" s="161"/>
      <c r="H62" s="161"/>
      <c r="I62" s="161"/>
      <c r="J62" s="161"/>
      <c r="K62" s="161"/>
      <c r="L62" s="161"/>
      <c r="M62" s="161"/>
      <c r="N62" s="161"/>
      <c r="O62" s="161"/>
      <c r="P62" s="161"/>
      <c r="Q62" s="161"/>
      <c r="R62" s="161"/>
      <c r="S62" s="161"/>
      <c r="T62" s="161"/>
      <c r="U62" s="161"/>
      <c r="V62" s="161"/>
      <c r="W62" s="161"/>
      <c r="X62" s="161"/>
      <c r="Y62" s="161"/>
      <c r="Z62" s="161"/>
      <c r="AA62" s="161"/>
      <c r="AB62" s="161"/>
      <c r="AC62" s="161"/>
      <c r="AD62" s="161"/>
      <c r="AE62" s="161"/>
      <c r="AF62" s="161"/>
      <c r="AG62" s="161"/>
      <c r="AH62" s="161"/>
      <c r="AI62" s="164"/>
    </row>
    <row r="63" spans="1:35" x14ac:dyDescent="0.35">
      <c r="A63" t="s">
        <v>28</v>
      </c>
      <c r="C63" t="s">
        <v>35</v>
      </c>
      <c r="D63">
        <v>1</v>
      </c>
      <c r="E63" s="161"/>
      <c r="F63" s="161"/>
      <c r="G63" s="161"/>
      <c r="H63" s="161"/>
      <c r="I63" s="161"/>
      <c r="J63" s="161"/>
      <c r="K63" s="161"/>
      <c r="L63" s="161"/>
      <c r="M63" s="161"/>
      <c r="N63" s="161"/>
      <c r="O63" s="161"/>
      <c r="P63" s="161"/>
      <c r="Q63" s="161"/>
      <c r="R63" s="161"/>
      <c r="S63" s="161"/>
      <c r="T63" s="161"/>
      <c r="U63" s="161"/>
      <c r="V63" s="161"/>
      <c r="W63" s="161"/>
      <c r="X63" s="161"/>
      <c r="Y63" s="161"/>
      <c r="Z63" s="161"/>
      <c r="AA63" s="161"/>
      <c r="AB63" s="161"/>
      <c r="AC63" s="161"/>
      <c r="AD63" s="161"/>
      <c r="AE63" s="161"/>
      <c r="AF63" s="161"/>
      <c r="AG63" s="161"/>
      <c r="AH63" s="161"/>
      <c r="AI63" s="164"/>
    </row>
    <row r="64" spans="1:35" x14ac:dyDescent="0.35">
      <c r="A64" t="s">
        <v>541</v>
      </c>
      <c r="C64" t="s">
        <v>67</v>
      </c>
      <c r="D64">
        <v>1</v>
      </c>
      <c r="E64" s="161"/>
      <c r="F64" s="161"/>
      <c r="G64" s="161"/>
      <c r="H64" s="161"/>
      <c r="I64" s="161"/>
      <c r="J64" s="161"/>
      <c r="K64" s="161"/>
      <c r="L64" s="161"/>
      <c r="M64" s="161"/>
      <c r="N64" s="161"/>
      <c r="O64" s="161"/>
      <c r="P64" s="161"/>
      <c r="Q64" s="161"/>
      <c r="R64" s="161"/>
      <c r="S64" s="161"/>
      <c r="T64" s="161"/>
      <c r="U64" s="161"/>
      <c r="V64" s="161"/>
      <c r="W64" s="161"/>
      <c r="X64" s="161"/>
      <c r="Y64" s="161"/>
      <c r="Z64" s="161"/>
      <c r="AA64" s="161"/>
      <c r="AB64" s="161"/>
      <c r="AC64" s="161"/>
      <c r="AD64" s="161"/>
      <c r="AE64" s="161"/>
      <c r="AF64" s="161"/>
      <c r="AG64" s="161"/>
      <c r="AH64" s="161"/>
      <c r="AI64" s="164"/>
    </row>
    <row r="65" spans="1:35" x14ac:dyDescent="0.35">
      <c r="A65" t="s">
        <v>920</v>
      </c>
      <c r="C65" t="s">
        <v>67</v>
      </c>
      <c r="D65">
        <v>1</v>
      </c>
      <c r="E65" s="161"/>
      <c r="F65" s="161"/>
      <c r="G65" s="161"/>
      <c r="H65" s="161"/>
      <c r="I65" s="161"/>
      <c r="J65" s="161"/>
      <c r="K65" s="161"/>
      <c r="L65" s="161"/>
      <c r="M65" s="161"/>
      <c r="N65" s="161"/>
      <c r="O65" s="161"/>
      <c r="P65" s="161"/>
      <c r="Q65" s="161"/>
      <c r="R65" s="161"/>
      <c r="S65" s="161"/>
      <c r="T65" s="161"/>
      <c r="U65" s="161"/>
      <c r="V65" s="161"/>
      <c r="W65" s="161"/>
      <c r="X65" s="161"/>
      <c r="Y65" s="161"/>
      <c r="Z65" s="161"/>
      <c r="AA65" s="161"/>
      <c r="AB65" s="161"/>
      <c r="AC65" s="161"/>
      <c r="AD65" s="161"/>
      <c r="AE65" s="161"/>
      <c r="AF65" s="161"/>
      <c r="AG65" s="161"/>
      <c r="AH65" s="161"/>
      <c r="AI65" s="164"/>
    </row>
    <row r="66" spans="1:35" x14ac:dyDescent="0.35">
      <c r="A66" t="s">
        <v>1318</v>
      </c>
      <c r="C66" t="s">
        <v>67</v>
      </c>
      <c r="D66">
        <v>1</v>
      </c>
      <c r="E66" s="161"/>
      <c r="F66" s="161"/>
      <c r="G66" s="161"/>
      <c r="H66" s="161"/>
      <c r="I66" s="161"/>
      <c r="J66" s="161"/>
      <c r="K66" s="161"/>
      <c r="L66" s="161"/>
      <c r="M66" s="161"/>
      <c r="N66" s="161"/>
      <c r="O66" s="161"/>
      <c r="P66" s="161"/>
      <c r="Q66" s="161"/>
      <c r="R66" s="161"/>
      <c r="S66" s="161"/>
      <c r="T66" s="161"/>
      <c r="U66" s="161"/>
      <c r="V66" s="161"/>
      <c r="W66" s="161"/>
      <c r="X66" s="161"/>
      <c r="Y66" s="161"/>
      <c r="Z66" s="161"/>
      <c r="AA66" s="161"/>
      <c r="AB66" s="161"/>
      <c r="AC66" s="161"/>
      <c r="AD66" s="161"/>
      <c r="AE66" s="161"/>
      <c r="AF66" s="161"/>
      <c r="AG66" s="161"/>
      <c r="AH66" s="161"/>
      <c r="AI66" s="164"/>
    </row>
    <row r="67" spans="1:35" x14ac:dyDescent="0.35">
      <c r="A67" t="s">
        <v>30</v>
      </c>
      <c r="C67" t="s">
        <v>67</v>
      </c>
      <c r="D67">
        <v>1</v>
      </c>
      <c r="E67" s="161"/>
      <c r="F67" s="161"/>
      <c r="G67" s="161"/>
      <c r="H67" s="161"/>
      <c r="I67" s="161"/>
      <c r="J67" s="161"/>
      <c r="K67" s="161"/>
      <c r="L67" s="161"/>
      <c r="M67" s="161"/>
      <c r="N67" s="161"/>
      <c r="O67" s="161"/>
      <c r="P67" s="161"/>
      <c r="Q67" s="161"/>
      <c r="R67" s="161"/>
      <c r="S67" s="161"/>
      <c r="T67" s="161"/>
      <c r="U67" s="161"/>
      <c r="V67" s="161"/>
      <c r="W67" s="161"/>
      <c r="X67" s="161"/>
      <c r="Y67" s="161"/>
      <c r="Z67" s="161"/>
      <c r="AA67" s="161"/>
      <c r="AB67" s="161"/>
      <c r="AC67" s="161"/>
      <c r="AD67" s="161"/>
      <c r="AE67" s="161"/>
      <c r="AF67" s="161"/>
      <c r="AG67" s="161"/>
      <c r="AH67" s="161"/>
      <c r="AI67" s="164"/>
    </row>
    <row r="68" spans="1:35" x14ac:dyDescent="0.35">
      <c r="A68" t="s">
        <v>31</v>
      </c>
      <c r="C68" t="s">
        <v>35</v>
      </c>
      <c r="D68">
        <v>1</v>
      </c>
      <c r="E68" s="161"/>
      <c r="F68" s="161"/>
      <c r="G68" s="161"/>
      <c r="H68" s="161"/>
      <c r="I68" s="161"/>
      <c r="J68" s="161"/>
      <c r="K68" s="161"/>
      <c r="L68" s="161"/>
      <c r="M68" s="161"/>
      <c r="N68" s="161"/>
      <c r="O68" s="161"/>
      <c r="P68" s="161"/>
      <c r="Q68" s="161"/>
      <c r="R68" s="161"/>
      <c r="S68" s="161"/>
      <c r="T68" s="161"/>
      <c r="U68" s="161"/>
      <c r="V68" s="161"/>
      <c r="W68" s="161"/>
      <c r="X68" s="161"/>
      <c r="Y68" s="161"/>
      <c r="Z68" s="161"/>
      <c r="AA68" s="161"/>
      <c r="AB68" s="161"/>
      <c r="AC68" s="161"/>
      <c r="AD68" s="161"/>
      <c r="AE68" s="161"/>
      <c r="AF68" s="161"/>
      <c r="AG68" s="161"/>
      <c r="AH68" s="161"/>
      <c r="AI68" s="164"/>
    </row>
    <row r="69" spans="1:35" x14ac:dyDescent="0.35">
      <c r="A69" t="s">
        <v>72</v>
      </c>
      <c r="B69" t="s">
        <v>459</v>
      </c>
      <c r="C69" t="s">
        <v>35</v>
      </c>
      <c r="D69">
        <v>0.15</v>
      </c>
      <c r="E69" s="161"/>
      <c r="F69" s="161"/>
      <c r="G69" s="161"/>
      <c r="H69" s="161"/>
      <c r="I69" s="161"/>
      <c r="J69" s="161"/>
      <c r="K69" s="161"/>
      <c r="L69" s="161"/>
      <c r="M69" s="161"/>
      <c r="N69" s="161"/>
      <c r="O69" s="161"/>
      <c r="P69" s="161"/>
      <c r="Q69" s="161"/>
      <c r="R69" s="161"/>
      <c r="S69" s="161"/>
      <c r="T69" s="161"/>
      <c r="U69" s="161"/>
      <c r="V69" s="161"/>
      <c r="W69" s="161"/>
      <c r="X69" s="161"/>
      <c r="Y69" s="161"/>
      <c r="Z69" s="161"/>
      <c r="AA69" s="161"/>
      <c r="AB69" s="161"/>
      <c r="AC69" s="161"/>
      <c r="AD69" s="161"/>
      <c r="AE69" s="161"/>
      <c r="AF69" s="161"/>
      <c r="AG69" s="161"/>
      <c r="AH69" s="161"/>
      <c r="AI69" s="164"/>
    </row>
    <row r="70" spans="1:35" x14ac:dyDescent="0.35">
      <c r="A70" t="s">
        <v>542</v>
      </c>
      <c r="C70" t="s">
        <v>35</v>
      </c>
      <c r="D70">
        <v>1</v>
      </c>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1"/>
      <c r="AC70" s="161"/>
      <c r="AD70" s="161"/>
      <c r="AE70" s="161"/>
      <c r="AF70" s="161"/>
      <c r="AG70" s="161"/>
      <c r="AH70" s="161"/>
      <c r="AI70" s="164"/>
    </row>
    <row r="71" spans="1:35" x14ac:dyDescent="0.35">
      <c r="A71" t="s">
        <v>555</v>
      </c>
      <c r="C71" t="s">
        <v>67</v>
      </c>
      <c r="D71">
        <v>1</v>
      </c>
      <c r="E71" s="161"/>
      <c r="F71" s="161"/>
      <c r="G71" s="161"/>
      <c r="H71" s="161"/>
      <c r="I71" s="161"/>
      <c r="J71" s="161"/>
      <c r="K71" s="161"/>
      <c r="L71" s="161"/>
      <c r="M71" s="161"/>
      <c r="N71" s="161"/>
      <c r="O71" s="161"/>
      <c r="P71" s="161"/>
      <c r="Q71" s="161"/>
      <c r="R71" s="161"/>
      <c r="S71" s="161"/>
      <c r="T71" s="161"/>
      <c r="U71" s="161"/>
      <c r="V71" s="161"/>
      <c r="W71" s="161"/>
      <c r="X71" s="161"/>
      <c r="Y71" s="161"/>
      <c r="Z71" s="161"/>
      <c r="AA71" s="161"/>
      <c r="AB71" s="161"/>
      <c r="AC71" s="161"/>
      <c r="AD71" s="161"/>
      <c r="AE71" s="161"/>
      <c r="AF71" s="161"/>
      <c r="AG71" s="161"/>
      <c r="AH71" s="161"/>
      <c r="AI71" s="164"/>
    </row>
    <row r="72" spans="1:35" x14ac:dyDescent="0.35">
      <c r="A72" t="s">
        <v>34</v>
      </c>
      <c r="B72" t="s">
        <v>459</v>
      </c>
      <c r="C72" t="s">
        <v>68</v>
      </c>
      <c r="D72">
        <v>9.9255583130000005E-2</v>
      </c>
      <c r="E72" s="161"/>
      <c r="F72" s="161"/>
      <c r="G72" s="161"/>
      <c r="H72" s="161"/>
      <c r="I72" s="161"/>
      <c r="J72" s="161"/>
      <c r="K72" s="161"/>
      <c r="L72" s="161"/>
      <c r="M72" s="161"/>
      <c r="N72" s="161"/>
      <c r="O72" s="161"/>
      <c r="P72" s="161"/>
      <c r="Q72" s="161"/>
      <c r="R72" s="161"/>
      <c r="S72" s="161"/>
      <c r="T72" s="161"/>
      <c r="U72" s="161"/>
      <c r="V72" s="161"/>
      <c r="W72" s="161"/>
      <c r="X72" s="161"/>
      <c r="Y72" s="161"/>
      <c r="Z72" s="161"/>
      <c r="AA72" s="161"/>
      <c r="AB72" s="161"/>
      <c r="AC72" s="161"/>
      <c r="AD72" s="161"/>
      <c r="AE72" s="161"/>
      <c r="AF72" s="161"/>
      <c r="AG72" s="161"/>
      <c r="AH72" s="161"/>
      <c r="AI72" s="164"/>
    </row>
  </sheetData>
  <phoneticPr fontId="2" type="noConversion"/>
  <conditionalFormatting sqref="A2:A72">
    <cfRule type="containsText" dxfId="342" priority="1" operator="containsText" text="DAUN BAWANG">
      <formula>NOT(ISERROR(SEARCH("DAUN BAWANG",A2)))</formula>
    </cfRule>
  </conditionalFormatting>
  <pageMargins left="0.7" right="0.7" top="0.75" bottom="0.75" header="0.3" footer="0.3"/>
  <pageSetup paperSize="9" orientation="portrait" horizontalDpi="0" verticalDpi="0"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5FC7E-9A04-4E2A-87CA-AA544B332390}">
  <sheetPr codeName="Sheet25">
    <tabColor rgb="FFFF0000"/>
  </sheetPr>
  <dimension ref="A1:BZ199"/>
  <sheetViews>
    <sheetView zoomScale="70" zoomScaleNormal="70" workbookViewId="0">
      <selection activeCell="E20" sqref="E20:F20"/>
    </sheetView>
  </sheetViews>
  <sheetFormatPr defaultColWidth="0" defaultRowHeight="13" x14ac:dyDescent="0.3"/>
  <cols>
    <col min="1" max="1" width="12.7265625" style="54" customWidth="1"/>
    <col min="2" max="2" width="43" style="4" customWidth="1"/>
    <col min="3" max="3" width="11.453125" style="4" customWidth="1"/>
    <col min="4" max="4" width="9.26953125" style="4" bestFit="1" customWidth="1"/>
    <col min="5" max="5" width="10.453125" style="4" bestFit="1" customWidth="1"/>
    <col min="6" max="33" width="9" style="4" bestFit="1" customWidth="1"/>
    <col min="34" max="34" width="7" style="4" bestFit="1" customWidth="1"/>
    <col min="35" max="35" width="6.7265625" style="4" bestFit="1" customWidth="1"/>
    <col min="36" max="36" width="7" style="4" bestFit="1" customWidth="1"/>
    <col min="37" max="37" width="6.7265625" style="4" bestFit="1" customWidth="1"/>
    <col min="38" max="38" width="7" style="4" bestFit="1" customWidth="1"/>
    <col min="39" max="39" width="6.7265625" style="4" bestFit="1" customWidth="1"/>
    <col min="40" max="40" width="7" style="4" bestFit="1" customWidth="1"/>
    <col min="41" max="41" width="6.7265625" style="4" bestFit="1" customWidth="1"/>
    <col min="42" max="42" width="7" style="4" bestFit="1" customWidth="1"/>
    <col min="43" max="43" width="6.7265625" style="4" bestFit="1" customWidth="1"/>
    <col min="44" max="44" width="7" style="4" bestFit="1" customWidth="1"/>
    <col min="45" max="45" width="6.7265625" style="4" bestFit="1" customWidth="1"/>
    <col min="46" max="46" width="7" style="4" bestFit="1" customWidth="1"/>
    <col min="47" max="47" width="6.7265625" style="4" bestFit="1" customWidth="1"/>
    <col min="48" max="48" width="7" style="4" bestFit="1" customWidth="1"/>
    <col min="49" max="49" width="6.7265625" style="4" bestFit="1" customWidth="1"/>
    <col min="50" max="50" width="7" style="4" bestFit="1" customWidth="1"/>
    <col min="51" max="51" width="6.7265625" style="4" bestFit="1" customWidth="1"/>
    <col min="52" max="52" width="7" style="4" bestFit="1" customWidth="1"/>
    <col min="53" max="53" width="6.7265625" style="4" bestFit="1" customWidth="1"/>
    <col min="54" max="54" width="7" style="4" bestFit="1" customWidth="1"/>
    <col min="55" max="55" width="6.7265625" style="4" bestFit="1" customWidth="1"/>
    <col min="56" max="56" width="7" style="4" bestFit="1" customWidth="1"/>
    <col min="57" max="57" width="6.7265625" style="4" bestFit="1" customWidth="1"/>
    <col min="58" max="58" width="7" style="4" bestFit="1" customWidth="1"/>
    <col min="59" max="59" width="6.7265625" style="4" bestFit="1" customWidth="1"/>
    <col min="60" max="60" width="7" style="4" bestFit="1" customWidth="1"/>
    <col min="61" max="61" width="6.7265625" style="4" bestFit="1" customWidth="1"/>
    <col min="62" max="62" width="7" style="4" bestFit="1" customWidth="1"/>
    <col min="63" max="63" width="6.7265625" style="4" bestFit="1" customWidth="1"/>
    <col min="64" max="64" width="7" style="4" bestFit="1" customWidth="1"/>
    <col min="65" max="65" width="6.7265625" style="4" bestFit="1" customWidth="1"/>
    <col min="66" max="66" width="7" style="4" bestFit="1" customWidth="1"/>
    <col min="67" max="69" width="9.453125" style="4" bestFit="1" customWidth="1"/>
    <col min="70" max="71" width="8.453125" style="4" bestFit="1" customWidth="1"/>
    <col min="72" max="72" width="7" style="4" bestFit="1" customWidth="1"/>
    <col min="73" max="73" width="16.26953125" style="4" bestFit="1" customWidth="1"/>
    <col min="74" max="74" width="7.7265625" style="4" bestFit="1" customWidth="1"/>
    <col min="75" max="75" width="13.54296875" style="4" bestFit="1" customWidth="1"/>
    <col min="76" max="76" width="12.54296875" style="4" customWidth="1"/>
    <col min="77" max="78" width="0" style="4" hidden="1" customWidth="1"/>
    <col min="79" max="16384" width="12.54296875" style="4" hidden="1"/>
  </cols>
  <sheetData>
    <row r="1" spans="1:78" ht="15.75" customHeight="1" x14ac:dyDescent="0.3">
      <c r="A1" s="180" t="s">
        <v>238</v>
      </c>
      <c r="B1" s="182" t="s">
        <v>177</v>
      </c>
      <c r="C1" s="184" t="s">
        <v>239</v>
      </c>
      <c r="D1" s="185"/>
      <c r="E1" s="184" t="s">
        <v>240</v>
      </c>
      <c r="F1" s="185"/>
      <c r="G1" s="184" t="s">
        <v>241</v>
      </c>
      <c r="H1" s="185"/>
      <c r="I1" s="184" t="s">
        <v>242</v>
      </c>
      <c r="J1" s="185"/>
      <c r="K1" s="184" t="s">
        <v>243</v>
      </c>
      <c r="L1" s="185"/>
      <c r="M1" s="184" t="s">
        <v>244</v>
      </c>
      <c r="N1" s="185"/>
      <c r="O1" s="184" t="s">
        <v>245</v>
      </c>
      <c r="P1" s="185"/>
      <c r="Q1" s="184" t="s">
        <v>246</v>
      </c>
      <c r="R1" s="185"/>
      <c r="S1" s="184" t="s">
        <v>247</v>
      </c>
      <c r="T1" s="185"/>
      <c r="U1" s="184" t="s">
        <v>248</v>
      </c>
      <c r="V1" s="185"/>
      <c r="W1" s="184" t="s">
        <v>249</v>
      </c>
      <c r="X1" s="185"/>
      <c r="Y1" s="184" t="s">
        <v>250</v>
      </c>
      <c r="Z1" s="185"/>
      <c r="AA1" s="184" t="s">
        <v>251</v>
      </c>
      <c r="AB1" s="185"/>
      <c r="AC1" s="184" t="s">
        <v>252</v>
      </c>
      <c r="AD1" s="185"/>
      <c r="AE1" s="184" t="s">
        <v>253</v>
      </c>
      <c r="AF1" s="185"/>
      <c r="AG1" s="184" t="s">
        <v>254</v>
      </c>
      <c r="AH1" s="185"/>
      <c r="AI1" s="184" t="s">
        <v>255</v>
      </c>
      <c r="AJ1" s="185"/>
      <c r="AK1" s="184" t="s">
        <v>256</v>
      </c>
      <c r="AL1" s="185"/>
      <c r="AM1" s="184" t="s">
        <v>257</v>
      </c>
      <c r="AN1" s="185"/>
      <c r="AO1" s="184" t="s">
        <v>258</v>
      </c>
      <c r="AP1" s="185"/>
      <c r="AQ1" s="184" t="s">
        <v>259</v>
      </c>
      <c r="AR1" s="185"/>
      <c r="AS1" s="184" t="s">
        <v>260</v>
      </c>
      <c r="AT1" s="185"/>
      <c r="AU1" s="184" t="s">
        <v>261</v>
      </c>
      <c r="AV1" s="185"/>
      <c r="AW1" s="184" t="s">
        <v>262</v>
      </c>
      <c r="AX1" s="185"/>
      <c r="AY1" s="184" t="s">
        <v>263</v>
      </c>
      <c r="AZ1" s="185"/>
      <c r="BA1" s="184" t="s">
        <v>264</v>
      </c>
      <c r="BB1" s="185"/>
      <c r="BC1" s="184" t="s">
        <v>265</v>
      </c>
      <c r="BD1" s="185"/>
      <c r="BE1" s="184" t="s">
        <v>266</v>
      </c>
      <c r="BF1" s="185"/>
      <c r="BG1" s="184" t="s">
        <v>267</v>
      </c>
      <c r="BH1" s="185"/>
      <c r="BI1" s="184" t="s">
        <v>268</v>
      </c>
      <c r="BJ1" s="185"/>
      <c r="BK1" s="184" t="s">
        <v>269</v>
      </c>
      <c r="BL1" s="185"/>
      <c r="BM1" s="184" t="s">
        <v>270</v>
      </c>
      <c r="BN1" s="185"/>
      <c r="BO1" s="184" t="s">
        <v>271</v>
      </c>
      <c r="BP1" s="185"/>
      <c r="BQ1" s="184" t="s">
        <v>272</v>
      </c>
      <c r="BR1" s="185"/>
      <c r="BS1" s="184" t="s">
        <v>273</v>
      </c>
      <c r="BT1" s="185"/>
      <c r="BU1" s="190" t="s">
        <v>274</v>
      </c>
      <c r="BV1" s="191"/>
      <c r="BW1" s="192" t="s">
        <v>275</v>
      </c>
      <c r="BX1" s="3"/>
      <c r="BY1" s="3"/>
      <c r="BZ1" s="3"/>
    </row>
    <row r="2" spans="1:78" ht="15.75" customHeight="1" thickBot="1" x14ac:dyDescent="0.35">
      <c r="A2" s="181"/>
      <c r="B2" s="183"/>
      <c r="C2" s="5" t="s">
        <v>276</v>
      </c>
      <c r="D2" s="5" t="s">
        <v>277</v>
      </c>
      <c r="E2" s="5" t="s">
        <v>276</v>
      </c>
      <c r="F2" s="5" t="s">
        <v>277</v>
      </c>
      <c r="G2" s="5" t="s">
        <v>276</v>
      </c>
      <c r="H2" s="5" t="s">
        <v>277</v>
      </c>
      <c r="I2" s="5" t="s">
        <v>276</v>
      </c>
      <c r="J2" s="5" t="s">
        <v>277</v>
      </c>
      <c r="K2" s="5" t="s">
        <v>276</v>
      </c>
      <c r="L2" s="5" t="s">
        <v>277</v>
      </c>
      <c r="M2" s="5" t="s">
        <v>276</v>
      </c>
      <c r="N2" s="5" t="s">
        <v>277</v>
      </c>
      <c r="O2" s="5" t="s">
        <v>276</v>
      </c>
      <c r="P2" s="5" t="s">
        <v>277</v>
      </c>
      <c r="Q2" s="5" t="s">
        <v>276</v>
      </c>
      <c r="R2" s="5" t="s">
        <v>277</v>
      </c>
      <c r="S2" s="5" t="s">
        <v>276</v>
      </c>
      <c r="T2" s="5" t="s">
        <v>277</v>
      </c>
      <c r="U2" s="5" t="s">
        <v>276</v>
      </c>
      <c r="V2" s="5" t="s">
        <v>277</v>
      </c>
      <c r="W2" s="5" t="s">
        <v>276</v>
      </c>
      <c r="X2" s="5" t="s">
        <v>277</v>
      </c>
      <c r="Y2" s="5" t="s">
        <v>276</v>
      </c>
      <c r="Z2" s="5" t="s">
        <v>277</v>
      </c>
      <c r="AA2" s="5" t="s">
        <v>276</v>
      </c>
      <c r="AB2" s="5" t="s">
        <v>277</v>
      </c>
      <c r="AC2" s="5" t="s">
        <v>276</v>
      </c>
      <c r="AD2" s="5" t="s">
        <v>277</v>
      </c>
      <c r="AE2" s="5" t="s">
        <v>276</v>
      </c>
      <c r="AF2" s="5" t="s">
        <v>277</v>
      </c>
      <c r="AG2" s="5" t="s">
        <v>276</v>
      </c>
      <c r="AH2" s="5" t="s">
        <v>277</v>
      </c>
      <c r="AI2" s="5" t="s">
        <v>276</v>
      </c>
      <c r="AJ2" s="5" t="s">
        <v>277</v>
      </c>
      <c r="AK2" s="5" t="s">
        <v>276</v>
      </c>
      <c r="AL2" s="5" t="s">
        <v>277</v>
      </c>
      <c r="AM2" s="5" t="s">
        <v>276</v>
      </c>
      <c r="AN2" s="5" t="s">
        <v>277</v>
      </c>
      <c r="AO2" s="5" t="s">
        <v>276</v>
      </c>
      <c r="AP2" s="5" t="s">
        <v>277</v>
      </c>
      <c r="AQ2" s="5" t="s">
        <v>276</v>
      </c>
      <c r="AR2" s="5" t="s">
        <v>277</v>
      </c>
      <c r="AS2" s="5" t="s">
        <v>276</v>
      </c>
      <c r="AT2" s="5" t="s">
        <v>277</v>
      </c>
      <c r="AU2" s="5" t="s">
        <v>276</v>
      </c>
      <c r="AV2" s="5" t="s">
        <v>277</v>
      </c>
      <c r="AW2" s="5" t="s">
        <v>276</v>
      </c>
      <c r="AX2" s="5" t="s">
        <v>277</v>
      </c>
      <c r="AY2" s="5" t="s">
        <v>276</v>
      </c>
      <c r="AZ2" s="5" t="s">
        <v>277</v>
      </c>
      <c r="BA2" s="5" t="s">
        <v>276</v>
      </c>
      <c r="BB2" s="5" t="s">
        <v>277</v>
      </c>
      <c r="BC2" s="5" t="s">
        <v>276</v>
      </c>
      <c r="BD2" s="5" t="s">
        <v>277</v>
      </c>
      <c r="BE2" s="5" t="s">
        <v>276</v>
      </c>
      <c r="BF2" s="5" t="s">
        <v>277</v>
      </c>
      <c r="BG2" s="5" t="s">
        <v>276</v>
      </c>
      <c r="BH2" s="5" t="s">
        <v>277</v>
      </c>
      <c r="BI2" s="5" t="s">
        <v>276</v>
      </c>
      <c r="BJ2" s="5" t="s">
        <v>277</v>
      </c>
      <c r="BK2" s="5" t="s">
        <v>276</v>
      </c>
      <c r="BL2" s="5" t="s">
        <v>277</v>
      </c>
      <c r="BM2" s="5" t="s">
        <v>276</v>
      </c>
      <c r="BN2" s="5" t="s">
        <v>277</v>
      </c>
      <c r="BO2" s="5" t="s">
        <v>276</v>
      </c>
      <c r="BP2" s="5" t="s">
        <v>277</v>
      </c>
      <c r="BQ2" s="5" t="s">
        <v>276</v>
      </c>
      <c r="BR2" s="5" t="s">
        <v>277</v>
      </c>
      <c r="BS2" s="5" t="s">
        <v>276</v>
      </c>
      <c r="BT2" s="5" t="s">
        <v>277</v>
      </c>
      <c r="BU2" s="6" t="s">
        <v>276</v>
      </c>
      <c r="BV2" s="6" t="s">
        <v>277</v>
      </c>
      <c r="BW2" s="193"/>
      <c r="BX2" s="3"/>
      <c r="BY2" s="3"/>
      <c r="BZ2" s="3"/>
    </row>
    <row r="3" spans="1:78" ht="15.75" customHeight="1" x14ac:dyDescent="0.3">
      <c r="A3" s="198">
        <v>1</v>
      </c>
      <c r="B3" s="7" t="s">
        <v>278</v>
      </c>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9" t="str">
        <f>IF(SUMIF($C$2:$BT$2,"FRESH",C3:BT3)=0,"",SUMIF($C$2:$BT$2,"FRESH",C3:BT3))</f>
        <v/>
      </c>
      <c r="BV3" s="10" t="str">
        <f>IF(SUMIF($C$2:$BT$2,"GILING",C3:BT3)=0,"",SUMIF($C$2:$BT$2,"GILING",C3:BT3))</f>
        <v/>
      </c>
      <c r="BW3" s="11"/>
      <c r="BX3" s="3"/>
      <c r="BY3" s="3"/>
      <c r="BZ3" s="3"/>
    </row>
    <row r="4" spans="1:78" ht="15.75" customHeight="1" x14ac:dyDescent="0.3">
      <c r="A4" s="199"/>
      <c r="B4" s="12" t="s">
        <v>279</v>
      </c>
      <c r="C4" s="188">
        <f>IF(AND(C3="",D3=""),0,C3-D3)</f>
        <v>0</v>
      </c>
      <c r="D4" s="189"/>
      <c r="E4" s="188">
        <f>IF(AND(E3="",F3=""),0,E3-F3)</f>
        <v>0</v>
      </c>
      <c r="F4" s="189"/>
      <c r="G4" s="188">
        <f>IF(AND(G3="",H3=""),0,G3-H3)</f>
        <v>0</v>
      </c>
      <c r="H4" s="189"/>
      <c r="I4" s="188">
        <f>IF(AND(I3="",J3=""),0,I3-J3)</f>
        <v>0</v>
      </c>
      <c r="J4" s="189"/>
      <c r="K4" s="188">
        <f>IF(AND(K3="",L3=""),0,K3-L3)</f>
        <v>0</v>
      </c>
      <c r="L4" s="189"/>
      <c r="M4" s="188">
        <f>IF(AND(M3="",N3=""),0,M3-N3)</f>
        <v>0</v>
      </c>
      <c r="N4" s="189"/>
      <c r="O4" s="188">
        <f>IF(AND(O3="",P3=""),0,O3-P3)</f>
        <v>0</v>
      </c>
      <c r="P4" s="189"/>
      <c r="Q4" s="188">
        <f>IF(AND(Q3="",R3=""),0,Q3-R3)</f>
        <v>0</v>
      </c>
      <c r="R4" s="189"/>
      <c r="S4" s="188">
        <f>IF(AND(S3="",T3=""),0,S3-T3)</f>
        <v>0</v>
      </c>
      <c r="T4" s="189"/>
      <c r="U4" s="188">
        <f>IF(AND(U3="",V3=""),0,U3-V3)</f>
        <v>0</v>
      </c>
      <c r="V4" s="189"/>
      <c r="W4" s="188">
        <f>IF(AND(W3="",X3=""),0,W3-X3)</f>
        <v>0</v>
      </c>
      <c r="X4" s="189"/>
      <c r="Y4" s="188">
        <f>IF(AND(Y3="",Z3=""),0,Y3-Z3)</f>
        <v>0</v>
      </c>
      <c r="Z4" s="189"/>
      <c r="AA4" s="188">
        <f>IF(AND(AA3="",AB3=""),0,AA3-AB3)</f>
        <v>0</v>
      </c>
      <c r="AB4" s="189"/>
      <c r="AC4" s="188">
        <f>IF(AND(AC3="",AD3=""),0,AC3-AD3)</f>
        <v>0</v>
      </c>
      <c r="AD4" s="189"/>
      <c r="AE4" s="188">
        <f>IF(AND(AE3="",AF3=""),0,AE3-AF3)</f>
        <v>0</v>
      </c>
      <c r="AF4" s="189"/>
      <c r="AG4" s="188">
        <f>IF(AND(AG3="",AH3=""),0,AG3-AH3)</f>
        <v>0</v>
      </c>
      <c r="AH4" s="189"/>
      <c r="AI4" s="188">
        <f>IF(AND(AI3="",AJ3=""),0,AI3-AJ3)</f>
        <v>0</v>
      </c>
      <c r="AJ4" s="189"/>
      <c r="AK4" s="188">
        <f>IF(AND(AK3="",AL3=""),0,AK3-AL3)</f>
        <v>0</v>
      </c>
      <c r="AL4" s="189"/>
      <c r="AM4" s="188">
        <f>IF(AND(AM3="",AN3=""),0,AM3-AN3)</f>
        <v>0</v>
      </c>
      <c r="AN4" s="189"/>
      <c r="AO4" s="188">
        <f>IF(AND(AO3="",AP3=""),0,AO3-AP3)</f>
        <v>0</v>
      </c>
      <c r="AP4" s="189"/>
      <c r="AQ4" s="188">
        <f>IF(AND(AQ3="",AR3=""),0,AQ3-AR3)</f>
        <v>0</v>
      </c>
      <c r="AR4" s="189"/>
      <c r="AS4" s="188">
        <f>IF(AND(AS3="",AT3=""),0,AS3-AT3)</f>
        <v>0</v>
      </c>
      <c r="AT4" s="189"/>
      <c r="AU4" s="188">
        <f>IF(AND(AU3="",AV3=""),0,AU3-AV3)</f>
        <v>0</v>
      </c>
      <c r="AV4" s="189"/>
      <c r="AW4" s="188">
        <f>IF(AND(AW3="",AX3=""),0,AW3-AX3)</f>
        <v>0</v>
      </c>
      <c r="AX4" s="189"/>
      <c r="AY4" s="188">
        <f>IF(AND(AY3="",AZ3=""),0,AY3-AZ3)</f>
        <v>0</v>
      </c>
      <c r="AZ4" s="189"/>
      <c r="BA4" s="188">
        <f>IF(AND(BA3="",BB3=""),0,BA3-BB3)</f>
        <v>0</v>
      </c>
      <c r="BB4" s="189"/>
      <c r="BC4" s="188">
        <f>IF(AND(BC3="",BD3=""),0,BC3-BD3)</f>
        <v>0</v>
      </c>
      <c r="BD4" s="189"/>
      <c r="BE4" s="188">
        <f>IF(AND(BE3="",BF3=""),0,BE3-BF3)</f>
        <v>0</v>
      </c>
      <c r="BF4" s="189"/>
      <c r="BG4" s="188">
        <f>IF(AND(BG3="",BH3=""),0,BG3-BH3)</f>
        <v>0</v>
      </c>
      <c r="BH4" s="189"/>
      <c r="BI4" s="188">
        <f>IF(AND(BI3="",BJ3=""),0,BI3-BJ3)</f>
        <v>0</v>
      </c>
      <c r="BJ4" s="189"/>
      <c r="BK4" s="188">
        <f>IF(AND(BK3="",BL3=""),0,BK3-BL3)</f>
        <v>0</v>
      </c>
      <c r="BL4" s="189"/>
      <c r="BM4" s="188">
        <f>IF(AND(BM3="",BN3=""),0,BM3-BN3)</f>
        <v>0</v>
      </c>
      <c r="BN4" s="189"/>
      <c r="BO4" s="188">
        <f>IF(AND(BO3="",BP3=""),0,BO3-BP3)</f>
        <v>0</v>
      </c>
      <c r="BP4" s="189"/>
      <c r="BQ4" s="188">
        <f>IF(AND(BQ3="",BR3=""),0,BQ3-BR3)</f>
        <v>0</v>
      </c>
      <c r="BR4" s="189"/>
      <c r="BS4" s="188">
        <f>IF(AND(BS3="",BT3=""),0,BS3-BT3)</f>
        <v>0</v>
      </c>
      <c r="BT4" s="189"/>
      <c r="BU4" s="14" t="str">
        <f>IF(AND(BU3="",BV3=""),"",BU3-BV3)</f>
        <v/>
      </c>
      <c r="BV4" s="15"/>
      <c r="BW4" s="16" t="str">
        <f>IF(COUNTIF(D4:BT4,"&gt;0")=0,"",COUNTIF(D4:BT4,"&gt;0"))</f>
        <v/>
      </c>
      <c r="BX4" s="3"/>
      <c r="BY4" s="3"/>
      <c r="BZ4" s="3"/>
    </row>
    <row r="5" spans="1:78" ht="15.75" customHeight="1" x14ac:dyDescent="0.3">
      <c r="A5" s="199"/>
      <c r="B5" s="12" t="s">
        <v>280</v>
      </c>
      <c r="C5" s="186">
        <f>IF(C4="",0,(D3/89%)-(C3))</f>
        <v>0</v>
      </c>
      <c r="D5" s="187"/>
      <c r="E5" s="186">
        <f>IF(E4="",0,(F3/89%)-(E3))</f>
        <v>0</v>
      </c>
      <c r="F5" s="187"/>
      <c r="G5" s="186">
        <f>IF(G4="",0,(H3/89%)-(G3))</f>
        <v>0</v>
      </c>
      <c r="H5" s="187"/>
      <c r="I5" s="186">
        <f>IF(I4="",0,(J3/89%)-(I3))</f>
        <v>0</v>
      </c>
      <c r="J5" s="187"/>
      <c r="K5" s="186">
        <f>IF(K4="",0,(L3/89%)-(K3))</f>
        <v>0</v>
      </c>
      <c r="L5" s="187"/>
      <c r="M5" s="186">
        <f>IF(M4="",0,(N3/89%)-(M3))</f>
        <v>0</v>
      </c>
      <c r="N5" s="187"/>
      <c r="O5" s="186">
        <f>IF(O4="",0,(P3/89%)-(O3))</f>
        <v>0</v>
      </c>
      <c r="P5" s="187"/>
      <c r="Q5" s="186">
        <f>IF(Q4="",0,(R3/89%)-(Q3))</f>
        <v>0</v>
      </c>
      <c r="R5" s="187"/>
      <c r="S5" s="186">
        <f>IF(S4="",0,(T3/89%)-(S3))</f>
        <v>0</v>
      </c>
      <c r="T5" s="187"/>
      <c r="U5" s="186">
        <f>IF(U4="",0,(V3/89%)-(U3))</f>
        <v>0</v>
      </c>
      <c r="V5" s="187"/>
      <c r="W5" s="186">
        <f>IF(W4="",0,(X3/89%)-(W3))</f>
        <v>0</v>
      </c>
      <c r="X5" s="187"/>
      <c r="Y5" s="186">
        <f>IF(Y4="",0,(Z3/89%)-(Y3))</f>
        <v>0</v>
      </c>
      <c r="Z5" s="187"/>
      <c r="AA5" s="186">
        <f>IF(AA4="",0,(AB3/89%)-(AA3))</f>
        <v>0</v>
      </c>
      <c r="AB5" s="187"/>
      <c r="AC5" s="186">
        <f>IF(AC4="",0,(AD3/89%)-(AC3))</f>
        <v>0</v>
      </c>
      <c r="AD5" s="187"/>
      <c r="AE5" s="186">
        <f>IF(AE4="",0,(AF3/89%)-(AE3))</f>
        <v>0</v>
      </c>
      <c r="AF5" s="187"/>
      <c r="AG5" s="186">
        <f>IF(AG4="",0,(AH3/89%)-(AG3))</f>
        <v>0</v>
      </c>
      <c r="AH5" s="187"/>
      <c r="AI5" s="186">
        <f>IF(AI4="",0,(AJ3/89%)-(AI3))</f>
        <v>0</v>
      </c>
      <c r="AJ5" s="187"/>
      <c r="AK5" s="186">
        <f>IF(AK4="",0,(AL3/89%)-(AK3))</f>
        <v>0</v>
      </c>
      <c r="AL5" s="187"/>
      <c r="AM5" s="186">
        <f>IF(AM4="",0,(AN3/89%)-(AM3))</f>
        <v>0</v>
      </c>
      <c r="AN5" s="187"/>
      <c r="AO5" s="186">
        <f>IF(AO4="",0,(AP3/89%)-(AO3))</f>
        <v>0</v>
      </c>
      <c r="AP5" s="187"/>
      <c r="AQ5" s="186">
        <f>IF(AQ4="",0,(AR3/89%)-(AQ3))</f>
        <v>0</v>
      </c>
      <c r="AR5" s="187"/>
      <c r="AS5" s="186">
        <f>IF(AS4="",0,(AT3/89%)-(AS3))</f>
        <v>0</v>
      </c>
      <c r="AT5" s="187"/>
      <c r="AU5" s="186">
        <f>IF(AU4="",0,(AV3/89%)-(AU3))</f>
        <v>0</v>
      </c>
      <c r="AV5" s="187"/>
      <c r="AW5" s="186">
        <f>IF(AW4="",0,(AX3/89%)-(AW3))</f>
        <v>0</v>
      </c>
      <c r="AX5" s="187"/>
      <c r="AY5" s="186">
        <f>IF(AY4="",0,(AZ3/89%)-(AY3))</f>
        <v>0</v>
      </c>
      <c r="AZ5" s="187"/>
      <c r="BA5" s="186">
        <f>IF(BA4="",0,(BB3/89%)-(BA3))</f>
        <v>0</v>
      </c>
      <c r="BB5" s="187"/>
      <c r="BC5" s="186">
        <f>IF(BC4="",0,(BD3/89%)-(BC3))</f>
        <v>0</v>
      </c>
      <c r="BD5" s="187"/>
      <c r="BE5" s="186">
        <f>IF(BE4="",0,(BF3/89%)-(BE3))</f>
        <v>0</v>
      </c>
      <c r="BF5" s="187"/>
      <c r="BG5" s="186">
        <f>IF(BG4="",0,(BH3/89%)-(BG3))</f>
        <v>0</v>
      </c>
      <c r="BH5" s="187"/>
      <c r="BI5" s="186">
        <f>IF(BI4="",0,(BJ3/89%)-(BI3))</f>
        <v>0</v>
      </c>
      <c r="BJ5" s="187"/>
      <c r="BK5" s="186">
        <f>IF(BK4="",0,(BL3/89%)-(BK3))</f>
        <v>0</v>
      </c>
      <c r="BL5" s="187"/>
      <c r="BM5" s="186">
        <f>IF(BM4="",0,(BN3/89%)-(BM3))</f>
        <v>0</v>
      </c>
      <c r="BN5" s="187"/>
      <c r="BO5" s="186">
        <f>IF(BO4="",0,(BP3/89%)-(BO3))</f>
        <v>0</v>
      </c>
      <c r="BP5" s="187"/>
      <c r="BQ5" s="186">
        <f>IF(BQ4="",0,(BR3/89%)-(BQ3))</f>
        <v>0</v>
      </c>
      <c r="BR5" s="187"/>
      <c r="BS5" s="186">
        <f>IF(BS4="",0,(BT3/89%)-(BS3))</f>
        <v>0</v>
      </c>
      <c r="BT5" s="187"/>
      <c r="BU5" s="17" t="str">
        <f>IF(BU4="","",(BV3/89%)-(BU3))</f>
        <v/>
      </c>
      <c r="BV5" s="13"/>
      <c r="BW5" s="18" t="str">
        <f>IF(AND(BU3="",BV3=""),"",(BU3-BV3)-BU4)</f>
        <v/>
      </c>
      <c r="BX5" s="3"/>
      <c r="BY5" s="3"/>
      <c r="BZ5" s="3"/>
    </row>
    <row r="6" spans="1:78" ht="15.75" customHeight="1" x14ac:dyDescent="0.3">
      <c r="A6" s="199"/>
      <c r="B6" s="19" t="s">
        <v>281</v>
      </c>
      <c r="C6" s="194" t="str">
        <f>IF(C4=0,"",ABS(IFERROR((C4/C3),0)-1))</f>
        <v/>
      </c>
      <c r="D6" s="195"/>
      <c r="E6" s="194" t="str">
        <f>IF(E4=0,"",ABS(IFERROR((E4/E3),0)-1))</f>
        <v/>
      </c>
      <c r="F6" s="195"/>
      <c r="G6" s="194" t="str">
        <f>IF(G4=0,"",ABS(IFERROR((G4/G3),0)-1))</f>
        <v/>
      </c>
      <c r="H6" s="195"/>
      <c r="I6" s="194" t="str">
        <f>IF(I4=0,"",ABS(IFERROR((I4/I3),0)-1))</f>
        <v/>
      </c>
      <c r="J6" s="195"/>
      <c r="K6" s="194" t="str">
        <f>IF(K4=0,"",ABS(IFERROR((K4/K3),0)-1))</f>
        <v/>
      </c>
      <c r="L6" s="195"/>
      <c r="M6" s="194" t="str">
        <f>IF(M4=0,"",ABS(IFERROR((M4/M3),0)-1))</f>
        <v/>
      </c>
      <c r="N6" s="195"/>
      <c r="O6" s="194" t="str">
        <f>IF(O4=0,"",ABS(IFERROR((O4/O3),0)-1))</f>
        <v/>
      </c>
      <c r="P6" s="195"/>
      <c r="Q6" s="194" t="str">
        <f>IF(Q4=0,"",ABS(IFERROR((Q4/Q3),0)-1))</f>
        <v/>
      </c>
      <c r="R6" s="195"/>
      <c r="S6" s="194" t="str">
        <f>IF(S4=0,"",ABS(IFERROR((S4/S3),0)-1))</f>
        <v/>
      </c>
      <c r="T6" s="195"/>
      <c r="U6" s="194" t="str">
        <f>IF(U4=0,"",ABS(IFERROR((U4/U3),0)-1))</f>
        <v/>
      </c>
      <c r="V6" s="195"/>
      <c r="W6" s="194" t="str">
        <f>IF(W4=0,"",ABS(IFERROR((W4/W3),0)-1))</f>
        <v/>
      </c>
      <c r="X6" s="195"/>
      <c r="Y6" s="194" t="str">
        <f>IF(Y4=0,"",ABS(IFERROR((Y4/Y3),0)-1))</f>
        <v/>
      </c>
      <c r="Z6" s="195"/>
      <c r="AA6" s="194" t="str">
        <f>IF(AA4=0,"",ABS(IFERROR((AA4/AA3),0)-1))</f>
        <v/>
      </c>
      <c r="AB6" s="195"/>
      <c r="AC6" s="194" t="str">
        <f>IF(AC4=0,"",ABS(IFERROR((AC4/AC3),0)-1))</f>
        <v/>
      </c>
      <c r="AD6" s="195"/>
      <c r="AE6" s="194" t="str">
        <f>IF(AE4=0,"",ABS(IFERROR((AE4/AE3),0)-1))</f>
        <v/>
      </c>
      <c r="AF6" s="195"/>
      <c r="AG6" s="194" t="str">
        <f>IF(AG4=0,"",ABS(IFERROR((AG4/AG3),0)-1))</f>
        <v/>
      </c>
      <c r="AH6" s="195"/>
      <c r="AI6" s="194" t="str">
        <f>IF(AI4=0,"",ABS(IFERROR((AI4/AI3),0)-1))</f>
        <v/>
      </c>
      <c r="AJ6" s="195"/>
      <c r="AK6" s="194" t="str">
        <f>IF(AK4=0,"",ABS(IFERROR((AK4/AK3),0)-1))</f>
        <v/>
      </c>
      <c r="AL6" s="195"/>
      <c r="AM6" s="194" t="str">
        <f>IF(AM4=0,"",ABS(IFERROR((AM4/AM3),0)-1))</f>
        <v/>
      </c>
      <c r="AN6" s="195"/>
      <c r="AO6" s="194" t="str">
        <f>IF(AO4=0,"",ABS(IFERROR((AO4/AO3),0)-1))</f>
        <v/>
      </c>
      <c r="AP6" s="195"/>
      <c r="AQ6" s="194" t="str">
        <f>IF(AQ4=0,"",ABS(IFERROR((AQ4/AQ3),0)-1))</f>
        <v/>
      </c>
      <c r="AR6" s="195"/>
      <c r="AS6" s="194" t="str">
        <f>IF(AS4=0,"",ABS(IFERROR((AS4/AS3),0)-1))</f>
        <v/>
      </c>
      <c r="AT6" s="195"/>
      <c r="AU6" s="194" t="str">
        <f>IF(AU4=0,"",ABS(IFERROR((AU4/AU3),0)-1))</f>
        <v/>
      </c>
      <c r="AV6" s="195"/>
      <c r="AW6" s="194" t="str">
        <f>IF(AW4=0,"",ABS(IFERROR((AW4/AW3),0)-1))</f>
        <v/>
      </c>
      <c r="AX6" s="195"/>
      <c r="AY6" s="194" t="str">
        <f>IF(AY4=0,"",ABS(IFERROR((AY4/AY3),0)-1))</f>
        <v/>
      </c>
      <c r="AZ6" s="195"/>
      <c r="BA6" s="194" t="str">
        <f>IF(BA4=0,"",ABS(IFERROR((BA4/BA3),0)-1))</f>
        <v/>
      </c>
      <c r="BB6" s="195"/>
      <c r="BC6" s="194" t="str">
        <f>IF(BC4=0,"",ABS(IFERROR((BC4/BC3),0)-1))</f>
        <v/>
      </c>
      <c r="BD6" s="195"/>
      <c r="BE6" s="194" t="str">
        <f>IF(BE4=0,"",ABS(IFERROR((BE4/BE3),0)-1))</f>
        <v/>
      </c>
      <c r="BF6" s="195"/>
      <c r="BG6" s="194" t="str">
        <f>IF(BG4=0,"",ABS(IFERROR((BG4/BG3),0)-1))</f>
        <v/>
      </c>
      <c r="BH6" s="195"/>
      <c r="BI6" s="194" t="str">
        <f>IF(BI4=0,"",ABS(IFERROR((BI4/BI3),0)-1))</f>
        <v/>
      </c>
      <c r="BJ6" s="195"/>
      <c r="BK6" s="194" t="str">
        <f>IF(BK4=0,"",ABS(IFERROR((BK4/BK3),0)-1))</f>
        <v/>
      </c>
      <c r="BL6" s="195"/>
      <c r="BM6" s="194" t="str">
        <f>IF(BM4=0,"",ABS(IFERROR((BM4/BM3),0)-1))</f>
        <v/>
      </c>
      <c r="BN6" s="195"/>
      <c r="BO6" s="194" t="str">
        <f>IF(BO4=0,"",ABS(IFERROR((BO4/BO3),0)-1))</f>
        <v/>
      </c>
      <c r="BP6" s="195"/>
      <c r="BQ6" s="194" t="str">
        <f>IF(BQ4=0,"",ABS(IFERROR((BQ4/BQ3),0)-1))</f>
        <v/>
      </c>
      <c r="BR6" s="195"/>
      <c r="BS6" s="194" t="str">
        <f>IF(BS4=0,"",ABS(IFERROR((BS4/BS3),0)-1))</f>
        <v/>
      </c>
      <c r="BT6" s="195"/>
      <c r="BU6" s="20" t="e">
        <f>ABS(IFERROR((BU4/BU3),"")-1)</f>
        <v>#VALUE!</v>
      </c>
      <c r="BV6" s="13"/>
      <c r="BW6" s="21"/>
      <c r="BX6" s="3"/>
      <c r="BY6" s="3"/>
      <c r="BZ6" s="3"/>
    </row>
    <row r="7" spans="1:78" ht="15.75" customHeight="1" thickBot="1" x14ac:dyDescent="0.35">
      <c r="A7" s="181"/>
      <c r="B7" s="22" t="s">
        <v>177</v>
      </c>
      <c r="C7" s="196" t="str">
        <f>IF(C6="","", IF(C6&lt;89%,"OVER STANDART",IF(C6=89%,"GOOD","UNDER STANDART")))</f>
        <v/>
      </c>
      <c r="D7" s="197"/>
      <c r="E7" s="196" t="str">
        <f>IF(E6="","", IF(E6&lt;89%,"OVER STANDART",IF(E6=89%,"GOOD","UNDER STANDART")))</f>
        <v/>
      </c>
      <c r="F7" s="197"/>
      <c r="G7" s="196" t="str">
        <f>IF(G6="","", IF(G6&lt;89%,"OVER STANDART",IF(G6=89%,"GOOD","UNDER STANDART")))</f>
        <v/>
      </c>
      <c r="H7" s="197"/>
      <c r="I7" s="196" t="str">
        <f>IF(I6="","", IF(I6&lt;89%,"OVER STANDART",IF(I6=89%,"GOOD","UNDER STANDART")))</f>
        <v/>
      </c>
      <c r="J7" s="197"/>
      <c r="K7" s="196" t="str">
        <f>IF(K6="","", IF(K6&lt;89%,"OVER STANDART",IF(K6=89%,"GOOD","UNDER STANDART")))</f>
        <v/>
      </c>
      <c r="L7" s="197"/>
      <c r="M7" s="196" t="str">
        <f>IF(M6="","", IF(M6&lt;89%,"OVER STANDART",IF(M6=89%,"GOOD","UNDER STANDART")))</f>
        <v/>
      </c>
      <c r="N7" s="197"/>
      <c r="O7" s="196" t="str">
        <f>IF(O6="","", IF(O6&lt;89%,"OVER STANDART",IF(O6=89%,"GOOD","UNDER STANDART")))</f>
        <v/>
      </c>
      <c r="P7" s="197"/>
      <c r="Q7" s="196" t="str">
        <f>IF(Q6="","", IF(Q6&lt;89%,"OVER STANDART",IF(Q6=89%,"GOOD","UNDER STANDART")))</f>
        <v/>
      </c>
      <c r="R7" s="197"/>
      <c r="S7" s="196" t="str">
        <f>IF(S6="","", IF(S6&lt;89%,"OVER STANDART",IF(S6=89%,"GOOD","UNDER STANDART")))</f>
        <v/>
      </c>
      <c r="T7" s="197"/>
      <c r="U7" s="196" t="str">
        <f>IF(U6="","", IF(U6&lt;89%,"OVER STANDART",IF(U6=89%,"GOOD","UNDER STANDART")))</f>
        <v/>
      </c>
      <c r="V7" s="197"/>
      <c r="W7" s="196" t="str">
        <f>IF(W6="","", IF(W6&lt;89%,"OVER STANDART",IF(W6=89%,"GOOD","UNDER STANDART")))</f>
        <v/>
      </c>
      <c r="X7" s="197"/>
      <c r="Y7" s="196" t="str">
        <f>IF(Y6="","", IF(Y6&lt;89%,"OVER STANDART",IF(Y6=89%,"GOOD","UNDER STANDART")))</f>
        <v/>
      </c>
      <c r="Z7" s="197"/>
      <c r="AA7" s="196" t="str">
        <f>IF(AA6="","", IF(AA6&lt;89%,"OVER STANDART",IF(AA6=89%,"GOOD","UNDER STANDART")))</f>
        <v/>
      </c>
      <c r="AB7" s="197"/>
      <c r="AC7" s="196" t="str">
        <f>IF(AC6="","", IF(AC6&lt;89%,"OVER STANDART",IF(AC6=89%,"GOOD","UNDER STANDART")))</f>
        <v/>
      </c>
      <c r="AD7" s="197"/>
      <c r="AE7" s="196" t="str">
        <f>IF(AE6="","", IF(AE6&lt;89%,"OVER STANDART",IF(AE6=89%,"GOOD","UNDER STANDART")))</f>
        <v/>
      </c>
      <c r="AF7" s="197"/>
      <c r="AG7" s="196" t="str">
        <f>IF(AG6="","", IF(AG6&lt;89%,"OVER STANDART",IF(AG6=89%,"GOOD","UNDER STANDART")))</f>
        <v/>
      </c>
      <c r="AH7" s="197"/>
      <c r="AI7" s="196" t="str">
        <f>IF(AI6="","", IF(AI6&lt;89%,"OVER STANDART",IF(AI6=89%,"GOOD","UNDER STANDART")))</f>
        <v/>
      </c>
      <c r="AJ7" s="197"/>
      <c r="AK7" s="196" t="str">
        <f>IF(AK6="","", IF(AK6&lt;89%,"OVER STANDART",IF(AK6=89%,"GOOD","UNDER STANDART")))</f>
        <v/>
      </c>
      <c r="AL7" s="197"/>
      <c r="AM7" s="196" t="str">
        <f>IF(AM6="","", IF(AM6&lt;89%,"OVER STANDART",IF(AM6=89%,"GOOD","UNDER STANDART")))</f>
        <v/>
      </c>
      <c r="AN7" s="197"/>
      <c r="AO7" s="196" t="str">
        <f>IF(AO6="","", IF(AO6&lt;89%,"OVER STANDART",IF(AO6=89%,"GOOD","UNDER STANDART")))</f>
        <v/>
      </c>
      <c r="AP7" s="197"/>
      <c r="AQ7" s="196" t="str">
        <f>IF(AQ6="","", IF(AQ6&lt;89%,"OVER STANDART",IF(AQ6=89%,"GOOD","UNDER STANDART")))</f>
        <v/>
      </c>
      <c r="AR7" s="197"/>
      <c r="AS7" s="196" t="str">
        <f>IF(AS6="","", IF(AS6&lt;89%,"OVER STANDART",IF(AS6=89%,"GOOD","UNDER STANDART")))</f>
        <v/>
      </c>
      <c r="AT7" s="197"/>
      <c r="AU7" s="196" t="str">
        <f>IF(AU6="","", IF(AU6&lt;89%,"OVER STANDART",IF(AU6=89%,"GOOD","UNDER STANDART")))</f>
        <v/>
      </c>
      <c r="AV7" s="197"/>
      <c r="AW7" s="196" t="str">
        <f>IF(AW6="","", IF(AW6&lt;89%,"OVER STANDART",IF(AW6=89%,"GOOD","UNDER STANDART")))</f>
        <v/>
      </c>
      <c r="AX7" s="197"/>
      <c r="AY7" s="196" t="str">
        <f>IF(AY6="","", IF(AY6&lt;89%,"OVER STANDART",IF(AY6=89%,"GOOD","UNDER STANDART")))</f>
        <v/>
      </c>
      <c r="AZ7" s="197"/>
      <c r="BA7" s="196" t="str">
        <f>IF(BA6="","", IF(BA6&lt;89%,"OVER STANDART",IF(BA6=89%,"GOOD","UNDER STANDART")))</f>
        <v/>
      </c>
      <c r="BB7" s="197"/>
      <c r="BC7" s="196" t="str">
        <f>IF(BC6="","", IF(BC6&lt;89%,"OVER STANDART",IF(BC6=89%,"GOOD","UNDER STANDART")))</f>
        <v/>
      </c>
      <c r="BD7" s="197"/>
      <c r="BE7" s="196" t="str">
        <f>IF(BE6="","", IF(BE6&lt;89%,"OVER STANDART",IF(BE6=89%,"GOOD","UNDER STANDART")))</f>
        <v/>
      </c>
      <c r="BF7" s="197"/>
      <c r="BG7" s="196" t="str">
        <f>IF(BG6="","", IF(BG6&lt;89%,"OVER STANDART",IF(BG6=89%,"GOOD","UNDER STANDART")))</f>
        <v/>
      </c>
      <c r="BH7" s="197"/>
      <c r="BI7" s="196" t="str">
        <f>IF(BI6="","", IF(BI6&lt;89%,"OVER STANDART",IF(BI6=89%,"GOOD","UNDER STANDART")))</f>
        <v/>
      </c>
      <c r="BJ7" s="197"/>
      <c r="BK7" s="196" t="str">
        <f>IF(BK6="","", IF(BK6&lt;89%,"OVER STANDART",IF(BK6=89%,"GOOD","UNDER STANDART")))</f>
        <v/>
      </c>
      <c r="BL7" s="197"/>
      <c r="BM7" s="196" t="str">
        <f>IF(BM6="","", IF(BM6&lt;89%,"OVER STANDART",IF(BM6=89%,"GOOD","UNDER STANDART")))</f>
        <v/>
      </c>
      <c r="BN7" s="197"/>
      <c r="BO7" s="196" t="str">
        <f>IF(BO6="","", IF(BO6&lt;89%,"OVER STANDART",IF(BO6=89%,"GOOD","UNDER STANDART")))</f>
        <v/>
      </c>
      <c r="BP7" s="197"/>
      <c r="BQ7" s="196" t="str">
        <f>IF(BQ6="","", IF(BQ6&lt;89%,"OVER STANDART",IF(BQ6=89%,"GOOD","UNDER STANDART")))</f>
        <v/>
      </c>
      <c r="BR7" s="197"/>
      <c r="BS7" s="196" t="str">
        <f>IF(BS6="","", IF(BS6&lt;89%,"OVER STANDART",IF(BS6=89%,"GOOD","UNDER STANDART")))</f>
        <v/>
      </c>
      <c r="BT7" s="197"/>
      <c r="BU7" s="24" t="e">
        <f>IF(BU6="","", IF(BU6&lt;89%,"OVER STANDART",IF(BU6=89%,"GOOD","UNDER STANDART")))</f>
        <v>#VALUE!</v>
      </c>
      <c r="BV7" s="23"/>
      <c r="BW7" s="25"/>
      <c r="BX7" s="3"/>
      <c r="BY7" s="3"/>
      <c r="BZ7" s="3"/>
    </row>
    <row r="8" spans="1:78" ht="15.75" customHeight="1" x14ac:dyDescent="0.3">
      <c r="A8" s="198">
        <f>A3+1</f>
        <v>2</v>
      </c>
      <c r="B8" s="7" t="s">
        <v>278</v>
      </c>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9" t="str">
        <f>IF(SUMIF($C$2:$BT$2,"FRESH",C8:BT8)=0,"",SUMIF($C$2:$BT$2,"FRESH",C8:BT8))</f>
        <v/>
      </c>
      <c r="BV8" s="10" t="str">
        <f>IF(SUMIF($C$2:$BT$2,"GILING",C8:BT8)=0,"",SUMIF($C$2:$BT$2,"GILING",C8:BT8))</f>
        <v/>
      </c>
      <c r="BW8" s="11"/>
      <c r="BX8" s="3"/>
      <c r="BY8" s="3"/>
      <c r="BZ8" s="3"/>
    </row>
    <row r="9" spans="1:78" ht="15.75" customHeight="1" x14ac:dyDescent="0.3">
      <c r="A9" s="199"/>
      <c r="B9" s="12" t="s">
        <v>279</v>
      </c>
      <c r="C9" s="188">
        <f>IF(AND(C8="",D8=""),0,C8-D8)</f>
        <v>0</v>
      </c>
      <c r="D9" s="189"/>
      <c r="E9" s="188">
        <f>IF(AND(E8="",F8=""),0,E8-F8)</f>
        <v>0</v>
      </c>
      <c r="F9" s="189"/>
      <c r="G9" s="188">
        <f>IF(AND(G8="",H8=""),0,G8-H8)</f>
        <v>0</v>
      </c>
      <c r="H9" s="189"/>
      <c r="I9" s="188">
        <f>IF(AND(I8="",J8=""),0,I8-J8)</f>
        <v>0</v>
      </c>
      <c r="J9" s="189"/>
      <c r="K9" s="188">
        <f>IF(AND(K8="",L8=""),0,K8-L8)</f>
        <v>0</v>
      </c>
      <c r="L9" s="189"/>
      <c r="M9" s="188">
        <f>IF(AND(M8="",N8=""),0,M8-N8)</f>
        <v>0</v>
      </c>
      <c r="N9" s="189"/>
      <c r="O9" s="188">
        <f>IF(AND(O8="",P8=""),0,O8-P8)</f>
        <v>0</v>
      </c>
      <c r="P9" s="189"/>
      <c r="Q9" s="188">
        <f>IF(AND(Q8="",R8=""),0,Q8-R8)</f>
        <v>0</v>
      </c>
      <c r="R9" s="189"/>
      <c r="S9" s="188">
        <f>IF(AND(S8="",T8=""),0,S8-T8)</f>
        <v>0</v>
      </c>
      <c r="T9" s="189"/>
      <c r="U9" s="188">
        <f>IF(AND(U8="",V8=""),0,U8-V8)</f>
        <v>0</v>
      </c>
      <c r="V9" s="189"/>
      <c r="W9" s="188">
        <f>IF(AND(W8="",X8=""),0,W8-X8)</f>
        <v>0</v>
      </c>
      <c r="X9" s="189"/>
      <c r="Y9" s="188">
        <f>IF(AND(Y8="",Z8=""),0,Y8-Z8)</f>
        <v>0</v>
      </c>
      <c r="Z9" s="189"/>
      <c r="AA9" s="188">
        <f>IF(AND(AA8="",AB8=""),0,AA8-AB8)</f>
        <v>0</v>
      </c>
      <c r="AB9" s="189"/>
      <c r="AC9" s="188">
        <f>IF(AND(AC8="",AD8=""),0,AC8-AD8)</f>
        <v>0</v>
      </c>
      <c r="AD9" s="189"/>
      <c r="AE9" s="188">
        <f>IF(AND(AE8="",AF8=""),0,AE8-AF8)</f>
        <v>0</v>
      </c>
      <c r="AF9" s="189"/>
      <c r="AG9" s="188">
        <f>IF(AND(AG8="",AH8=""),0,AG8-AH8)</f>
        <v>0</v>
      </c>
      <c r="AH9" s="189"/>
      <c r="AI9" s="188">
        <f>IF(AND(AI8="",AJ8=""),0,AI8-AJ8)</f>
        <v>0</v>
      </c>
      <c r="AJ9" s="189"/>
      <c r="AK9" s="188">
        <f>IF(AND(AK8="",AL8=""),0,AK8-AL8)</f>
        <v>0</v>
      </c>
      <c r="AL9" s="189"/>
      <c r="AM9" s="188">
        <f>IF(AND(AM8="",AN8=""),0,AM8-AN8)</f>
        <v>0</v>
      </c>
      <c r="AN9" s="189"/>
      <c r="AO9" s="188">
        <f>IF(AND(AO8="",AP8=""),0,AO8-AP8)</f>
        <v>0</v>
      </c>
      <c r="AP9" s="189"/>
      <c r="AQ9" s="188">
        <f>IF(AND(AQ8="",AR8=""),0,AQ8-AR8)</f>
        <v>0</v>
      </c>
      <c r="AR9" s="189"/>
      <c r="AS9" s="188">
        <f>IF(AND(AS8="",AT8=""),0,AS8-AT8)</f>
        <v>0</v>
      </c>
      <c r="AT9" s="189"/>
      <c r="AU9" s="188">
        <f>IF(AND(AU8="",AV8=""),0,AU8-AV8)</f>
        <v>0</v>
      </c>
      <c r="AV9" s="189"/>
      <c r="AW9" s="188">
        <f>IF(AND(AW8="",AX8=""),0,AW8-AX8)</f>
        <v>0</v>
      </c>
      <c r="AX9" s="189"/>
      <c r="AY9" s="188">
        <f>IF(AND(AY8="",AZ8=""),0,AY8-AZ8)</f>
        <v>0</v>
      </c>
      <c r="AZ9" s="189"/>
      <c r="BA9" s="188">
        <f>IF(AND(BA8="",BB8=""),0,BA8-BB8)</f>
        <v>0</v>
      </c>
      <c r="BB9" s="189"/>
      <c r="BC9" s="188">
        <f>IF(AND(BC8="",BD8=""),0,BC8-BD8)</f>
        <v>0</v>
      </c>
      <c r="BD9" s="189"/>
      <c r="BE9" s="188">
        <f>IF(AND(BE8="",BF8=""),0,BE8-BF8)</f>
        <v>0</v>
      </c>
      <c r="BF9" s="189"/>
      <c r="BG9" s="188">
        <f>IF(AND(BG8="",BH8=""),0,BG8-BH8)</f>
        <v>0</v>
      </c>
      <c r="BH9" s="189"/>
      <c r="BI9" s="188">
        <f>IF(AND(BI8="",BJ8=""),0,BI8-BJ8)</f>
        <v>0</v>
      </c>
      <c r="BJ9" s="189"/>
      <c r="BK9" s="188">
        <f>IF(AND(BK8="",BL8=""),0,BK8-BL8)</f>
        <v>0</v>
      </c>
      <c r="BL9" s="189"/>
      <c r="BM9" s="188">
        <f>IF(AND(BM8="",BN8=""),0,BM8-BN8)</f>
        <v>0</v>
      </c>
      <c r="BN9" s="189"/>
      <c r="BO9" s="188">
        <f>IF(AND(BO8="",BP8=""),0,BO8-BP8)</f>
        <v>0</v>
      </c>
      <c r="BP9" s="189"/>
      <c r="BQ9" s="188">
        <f>IF(AND(BQ8="",BR8=""),0,BQ8-BR8)</f>
        <v>0</v>
      </c>
      <c r="BR9" s="189"/>
      <c r="BS9" s="188">
        <f>IF(AND(BS8="",BT8=""),0,BS8-BT8)</f>
        <v>0</v>
      </c>
      <c r="BT9" s="189"/>
      <c r="BU9" s="14" t="str">
        <f>IF(AND(BU8="",BV8=""),"",BU8-BV8)</f>
        <v/>
      </c>
      <c r="BV9" s="13"/>
      <c r="BW9" s="16" t="str">
        <f>IF(COUNTIF(D9:BT9,"&gt;0")=0,"",COUNTIF(D9:BT9,"&gt;0"))</f>
        <v/>
      </c>
      <c r="BX9" s="3"/>
      <c r="BY9" s="3"/>
      <c r="BZ9" s="3"/>
    </row>
    <row r="10" spans="1:78" ht="15.75" customHeight="1" x14ac:dyDescent="0.3">
      <c r="A10" s="199"/>
      <c r="B10" s="12" t="s">
        <v>280</v>
      </c>
      <c r="C10" s="186">
        <f>IF(C9="",0,(D8/89%)-(C8))</f>
        <v>0</v>
      </c>
      <c r="D10" s="187"/>
      <c r="E10" s="186">
        <f>IF(E9="",0,(F8/89%)-(E8))</f>
        <v>0</v>
      </c>
      <c r="F10" s="187"/>
      <c r="G10" s="186">
        <f>IF(G9="",0,(H8/89%)-(G8))</f>
        <v>0</v>
      </c>
      <c r="H10" s="187"/>
      <c r="I10" s="186">
        <f>IF(I9="",0,(J8/89%)-(I8))</f>
        <v>0</v>
      </c>
      <c r="J10" s="187"/>
      <c r="K10" s="186">
        <f>IF(K9="",0,(L8/89%)-(K8))</f>
        <v>0</v>
      </c>
      <c r="L10" s="187"/>
      <c r="M10" s="186">
        <f>IF(M9="",0,(N8/89%)-(M8))</f>
        <v>0</v>
      </c>
      <c r="N10" s="187"/>
      <c r="O10" s="186">
        <f>IF(O9="",0,(P8/89%)-(O8))</f>
        <v>0</v>
      </c>
      <c r="P10" s="187"/>
      <c r="Q10" s="186">
        <f>IF(Q9="",0,(R8/89%)-(Q8))</f>
        <v>0</v>
      </c>
      <c r="R10" s="187"/>
      <c r="S10" s="186">
        <f>IF(S9="",0,(T8/89%)-(S8))</f>
        <v>0</v>
      </c>
      <c r="T10" s="187"/>
      <c r="U10" s="186">
        <f>IF(U9="",0,(V8/89%)-(U8))</f>
        <v>0</v>
      </c>
      <c r="V10" s="187"/>
      <c r="W10" s="186">
        <f>IF(W9="",0,(X8/89%)-(W8))</f>
        <v>0</v>
      </c>
      <c r="X10" s="187"/>
      <c r="Y10" s="186">
        <f>IF(Y9="",0,(Z8/89%)-(Y8))</f>
        <v>0</v>
      </c>
      <c r="Z10" s="187"/>
      <c r="AA10" s="186">
        <f>IF(AA9="",0,(AB8/89%)-(AA8))</f>
        <v>0</v>
      </c>
      <c r="AB10" s="187"/>
      <c r="AC10" s="186">
        <f>IF(AC9="",0,(AD8/89%)-(AC8))</f>
        <v>0</v>
      </c>
      <c r="AD10" s="187"/>
      <c r="AE10" s="186">
        <f>IF(AE9="",0,(AF8/89%)-(AE8))</f>
        <v>0</v>
      </c>
      <c r="AF10" s="187"/>
      <c r="AG10" s="186">
        <f>IF(AG9="",0,(AH8/89%)-(AG8))</f>
        <v>0</v>
      </c>
      <c r="AH10" s="187"/>
      <c r="AI10" s="186">
        <f>IF(AI9="",0,(AJ8/89%)-(AI8))</f>
        <v>0</v>
      </c>
      <c r="AJ10" s="187"/>
      <c r="AK10" s="186">
        <f>IF(AK9="",0,(AL8/89%)-(AK8))</f>
        <v>0</v>
      </c>
      <c r="AL10" s="187"/>
      <c r="AM10" s="186">
        <f>IF(AM9="",0,(AN8/89%)-(AM8))</f>
        <v>0</v>
      </c>
      <c r="AN10" s="187"/>
      <c r="AO10" s="186">
        <f>IF(AO9="",0,(AP8/89%)-(AO8))</f>
        <v>0</v>
      </c>
      <c r="AP10" s="187"/>
      <c r="AQ10" s="186">
        <f>IF(AQ9="",0,(AR8/89%)-(AQ8))</f>
        <v>0</v>
      </c>
      <c r="AR10" s="187"/>
      <c r="AS10" s="186">
        <f>IF(AS9="",0,(AT8/89%)-(AS8))</f>
        <v>0</v>
      </c>
      <c r="AT10" s="187"/>
      <c r="AU10" s="186">
        <f>IF(AU9="",0,(AV8/89%)-(AU8))</f>
        <v>0</v>
      </c>
      <c r="AV10" s="187"/>
      <c r="AW10" s="186">
        <f>IF(AW9="",0,(AX8/89%)-(AW8))</f>
        <v>0</v>
      </c>
      <c r="AX10" s="187"/>
      <c r="AY10" s="186">
        <f>IF(AY9="",0,(AZ8/89%)-(AY8))</f>
        <v>0</v>
      </c>
      <c r="AZ10" s="187"/>
      <c r="BA10" s="186">
        <f>IF(BA9="",0,(BB8/89%)-(BA8))</f>
        <v>0</v>
      </c>
      <c r="BB10" s="187"/>
      <c r="BC10" s="186">
        <f>IF(BC9="",0,(BD8/89%)-(BC8))</f>
        <v>0</v>
      </c>
      <c r="BD10" s="187"/>
      <c r="BE10" s="186">
        <f>IF(BE9="",0,(BF8/89%)-(BE8))</f>
        <v>0</v>
      </c>
      <c r="BF10" s="187"/>
      <c r="BG10" s="186">
        <f>IF(BG9="",0,(BH8/89%)-(BG8))</f>
        <v>0</v>
      </c>
      <c r="BH10" s="187"/>
      <c r="BI10" s="186">
        <f>IF(BI9="",0,(BJ8/89%)-(BI8))</f>
        <v>0</v>
      </c>
      <c r="BJ10" s="187"/>
      <c r="BK10" s="186">
        <f>IF(BK9="",0,(BL8/89%)-(BK8))</f>
        <v>0</v>
      </c>
      <c r="BL10" s="187"/>
      <c r="BM10" s="186">
        <f>IF(BM9="",0,(BN8/89%)-(BM8))</f>
        <v>0</v>
      </c>
      <c r="BN10" s="187"/>
      <c r="BO10" s="186">
        <f>IF(BO9="",0,(BP8/89%)-(BO8))</f>
        <v>0</v>
      </c>
      <c r="BP10" s="187"/>
      <c r="BQ10" s="186">
        <f>IF(BQ9="",0,(BR8/89%)-(BQ8))</f>
        <v>0</v>
      </c>
      <c r="BR10" s="187"/>
      <c r="BS10" s="186">
        <f>IF(BS9="",0,(BT8/89%)-(BS8))</f>
        <v>0</v>
      </c>
      <c r="BT10" s="187"/>
      <c r="BU10" s="17" t="str">
        <f>IF(BU9="","",(BV8/89%)-(BU8))</f>
        <v/>
      </c>
      <c r="BV10" s="13"/>
      <c r="BW10" s="18" t="str">
        <f>IF(AND(BU8="",BV8=""),"",(BU8-BV8)-BU9)</f>
        <v/>
      </c>
      <c r="BX10" s="3"/>
      <c r="BY10" s="3"/>
      <c r="BZ10" s="3"/>
    </row>
    <row r="11" spans="1:78" ht="15.75" customHeight="1" x14ac:dyDescent="0.3">
      <c r="A11" s="199"/>
      <c r="B11" s="19" t="s">
        <v>281</v>
      </c>
      <c r="C11" s="194" t="str">
        <f>IF(C9=0,"",ABS(IFERROR((C9/C8),0)-1))</f>
        <v/>
      </c>
      <c r="D11" s="195"/>
      <c r="E11" s="194" t="str">
        <f>IF(E9=0,"",ABS(IFERROR((E9/E8),0)-1))</f>
        <v/>
      </c>
      <c r="F11" s="195"/>
      <c r="G11" s="194" t="str">
        <f>IF(G9=0,"",ABS(IFERROR((G9/G8),0)-1))</f>
        <v/>
      </c>
      <c r="H11" s="195"/>
      <c r="I11" s="194" t="str">
        <f>IF(I9=0,"",ABS(IFERROR((I9/I8),0)-1))</f>
        <v/>
      </c>
      <c r="J11" s="195"/>
      <c r="K11" s="194" t="str">
        <f>IF(K9=0,"",ABS(IFERROR((K9/K8),0)-1))</f>
        <v/>
      </c>
      <c r="L11" s="195"/>
      <c r="M11" s="194" t="str">
        <f>IF(M9=0,"",ABS(IFERROR((M9/M8),0)-1))</f>
        <v/>
      </c>
      <c r="N11" s="195"/>
      <c r="O11" s="194" t="str">
        <f>IF(O9=0,"",ABS(IFERROR((O9/O8),0)-1))</f>
        <v/>
      </c>
      <c r="P11" s="195"/>
      <c r="Q11" s="194" t="str">
        <f>IF(Q9=0,"",ABS(IFERROR((Q9/Q8),0)-1))</f>
        <v/>
      </c>
      <c r="R11" s="195"/>
      <c r="S11" s="194" t="str">
        <f>IF(S9=0,"",ABS(IFERROR((S9/S8),0)-1))</f>
        <v/>
      </c>
      <c r="T11" s="195"/>
      <c r="U11" s="194" t="str">
        <f>IF(U9=0,"",ABS(IFERROR((U9/U8),0)-1))</f>
        <v/>
      </c>
      <c r="V11" s="195"/>
      <c r="W11" s="194" t="str">
        <f>IF(W9=0,"",ABS(IFERROR((W9/W8),0)-1))</f>
        <v/>
      </c>
      <c r="X11" s="195"/>
      <c r="Y11" s="194" t="str">
        <f>IF(Y9=0,"",ABS(IFERROR((Y9/Y8),0)-1))</f>
        <v/>
      </c>
      <c r="Z11" s="195"/>
      <c r="AA11" s="194" t="str">
        <f>IF(AA9=0,"",ABS(IFERROR((AA9/AA8),0)-1))</f>
        <v/>
      </c>
      <c r="AB11" s="195"/>
      <c r="AC11" s="194" t="str">
        <f>IF(AC9=0,"",ABS(IFERROR((AC9/AC8),0)-1))</f>
        <v/>
      </c>
      <c r="AD11" s="195"/>
      <c r="AE11" s="194" t="str">
        <f>IF(AE9=0,"",ABS(IFERROR((AE9/AE8),0)-1))</f>
        <v/>
      </c>
      <c r="AF11" s="195"/>
      <c r="AG11" s="194" t="str">
        <f>IF(AG9=0,"",ABS(IFERROR((AG9/AG8),0)-1))</f>
        <v/>
      </c>
      <c r="AH11" s="195"/>
      <c r="AI11" s="194" t="str">
        <f>IF(AI9=0,"",ABS(IFERROR((AI9/AI8),0)-1))</f>
        <v/>
      </c>
      <c r="AJ11" s="195"/>
      <c r="AK11" s="194" t="str">
        <f>IF(AK9=0,"",ABS(IFERROR((AK9/AK8),0)-1))</f>
        <v/>
      </c>
      <c r="AL11" s="195"/>
      <c r="AM11" s="194" t="str">
        <f>IF(AM9=0,"",ABS(IFERROR((AM9/AM8),0)-1))</f>
        <v/>
      </c>
      <c r="AN11" s="195"/>
      <c r="AO11" s="194" t="str">
        <f>IF(AO9=0,"",ABS(IFERROR((AO9/AO8),0)-1))</f>
        <v/>
      </c>
      <c r="AP11" s="195"/>
      <c r="AQ11" s="194" t="str">
        <f>IF(AQ9=0,"",ABS(IFERROR((AQ9/AQ8),0)-1))</f>
        <v/>
      </c>
      <c r="AR11" s="195"/>
      <c r="AS11" s="194" t="str">
        <f>IF(AS9=0,"",ABS(IFERROR((AS9/AS8),0)-1))</f>
        <v/>
      </c>
      <c r="AT11" s="195"/>
      <c r="AU11" s="194" t="str">
        <f>IF(AU9=0,"",ABS(IFERROR((AU9/AU8),0)-1))</f>
        <v/>
      </c>
      <c r="AV11" s="195"/>
      <c r="AW11" s="194" t="str">
        <f>IF(AW9=0,"",ABS(IFERROR((AW9/AW8),0)-1))</f>
        <v/>
      </c>
      <c r="AX11" s="195"/>
      <c r="AY11" s="194" t="str">
        <f>IF(AY9=0,"",ABS(IFERROR((AY9/AY8),0)-1))</f>
        <v/>
      </c>
      <c r="AZ11" s="195"/>
      <c r="BA11" s="194" t="str">
        <f>IF(BA9=0,"",ABS(IFERROR((BA9/BA8),0)-1))</f>
        <v/>
      </c>
      <c r="BB11" s="195"/>
      <c r="BC11" s="194" t="str">
        <f>IF(BC9=0,"",ABS(IFERROR((BC9/BC8),0)-1))</f>
        <v/>
      </c>
      <c r="BD11" s="195"/>
      <c r="BE11" s="194" t="str">
        <f>IF(BE9=0,"",ABS(IFERROR((BE9/BE8),0)-1))</f>
        <v/>
      </c>
      <c r="BF11" s="195"/>
      <c r="BG11" s="194" t="str">
        <f>IF(BG9=0,"",ABS(IFERROR((BG9/BG8),0)-1))</f>
        <v/>
      </c>
      <c r="BH11" s="195"/>
      <c r="BI11" s="194" t="str">
        <f>IF(BI9=0,"",ABS(IFERROR((BI9/BI8),0)-1))</f>
        <v/>
      </c>
      <c r="BJ11" s="195"/>
      <c r="BK11" s="194" t="str">
        <f>IF(BK9=0,"",ABS(IFERROR((BK9/BK8),0)-1))</f>
        <v/>
      </c>
      <c r="BL11" s="195"/>
      <c r="BM11" s="194" t="str">
        <f>IF(BM9=0,"",ABS(IFERROR((BM9/BM8),0)-1))</f>
        <v/>
      </c>
      <c r="BN11" s="195"/>
      <c r="BO11" s="194" t="str">
        <f>IF(BO9=0,"",ABS(IFERROR((BO9/BO8),0)-1))</f>
        <v/>
      </c>
      <c r="BP11" s="195"/>
      <c r="BQ11" s="194" t="str">
        <f>IF(BQ9=0,"",ABS(IFERROR((BQ9/BQ8),0)-1))</f>
        <v/>
      </c>
      <c r="BR11" s="195"/>
      <c r="BS11" s="194" t="str">
        <f>IF(BS9=0,"",ABS(IFERROR((BS9/BS8),0)-1))</f>
        <v/>
      </c>
      <c r="BT11" s="195"/>
      <c r="BU11" s="20" t="e">
        <f>ABS(IFERROR((BU9/BU8),"")-1)</f>
        <v>#VALUE!</v>
      </c>
      <c r="BV11" s="15"/>
      <c r="BW11" s="21"/>
      <c r="BX11" s="3"/>
      <c r="BY11" s="3"/>
      <c r="BZ11" s="3"/>
    </row>
    <row r="12" spans="1:78" ht="15.75" customHeight="1" thickBot="1" x14ac:dyDescent="0.35">
      <c r="A12" s="181"/>
      <c r="B12" s="22" t="s">
        <v>177</v>
      </c>
      <c r="C12" s="196" t="str">
        <f>IF(C11="","", IF(C11&lt;89%,"OVER STANDART",IF(C11=89%,"GOOD","UNDER STANDART")))</f>
        <v/>
      </c>
      <c r="D12" s="197"/>
      <c r="E12" s="196" t="str">
        <f>IF(E11="","", IF(E11&lt;89%,"OVER STANDART",IF(E11=89%,"GOOD","UNDER STANDART")))</f>
        <v/>
      </c>
      <c r="F12" s="197"/>
      <c r="G12" s="196" t="str">
        <f>IF(G11="","", IF(G11&lt;89%,"OVER STANDART",IF(G11=89%,"GOOD","UNDER STANDART")))</f>
        <v/>
      </c>
      <c r="H12" s="197"/>
      <c r="I12" s="196" t="str">
        <f>IF(I11="","", IF(I11&lt;89%,"OVER STANDART",IF(I11=89%,"GOOD","UNDER STANDART")))</f>
        <v/>
      </c>
      <c r="J12" s="197"/>
      <c r="K12" s="196" t="str">
        <f>IF(K11="","", IF(K11&lt;89%,"OVER STANDART",IF(K11=89%,"GOOD","UNDER STANDART")))</f>
        <v/>
      </c>
      <c r="L12" s="197"/>
      <c r="M12" s="196" t="str">
        <f>IF(M11="","", IF(M11&lt;89%,"OVER STANDART",IF(M11=89%,"GOOD","UNDER STANDART")))</f>
        <v/>
      </c>
      <c r="N12" s="197"/>
      <c r="O12" s="196" t="str">
        <f>IF(O11="","", IF(O11&lt;89%,"OVER STANDART",IF(O11=89%,"GOOD","UNDER STANDART")))</f>
        <v/>
      </c>
      <c r="P12" s="197"/>
      <c r="Q12" s="196" t="str">
        <f>IF(Q11="","", IF(Q11&lt;89%,"OVER STANDART",IF(Q11=89%,"GOOD","UNDER STANDART")))</f>
        <v/>
      </c>
      <c r="R12" s="197"/>
      <c r="S12" s="196" t="str">
        <f>IF(S11="","", IF(S11&lt;89%,"OVER STANDART",IF(S11=89%,"GOOD","UNDER STANDART")))</f>
        <v/>
      </c>
      <c r="T12" s="197"/>
      <c r="U12" s="196" t="str">
        <f>IF(U11="","", IF(U11&lt;89%,"OVER STANDART",IF(U11=89%,"GOOD","UNDER STANDART")))</f>
        <v/>
      </c>
      <c r="V12" s="197"/>
      <c r="W12" s="196" t="str">
        <f>IF(W11="","", IF(W11&lt;89%,"OVER STANDART",IF(W11=89%,"GOOD","UNDER STANDART")))</f>
        <v/>
      </c>
      <c r="X12" s="197"/>
      <c r="Y12" s="196" t="str">
        <f>IF(Y11="","", IF(Y11&lt;89%,"OVER STANDART",IF(Y11=89%,"GOOD","UNDER STANDART")))</f>
        <v/>
      </c>
      <c r="Z12" s="197"/>
      <c r="AA12" s="196" t="str">
        <f>IF(AA11="","", IF(AA11&lt;89%,"OVER STANDART",IF(AA11=89%,"GOOD","UNDER STANDART")))</f>
        <v/>
      </c>
      <c r="AB12" s="197"/>
      <c r="AC12" s="196" t="str">
        <f>IF(AC11="","", IF(AC11&lt;89%,"OVER STANDART",IF(AC11=89%,"GOOD","UNDER STANDART")))</f>
        <v/>
      </c>
      <c r="AD12" s="197"/>
      <c r="AE12" s="196" t="str">
        <f>IF(AE11="","", IF(AE11&lt;89%,"OVER STANDART",IF(AE11=89%,"GOOD","UNDER STANDART")))</f>
        <v/>
      </c>
      <c r="AF12" s="197"/>
      <c r="AG12" s="196" t="str">
        <f>IF(AG11="","", IF(AG11&lt;89%,"OVER STANDART",IF(AG11=89%,"GOOD","UNDER STANDART")))</f>
        <v/>
      </c>
      <c r="AH12" s="197"/>
      <c r="AI12" s="196" t="str">
        <f>IF(AI11="","", IF(AI11&lt;89%,"OVER STANDART",IF(AI11=89%,"GOOD","UNDER STANDART")))</f>
        <v/>
      </c>
      <c r="AJ12" s="197"/>
      <c r="AK12" s="196" t="str">
        <f>IF(AK11="","", IF(AK11&lt;89%,"OVER STANDART",IF(AK11=89%,"GOOD","UNDER STANDART")))</f>
        <v/>
      </c>
      <c r="AL12" s="197"/>
      <c r="AM12" s="196" t="str">
        <f>IF(AM11="","", IF(AM11&lt;89%,"OVER STANDART",IF(AM11=89%,"GOOD","UNDER STANDART")))</f>
        <v/>
      </c>
      <c r="AN12" s="197"/>
      <c r="AO12" s="196" t="str">
        <f>IF(AO11="","", IF(AO11&lt;89%,"OVER STANDART",IF(AO11=89%,"GOOD","UNDER STANDART")))</f>
        <v/>
      </c>
      <c r="AP12" s="197"/>
      <c r="AQ12" s="196" t="str">
        <f>IF(AQ11="","", IF(AQ11&lt;89%,"OVER STANDART",IF(AQ11=89%,"GOOD","UNDER STANDART")))</f>
        <v/>
      </c>
      <c r="AR12" s="197"/>
      <c r="AS12" s="196" t="str">
        <f>IF(AS11="","", IF(AS11&lt;89%,"OVER STANDART",IF(AS11=89%,"GOOD","UNDER STANDART")))</f>
        <v/>
      </c>
      <c r="AT12" s="197"/>
      <c r="AU12" s="196" t="str">
        <f>IF(AU11="","", IF(AU11&lt;89%,"OVER STANDART",IF(AU11=89%,"GOOD","UNDER STANDART")))</f>
        <v/>
      </c>
      <c r="AV12" s="197"/>
      <c r="AW12" s="196" t="str">
        <f>IF(AW11="","", IF(AW11&lt;89%,"OVER STANDART",IF(AW11=89%,"GOOD","UNDER STANDART")))</f>
        <v/>
      </c>
      <c r="AX12" s="197"/>
      <c r="AY12" s="196" t="str">
        <f>IF(AY11="","", IF(AY11&lt;89%,"OVER STANDART",IF(AY11=89%,"GOOD","UNDER STANDART")))</f>
        <v/>
      </c>
      <c r="AZ12" s="197"/>
      <c r="BA12" s="196" t="str">
        <f>IF(BA11="","", IF(BA11&lt;89%,"OVER STANDART",IF(BA11=89%,"GOOD","UNDER STANDART")))</f>
        <v/>
      </c>
      <c r="BB12" s="197"/>
      <c r="BC12" s="196" t="str">
        <f>IF(BC11="","", IF(BC11&lt;89%,"OVER STANDART",IF(BC11=89%,"GOOD","UNDER STANDART")))</f>
        <v/>
      </c>
      <c r="BD12" s="197"/>
      <c r="BE12" s="196" t="str">
        <f>IF(BE11="","", IF(BE11&lt;89%,"OVER STANDART",IF(BE11=89%,"GOOD","UNDER STANDART")))</f>
        <v/>
      </c>
      <c r="BF12" s="197"/>
      <c r="BG12" s="196" t="str">
        <f>IF(BG11="","", IF(BG11&lt;89%,"OVER STANDART",IF(BG11=89%,"GOOD","UNDER STANDART")))</f>
        <v/>
      </c>
      <c r="BH12" s="197"/>
      <c r="BI12" s="196" t="str">
        <f>IF(BI11="","", IF(BI11&lt;89%,"OVER STANDART",IF(BI11=89%,"GOOD","UNDER STANDART")))</f>
        <v/>
      </c>
      <c r="BJ12" s="197"/>
      <c r="BK12" s="196" t="str">
        <f>IF(BK11="","", IF(BK11&lt;89%,"OVER STANDART",IF(BK11=89%,"GOOD","UNDER STANDART")))</f>
        <v/>
      </c>
      <c r="BL12" s="197"/>
      <c r="BM12" s="196" t="str">
        <f>IF(BM11="","", IF(BM11&lt;89%,"OVER STANDART",IF(BM11=89%,"GOOD","UNDER STANDART")))</f>
        <v/>
      </c>
      <c r="BN12" s="197"/>
      <c r="BO12" s="196" t="str">
        <f>IF(BO11="","", IF(BO11&lt;89%,"OVER STANDART",IF(BO11=89%,"GOOD","UNDER STANDART")))</f>
        <v/>
      </c>
      <c r="BP12" s="197"/>
      <c r="BQ12" s="196" t="str">
        <f>IF(BQ11="","", IF(BQ11&lt;89%,"OVER STANDART",IF(BQ11=89%,"GOOD","UNDER STANDART")))</f>
        <v/>
      </c>
      <c r="BR12" s="197"/>
      <c r="BS12" s="196" t="str">
        <f>IF(BS11="","", IF(BS11&lt;89%,"OVER STANDART",IF(BS11=89%,"GOOD","UNDER STANDART")))</f>
        <v/>
      </c>
      <c r="BT12" s="197"/>
      <c r="BU12" s="24" t="e">
        <f>IF(BU11="","", IF(BU11&lt;89%,"OVER STANDART",IF(BU11=89%,"GOOD","UNDER STANDART")))</f>
        <v>#VALUE!</v>
      </c>
      <c r="BV12" s="23"/>
      <c r="BW12" s="25"/>
      <c r="BX12" s="3"/>
      <c r="BY12" s="3"/>
      <c r="BZ12" s="3"/>
    </row>
    <row r="13" spans="1:78" ht="15.75" customHeight="1" x14ac:dyDescent="0.3">
      <c r="A13" s="198">
        <f>A8+1</f>
        <v>3</v>
      </c>
      <c r="B13" s="7" t="s">
        <v>278</v>
      </c>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9" t="str">
        <f>IF(SUMIF($C$2:$BT$2,"FRESH",C13:BT13)=0,"",SUMIF($C$2:$BT$2,"FRESH",C13:BT13))</f>
        <v/>
      </c>
      <c r="BV13" s="10" t="str">
        <f>IF(SUMIF($C$2:$BT$2,"GILING",C13:BT13)=0,"",SUMIF($C$2:$BT$2,"GILING",C13:BT13))</f>
        <v/>
      </c>
      <c r="BW13" s="11"/>
      <c r="BX13" s="3"/>
      <c r="BY13" s="3"/>
      <c r="BZ13" s="3"/>
    </row>
    <row r="14" spans="1:78" ht="15.75" customHeight="1" x14ac:dyDescent="0.3">
      <c r="A14" s="199"/>
      <c r="B14" s="12" t="s">
        <v>279</v>
      </c>
      <c r="C14" s="188">
        <f>IF(AND(C13="",D13=""),0,C13-D13)</f>
        <v>0</v>
      </c>
      <c r="D14" s="189"/>
      <c r="E14" s="188">
        <f>IF(AND(E13="",F13=""),0,E13-F13)</f>
        <v>0</v>
      </c>
      <c r="F14" s="189"/>
      <c r="G14" s="188">
        <f>IF(AND(G13="",H13=""),0,G13-H13)</f>
        <v>0</v>
      </c>
      <c r="H14" s="189"/>
      <c r="I14" s="188">
        <f>IF(AND(I13="",J13=""),0,I13-J13)</f>
        <v>0</v>
      </c>
      <c r="J14" s="189"/>
      <c r="K14" s="188">
        <f>IF(AND(K13="",L13=""),0,K13-L13)</f>
        <v>0</v>
      </c>
      <c r="L14" s="189"/>
      <c r="M14" s="188">
        <f>IF(AND(M13="",N13=""),0,M13-N13)</f>
        <v>0</v>
      </c>
      <c r="N14" s="189"/>
      <c r="O14" s="188">
        <f>IF(AND(O13="",P13=""),0,O13-P13)</f>
        <v>0</v>
      </c>
      <c r="P14" s="189"/>
      <c r="Q14" s="188">
        <f>IF(AND(Q13="",R13=""),0,Q13-R13)</f>
        <v>0</v>
      </c>
      <c r="R14" s="189"/>
      <c r="S14" s="188">
        <f>IF(AND(S13="",T13=""),0,S13-T13)</f>
        <v>0</v>
      </c>
      <c r="T14" s="189"/>
      <c r="U14" s="188">
        <f>IF(AND(U13="",V13=""),0,U13-V13)</f>
        <v>0</v>
      </c>
      <c r="V14" s="189"/>
      <c r="W14" s="188">
        <f>IF(AND(W13="",X13=""),0,W13-X13)</f>
        <v>0</v>
      </c>
      <c r="X14" s="189"/>
      <c r="Y14" s="188">
        <f>IF(AND(Y13="",Z13=""),0,Y13-Z13)</f>
        <v>0</v>
      </c>
      <c r="Z14" s="189"/>
      <c r="AA14" s="188">
        <f>IF(AND(AA13="",AB13=""),0,AA13-AB13)</f>
        <v>0</v>
      </c>
      <c r="AB14" s="189"/>
      <c r="AC14" s="188">
        <f>IF(AND(AC13="",AD13=""),0,AC13-AD13)</f>
        <v>0</v>
      </c>
      <c r="AD14" s="189"/>
      <c r="AE14" s="188">
        <f>IF(AND(AE13="",AF13=""),0,AE13-AF13)</f>
        <v>0</v>
      </c>
      <c r="AF14" s="189"/>
      <c r="AG14" s="188">
        <f>IF(AND(AG13="",AH13=""),0,AG13-AH13)</f>
        <v>0</v>
      </c>
      <c r="AH14" s="189"/>
      <c r="AI14" s="188">
        <f>IF(AND(AI13="",AJ13=""),0,AI13-AJ13)</f>
        <v>0</v>
      </c>
      <c r="AJ14" s="189"/>
      <c r="AK14" s="188">
        <f>IF(AND(AK13="",AL13=""),0,AK13-AL13)</f>
        <v>0</v>
      </c>
      <c r="AL14" s="189"/>
      <c r="AM14" s="188">
        <f>IF(AND(AM13="",AN13=""),0,AM13-AN13)</f>
        <v>0</v>
      </c>
      <c r="AN14" s="189"/>
      <c r="AO14" s="188">
        <f>IF(AND(AO13="",AP13=""),0,AO13-AP13)</f>
        <v>0</v>
      </c>
      <c r="AP14" s="189"/>
      <c r="AQ14" s="188">
        <f>IF(AND(AQ13="",AR13=""),0,AQ13-AR13)</f>
        <v>0</v>
      </c>
      <c r="AR14" s="189"/>
      <c r="AS14" s="188">
        <f>IF(AND(AS13="",AT13=""),0,AS13-AT13)</f>
        <v>0</v>
      </c>
      <c r="AT14" s="189"/>
      <c r="AU14" s="188">
        <f>IF(AND(AU13="",AV13=""),0,AU13-AV13)</f>
        <v>0</v>
      </c>
      <c r="AV14" s="189"/>
      <c r="AW14" s="188">
        <f>IF(AND(AW13="",AX13=""),0,AW13-AX13)</f>
        <v>0</v>
      </c>
      <c r="AX14" s="189"/>
      <c r="AY14" s="188">
        <f>IF(AND(AY13="",AZ13=""),0,AY13-AZ13)</f>
        <v>0</v>
      </c>
      <c r="AZ14" s="189"/>
      <c r="BA14" s="188">
        <f>IF(AND(BA13="",BB13=""),0,BA13-BB13)</f>
        <v>0</v>
      </c>
      <c r="BB14" s="189"/>
      <c r="BC14" s="188">
        <f>IF(AND(BC13="",BD13=""),0,BC13-BD13)</f>
        <v>0</v>
      </c>
      <c r="BD14" s="189"/>
      <c r="BE14" s="188">
        <f>IF(AND(BE13="",BF13=""),0,BE13-BF13)</f>
        <v>0</v>
      </c>
      <c r="BF14" s="189"/>
      <c r="BG14" s="188">
        <f>IF(AND(BG13="",BH13=""),0,BG13-BH13)</f>
        <v>0</v>
      </c>
      <c r="BH14" s="189"/>
      <c r="BI14" s="188">
        <f>IF(AND(BI13="",BJ13=""),0,BI13-BJ13)</f>
        <v>0</v>
      </c>
      <c r="BJ14" s="189"/>
      <c r="BK14" s="188">
        <f>IF(AND(BK13="",BL13=""),0,BK13-BL13)</f>
        <v>0</v>
      </c>
      <c r="BL14" s="189"/>
      <c r="BM14" s="188">
        <f>IF(AND(BM13="",BN13=""),0,BM13-BN13)</f>
        <v>0</v>
      </c>
      <c r="BN14" s="189"/>
      <c r="BO14" s="188">
        <f>IF(AND(BO13="",BP13=""),0,BO13-BP13)</f>
        <v>0</v>
      </c>
      <c r="BP14" s="189"/>
      <c r="BQ14" s="188">
        <f>IF(AND(BQ13="",BR13=""),0,BQ13-BR13)</f>
        <v>0</v>
      </c>
      <c r="BR14" s="189"/>
      <c r="BS14" s="188">
        <f>IF(AND(BS13="",BT13=""),0,BS13-BT13)</f>
        <v>0</v>
      </c>
      <c r="BT14" s="189"/>
      <c r="BU14" s="14" t="str">
        <f>IF(AND(BU13="",BV13=""),"",BU13-BV13)</f>
        <v/>
      </c>
      <c r="BV14" s="13"/>
      <c r="BW14" s="16" t="str">
        <f>IF(COUNTIF(D14:BT14,"&gt;0")=0,"",COUNTIF(D14:BT14,"&gt;0"))</f>
        <v/>
      </c>
      <c r="BX14" s="3"/>
      <c r="BY14" s="3"/>
      <c r="BZ14" s="3"/>
    </row>
    <row r="15" spans="1:78" ht="15.75" customHeight="1" x14ac:dyDescent="0.3">
      <c r="A15" s="199"/>
      <c r="B15" s="12" t="s">
        <v>280</v>
      </c>
      <c r="C15" s="186">
        <f>IF(C14="",0,(D13/89%)-(C13))</f>
        <v>0</v>
      </c>
      <c r="D15" s="187"/>
      <c r="E15" s="186">
        <f>IF(E14="",0,(F13/89%)-(E13))</f>
        <v>0</v>
      </c>
      <c r="F15" s="187"/>
      <c r="G15" s="186">
        <f>IF(G14="",0,(H13/89%)-(G13))</f>
        <v>0</v>
      </c>
      <c r="H15" s="187"/>
      <c r="I15" s="186">
        <f>IF(I14="",0,(J13/89%)-(I13))</f>
        <v>0</v>
      </c>
      <c r="J15" s="187"/>
      <c r="K15" s="186">
        <f>IF(K14="",0,(L13/89%)-(K13))</f>
        <v>0</v>
      </c>
      <c r="L15" s="187"/>
      <c r="M15" s="186">
        <f>IF(M14="",0,(N13/89%)-(M13))</f>
        <v>0</v>
      </c>
      <c r="N15" s="187"/>
      <c r="O15" s="186">
        <f>IF(O14="",0,(P13/89%)-(O13))</f>
        <v>0</v>
      </c>
      <c r="P15" s="187"/>
      <c r="Q15" s="186">
        <f>IF(Q14="",0,(R13/89%)-(Q13))</f>
        <v>0</v>
      </c>
      <c r="R15" s="187"/>
      <c r="S15" s="186">
        <f>IF(S14="",0,(T13/89%)-(S13))</f>
        <v>0</v>
      </c>
      <c r="T15" s="187"/>
      <c r="U15" s="186">
        <f>IF(U14="",0,(V13/89%)-(U13))</f>
        <v>0</v>
      </c>
      <c r="V15" s="187"/>
      <c r="W15" s="186">
        <f>IF(W14="",0,(X13/89%)-(W13))</f>
        <v>0</v>
      </c>
      <c r="X15" s="187"/>
      <c r="Y15" s="186">
        <f>IF(Y14="",0,(Z13/89%)-(Y13))</f>
        <v>0</v>
      </c>
      <c r="Z15" s="187"/>
      <c r="AA15" s="186">
        <f>IF(AA14="",0,(AB13/89%)-(AA13))</f>
        <v>0</v>
      </c>
      <c r="AB15" s="187"/>
      <c r="AC15" s="186">
        <f>IF(AC14="",0,(AD13/89%)-(AC13))</f>
        <v>0</v>
      </c>
      <c r="AD15" s="187"/>
      <c r="AE15" s="186">
        <f>IF(AE14="",0,(AF13/89%)-(AE13))</f>
        <v>0</v>
      </c>
      <c r="AF15" s="187"/>
      <c r="AG15" s="186">
        <f>IF(AG14="",0,(AH13/89%)-(AG13))</f>
        <v>0</v>
      </c>
      <c r="AH15" s="187"/>
      <c r="AI15" s="186">
        <f>IF(AI14="",0,(AJ13/89%)-(AI13))</f>
        <v>0</v>
      </c>
      <c r="AJ15" s="187"/>
      <c r="AK15" s="186">
        <f>IF(AK14="",0,(AL13/89%)-(AK13))</f>
        <v>0</v>
      </c>
      <c r="AL15" s="187"/>
      <c r="AM15" s="186">
        <f>IF(AM14="",0,(AN13/89%)-(AM13))</f>
        <v>0</v>
      </c>
      <c r="AN15" s="187"/>
      <c r="AO15" s="186">
        <f>IF(AO14="",0,(AP13/89%)-(AO13))</f>
        <v>0</v>
      </c>
      <c r="AP15" s="187"/>
      <c r="AQ15" s="186">
        <f>IF(AQ14="",0,(AR13/89%)-(AQ13))</f>
        <v>0</v>
      </c>
      <c r="AR15" s="187"/>
      <c r="AS15" s="186">
        <f>IF(AS14="",0,(AT13/89%)-(AS13))</f>
        <v>0</v>
      </c>
      <c r="AT15" s="187"/>
      <c r="AU15" s="186">
        <f>IF(AU14="",0,(AV13/89%)-(AU13))</f>
        <v>0</v>
      </c>
      <c r="AV15" s="187"/>
      <c r="AW15" s="186">
        <f>IF(AW14="",0,(AX13/89%)-(AW13))</f>
        <v>0</v>
      </c>
      <c r="AX15" s="187"/>
      <c r="AY15" s="186">
        <f>IF(AY14="",0,(AZ13/89%)-(AY13))</f>
        <v>0</v>
      </c>
      <c r="AZ15" s="187"/>
      <c r="BA15" s="186">
        <f>IF(BA14="",0,(BB13/89%)-(BA13))</f>
        <v>0</v>
      </c>
      <c r="BB15" s="187"/>
      <c r="BC15" s="186">
        <f>IF(BC14="",0,(BD13/89%)-(BC13))</f>
        <v>0</v>
      </c>
      <c r="BD15" s="187"/>
      <c r="BE15" s="186">
        <f>IF(BE14="",0,(BF13/89%)-(BE13))</f>
        <v>0</v>
      </c>
      <c r="BF15" s="187"/>
      <c r="BG15" s="186">
        <f>IF(BG14="",0,(BH13/89%)-(BG13))</f>
        <v>0</v>
      </c>
      <c r="BH15" s="187"/>
      <c r="BI15" s="186">
        <f>IF(BI14="",0,(BJ13/89%)-(BI13))</f>
        <v>0</v>
      </c>
      <c r="BJ15" s="187"/>
      <c r="BK15" s="186">
        <f>IF(BK14="",0,(BL13/89%)-(BK13))</f>
        <v>0</v>
      </c>
      <c r="BL15" s="187"/>
      <c r="BM15" s="186">
        <f>IF(BM14="",0,(BN13/89%)-(BM13))</f>
        <v>0</v>
      </c>
      <c r="BN15" s="187"/>
      <c r="BO15" s="186">
        <f>IF(BO14="",0,(BP13/89%)-(BO13))</f>
        <v>0</v>
      </c>
      <c r="BP15" s="187"/>
      <c r="BQ15" s="186">
        <f>IF(BQ14="",0,(BR13/89%)-(BQ13))</f>
        <v>0</v>
      </c>
      <c r="BR15" s="187"/>
      <c r="BS15" s="186">
        <f>IF(BS14="",0,(BT13/89%)-(BS13))</f>
        <v>0</v>
      </c>
      <c r="BT15" s="187"/>
      <c r="BU15" s="17" t="str">
        <f>IF(BU14="","",(BV13/89%)-(BU13))</f>
        <v/>
      </c>
      <c r="BV15" s="13"/>
      <c r="BW15" s="18" t="str">
        <f>IF(AND(BU13="",BV13=""),"",(BU13-BV13)-BU14)</f>
        <v/>
      </c>
      <c r="BX15" s="3"/>
      <c r="BY15" s="3"/>
      <c r="BZ15" s="3"/>
    </row>
    <row r="16" spans="1:78" ht="15.75" customHeight="1" x14ac:dyDescent="0.3">
      <c r="A16" s="199"/>
      <c r="B16" s="19" t="s">
        <v>281</v>
      </c>
      <c r="C16" s="194" t="str">
        <f>IF(C14=0,"",ABS(IFERROR((C14/C13),0)-1))</f>
        <v/>
      </c>
      <c r="D16" s="195"/>
      <c r="E16" s="194" t="str">
        <f>IF(E14=0,"",ABS(IFERROR((E14/E13),0)-1))</f>
        <v/>
      </c>
      <c r="F16" s="195"/>
      <c r="G16" s="194" t="str">
        <f>IF(G14=0,"",ABS(IFERROR((G14/G13),0)-1))</f>
        <v/>
      </c>
      <c r="H16" s="195"/>
      <c r="I16" s="194" t="str">
        <f>IF(I14=0,"",ABS(IFERROR((I14/I13),0)-1))</f>
        <v/>
      </c>
      <c r="J16" s="195"/>
      <c r="K16" s="194" t="str">
        <f>IF(K14=0,"",ABS(IFERROR((K14/K13),0)-1))</f>
        <v/>
      </c>
      <c r="L16" s="195"/>
      <c r="M16" s="194" t="str">
        <f>IF(M14=0,"",ABS(IFERROR((M14/M13),0)-1))</f>
        <v/>
      </c>
      <c r="N16" s="195"/>
      <c r="O16" s="194" t="str">
        <f>IF(O14=0,"",ABS(IFERROR((O14/O13),0)-1))</f>
        <v/>
      </c>
      <c r="P16" s="195"/>
      <c r="Q16" s="194" t="str">
        <f>IF(Q14=0,"",ABS(IFERROR((Q14/Q13),0)-1))</f>
        <v/>
      </c>
      <c r="R16" s="195"/>
      <c r="S16" s="194" t="str">
        <f>IF(S14=0,"",ABS(IFERROR((S14/S13),0)-1))</f>
        <v/>
      </c>
      <c r="T16" s="195"/>
      <c r="U16" s="194" t="str">
        <f>IF(U14=0,"",ABS(IFERROR((U14/U13),0)-1))</f>
        <v/>
      </c>
      <c r="V16" s="195"/>
      <c r="W16" s="194" t="str">
        <f>IF(W14=0,"",ABS(IFERROR((W14/W13),0)-1))</f>
        <v/>
      </c>
      <c r="X16" s="195"/>
      <c r="Y16" s="194" t="str">
        <f>IF(Y14=0,"",ABS(IFERROR((Y14/Y13),0)-1))</f>
        <v/>
      </c>
      <c r="Z16" s="195"/>
      <c r="AA16" s="194" t="str">
        <f>IF(AA14=0,"",ABS(IFERROR((AA14/AA13),0)-1))</f>
        <v/>
      </c>
      <c r="AB16" s="195"/>
      <c r="AC16" s="194" t="str">
        <f>IF(AC14=0,"",ABS(IFERROR((AC14/AC13),0)-1))</f>
        <v/>
      </c>
      <c r="AD16" s="195"/>
      <c r="AE16" s="194" t="str">
        <f>IF(AE14=0,"",ABS(IFERROR((AE14/AE13),0)-1))</f>
        <v/>
      </c>
      <c r="AF16" s="195"/>
      <c r="AG16" s="194" t="str">
        <f>IF(AG14=0,"",ABS(IFERROR((AG14/AG13),0)-1))</f>
        <v/>
      </c>
      <c r="AH16" s="195"/>
      <c r="AI16" s="194" t="str">
        <f>IF(AI14=0,"",ABS(IFERROR((AI14/AI13),0)-1))</f>
        <v/>
      </c>
      <c r="AJ16" s="195"/>
      <c r="AK16" s="194" t="str">
        <f>IF(AK14=0,"",ABS(IFERROR((AK14/AK13),0)-1))</f>
        <v/>
      </c>
      <c r="AL16" s="195"/>
      <c r="AM16" s="194" t="str">
        <f>IF(AM14=0,"",ABS(IFERROR((AM14/AM13),0)-1))</f>
        <v/>
      </c>
      <c r="AN16" s="195"/>
      <c r="AO16" s="194" t="str">
        <f>IF(AO14=0,"",ABS(IFERROR((AO14/AO13),0)-1))</f>
        <v/>
      </c>
      <c r="AP16" s="195"/>
      <c r="AQ16" s="194" t="str">
        <f>IF(AQ14=0,"",ABS(IFERROR((AQ14/AQ13),0)-1))</f>
        <v/>
      </c>
      <c r="AR16" s="195"/>
      <c r="AS16" s="194" t="str">
        <f>IF(AS14=0,"",ABS(IFERROR((AS14/AS13),0)-1))</f>
        <v/>
      </c>
      <c r="AT16" s="195"/>
      <c r="AU16" s="194" t="str">
        <f>IF(AU14=0,"",ABS(IFERROR((AU14/AU13),0)-1))</f>
        <v/>
      </c>
      <c r="AV16" s="195"/>
      <c r="AW16" s="194" t="str">
        <f>IF(AW14=0,"",ABS(IFERROR((AW14/AW13),0)-1))</f>
        <v/>
      </c>
      <c r="AX16" s="195"/>
      <c r="AY16" s="194" t="str">
        <f>IF(AY14=0,"",ABS(IFERROR((AY14/AY13),0)-1))</f>
        <v/>
      </c>
      <c r="AZ16" s="195"/>
      <c r="BA16" s="194" t="str">
        <f>IF(BA14=0,"",ABS(IFERROR((BA14/BA13),0)-1))</f>
        <v/>
      </c>
      <c r="BB16" s="195"/>
      <c r="BC16" s="194" t="str">
        <f>IF(BC14=0,"",ABS(IFERROR((BC14/BC13),0)-1))</f>
        <v/>
      </c>
      <c r="BD16" s="195"/>
      <c r="BE16" s="194" t="str">
        <f>IF(BE14=0,"",ABS(IFERROR((BE14/BE13),0)-1))</f>
        <v/>
      </c>
      <c r="BF16" s="195"/>
      <c r="BG16" s="194" t="str">
        <f>IF(BG14=0,"",ABS(IFERROR((BG14/BG13),0)-1))</f>
        <v/>
      </c>
      <c r="BH16" s="195"/>
      <c r="BI16" s="194" t="str">
        <f>IF(BI14=0,"",ABS(IFERROR((BI14/BI13),0)-1))</f>
        <v/>
      </c>
      <c r="BJ16" s="195"/>
      <c r="BK16" s="194" t="str">
        <f>IF(BK14=0,"",ABS(IFERROR((BK14/BK13),0)-1))</f>
        <v/>
      </c>
      <c r="BL16" s="195"/>
      <c r="BM16" s="194" t="str">
        <f>IF(BM14=0,"",ABS(IFERROR((BM14/BM13),0)-1))</f>
        <v/>
      </c>
      <c r="BN16" s="195"/>
      <c r="BO16" s="194" t="str">
        <f>IF(BO14=0,"",ABS(IFERROR((BO14/BO13),0)-1))</f>
        <v/>
      </c>
      <c r="BP16" s="195"/>
      <c r="BQ16" s="194" t="str">
        <f>IF(BQ14=0,"",ABS(IFERROR((BQ14/BQ13),0)-1))</f>
        <v/>
      </c>
      <c r="BR16" s="195"/>
      <c r="BS16" s="194" t="str">
        <f>IF(BS14=0,"",ABS(IFERROR((BS14/BS13),0)-1))</f>
        <v/>
      </c>
      <c r="BT16" s="195"/>
      <c r="BU16" s="26" t="e">
        <f>ABS(IFERROR((BU14/BU13),"")-1)</f>
        <v>#VALUE!</v>
      </c>
      <c r="BV16" s="15"/>
      <c r="BW16" s="21"/>
      <c r="BX16" s="3"/>
      <c r="BY16" s="3"/>
      <c r="BZ16" s="3"/>
    </row>
    <row r="17" spans="1:78" ht="15.75" customHeight="1" thickBot="1" x14ac:dyDescent="0.35">
      <c r="A17" s="181"/>
      <c r="B17" s="22" t="s">
        <v>177</v>
      </c>
      <c r="C17" s="196" t="str">
        <f>IF(C16="","", IF(C16&lt;89%,"OVER STANDART",IF(C16=89%,"GOOD","UNDER STANDART")))</f>
        <v/>
      </c>
      <c r="D17" s="197"/>
      <c r="E17" s="196" t="str">
        <f>IF(E16="","", IF(E16&lt;89%,"OVER STANDART",IF(E16=89%,"GOOD","UNDER STANDART")))</f>
        <v/>
      </c>
      <c r="F17" s="197"/>
      <c r="G17" s="196" t="str">
        <f>IF(G16="","", IF(G16&lt;89%,"OVER STANDART",IF(G16=89%,"GOOD","UNDER STANDART")))</f>
        <v/>
      </c>
      <c r="H17" s="197"/>
      <c r="I17" s="196" t="str">
        <f>IF(I16="","", IF(I16&lt;89%,"OVER STANDART",IF(I16=89%,"GOOD","UNDER STANDART")))</f>
        <v/>
      </c>
      <c r="J17" s="197"/>
      <c r="K17" s="196" t="str">
        <f>IF(K16="","", IF(K16&lt;89%,"OVER STANDART",IF(K16=89%,"GOOD","UNDER STANDART")))</f>
        <v/>
      </c>
      <c r="L17" s="197"/>
      <c r="M17" s="196" t="str">
        <f>IF(M16="","", IF(M16&lt;89%,"OVER STANDART",IF(M16=89%,"GOOD","UNDER STANDART")))</f>
        <v/>
      </c>
      <c r="N17" s="197"/>
      <c r="O17" s="196" t="str">
        <f>IF(O16="","", IF(O16&lt;89%,"OVER STANDART",IF(O16=89%,"GOOD","UNDER STANDART")))</f>
        <v/>
      </c>
      <c r="P17" s="197"/>
      <c r="Q17" s="196" t="str">
        <f>IF(Q16="","", IF(Q16&lt;89%,"OVER STANDART",IF(Q16=89%,"GOOD","UNDER STANDART")))</f>
        <v/>
      </c>
      <c r="R17" s="197"/>
      <c r="S17" s="196" t="str">
        <f>IF(S16="","", IF(S16&lt;89%,"OVER STANDART",IF(S16=89%,"GOOD","UNDER STANDART")))</f>
        <v/>
      </c>
      <c r="T17" s="197"/>
      <c r="U17" s="196" t="str">
        <f>IF(U16="","", IF(U16&lt;89%,"OVER STANDART",IF(U16=89%,"GOOD","UNDER STANDART")))</f>
        <v/>
      </c>
      <c r="V17" s="197"/>
      <c r="W17" s="196" t="str">
        <f>IF(W16="","", IF(W16&lt;89%,"OVER STANDART",IF(W16=89%,"GOOD","UNDER STANDART")))</f>
        <v/>
      </c>
      <c r="X17" s="197"/>
      <c r="Y17" s="196" t="str">
        <f>IF(Y16="","", IF(Y16&lt;89%,"OVER STANDART",IF(Y16=89%,"GOOD","UNDER STANDART")))</f>
        <v/>
      </c>
      <c r="Z17" s="197"/>
      <c r="AA17" s="196" t="str">
        <f>IF(AA16="","", IF(AA16&lt;89%,"OVER STANDART",IF(AA16=89%,"GOOD","UNDER STANDART")))</f>
        <v/>
      </c>
      <c r="AB17" s="197"/>
      <c r="AC17" s="196" t="str">
        <f>IF(AC16="","", IF(AC16&lt;89%,"OVER STANDART",IF(AC16=89%,"GOOD","UNDER STANDART")))</f>
        <v/>
      </c>
      <c r="AD17" s="197"/>
      <c r="AE17" s="196" t="str">
        <f>IF(AE16="","", IF(AE16&lt;89%,"OVER STANDART",IF(AE16=89%,"GOOD","UNDER STANDART")))</f>
        <v/>
      </c>
      <c r="AF17" s="197"/>
      <c r="AG17" s="196" t="str">
        <f>IF(AG16="","", IF(AG16&lt;89%,"OVER STANDART",IF(AG16=89%,"GOOD","UNDER STANDART")))</f>
        <v/>
      </c>
      <c r="AH17" s="197"/>
      <c r="AI17" s="196" t="str">
        <f>IF(AI16="","", IF(AI16&lt;89%,"OVER STANDART",IF(AI16=89%,"GOOD","UNDER STANDART")))</f>
        <v/>
      </c>
      <c r="AJ17" s="197"/>
      <c r="AK17" s="196" t="str">
        <f>IF(AK16="","", IF(AK16&lt;89%,"OVER STANDART",IF(AK16=89%,"GOOD","UNDER STANDART")))</f>
        <v/>
      </c>
      <c r="AL17" s="197"/>
      <c r="AM17" s="196" t="str">
        <f>IF(AM16="","", IF(AM16&lt;89%,"OVER STANDART",IF(AM16=89%,"GOOD","UNDER STANDART")))</f>
        <v/>
      </c>
      <c r="AN17" s="197"/>
      <c r="AO17" s="196" t="str">
        <f>IF(AO16="","", IF(AO16&lt;89%,"OVER STANDART",IF(AO16=89%,"GOOD","UNDER STANDART")))</f>
        <v/>
      </c>
      <c r="AP17" s="197"/>
      <c r="AQ17" s="196" t="str">
        <f>IF(AQ16="","", IF(AQ16&lt;89%,"OVER STANDART",IF(AQ16=89%,"GOOD","UNDER STANDART")))</f>
        <v/>
      </c>
      <c r="AR17" s="197"/>
      <c r="AS17" s="196" t="str">
        <f>IF(AS16="","", IF(AS16&lt;89%,"OVER STANDART",IF(AS16=89%,"GOOD","UNDER STANDART")))</f>
        <v/>
      </c>
      <c r="AT17" s="197"/>
      <c r="AU17" s="196" t="str">
        <f>IF(AU16="","", IF(AU16&lt;89%,"OVER STANDART",IF(AU16=89%,"GOOD","UNDER STANDART")))</f>
        <v/>
      </c>
      <c r="AV17" s="197"/>
      <c r="AW17" s="196" t="str">
        <f>IF(AW16="","", IF(AW16&lt;89%,"OVER STANDART",IF(AW16=89%,"GOOD","UNDER STANDART")))</f>
        <v/>
      </c>
      <c r="AX17" s="197"/>
      <c r="AY17" s="196" t="str">
        <f>IF(AY16="","", IF(AY16&lt;89%,"OVER STANDART",IF(AY16=89%,"GOOD","UNDER STANDART")))</f>
        <v/>
      </c>
      <c r="AZ17" s="197"/>
      <c r="BA17" s="196" t="str">
        <f>IF(BA16="","", IF(BA16&lt;89%,"OVER STANDART",IF(BA16=89%,"GOOD","UNDER STANDART")))</f>
        <v/>
      </c>
      <c r="BB17" s="197"/>
      <c r="BC17" s="196" t="str">
        <f>IF(BC16="","", IF(BC16&lt;89%,"OVER STANDART",IF(BC16=89%,"GOOD","UNDER STANDART")))</f>
        <v/>
      </c>
      <c r="BD17" s="197"/>
      <c r="BE17" s="196" t="str">
        <f>IF(BE16="","", IF(BE16&lt;89%,"OVER STANDART",IF(BE16=89%,"GOOD","UNDER STANDART")))</f>
        <v/>
      </c>
      <c r="BF17" s="197"/>
      <c r="BG17" s="196" t="str">
        <f>IF(BG16="","", IF(BG16&lt;89%,"OVER STANDART",IF(BG16=89%,"GOOD","UNDER STANDART")))</f>
        <v/>
      </c>
      <c r="BH17" s="197"/>
      <c r="BI17" s="196" t="str">
        <f>IF(BI16="","", IF(BI16&lt;89%,"OVER STANDART",IF(BI16=89%,"GOOD","UNDER STANDART")))</f>
        <v/>
      </c>
      <c r="BJ17" s="197"/>
      <c r="BK17" s="196" t="str">
        <f>IF(BK16="","", IF(BK16&lt;89%,"OVER STANDART",IF(BK16=89%,"GOOD","UNDER STANDART")))</f>
        <v/>
      </c>
      <c r="BL17" s="197"/>
      <c r="BM17" s="196" t="str">
        <f>IF(BM16="","", IF(BM16&lt;89%,"OVER STANDART",IF(BM16=89%,"GOOD","UNDER STANDART")))</f>
        <v/>
      </c>
      <c r="BN17" s="197"/>
      <c r="BO17" s="196" t="str">
        <f>IF(BO16="","", IF(BO16&lt;89%,"OVER STANDART",IF(BO16=89%,"GOOD","UNDER STANDART")))</f>
        <v/>
      </c>
      <c r="BP17" s="197"/>
      <c r="BQ17" s="196" t="str">
        <f>IF(BQ16="","", IF(BQ16&lt;89%,"OVER STANDART",IF(BQ16=89%,"GOOD","UNDER STANDART")))</f>
        <v/>
      </c>
      <c r="BR17" s="197"/>
      <c r="BS17" s="196" t="str">
        <f>IF(BS16="","", IF(BS16&lt;89%,"OVER STANDART",IF(BS16=89%,"GOOD","UNDER STANDART")))</f>
        <v/>
      </c>
      <c r="BT17" s="197"/>
      <c r="BU17" s="24" t="e">
        <f>IF(BU16="","", IF(BU16&lt;89%,"OVER STANDART",IF(BU16=89%,"GOOD","UNDER STANDART")))</f>
        <v>#VALUE!</v>
      </c>
      <c r="BV17" s="23"/>
      <c r="BW17" s="25"/>
      <c r="BX17" s="3"/>
      <c r="BY17" s="3"/>
      <c r="BZ17" s="3"/>
    </row>
    <row r="18" spans="1:78" ht="15.75" customHeight="1" x14ac:dyDescent="0.3">
      <c r="A18" s="198">
        <f>A13+1</f>
        <v>4</v>
      </c>
      <c r="B18" s="7" t="s">
        <v>278</v>
      </c>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9" t="str">
        <f>IF(SUMIF($C$2:$BT$2,"FRESH",C18:BT18)=0,"",SUMIF($C$2:$BT$2,"FRESH",C18:BT18))</f>
        <v/>
      </c>
      <c r="BV18" s="10" t="str">
        <f>IF(SUMIF($C$2:$BT$2,"GILING",C18:BT18)=0,"",SUMIF($C$2:$BT$2,"GILING",C18:BT18))</f>
        <v/>
      </c>
      <c r="BW18" s="11"/>
      <c r="BX18" s="3"/>
      <c r="BY18" s="3"/>
      <c r="BZ18" s="3"/>
    </row>
    <row r="19" spans="1:78" ht="15.75" customHeight="1" x14ac:dyDescent="0.3">
      <c r="A19" s="199"/>
      <c r="B19" s="12" t="s">
        <v>279</v>
      </c>
      <c r="C19" s="188">
        <f>IF(AND(C18="",D18=""),0,C18-D18)</f>
        <v>0</v>
      </c>
      <c r="D19" s="189"/>
      <c r="E19" s="188">
        <f>IF(AND(E18="",F18=""),0,E18-F18)</f>
        <v>0</v>
      </c>
      <c r="F19" s="189"/>
      <c r="G19" s="188">
        <f>IF(AND(G18="",H18=""),0,G18-H18)</f>
        <v>0</v>
      </c>
      <c r="H19" s="189"/>
      <c r="I19" s="188">
        <f>IF(AND(I18="",J18=""),0,I18-J18)</f>
        <v>0</v>
      </c>
      <c r="J19" s="189"/>
      <c r="K19" s="188">
        <f>IF(AND(K18="",L18=""),0,K18-L18)</f>
        <v>0</v>
      </c>
      <c r="L19" s="189"/>
      <c r="M19" s="188">
        <f>IF(AND(M18="",N18=""),0,M18-N18)</f>
        <v>0</v>
      </c>
      <c r="N19" s="189"/>
      <c r="O19" s="188">
        <f>IF(AND(O18="",P18=""),0,O18-P18)</f>
        <v>0</v>
      </c>
      <c r="P19" s="189"/>
      <c r="Q19" s="188">
        <f>IF(AND(Q18="",R18=""),0,Q18-R18)</f>
        <v>0</v>
      </c>
      <c r="R19" s="189"/>
      <c r="S19" s="188">
        <f>IF(AND(S18="",T18=""),0,S18-T18)</f>
        <v>0</v>
      </c>
      <c r="T19" s="189"/>
      <c r="U19" s="188">
        <f>IF(AND(U18="",V18=""),0,U18-V18)</f>
        <v>0</v>
      </c>
      <c r="V19" s="189"/>
      <c r="W19" s="188">
        <f>IF(AND(W18="",X18=""),0,W18-X18)</f>
        <v>0</v>
      </c>
      <c r="X19" s="189"/>
      <c r="Y19" s="188">
        <f>IF(AND(Y18="",Z18=""),0,Y18-Z18)</f>
        <v>0</v>
      </c>
      <c r="Z19" s="189"/>
      <c r="AA19" s="188">
        <f>IF(AND(AA18="",AB18=""),0,AA18-AB18)</f>
        <v>0</v>
      </c>
      <c r="AB19" s="189"/>
      <c r="AC19" s="188">
        <f>IF(AND(AC18="",AD18=""),0,AC18-AD18)</f>
        <v>0</v>
      </c>
      <c r="AD19" s="189"/>
      <c r="AE19" s="188">
        <f>IF(AND(AE18="",AF18=""),0,AE18-AF18)</f>
        <v>0</v>
      </c>
      <c r="AF19" s="189"/>
      <c r="AG19" s="188">
        <f>IF(AND(AG18="",AH18=""),0,AG18-AH18)</f>
        <v>0</v>
      </c>
      <c r="AH19" s="189"/>
      <c r="AI19" s="188">
        <f>IF(AND(AI18="",AJ18=""),0,AI18-AJ18)</f>
        <v>0</v>
      </c>
      <c r="AJ19" s="189"/>
      <c r="AK19" s="188">
        <f>IF(AND(AK18="",AL18=""),0,AK18-AL18)</f>
        <v>0</v>
      </c>
      <c r="AL19" s="189"/>
      <c r="AM19" s="188">
        <f>IF(AND(AM18="",AN18=""),0,AM18-AN18)</f>
        <v>0</v>
      </c>
      <c r="AN19" s="189"/>
      <c r="AO19" s="188">
        <f>IF(AND(AO18="",AP18=""),0,AO18-AP18)</f>
        <v>0</v>
      </c>
      <c r="AP19" s="189"/>
      <c r="AQ19" s="188">
        <f>IF(AND(AQ18="",AR18=""),0,AQ18-AR18)</f>
        <v>0</v>
      </c>
      <c r="AR19" s="189"/>
      <c r="AS19" s="188">
        <f>IF(AND(AS18="",AT18=""),0,AS18-AT18)</f>
        <v>0</v>
      </c>
      <c r="AT19" s="189"/>
      <c r="AU19" s="188">
        <f>IF(AND(AU18="",AV18=""),0,AU18-AV18)</f>
        <v>0</v>
      </c>
      <c r="AV19" s="189"/>
      <c r="AW19" s="188">
        <f>IF(AND(AW18="",AX18=""),0,AW18-AX18)</f>
        <v>0</v>
      </c>
      <c r="AX19" s="189"/>
      <c r="AY19" s="188">
        <f>IF(AND(AY18="",AZ18=""),0,AY18-AZ18)</f>
        <v>0</v>
      </c>
      <c r="AZ19" s="189"/>
      <c r="BA19" s="188">
        <f>IF(AND(BA18="",BB18=""),0,BA18-BB18)</f>
        <v>0</v>
      </c>
      <c r="BB19" s="189"/>
      <c r="BC19" s="188">
        <f>IF(AND(BC18="",BD18=""),0,BC18-BD18)</f>
        <v>0</v>
      </c>
      <c r="BD19" s="189"/>
      <c r="BE19" s="188">
        <f>IF(AND(BE18="",BF18=""),0,BE18-BF18)</f>
        <v>0</v>
      </c>
      <c r="BF19" s="189"/>
      <c r="BG19" s="188">
        <f>IF(AND(BG18="",BH18=""),0,BG18-BH18)</f>
        <v>0</v>
      </c>
      <c r="BH19" s="189"/>
      <c r="BI19" s="188">
        <f>IF(AND(BI18="",BJ18=""),0,BI18-BJ18)</f>
        <v>0</v>
      </c>
      <c r="BJ19" s="189"/>
      <c r="BK19" s="188">
        <f>IF(AND(BK18="",BL18=""),0,BK18-BL18)</f>
        <v>0</v>
      </c>
      <c r="BL19" s="189"/>
      <c r="BM19" s="188">
        <f>IF(AND(BM18="",BN18=""),0,BM18-BN18)</f>
        <v>0</v>
      </c>
      <c r="BN19" s="189"/>
      <c r="BO19" s="188">
        <f>IF(AND(BO18="",BP18=""),0,BO18-BP18)</f>
        <v>0</v>
      </c>
      <c r="BP19" s="189"/>
      <c r="BQ19" s="188">
        <f>IF(AND(BQ18="",BR18=""),0,BQ18-BR18)</f>
        <v>0</v>
      </c>
      <c r="BR19" s="189"/>
      <c r="BS19" s="188">
        <f>IF(AND(BS18="",BT18=""),0,BS18-BT18)</f>
        <v>0</v>
      </c>
      <c r="BT19" s="189"/>
      <c r="BU19" s="14" t="str">
        <f>IF(AND(BU18="",BV18=""),"",BU18-BV18)</f>
        <v/>
      </c>
      <c r="BV19" s="13"/>
      <c r="BW19" s="16" t="str">
        <f>IF(COUNTIF(D19:BT19,"&gt;0")=0,"",COUNTIF(D19:BT19,"&gt;0"))</f>
        <v/>
      </c>
      <c r="BX19" s="3"/>
      <c r="BY19" s="3"/>
      <c r="BZ19" s="3"/>
    </row>
    <row r="20" spans="1:78" ht="15.75" customHeight="1" x14ac:dyDescent="0.3">
      <c r="A20" s="199"/>
      <c r="B20" s="12" t="s">
        <v>280</v>
      </c>
      <c r="C20" s="186">
        <f>IF(C19="",0,(D18/89%)-(C18))</f>
        <v>0</v>
      </c>
      <c r="D20" s="187"/>
      <c r="E20" s="186">
        <f>IF(E19="",0,(F18/89%)-(E18))</f>
        <v>0</v>
      </c>
      <c r="F20" s="187"/>
      <c r="G20" s="186">
        <f>IF(G19="",0,(H18/89%)-(G18))</f>
        <v>0</v>
      </c>
      <c r="H20" s="187"/>
      <c r="I20" s="186">
        <f>IF(I19="",0,(J18/89%)-(I18))</f>
        <v>0</v>
      </c>
      <c r="J20" s="187"/>
      <c r="K20" s="186">
        <f>IF(K19="",0,(L18/89%)-(K18))</f>
        <v>0</v>
      </c>
      <c r="L20" s="187"/>
      <c r="M20" s="186">
        <f>IF(M19="",0,(N18/89%)-(M18))</f>
        <v>0</v>
      </c>
      <c r="N20" s="187"/>
      <c r="O20" s="186">
        <f>IF(O19="",0,(P18/89%)-(O18))</f>
        <v>0</v>
      </c>
      <c r="P20" s="187"/>
      <c r="Q20" s="186">
        <f>IF(Q19="",0,(R18/89%)-(Q18))</f>
        <v>0</v>
      </c>
      <c r="R20" s="187"/>
      <c r="S20" s="186">
        <f>IF(S19="",0,(T18/89%)-(S18))</f>
        <v>0</v>
      </c>
      <c r="T20" s="187"/>
      <c r="U20" s="186">
        <f>IF(U19="",0,(V18/89%)-(U18))</f>
        <v>0</v>
      </c>
      <c r="V20" s="187"/>
      <c r="W20" s="186">
        <f>IF(W19="",0,(X18/89%)-(W18))</f>
        <v>0</v>
      </c>
      <c r="X20" s="187"/>
      <c r="Y20" s="186">
        <f>IF(Y19="",0,(Z18/89%)-(Y18))</f>
        <v>0</v>
      </c>
      <c r="Z20" s="187"/>
      <c r="AA20" s="186">
        <f>IF(AA19="",0,(AB18/89%)-(AA18))</f>
        <v>0</v>
      </c>
      <c r="AB20" s="187"/>
      <c r="AC20" s="186">
        <f>IF(AC19="",0,(AD18/89%)-(AC18))</f>
        <v>0</v>
      </c>
      <c r="AD20" s="187"/>
      <c r="AE20" s="186">
        <f>IF(AE19="",0,(AF18/89%)-(AE18))</f>
        <v>0</v>
      </c>
      <c r="AF20" s="187"/>
      <c r="AG20" s="186">
        <f>IF(AG19="",0,(AH18/89%)-(AG18))</f>
        <v>0</v>
      </c>
      <c r="AH20" s="187"/>
      <c r="AI20" s="186">
        <f>IF(AI19="",0,(AJ18/89%)-(AI18))</f>
        <v>0</v>
      </c>
      <c r="AJ20" s="187"/>
      <c r="AK20" s="186">
        <f>IF(AK19="",0,(AL18/89%)-(AK18))</f>
        <v>0</v>
      </c>
      <c r="AL20" s="187"/>
      <c r="AM20" s="186">
        <f>IF(AM19="",0,(AN18/89%)-(AM18))</f>
        <v>0</v>
      </c>
      <c r="AN20" s="187"/>
      <c r="AO20" s="186">
        <f>IF(AO19="",0,(AP18/89%)-(AO18))</f>
        <v>0</v>
      </c>
      <c r="AP20" s="187"/>
      <c r="AQ20" s="186">
        <f>IF(AQ19="",0,(AR18/89%)-(AQ18))</f>
        <v>0</v>
      </c>
      <c r="AR20" s="187"/>
      <c r="AS20" s="186">
        <f>IF(AS19="",0,(AT18/89%)-(AS18))</f>
        <v>0</v>
      </c>
      <c r="AT20" s="187"/>
      <c r="AU20" s="186">
        <f>IF(AU19="",0,(AV18/89%)-(AU18))</f>
        <v>0</v>
      </c>
      <c r="AV20" s="187"/>
      <c r="AW20" s="186">
        <f>IF(AW19="",0,(AX18/89%)-(AW18))</f>
        <v>0</v>
      </c>
      <c r="AX20" s="187"/>
      <c r="AY20" s="186">
        <f>IF(AY19="",0,(AZ18/89%)-(AY18))</f>
        <v>0</v>
      </c>
      <c r="AZ20" s="187"/>
      <c r="BA20" s="186">
        <f>IF(BA19="",0,(BB18/89%)-(BA18))</f>
        <v>0</v>
      </c>
      <c r="BB20" s="187"/>
      <c r="BC20" s="186">
        <f>IF(BC19="",0,(BD18/89%)-(BC18))</f>
        <v>0</v>
      </c>
      <c r="BD20" s="187"/>
      <c r="BE20" s="186">
        <f>IF(BE19="",0,(BF18/89%)-(BE18))</f>
        <v>0</v>
      </c>
      <c r="BF20" s="187"/>
      <c r="BG20" s="186">
        <f>IF(BG19="",0,(BH18/89%)-(BG18))</f>
        <v>0</v>
      </c>
      <c r="BH20" s="187"/>
      <c r="BI20" s="186">
        <f>IF(BI19="",0,(BJ18/89%)-(BI18))</f>
        <v>0</v>
      </c>
      <c r="BJ20" s="187"/>
      <c r="BK20" s="186">
        <f>IF(BK19="",0,(BL18/89%)-(BK18))</f>
        <v>0</v>
      </c>
      <c r="BL20" s="187"/>
      <c r="BM20" s="186">
        <f>IF(BM19="",0,(BN18/89%)-(BM18))</f>
        <v>0</v>
      </c>
      <c r="BN20" s="187"/>
      <c r="BO20" s="186">
        <f>IF(BO19="",0,(BP18/89%)-(BO18))</f>
        <v>0</v>
      </c>
      <c r="BP20" s="187"/>
      <c r="BQ20" s="186">
        <f>IF(BQ19="",0,(BR18/89%)-(BQ18))</f>
        <v>0</v>
      </c>
      <c r="BR20" s="187"/>
      <c r="BS20" s="186">
        <f>IF(BS19="",0,(BT18/89%)-(BS18))</f>
        <v>0</v>
      </c>
      <c r="BT20" s="187"/>
      <c r="BU20" s="17" t="str">
        <f>IF(BU19="","",(BV18/89%)-(BU18))</f>
        <v/>
      </c>
      <c r="BV20" s="13"/>
      <c r="BW20" s="18" t="str">
        <f>IF(AND(BU18="",BV18=""),"",(BU18-BV18)-BU19)</f>
        <v/>
      </c>
      <c r="BX20" s="3"/>
      <c r="BY20" s="3"/>
      <c r="BZ20" s="3"/>
    </row>
    <row r="21" spans="1:78" ht="14.5" x14ac:dyDescent="0.3">
      <c r="A21" s="199"/>
      <c r="B21" s="19" t="s">
        <v>281</v>
      </c>
      <c r="C21" s="194" t="str">
        <f>IF(C19=0,"",ABS(IFERROR((C19/C18),0)-1))</f>
        <v/>
      </c>
      <c r="D21" s="195"/>
      <c r="E21" s="194" t="str">
        <f>IF(E19=0,"",ABS(IFERROR((E19/E18),0)-1))</f>
        <v/>
      </c>
      <c r="F21" s="195"/>
      <c r="G21" s="194" t="str">
        <f>IF(G19=0,"",ABS(IFERROR((G19/G18),0)-1))</f>
        <v/>
      </c>
      <c r="H21" s="195"/>
      <c r="I21" s="194" t="str">
        <f>IF(I19=0,"",ABS(IFERROR((I19/I18),0)-1))</f>
        <v/>
      </c>
      <c r="J21" s="195"/>
      <c r="K21" s="194" t="str">
        <f>IF(K19=0,"",ABS(IFERROR((K19/K18),0)-1))</f>
        <v/>
      </c>
      <c r="L21" s="195"/>
      <c r="M21" s="194" t="str">
        <f>IF(M19=0,"",ABS(IFERROR((M19/M18),0)-1))</f>
        <v/>
      </c>
      <c r="N21" s="195"/>
      <c r="O21" s="194" t="str">
        <f>IF(O19=0,"",ABS(IFERROR((O19/O18),0)-1))</f>
        <v/>
      </c>
      <c r="P21" s="195"/>
      <c r="Q21" s="194" t="str">
        <f>IF(Q19=0,"",ABS(IFERROR((Q19/Q18),0)-1))</f>
        <v/>
      </c>
      <c r="R21" s="195"/>
      <c r="S21" s="194" t="str">
        <f>IF(S19=0,"",ABS(IFERROR((S19/S18),0)-1))</f>
        <v/>
      </c>
      <c r="T21" s="195"/>
      <c r="U21" s="194" t="str">
        <f>IF(U19=0,"",ABS(IFERROR((U19/U18),0)-1))</f>
        <v/>
      </c>
      <c r="V21" s="195"/>
      <c r="W21" s="194" t="str">
        <f>IF(W19=0,"",ABS(IFERROR((W19/W18),0)-1))</f>
        <v/>
      </c>
      <c r="X21" s="195"/>
      <c r="Y21" s="194" t="str">
        <f>IF(Y19=0,"",ABS(IFERROR((Y19/Y18),0)-1))</f>
        <v/>
      </c>
      <c r="Z21" s="195"/>
      <c r="AA21" s="194" t="str">
        <f>IF(AA19=0,"",ABS(IFERROR((AA19/AA18),0)-1))</f>
        <v/>
      </c>
      <c r="AB21" s="195"/>
      <c r="AC21" s="194" t="str">
        <f>IF(AC19=0,"",ABS(IFERROR((AC19/AC18),0)-1))</f>
        <v/>
      </c>
      <c r="AD21" s="195"/>
      <c r="AE21" s="194" t="str">
        <f>IF(AE19=0,"",ABS(IFERROR((AE19/AE18),0)-1))</f>
        <v/>
      </c>
      <c r="AF21" s="195"/>
      <c r="AG21" s="194" t="str">
        <f>IF(AG19=0,"",ABS(IFERROR((AG19/AG18),0)-1))</f>
        <v/>
      </c>
      <c r="AH21" s="195"/>
      <c r="AI21" s="194" t="str">
        <f>IF(AI19=0,"",ABS(IFERROR((AI19/AI18),0)-1))</f>
        <v/>
      </c>
      <c r="AJ21" s="195"/>
      <c r="AK21" s="194" t="str">
        <f>IF(AK19=0,"",ABS(IFERROR((AK19/AK18),0)-1))</f>
        <v/>
      </c>
      <c r="AL21" s="195"/>
      <c r="AM21" s="194" t="str">
        <f>IF(AM19=0,"",ABS(IFERROR((AM19/AM18),0)-1))</f>
        <v/>
      </c>
      <c r="AN21" s="195"/>
      <c r="AO21" s="194" t="str">
        <f>IF(AO19=0,"",ABS(IFERROR((AO19/AO18),0)-1))</f>
        <v/>
      </c>
      <c r="AP21" s="195"/>
      <c r="AQ21" s="194" t="str">
        <f>IF(AQ19=0,"",ABS(IFERROR((AQ19/AQ18),0)-1))</f>
        <v/>
      </c>
      <c r="AR21" s="195"/>
      <c r="AS21" s="194" t="str">
        <f>IF(AS19=0,"",ABS(IFERROR((AS19/AS18),0)-1))</f>
        <v/>
      </c>
      <c r="AT21" s="195"/>
      <c r="AU21" s="194" t="str">
        <f>IF(AU19=0,"",ABS(IFERROR((AU19/AU18),0)-1))</f>
        <v/>
      </c>
      <c r="AV21" s="195"/>
      <c r="AW21" s="194" t="str">
        <f>IF(AW19=0,"",ABS(IFERROR((AW19/AW18),0)-1))</f>
        <v/>
      </c>
      <c r="AX21" s="195"/>
      <c r="AY21" s="194" t="str">
        <f>IF(AY19=0,"",ABS(IFERROR((AY19/AY18),0)-1))</f>
        <v/>
      </c>
      <c r="AZ21" s="195"/>
      <c r="BA21" s="194" t="str">
        <f>IF(BA19=0,"",ABS(IFERROR((BA19/BA18),0)-1))</f>
        <v/>
      </c>
      <c r="BB21" s="195"/>
      <c r="BC21" s="194" t="str">
        <f>IF(BC19=0,"",ABS(IFERROR((BC19/BC18),0)-1))</f>
        <v/>
      </c>
      <c r="BD21" s="195"/>
      <c r="BE21" s="194" t="str">
        <f>IF(BE19=0,"",ABS(IFERROR((BE19/BE18),0)-1))</f>
        <v/>
      </c>
      <c r="BF21" s="195"/>
      <c r="BG21" s="194" t="str">
        <f>IF(BG19=0,"",ABS(IFERROR((BG19/BG18),0)-1))</f>
        <v/>
      </c>
      <c r="BH21" s="195"/>
      <c r="BI21" s="194" t="str">
        <f>IF(BI19=0,"",ABS(IFERROR((BI19/BI18),0)-1))</f>
        <v/>
      </c>
      <c r="BJ21" s="195"/>
      <c r="BK21" s="194" t="str">
        <f>IF(BK19=0,"",ABS(IFERROR((BK19/BK18),0)-1))</f>
        <v/>
      </c>
      <c r="BL21" s="195"/>
      <c r="BM21" s="194" t="str">
        <f>IF(BM19=0,"",ABS(IFERROR((BM19/BM18),0)-1))</f>
        <v/>
      </c>
      <c r="BN21" s="195"/>
      <c r="BO21" s="194" t="str">
        <f>IF(BO19=0,"",ABS(IFERROR((BO19/BO18),0)-1))</f>
        <v/>
      </c>
      <c r="BP21" s="195"/>
      <c r="BQ21" s="194" t="str">
        <f>IF(BQ19=0,"",ABS(IFERROR((BQ19/BQ18),0)-1))</f>
        <v/>
      </c>
      <c r="BR21" s="195"/>
      <c r="BS21" s="194" t="str">
        <f>IF(BS19=0,"",ABS(IFERROR((BS19/BS18),0)-1))</f>
        <v/>
      </c>
      <c r="BT21" s="195"/>
      <c r="BU21" s="26" t="e">
        <f>ABS(IFERROR((BU19/BU18),"")-1)</f>
        <v>#VALUE!</v>
      </c>
      <c r="BV21" s="15"/>
      <c r="BW21" s="21"/>
      <c r="BX21" s="3"/>
      <c r="BY21" s="3"/>
      <c r="BZ21" s="3"/>
    </row>
    <row r="22" spans="1:78" ht="15" thickBot="1" x14ac:dyDescent="0.35">
      <c r="A22" s="181"/>
      <c r="B22" s="22" t="s">
        <v>177</v>
      </c>
      <c r="C22" s="196" t="str">
        <f>IF(C21="","", IF(C21&lt;89%,"OVER STANDART",IF(C21=89%,"GOOD","UNDER STANDART")))</f>
        <v/>
      </c>
      <c r="D22" s="197"/>
      <c r="E22" s="196" t="str">
        <f>IF(E21="","", IF(E21&lt;89%,"OVER STANDART",IF(E21=89%,"GOOD","UNDER STANDART")))</f>
        <v/>
      </c>
      <c r="F22" s="197"/>
      <c r="G22" s="196" t="str">
        <f>IF(G21="","", IF(G21&lt;89%,"OVER STANDART",IF(G21=89%,"GOOD","UNDER STANDART")))</f>
        <v/>
      </c>
      <c r="H22" s="197"/>
      <c r="I22" s="196" t="str">
        <f>IF(I21="","", IF(I21&lt;89%,"OVER STANDART",IF(I21=89%,"GOOD","UNDER STANDART")))</f>
        <v/>
      </c>
      <c r="J22" s="197"/>
      <c r="K22" s="196" t="str">
        <f>IF(K21="","", IF(K21&lt;89%,"OVER STANDART",IF(K21=89%,"GOOD","UNDER STANDART")))</f>
        <v/>
      </c>
      <c r="L22" s="197"/>
      <c r="M22" s="196" t="str">
        <f>IF(M21="","", IF(M21&lt;89%,"OVER STANDART",IF(M21=89%,"GOOD","UNDER STANDART")))</f>
        <v/>
      </c>
      <c r="N22" s="197"/>
      <c r="O22" s="196" t="str">
        <f>IF(O21="","", IF(O21&lt;89%,"OVER STANDART",IF(O21=89%,"GOOD","UNDER STANDART")))</f>
        <v/>
      </c>
      <c r="P22" s="197"/>
      <c r="Q22" s="196" t="str">
        <f>IF(Q21="","", IF(Q21&lt;89%,"OVER STANDART",IF(Q21=89%,"GOOD","UNDER STANDART")))</f>
        <v/>
      </c>
      <c r="R22" s="197"/>
      <c r="S22" s="196" t="str">
        <f>IF(S21="","", IF(S21&lt;89%,"OVER STANDART",IF(S21=89%,"GOOD","UNDER STANDART")))</f>
        <v/>
      </c>
      <c r="T22" s="197"/>
      <c r="U22" s="196" t="str">
        <f>IF(U21="","", IF(U21&lt;89%,"OVER STANDART",IF(U21=89%,"GOOD","UNDER STANDART")))</f>
        <v/>
      </c>
      <c r="V22" s="197"/>
      <c r="W22" s="196" t="str">
        <f>IF(W21="","", IF(W21&lt;89%,"OVER STANDART",IF(W21=89%,"GOOD","UNDER STANDART")))</f>
        <v/>
      </c>
      <c r="X22" s="197"/>
      <c r="Y22" s="196" t="str">
        <f>IF(Y21="","", IF(Y21&lt;89%,"OVER STANDART",IF(Y21=89%,"GOOD","UNDER STANDART")))</f>
        <v/>
      </c>
      <c r="Z22" s="197"/>
      <c r="AA22" s="196" t="str">
        <f>IF(AA21="","", IF(AA21&lt;89%,"OVER STANDART",IF(AA21=89%,"GOOD","UNDER STANDART")))</f>
        <v/>
      </c>
      <c r="AB22" s="197"/>
      <c r="AC22" s="196" t="str">
        <f>IF(AC21="","", IF(AC21&lt;89%,"OVER STANDART",IF(AC21=89%,"GOOD","UNDER STANDART")))</f>
        <v/>
      </c>
      <c r="AD22" s="197"/>
      <c r="AE22" s="196" t="str">
        <f>IF(AE21="","", IF(AE21&lt;89%,"OVER STANDART",IF(AE21=89%,"GOOD","UNDER STANDART")))</f>
        <v/>
      </c>
      <c r="AF22" s="197"/>
      <c r="AG22" s="196" t="str">
        <f>IF(AG21="","", IF(AG21&lt;89%,"OVER STANDART",IF(AG21=89%,"GOOD","UNDER STANDART")))</f>
        <v/>
      </c>
      <c r="AH22" s="197"/>
      <c r="AI22" s="196" t="str">
        <f>IF(AI21="","", IF(AI21&lt;89%,"OVER STANDART",IF(AI21=89%,"GOOD","UNDER STANDART")))</f>
        <v/>
      </c>
      <c r="AJ22" s="197"/>
      <c r="AK22" s="196" t="str">
        <f>IF(AK21="","", IF(AK21&lt;89%,"OVER STANDART",IF(AK21=89%,"GOOD","UNDER STANDART")))</f>
        <v/>
      </c>
      <c r="AL22" s="197"/>
      <c r="AM22" s="196" t="str">
        <f>IF(AM21="","", IF(AM21&lt;89%,"OVER STANDART",IF(AM21=89%,"GOOD","UNDER STANDART")))</f>
        <v/>
      </c>
      <c r="AN22" s="197"/>
      <c r="AO22" s="196" t="str">
        <f>IF(AO21="","", IF(AO21&lt;89%,"OVER STANDART",IF(AO21=89%,"GOOD","UNDER STANDART")))</f>
        <v/>
      </c>
      <c r="AP22" s="197"/>
      <c r="AQ22" s="196" t="str">
        <f>IF(AQ21="","", IF(AQ21&lt;89%,"OVER STANDART",IF(AQ21=89%,"GOOD","UNDER STANDART")))</f>
        <v/>
      </c>
      <c r="AR22" s="197"/>
      <c r="AS22" s="196" t="str">
        <f>IF(AS21="","", IF(AS21&lt;89%,"OVER STANDART",IF(AS21=89%,"GOOD","UNDER STANDART")))</f>
        <v/>
      </c>
      <c r="AT22" s="197"/>
      <c r="AU22" s="196" t="str">
        <f>IF(AU21="","", IF(AU21&lt;89%,"OVER STANDART",IF(AU21=89%,"GOOD","UNDER STANDART")))</f>
        <v/>
      </c>
      <c r="AV22" s="197"/>
      <c r="AW22" s="196" t="str">
        <f>IF(AW21="","", IF(AW21&lt;89%,"OVER STANDART",IF(AW21=89%,"GOOD","UNDER STANDART")))</f>
        <v/>
      </c>
      <c r="AX22" s="197"/>
      <c r="AY22" s="196" t="str">
        <f>IF(AY21="","", IF(AY21&lt;89%,"OVER STANDART",IF(AY21=89%,"GOOD","UNDER STANDART")))</f>
        <v/>
      </c>
      <c r="AZ22" s="197"/>
      <c r="BA22" s="196" t="str">
        <f>IF(BA21="","", IF(BA21&lt;89%,"OVER STANDART",IF(BA21=89%,"GOOD","UNDER STANDART")))</f>
        <v/>
      </c>
      <c r="BB22" s="197"/>
      <c r="BC22" s="196" t="str">
        <f>IF(BC21="","", IF(BC21&lt;89%,"OVER STANDART",IF(BC21=89%,"GOOD","UNDER STANDART")))</f>
        <v/>
      </c>
      <c r="BD22" s="197"/>
      <c r="BE22" s="196" t="str">
        <f>IF(BE21="","", IF(BE21&lt;89%,"OVER STANDART",IF(BE21=89%,"GOOD","UNDER STANDART")))</f>
        <v/>
      </c>
      <c r="BF22" s="197"/>
      <c r="BG22" s="196" t="str">
        <f>IF(BG21="","", IF(BG21&lt;89%,"OVER STANDART",IF(BG21=89%,"GOOD","UNDER STANDART")))</f>
        <v/>
      </c>
      <c r="BH22" s="197"/>
      <c r="BI22" s="196" t="str">
        <f>IF(BI21="","", IF(BI21&lt;89%,"OVER STANDART",IF(BI21=89%,"GOOD","UNDER STANDART")))</f>
        <v/>
      </c>
      <c r="BJ22" s="197"/>
      <c r="BK22" s="196" t="str">
        <f>IF(BK21="","", IF(BK21&lt;89%,"OVER STANDART",IF(BK21=89%,"GOOD","UNDER STANDART")))</f>
        <v/>
      </c>
      <c r="BL22" s="197"/>
      <c r="BM22" s="196" t="str">
        <f>IF(BM21="","", IF(BM21&lt;89%,"OVER STANDART",IF(BM21=89%,"GOOD","UNDER STANDART")))</f>
        <v/>
      </c>
      <c r="BN22" s="197"/>
      <c r="BO22" s="196" t="str">
        <f>IF(BO21="","", IF(BO21&lt;89%,"OVER STANDART",IF(BO21=89%,"GOOD","UNDER STANDART")))</f>
        <v/>
      </c>
      <c r="BP22" s="197"/>
      <c r="BQ22" s="196" t="str">
        <f>IF(BQ21="","", IF(BQ21&lt;89%,"OVER STANDART",IF(BQ21=89%,"GOOD","UNDER STANDART")))</f>
        <v/>
      </c>
      <c r="BR22" s="197"/>
      <c r="BS22" s="196" t="str">
        <f>IF(BS21="","", IF(BS21&lt;89%,"OVER STANDART",IF(BS21=89%,"GOOD","UNDER STANDART")))</f>
        <v/>
      </c>
      <c r="BT22" s="197"/>
      <c r="BU22" s="24" t="e">
        <f>IF(BU21="","", IF(BU21&lt;89%,"OVER STANDART",IF(BU21=89%,"GOOD","UNDER STANDART")))</f>
        <v>#VALUE!</v>
      </c>
      <c r="BV22" s="23"/>
      <c r="BW22" s="25"/>
      <c r="BX22" s="3"/>
      <c r="BY22" s="3"/>
      <c r="BZ22" s="3"/>
    </row>
    <row r="23" spans="1:78" ht="14.5" x14ac:dyDescent="0.3">
      <c r="A23" s="198">
        <f>A18+1</f>
        <v>5</v>
      </c>
      <c r="B23" s="7" t="s">
        <v>278</v>
      </c>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9" t="str">
        <f>IF(SUMIF($C$2:$BT$2,"FRESH",C23:BT23)=0,"",SUMIF($C$2:$BT$2,"FRESH",C23:BT23))</f>
        <v/>
      </c>
      <c r="BV23" s="10" t="str">
        <f>IF(SUMIF($C$2:$BT$2,"GILING",C23:BT23)=0,"",SUMIF($C$2:$BT$2,"GILING",C23:BT23))</f>
        <v/>
      </c>
      <c r="BW23" s="11"/>
      <c r="BX23" s="3"/>
      <c r="BY23" s="3"/>
      <c r="BZ23" s="3"/>
    </row>
    <row r="24" spans="1:78" x14ac:dyDescent="0.3">
      <c r="A24" s="199"/>
      <c r="B24" s="12" t="s">
        <v>279</v>
      </c>
      <c r="C24" s="188">
        <f>IF(AND(C23="",D23=""),0,C23-D23)</f>
        <v>0</v>
      </c>
      <c r="D24" s="189"/>
      <c r="E24" s="188">
        <f>IF(AND(E23="",F23=""),0,E23-F23)</f>
        <v>0</v>
      </c>
      <c r="F24" s="189"/>
      <c r="G24" s="188">
        <f>IF(AND(G23="",H23=""),0,G23-H23)</f>
        <v>0</v>
      </c>
      <c r="H24" s="189"/>
      <c r="I24" s="188">
        <f>IF(AND(I23="",J23=""),0,I23-J23)</f>
        <v>0</v>
      </c>
      <c r="J24" s="189"/>
      <c r="K24" s="188">
        <f>IF(AND(K23="",L23=""),0,K23-L23)</f>
        <v>0</v>
      </c>
      <c r="L24" s="189"/>
      <c r="M24" s="188">
        <f>IF(AND(M23="",N23=""),0,M23-N23)</f>
        <v>0</v>
      </c>
      <c r="N24" s="189"/>
      <c r="O24" s="188">
        <f>IF(AND(O23="",P23=""),0,O23-P23)</f>
        <v>0</v>
      </c>
      <c r="P24" s="189"/>
      <c r="Q24" s="188">
        <f>IF(AND(Q23="",R23=""),0,Q23-R23)</f>
        <v>0</v>
      </c>
      <c r="R24" s="189"/>
      <c r="S24" s="188">
        <f>IF(AND(S23="",T23=""),0,S23-T23)</f>
        <v>0</v>
      </c>
      <c r="T24" s="189"/>
      <c r="U24" s="188">
        <f>IF(AND(U23="",V23=""),0,U23-V23)</f>
        <v>0</v>
      </c>
      <c r="V24" s="189"/>
      <c r="W24" s="188">
        <f>IF(AND(W23="",X23=""),0,W23-X23)</f>
        <v>0</v>
      </c>
      <c r="X24" s="189"/>
      <c r="Y24" s="188">
        <f>IF(AND(Y23="",Z23=""),0,Y23-Z23)</f>
        <v>0</v>
      </c>
      <c r="Z24" s="189"/>
      <c r="AA24" s="188">
        <f>IF(AND(AA23="",AB23=""),0,AA23-AB23)</f>
        <v>0</v>
      </c>
      <c r="AB24" s="189"/>
      <c r="AC24" s="188">
        <f>IF(AND(AC23="",AD23=""),0,AC23-AD23)</f>
        <v>0</v>
      </c>
      <c r="AD24" s="189"/>
      <c r="AE24" s="188">
        <f>IF(AND(AE23="",AF23=""),0,AE23-AF23)</f>
        <v>0</v>
      </c>
      <c r="AF24" s="189"/>
      <c r="AG24" s="188">
        <f>IF(AND(AG23="",AH23=""),0,AG23-AH23)</f>
        <v>0</v>
      </c>
      <c r="AH24" s="189"/>
      <c r="AI24" s="188">
        <f>IF(AND(AI23="",AJ23=""),0,AI23-AJ23)</f>
        <v>0</v>
      </c>
      <c r="AJ24" s="189"/>
      <c r="AK24" s="188">
        <f>IF(AND(AK23="",AL23=""),0,AK23-AL23)</f>
        <v>0</v>
      </c>
      <c r="AL24" s="189"/>
      <c r="AM24" s="188">
        <f>IF(AND(AM23="",AN23=""),0,AM23-AN23)</f>
        <v>0</v>
      </c>
      <c r="AN24" s="189"/>
      <c r="AO24" s="188">
        <f>IF(AND(AO23="",AP23=""),0,AO23-AP23)</f>
        <v>0</v>
      </c>
      <c r="AP24" s="189"/>
      <c r="AQ24" s="188">
        <f>IF(AND(AQ23="",AR23=""),0,AQ23-AR23)</f>
        <v>0</v>
      </c>
      <c r="AR24" s="189"/>
      <c r="AS24" s="188">
        <f>IF(AND(AS23="",AT23=""),0,AS23-AT23)</f>
        <v>0</v>
      </c>
      <c r="AT24" s="189"/>
      <c r="AU24" s="188">
        <f>IF(AND(AU23="",AV23=""),0,AU23-AV23)</f>
        <v>0</v>
      </c>
      <c r="AV24" s="189"/>
      <c r="AW24" s="188">
        <f>IF(AND(AW23="",AX23=""),0,AW23-AX23)</f>
        <v>0</v>
      </c>
      <c r="AX24" s="189"/>
      <c r="AY24" s="188">
        <f>IF(AND(AY23="",AZ23=""),0,AY23-AZ23)</f>
        <v>0</v>
      </c>
      <c r="AZ24" s="189"/>
      <c r="BA24" s="188">
        <f>IF(AND(BA23="",BB23=""),0,BA23-BB23)</f>
        <v>0</v>
      </c>
      <c r="BB24" s="189"/>
      <c r="BC24" s="188">
        <f>IF(AND(BC23="",BD23=""),0,BC23-BD23)</f>
        <v>0</v>
      </c>
      <c r="BD24" s="189"/>
      <c r="BE24" s="188">
        <f>IF(AND(BE23="",BF23=""),0,BE23-BF23)</f>
        <v>0</v>
      </c>
      <c r="BF24" s="189"/>
      <c r="BG24" s="188">
        <f>IF(AND(BG23="",BH23=""),0,BG23-BH23)</f>
        <v>0</v>
      </c>
      <c r="BH24" s="189"/>
      <c r="BI24" s="188">
        <f>IF(AND(BI23="",BJ23=""),0,BI23-BJ23)</f>
        <v>0</v>
      </c>
      <c r="BJ24" s="189"/>
      <c r="BK24" s="188">
        <f>IF(AND(BK23="",BL23=""),0,BK23-BL23)</f>
        <v>0</v>
      </c>
      <c r="BL24" s="189"/>
      <c r="BM24" s="188">
        <f>IF(AND(BM23="",BN23=""),0,BM23-BN23)</f>
        <v>0</v>
      </c>
      <c r="BN24" s="189"/>
      <c r="BO24" s="188">
        <f>IF(AND(BO23="",BP23=""),0,BO23-BP23)</f>
        <v>0</v>
      </c>
      <c r="BP24" s="189"/>
      <c r="BQ24" s="188">
        <f>IF(AND(BQ23="",BR23=""),0,BQ23-BR23)</f>
        <v>0</v>
      </c>
      <c r="BR24" s="189"/>
      <c r="BS24" s="188">
        <f>IF(AND(BS23="",BT23=""),0,BS23-BT23)</f>
        <v>0</v>
      </c>
      <c r="BT24" s="189"/>
      <c r="BU24" s="14" t="str">
        <f>IF(AND(BU23="",BV23=""),"",BU23-BV23)</f>
        <v/>
      </c>
      <c r="BV24" s="13"/>
      <c r="BW24" s="16" t="str">
        <f>IF(COUNTIF(D24:BT24,"&gt;0")=0,"",COUNTIF(D24:BT24,"&gt;0"))</f>
        <v/>
      </c>
      <c r="BX24" s="3"/>
      <c r="BY24" s="3"/>
      <c r="BZ24" s="3"/>
    </row>
    <row r="25" spans="1:78" ht="14.5" x14ac:dyDescent="0.3">
      <c r="A25" s="199"/>
      <c r="B25" s="12" t="s">
        <v>280</v>
      </c>
      <c r="C25" s="186">
        <f>IF(C24="",0,(D23/89%)-(C23))</f>
        <v>0</v>
      </c>
      <c r="D25" s="187"/>
      <c r="E25" s="186">
        <f>IF(E24="",0,(F23/89%)-(E23))</f>
        <v>0</v>
      </c>
      <c r="F25" s="187"/>
      <c r="G25" s="186">
        <f>IF(G24="",0,(H23/89%)-(G23))</f>
        <v>0</v>
      </c>
      <c r="H25" s="187"/>
      <c r="I25" s="186">
        <f>IF(I24="",0,(J23/89%)-(I23))</f>
        <v>0</v>
      </c>
      <c r="J25" s="187"/>
      <c r="K25" s="186">
        <f>IF(K24="",0,(L23/89%)-(K23))</f>
        <v>0</v>
      </c>
      <c r="L25" s="187"/>
      <c r="M25" s="186">
        <f>IF(M24="",0,(N23/89%)-(M23))</f>
        <v>0</v>
      </c>
      <c r="N25" s="187"/>
      <c r="O25" s="186">
        <f>IF(O24="",0,(P23/89%)-(O23))</f>
        <v>0</v>
      </c>
      <c r="P25" s="187"/>
      <c r="Q25" s="186">
        <f>IF(Q24="",0,(R23/89%)-(Q23))</f>
        <v>0</v>
      </c>
      <c r="R25" s="187"/>
      <c r="S25" s="186">
        <f>IF(S24="",0,(T23/89%)-(S23))</f>
        <v>0</v>
      </c>
      <c r="T25" s="187"/>
      <c r="U25" s="186">
        <f>IF(U24="",0,(V23/89%)-(U23))</f>
        <v>0</v>
      </c>
      <c r="V25" s="187"/>
      <c r="W25" s="186">
        <f>IF(W24="",0,(X23/89%)-(W23))</f>
        <v>0</v>
      </c>
      <c r="X25" s="187"/>
      <c r="Y25" s="186">
        <f>IF(Y24="",0,(Z23/89%)-(Y23))</f>
        <v>0</v>
      </c>
      <c r="Z25" s="187"/>
      <c r="AA25" s="186">
        <f>IF(AA24="",0,(AB23/89%)-(AA23))</f>
        <v>0</v>
      </c>
      <c r="AB25" s="187"/>
      <c r="AC25" s="186">
        <f>IF(AC24="",0,(AD23/89%)-(AC23))</f>
        <v>0</v>
      </c>
      <c r="AD25" s="187"/>
      <c r="AE25" s="186">
        <f>IF(AE24="",0,(AF23/89%)-(AE23))</f>
        <v>0</v>
      </c>
      <c r="AF25" s="187"/>
      <c r="AG25" s="186">
        <f>IF(AG24="",0,(AH23/89%)-(AG23))</f>
        <v>0</v>
      </c>
      <c r="AH25" s="187"/>
      <c r="AI25" s="186">
        <f>IF(AI24="",0,(AJ23/89%)-(AI23))</f>
        <v>0</v>
      </c>
      <c r="AJ25" s="187"/>
      <c r="AK25" s="186">
        <f>IF(AK24="",0,(AL23/89%)-(AK23))</f>
        <v>0</v>
      </c>
      <c r="AL25" s="187"/>
      <c r="AM25" s="186">
        <f>IF(AM24="",0,(AN23/89%)-(AM23))</f>
        <v>0</v>
      </c>
      <c r="AN25" s="187"/>
      <c r="AO25" s="186">
        <f>IF(AO24="",0,(AP23/89%)-(AO23))</f>
        <v>0</v>
      </c>
      <c r="AP25" s="187"/>
      <c r="AQ25" s="186">
        <f>IF(AQ24="",0,(AR23/89%)-(AQ23))</f>
        <v>0</v>
      </c>
      <c r="AR25" s="187"/>
      <c r="AS25" s="186">
        <f>IF(AS24="",0,(AT23/89%)-(AS23))</f>
        <v>0</v>
      </c>
      <c r="AT25" s="187"/>
      <c r="AU25" s="186">
        <f>IF(AU24="",0,(AV23/89%)-(AU23))</f>
        <v>0</v>
      </c>
      <c r="AV25" s="187"/>
      <c r="AW25" s="186">
        <f>IF(AW24="",0,(AX23/89%)-(AW23))</f>
        <v>0</v>
      </c>
      <c r="AX25" s="187"/>
      <c r="AY25" s="186">
        <f>IF(AY24="",0,(AZ23/89%)-(AY23))</f>
        <v>0</v>
      </c>
      <c r="AZ25" s="187"/>
      <c r="BA25" s="186">
        <f>IF(BA24="",0,(BB23/89%)-(BA23))</f>
        <v>0</v>
      </c>
      <c r="BB25" s="187"/>
      <c r="BC25" s="186">
        <f>IF(BC24="",0,(BD23/89%)-(BC23))</f>
        <v>0</v>
      </c>
      <c r="BD25" s="187"/>
      <c r="BE25" s="186">
        <f>IF(BE24="",0,(BF23/89%)-(BE23))</f>
        <v>0</v>
      </c>
      <c r="BF25" s="187"/>
      <c r="BG25" s="186">
        <f>IF(BG24="",0,(BH23/89%)-(BG23))</f>
        <v>0</v>
      </c>
      <c r="BH25" s="187"/>
      <c r="BI25" s="186">
        <f>IF(BI24="",0,(BJ23/89%)-(BI23))</f>
        <v>0</v>
      </c>
      <c r="BJ25" s="187"/>
      <c r="BK25" s="186">
        <f>IF(BK24="",0,(BL23/89%)-(BK23))</f>
        <v>0</v>
      </c>
      <c r="BL25" s="187"/>
      <c r="BM25" s="186">
        <f>IF(BM24="",0,(BN23/89%)-(BM23))</f>
        <v>0</v>
      </c>
      <c r="BN25" s="187"/>
      <c r="BO25" s="186">
        <f>IF(BO24="",0,(BP23/89%)-(BO23))</f>
        <v>0</v>
      </c>
      <c r="BP25" s="187"/>
      <c r="BQ25" s="186">
        <f>IF(BQ24="",0,(BR23/89%)-(BQ23))</f>
        <v>0</v>
      </c>
      <c r="BR25" s="187"/>
      <c r="BS25" s="186">
        <f>IF(BS24="",0,(BT23/89%)-(BS23))</f>
        <v>0</v>
      </c>
      <c r="BT25" s="187"/>
      <c r="BU25" s="17" t="str">
        <f>IF(BU24="","",(BV23/89%)-(BU23))</f>
        <v/>
      </c>
      <c r="BV25" s="13"/>
      <c r="BW25" s="18" t="str">
        <f>IF(AND(BU23="",BV23=""),"",(BU23-BV23)-BU24)</f>
        <v/>
      </c>
      <c r="BX25" s="3"/>
      <c r="BY25" s="3"/>
      <c r="BZ25" s="3"/>
    </row>
    <row r="26" spans="1:78" ht="14.5" x14ac:dyDescent="0.3">
      <c r="A26" s="199"/>
      <c r="B26" s="19" t="s">
        <v>281</v>
      </c>
      <c r="C26" s="194" t="str">
        <f>IF(C24=0,"",ABS(IFERROR((C24/C23),0)-1))</f>
        <v/>
      </c>
      <c r="D26" s="195"/>
      <c r="E26" s="194" t="str">
        <f>IF(E24=0,"",ABS(IFERROR((E24/E23),0)-1))</f>
        <v/>
      </c>
      <c r="F26" s="195"/>
      <c r="G26" s="194" t="str">
        <f>IF(G24=0,"",ABS(IFERROR((G24/G23),0)-1))</f>
        <v/>
      </c>
      <c r="H26" s="195"/>
      <c r="I26" s="194" t="str">
        <f>IF(I24=0,"",ABS(IFERROR((I24/I23),0)-1))</f>
        <v/>
      </c>
      <c r="J26" s="195"/>
      <c r="K26" s="194" t="str">
        <f>IF(K24=0,"",ABS(IFERROR((K24/K23),0)-1))</f>
        <v/>
      </c>
      <c r="L26" s="195"/>
      <c r="M26" s="194" t="str">
        <f>IF(M24=0,"",ABS(IFERROR((M24/M23),0)-1))</f>
        <v/>
      </c>
      <c r="N26" s="195"/>
      <c r="O26" s="194" t="str">
        <f>IF(O24=0,"",ABS(IFERROR((O24/O23),0)-1))</f>
        <v/>
      </c>
      <c r="P26" s="195"/>
      <c r="Q26" s="194" t="str">
        <f>IF(Q24=0,"",ABS(IFERROR((Q24/Q23),0)-1))</f>
        <v/>
      </c>
      <c r="R26" s="195"/>
      <c r="S26" s="194" t="str">
        <f>IF(S24=0,"",ABS(IFERROR((S24/S23),0)-1))</f>
        <v/>
      </c>
      <c r="T26" s="195"/>
      <c r="U26" s="194" t="str">
        <f>IF(U24=0,"",ABS(IFERROR((U24/U23),0)-1))</f>
        <v/>
      </c>
      <c r="V26" s="195"/>
      <c r="W26" s="194" t="str">
        <f>IF(W24=0,"",ABS(IFERROR((W24/W23),0)-1))</f>
        <v/>
      </c>
      <c r="X26" s="195"/>
      <c r="Y26" s="194" t="str">
        <f>IF(Y24=0,"",ABS(IFERROR((Y24/Y23),0)-1))</f>
        <v/>
      </c>
      <c r="Z26" s="195"/>
      <c r="AA26" s="194" t="str">
        <f>IF(AA24=0,"",ABS(IFERROR((AA24/AA23),0)-1))</f>
        <v/>
      </c>
      <c r="AB26" s="195"/>
      <c r="AC26" s="194" t="str">
        <f>IF(AC24=0,"",ABS(IFERROR((AC24/AC23),0)-1))</f>
        <v/>
      </c>
      <c r="AD26" s="195"/>
      <c r="AE26" s="194" t="str">
        <f>IF(AE24=0,"",ABS(IFERROR((AE24/AE23),0)-1))</f>
        <v/>
      </c>
      <c r="AF26" s="195"/>
      <c r="AG26" s="194" t="str">
        <f>IF(AG24=0,"",ABS(IFERROR((AG24/AG23),0)-1))</f>
        <v/>
      </c>
      <c r="AH26" s="195"/>
      <c r="AI26" s="194" t="str">
        <f>IF(AI24=0,"",ABS(IFERROR((AI24/AI23),0)-1))</f>
        <v/>
      </c>
      <c r="AJ26" s="195"/>
      <c r="AK26" s="194" t="str">
        <f>IF(AK24=0,"",ABS(IFERROR((AK24/AK23),0)-1))</f>
        <v/>
      </c>
      <c r="AL26" s="195"/>
      <c r="AM26" s="194" t="str">
        <f>IF(AM24=0,"",ABS(IFERROR((AM24/AM23),0)-1))</f>
        <v/>
      </c>
      <c r="AN26" s="195"/>
      <c r="AO26" s="194" t="str">
        <f>IF(AO24=0,"",ABS(IFERROR((AO24/AO23),0)-1))</f>
        <v/>
      </c>
      <c r="AP26" s="195"/>
      <c r="AQ26" s="194" t="str">
        <f>IF(AQ24=0,"",ABS(IFERROR((AQ24/AQ23),0)-1))</f>
        <v/>
      </c>
      <c r="AR26" s="195"/>
      <c r="AS26" s="194" t="str">
        <f>IF(AS24=0,"",ABS(IFERROR((AS24/AS23),0)-1))</f>
        <v/>
      </c>
      <c r="AT26" s="195"/>
      <c r="AU26" s="194" t="str">
        <f>IF(AU24=0,"",ABS(IFERROR((AU24/AU23),0)-1))</f>
        <v/>
      </c>
      <c r="AV26" s="195"/>
      <c r="AW26" s="194" t="str">
        <f>IF(AW24=0,"",ABS(IFERROR((AW24/AW23),0)-1))</f>
        <v/>
      </c>
      <c r="AX26" s="195"/>
      <c r="AY26" s="194" t="str">
        <f>IF(AY24=0,"",ABS(IFERROR((AY24/AY23),0)-1))</f>
        <v/>
      </c>
      <c r="AZ26" s="195"/>
      <c r="BA26" s="194" t="str">
        <f>IF(BA24=0,"",ABS(IFERROR((BA24/BA23),0)-1))</f>
        <v/>
      </c>
      <c r="BB26" s="195"/>
      <c r="BC26" s="194" t="str">
        <f>IF(BC24=0,"",ABS(IFERROR((BC24/BC23),0)-1))</f>
        <v/>
      </c>
      <c r="BD26" s="195"/>
      <c r="BE26" s="194" t="str">
        <f>IF(BE24=0,"",ABS(IFERROR((BE24/BE23),0)-1))</f>
        <v/>
      </c>
      <c r="BF26" s="195"/>
      <c r="BG26" s="194" t="str">
        <f>IF(BG24=0,"",ABS(IFERROR((BG24/BG23),0)-1))</f>
        <v/>
      </c>
      <c r="BH26" s="195"/>
      <c r="BI26" s="194" t="str">
        <f>IF(BI24=0,"",ABS(IFERROR((BI24/BI23),0)-1))</f>
        <v/>
      </c>
      <c r="BJ26" s="195"/>
      <c r="BK26" s="194" t="str">
        <f>IF(BK24=0,"",ABS(IFERROR((BK24/BK23),0)-1))</f>
        <v/>
      </c>
      <c r="BL26" s="195"/>
      <c r="BM26" s="194" t="str">
        <f>IF(BM24=0,"",ABS(IFERROR((BM24/BM23),0)-1))</f>
        <v/>
      </c>
      <c r="BN26" s="195"/>
      <c r="BO26" s="194" t="str">
        <f>IF(BO24=0,"",ABS(IFERROR((BO24/BO23),0)-1))</f>
        <v/>
      </c>
      <c r="BP26" s="195"/>
      <c r="BQ26" s="194" t="str">
        <f>IF(BQ24=0,"",ABS(IFERROR((BQ24/BQ23),0)-1))</f>
        <v/>
      </c>
      <c r="BR26" s="195"/>
      <c r="BS26" s="194" t="str">
        <f>IF(BS24=0,"",ABS(IFERROR((BS24/BS23),0)-1))</f>
        <v/>
      </c>
      <c r="BT26" s="195"/>
      <c r="BU26" s="26" t="e">
        <f>ABS(IFERROR((BU24/BU23),"")-1)</f>
        <v>#VALUE!</v>
      </c>
      <c r="BV26" s="15"/>
      <c r="BW26" s="21"/>
      <c r="BX26" s="3"/>
      <c r="BY26" s="3"/>
      <c r="BZ26" s="3"/>
    </row>
    <row r="27" spans="1:78" ht="15" thickBot="1" x14ac:dyDescent="0.35">
      <c r="A27" s="181"/>
      <c r="B27" s="22" t="s">
        <v>177</v>
      </c>
      <c r="C27" s="196" t="str">
        <f>IF(C26="","", IF(C26&lt;89%,"OVER STANDART",IF(C26=89%,"GOOD","UNDER STANDART")))</f>
        <v/>
      </c>
      <c r="D27" s="197"/>
      <c r="E27" s="196" t="str">
        <f>IF(E26="","", IF(E26&lt;89%,"OVER STANDART",IF(E26=89%,"GOOD","UNDER STANDART")))</f>
        <v/>
      </c>
      <c r="F27" s="197"/>
      <c r="G27" s="196" t="str">
        <f>IF(G26="","", IF(G26&lt;89%,"OVER STANDART",IF(G26=89%,"GOOD","UNDER STANDART")))</f>
        <v/>
      </c>
      <c r="H27" s="197"/>
      <c r="I27" s="196" t="str">
        <f>IF(I26="","", IF(I26&lt;89%,"OVER STANDART",IF(I26=89%,"GOOD","UNDER STANDART")))</f>
        <v/>
      </c>
      <c r="J27" s="197"/>
      <c r="K27" s="196" t="str">
        <f>IF(K26="","", IF(K26&lt;89%,"OVER STANDART",IF(K26=89%,"GOOD","UNDER STANDART")))</f>
        <v/>
      </c>
      <c r="L27" s="197"/>
      <c r="M27" s="196" t="str">
        <f>IF(M26="","", IF(M26&lt;89%,"OVER STANDART",IF(M26=89%,"GOOD","UNDER STANDART")))</f>
        <v/>
      </c>
      <c r="N27" s="197"/>
      <c r="O27" s="196" t="str">
        <f>IF(O26="","", IF(O26&lt;89%,"OVER STANDART",IF(O26=89%,"GOOD","UNDER STANDART")))</f>
        <v/>
      </c>
      <c r="P27" s="197"/>
      <c r="Q27" s="196" t="str">
        <f>IF(Q26="","", IF(Q26&lt;89%,"OVER STANDART",IF(Q26=89%,"GOOD","UNDER STANDART")))</f>
        <v/>
      </c>
      <c r="R27" s="197"/>
      <c r="S27" s="196" t="str">
        <f>IF(S26="","", IF(S26&lt;89%,"OVER STANDART",IF(S26=89%,"GOOD","UNDER STANDART")))</f>
        <v/>
      </c>
      <c r="T27" s="197"/>
      <c r="U27" s="196" t="str">
        <f>IF(U26="","", IF(U26&lt;89%,"OVER STANDART",IF(U26=89%,"GOOD","UNDER STANDART")))</f>
        <v/>
      </c>
      <c r="V27" s="197"/>
      <c r="W27" s="196" t="str">
        <f>IF(W26="","", IF(W26&lt;89%,"OVER STANDART",IF(W26=89%,"GOOD","UNDER STANDART")))</f>
        <v/>
      </c>
      <c r="X27" s="197"/>
      <c r="Y27" s="196" t="str">
        <f>IF(Y26="","", IF(Y26&lt;89%,"OVER STANDART",IF(Y26=89%,"GOOD","UNDER STANDART")))</f>
        <v/>
      </c>
      <c r="Z27" s="197"/>
      <c r="AA27" s="196" t="str">
        <f>IF(AA26="","", IF(AA26&lt;89%,"OVER STANDART",IF(AA26=89%,"GOOD","UNDER STANDART")))</f>
        <v/>
      </c>
      <c r="AB27" s="197"/>
      <c r="AC27" s="196" t="str">
        <f>IF(AC26="","", IF(AC26&lt;89%,"OVER STANDART",IF(AC26=89%,"GOOD","UNDER STANDART")))</f>
        <v/>
      </c>
      <c r="AD27" s="197"/>
      <c r="AE27" s="196" t="str">
        <f>IF(AE26="","", IF(AE26&lt;89%,"OVER STANDART",IF(AE26=89%,"GOOD","UNDER STANDART")))</f>
        <v/>
      </c>
      <c r="AF27" s="197"/>
      <c r="AG27" s="196" t="str">
        <f>IF(AG26="","", IF(AG26&lt;89%,"OVER STANDART",IF(AG26=89%,"GOOD","UNDER STANDART")))</f>
        <v/>
      </c>
      <c r="AH27" s="197"/>
      <c r="AI27" s="196" t="str">
        <f>IF(AI26="","", IF(AI26&lt;89%,"OVER STANDART",IF(AI26=89%,"GOOD","UNDER STANDART")))</f>
        <v/>
      </c>
      <c r="AJ27" s="197"/>
      <c r="AK27" s="196" t="str">
        <f>IF(AK26="","", IF(AK26&lt;89%,"OVER STANDART",IF(AK26=89%,"GOOD","UNDER STANDART")))</f>
        <v/>
      </c>
      <c r="AL27" s="197"/>
      <c r="AM27" s="196" t="str">
        <f>IF(AM26="","", IF(AM26&lt;89%,"OVER STANDART",IF(AM26=89%,"GOOD","UNDER STANDART")))</f>
        <v/>
      </c>
      <c r="AN27" s="197"/>
      <c r="AO27" s="196" t="str">
        <f>IF(AO26="","", IF(AO26&lt;89%,"OVER STANDART",IF(AO26=89%,"GOOD","UNDER STANDART")))</f>
        <v/>
      </c>
      <c r="AP27" s="197"/>
      <c r="AQ27" s="196" t="str">
        <f>IF(AQ26="","", IF(AQ26&lt;89%,"OVER STANDART",IF(AQ26=89%,"GOOD","UNDER STANDART")))</f>
        <v/>
      </c>
      <c r="AR27" s="197"/>
      <c r="AS27" s="196" t="str">
        <f>IF(AS26="","", IF(AS26&lt;89%,"OVER STANDART",IF(AS26=89%,"GOOD","UNDER STANDART")))</f>
        <v/>
      </c>
      <c r="AT27" s="197"/>
      <c r="AU27" s="196" t="str">
        <f>IF(AU26="","", IF(AU26&lt;89%,"OVER STANDART",IF(AU26=89%,"GOOD","UNDER STANDART")))</f>
        <v/>
      </c>
      <c r="AV27" s="197"/>
      <c r="AW27" s="196" t="str">
        <f>IF(AW26="","", IF(AW26&lt;89%,"OVER STANDART",IF(AW26=89%,"GOOD","UNDER STANDART")))</f>
        <v/>
      </c>
      <c r="AX27" s="197"/>
      <c r="AY27" s="196" t="str">
        <f>IF(AY26="","", IF(AY26&lt;89%,"OVER STANDART",IF(AY26=89%,"GOOD","UNDER STANDART")))</f>
        <v/>
      </c>
      <c r="AZ27" s="197"/>
      <c r="BA27" s="196" t="str">
        <f>IF(BA26="","", IF(BA26&lt;89%,"OVER STANDART",IF(BA26=89%,"GOOD","UNDER STANDART")))</f>
        <v/>
      </c>
      <c r="BB27" s="197"/>
      <c r="BC27" s="196" t="str">
        <f>IF(BC26="","", IF(BC26&lt;89%,"OVER STANDART",IF(BC26=89%,"GOOD","UNDER STANDART")))</f>
        <v/>
      </c>
      <c r="BD27" s="197"/>
      <c r="BE27" s="196" t="str">
        <f>IF(BE26="","", IF(BE26&lt;89%,"OVER STANDART",IF(BE26=89%,"GOOD","UNDER STANDART")))</f>
        <v/>
      </c>
      <c r="BF27" s="197"/>
      <c r="BG27" s="196" t="str">
        <f>IF(BG26="","", IF(BG26&lt;89%,"OVER STANDART",IF(BG26=89%,"GOOD","UNDER STANDART")))</f>
        <v/>
      </c>
      <c r="BH27" s="197"/>
      <c r="BI27" s="196" t="str">
        <f>IF(BI26="","", IF(BI26&lt;89%,"OVER STANDART",IF(BI26=89%,"GOOD","UNDER STANDART")))</f>
        <v/>
      </c>
      <c r="BJ27" s="197"/>
      <c r="BK27" s="196" t="str">
        <f>IF(BK26="","", IF(BK26&lt;89%,"OVER STANDART",IF(BK26=89%,"GOOD","UNDER STANDART")))</f>
        <v/>
      </c>
      <c r="BL27" s="197"/>
      <c r="BM27" s="196" t="str">
        <f>IF(BM26="","", IF(BM26&lt;89%,"OVER STANDART",IF(BM26=89%,"GOOD","UNDER STANDART")))</f>
        <v/>
      </c>
      <c r="BN27" s="197"/>
      <c r="BO27" s="196" t="str">
        <f>IF(BO26="","", IF(BO26&lt;89%,"OVER STANDART",IF(BO26=89%,"GOOD","UNDER STANDART")))</f>
        <v/>
      </c>
      <c r="BP27" s="197"/>
      <c r="BQ27" s="196" t="str">
        <f>IF(BQ26="","", IF(BQ26&lt;89%,"OVER STANDART",IF(BQ26=89%,"GOOD","UNDER STANDART")))</f>
        <v/>
      </c>
      <c r="BR27" s="197"/>
      <c r="BS27" s="196" t="str">
        <f>IF(BS26="","", IF(BS26&lt;89%,"OVER STANDART",IF(BS26=89%,"GOOD","UNDER STANDART")))</f>
        <v/>
      </c>
      <c r="BT27" s="197"/>
      <c r="BU27" s="24" t="e">
        <f>IF(BU26="","", IF(BU26&lt;89%,"OVER STANDART",IF(BU26=89%,"GOOD","UNDER STANDART")))</f>
        <v>#VALUE!</v>
      </c>
      <c r="BV27" s="23"/>
      <c r="BW27" s="25"/>
      <c r="BX27" s="3"/>
      <c r="BY27" s="3"/>
      <c r="BZ27" s="3"/>
    </row>
    <row r="28" spans="1:78" ht="14.5" x14ac:dyDescent="0.3">
      <c r="A28" s="198">
        <f>A23+1</f>
        <v>6</v>
      </c>
      <c r="B28" s="7" t="s">
        <v>278</v>
      </c>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9" t="str">
        <f>IF(SUMIF($C$2:$BT$2,"FRESH",C28:BT28)=0,"",SUMIF($C$2:$BT$2,"FRESH",C28:BT28))</f>
        <v/>
      </c>
      <c r="BV28" s="10" t="str">
        <f>IF(SUMIF($C$2:$BT$2,"GILING",C28:BT28)=0,"",SUMIF($C$2:$BT$2,"GILING",C28:BT28))</f>
        <v/>
      </c>
      <c r="BW28" s="11"/>
      <c r="BX28" s="3"/>
      <c r="BY28" s="3"/>
      <c r="BZ28" s="3"/>
    </row>
    <row r="29" spans="1:78" x14ac:dyDescent="0.3">
      <c r="A29" s="199"/>
      <c r="B29" s="12" t="s">
        <v>279</v>
      </c>
      <c r="C29" s="188">
        <f>IF(AND(C28="",D28=""),0,C28-D28)</f>
        <v>0</v>
      </c>
      <c r="D29" s="189"/>
      <c r="E29" s="188">
        <f>IF(AND(E28="",F28=""),0,E28-F28)</f>
        <v>0</v>
      </c>
      <c r="F29" s="189"/>
      <c r="G29" s="188">
        <f>IF(AND(G28="",H28=""),0,G28-H28)</f>
        <v>0</v>
      </c>
      <c r="H29" s="189"/>
      <c r="I29" s="188">
        <f>IF(AND(I28="",J28=""),0,I28-J28)</f>
        <v>0</v>
      </c>
      <c r="J29" s="189"/>
      <c r="K29" s="188">
        <f>IF(AND(K28="",L28=""),0,K28-L28)</f>
        <v>0</v>
      </c>
      <c r="L29" s="189"/>
      <c r="M29" s="188">
        <f>IF(AND(M28="",N28=""),0,M28-N28)</f>
        <v>0</v>
      </c>
      <c r="N29" s="189"/>
      <c r="O29" s="188">
        <f>IF(AND(O28="",P28=""),0,O28-P28)</f>
        <v>0</v>
      </c>
      <c r="P29" s="189"/>
      <c r="Q29" s="188">
        <f>IF(AND(Q28="",R28=""),0,Q28-R28)</f>
        <v>0</v>
      </c>
      <c r="R29" s="189"/>
      <c r="S29" s="188">
        <f>IF(AND(S28="",T28=""),0,S28-T28)</f>
        <v>0</v>
      </c>
      <c r="T29" s="189"/>
      <c r="U29" s="188">
        <f>IF(AND(U28="",V28=""),0,U28-V28)</f>
        <v>0</v>
      </c>
      <c r="V29" s="189"/>
      <c r="W29" s="188">
        <f>IF(AND(W28="",X28=""),0,W28-X28)</f>
        <v>0</v>
      </c>
      <c r="X29" s="189"/>
      <c r="Y29" s="188">
        <f>IF(AND(Y28="",Z28=""),0,Y28-Z28)</f>
        <v>0</v>
      </c>
      <c r="Z29" s="189"/>
      <c r="AA29" s="188">
        <f>IF(AND(AA28="",AB28=""),0,AA28-AB28)</f>
        <v>0</v>
      </c>
      <c r="AB29" s="189"/>
      <c r="AC29" s="188">
        <f>IF(AND(AC28="",AD28=""),0,AC28-AD28)</f>
        <v>0</v>
      </c>
      <c r="AD29" s="189"/>
      <c r="AE29" s="188">
        <f>IF(AND(AE28="",AF28=""),0,AE28-AF28)</f>
        <v>0</v>
      </c>
      <c r="AF29" s="189"/>
      <c r="AG29" s="188">
        <f>IF(AND(AG28="",AH28=""),0,AG28-AH28)</f>
        <v>0</v>
      </c>
      <c r="AH29" s="189"/>
      <c r="AI29" s="188">
        <f>IF(AND(AI28="",AJ28=""),0,AI28-AJ28)</f>
        <v>0</v>
      </c>
      <c r="AJ29" s="189"/>
      <c r="AK29" s="188">
        <f>IF(AND(AK28="",AL28=""),0,AK28-AL28)</f>
        <v>0</v>
      </c>
      <c r="AL29" s="189"/>
      <c r="AM29" s="188">
        <f>IF(AND(AM28="",AN28=""),0,AM28-AN28)</f>
        <v>0</v>
      </c>
      <c r="AN29" s="189"/>
      <c r="AO29" s="188">
        <f>IF(AND(AO28="",AP28=""),0,AO28-AP28)</f>
        <v>0</v>
      </c>
      <c r="AP29" s="189"/>
      <c r="AQ29" s="188">
        <f>IF(AND(AQ28="",AR28=""),0,AQ28-AR28)</f>
        <v>0</v>
      </c>
      <c r="AR29" s="189"/>
      <c r="AS29" s="188">
        <f>IF(AND(AS28="",AT28=""),0,AS28-AT28)</f>
        <v>0</v>
      </c>
      <c r="AT29" s="189"/>
      <c r="AU29" s="188">
        <f>IF(AND(AU28="",AV28=""),0,AU28-AV28)</f>
        <v>0</v>
      </c>
      <c r="AV29" s="189"/>
      <c r="AW29" s="188">
        <f>IF(AND(AW28="",AX28=""),0,AW28-AX28)</f>
        <v>0</v>
      </c>
      <c r="AX29" s="189"/>
      <c r="AY29" s="188">
        <f>IF(AND(AY28="",AZ28=""),0,AY28-AZ28)</f>
        <v>0</v>
      </c>
      <c r="AZ29" s="189"/>
      <c r="BA29" s="188">
        <f>IF(AND(BA28="",BB28=""),0,BA28-BB28)</f>
        <v>0</v>
      </c>
      <c r="BB29" s="189"/>
      <c r="BC29" s="188">
        <f>IF(AND(BC28="",BD28=""),0,BC28-BD28)</f>
        <v>0</v>
      </c>
      <c r="BD29" s="189"/>
      <c r="BE29" s="188">
        <f>IF(AND(BE28="",BF28=""),0,BE28-BF28)</f>
        <v>0</v>
      </c>
      <c r="BF29" s="189"/>
      <c r="BG29" s="188">
        <f>IF(AND(BG28="",BH28=""),0,BG28-BH28)</f>
        <v>0</v>
      </c>
      <c r="BH29" s="189"/>
      <c r="BI29" s="188">
        <f>IF(AND(BI28="",BJ28=""),0,BI28-BJ28)</f>
        <v>0</v>
      </c>
      <c r="BJ29" s="189"/>
      <c r="BK29" s="188">
        <f>IF(AND(BK28="",BL28=""),0,BK28-BL28)</f>
        <v>0</v>
      </c>
      <c r="BL29" s="189"/>
      <c r="BM29" s="188">
        <f>IF(AND(BM28="",BN28=""),0,BM28-BN28)</f>
        <v>0</v>
      </c>
      <c r="BN29" s="189"/>
      <c r="BO29" s="188">
        <f>IF(AND(BO28="",BP28=""),0,BO28-BP28)</f>
        <v>0</v>
      </c>
      <c r="BP29" s="189"/>
      <c r="BQ29" s="188">
        <f>IF(AND(BQ28="",BR28=""),0,BQ28-BR28)</f>
        <v>0</v>
      </c>
      <c r="BR29" s="189"/>
      <c r="BS29" s="188">
        <f>IF(AND(BS28="",BT28=""),0,BS28-BT28)</f>
        <v>0</v>
      </c>
      <c r="BT29" s="189"/>
      <c r="BU29" s="14" t="str">
        <f>IF(AND(BU28="",BV28=""),"",BU28-BV28)</f>
        <v/>
      </c>
      <c r="BV29" s="13"/>
      <c r="BW29" s="16" t="str">
        <f>IF(COUNTIF(D29:BT29,"&gt;0")=0,"",COUNTIF(D29:BT29,"&gt;0"))</f>
        <v/>
      </c>
      <c r="BX29" s="3"/>
      <c r="BY29" s="3"/>
      <c r="BZ29" s="3"/>
    </row>
    <row r="30" spans="1:78" ht="14.5" x14ac:dyDescent="0.3">
      <c r="A30" s="199"/>
      <c r="B30" s="12" t="s">
        <v>280</v>
      </c>
      <c r="C30" s="186">
        <f>IF(C29="",0,(D28/89%)-(C28))</f>
        <v>0</v>
      </c>
      <c r="D30" s="187"/>
      <c r="E30" s="186">
        <f>IF(E29="",0,(F28/89%)-(E28))</f>
        <v>0</v>
      </c>
      <c r="F30" s="187"/>
      <c r="G30" s="186">
        <f>IF(G29="",0,(H28/89%)-(G28))</f>
        <v>0</v>
      </c>
      <c r="H30" s="187"/>
      <c r="I30" s="186">
        <f>IF(I29="",0,(J28/89%)-(I28))</f>
        <v>0</v>
      </c>
      <c r="J30" s="187"/>
      <c r="K30" s="186">
        <f>IF(K29="",0,(L28/89%)-(K28))</f>
        <v>0</v>
      </c>
      <c r="L30" s="187"/>
      <c r="M30" s="186">
        <f>IF(M29="",0,(N28/89%)-(M28))</f>
        <v>0</v>
      </c>
      <c r="N30" s="187"/>
      <c r="O30" s="186">
        <f>IF(O29="",0,(P28/89%)-(O28))</f>
        <v>0</v>
      </c>
      <c r="P30" s="187"/>
      <c r="Q30" s="186">
        <f>IF(Q29="",0,(R28/89%)-(Q28))</f>
        <v>0</v>
      </c>
      <c r="R30" s="187"/>
      <c r="S30" s="186">
        <f>IF(S29="",0,(T28/89%)-(S28))</f>
        <v>0</v>
      </c>
      <c r="T30" s="187"/>
      <c r="U30" s="186">
        <f>IF(U29="",0,(V28/89%)-(U28))</f>
        <v>0</v>
      </c>
      <c r="V30" s="187"/>
      <c r="W30" s="186">
        <f>IF(W29="",0,(X28/89%)-(W28))</f>
        <v>0</v>
      </c>
      <c r="X30" s="187"/>
      <c r="Y30" s="186">
        <f>IF(Y29="",0,(Z28/89%)-(Y28))</f>
        <v>0</v>
      </c>
      <c r="Z30" s="187"/>
      <c r="AA30" s="186">
        <f>IF(AA29="",0,(AB28/89%)-(AA28))</f>
        <v>0</v>
      </c>
      <c r="AB30" s="187"/>
      <c r="AC30" s="186">
        <f>IF(AC29="",0,(AD28/89%)-(AC28))</f>
        <v>0</v>
      </c>
      <c r="AD30" s="187"/>
      <c r="AE30" s="186">
        <f>IF(AE29="",0,(AF28/89%)-(AE28))</f>
        <v>0</v>
      </c>
      <c r="AF30" s="187"/>
      <c r="AG30" s="186">
        <f>IF(AG29="",0,(AH28/89%)-(AG28))</f>
        <v>0</v>
      </c>
      <c r="AH30" s="187"/>
      <c r="AI30" s="186">
        <f>IF(AI29="",0,(AJ28/89%)-(AI28))</f>
        <v>0</v>
      </c>
      <c r="AJ30" s="187"/>
      <c r="AK30" s="186">
        <f>IF(AK29="",0,(AL28/89%)-(AK28))</f>
        <v>0</v>
      </c>
      <c r="AL30" s="187"/>
      <c r="AM30" s="186">
        <f>IF(AM29="",0,(AN28/89%)-(AM28))</f>
        <v>0</v>
      </c>
      <c r="AN30" s="187"/>
      <c r="AO30" s="186">
        <f>IF(AO29="",0,(AP28/89%)-(AO28))</f>
        <v>0</v>
      </c>
      <c r="AP30" s="187"/>
      <c r="AQ30" s="186">
        <f>IF(AQ29="",0,(AR28/89%)-(AQ28))</f>
        <v>0</v>
      </c>
      <c r="AR30" s="187"/>
      <c r="AS30" s="186">
        <f>IF(AS29="",0,(AT28/89%)-(AS28))</f>
        <v>0</v>
      </c>
      <c r="AT30" s="187"/>
      <c r="AU30" s="186">
        <f>IF(AU29="",0,(AV28/89%)-(AU28))</f>
        <v>0</v>
      </c>
      <c r="AV30" s="187"/>
      <c r="AW30" s="186">
        <f>IF(AW29="",0,(AX28/89%)-(AW28))</f>
        <v>0</v>
      </c>
      <c r="AX30" s="187"/>
      <c r="AY30" s="186">
        <f>IF(AY29="",0,(AZ28/89%)-(AY28))</f>
        <v>0</v>
      </c>
      <c r="AZ30" s="187"/>
      <c r="BA30" s="186">
        <f>IF(BA29="",0,(BB28/89%)-(BA28))</f>
        <v>0</v>
      </c>
      <c r="BB30" s="187"/>
      <c r="BC30" s="186">
        <f>IF(BC29="",0,(BD28/89%)-(BC28))</f>
        <v>0</v>
      </c>
      <c r="BD30" s="187"/>
      <c r="BE30" s="186">
        <f>IF(BE29="",0,(BF28/89%)-(BE28))</f>
        <v>0</v>
      </c>
      <c r="BF30" s="187"/>
      <c r="BG30" s="186">
        <f>IF(BG29="",0,(BH28/89%)-(BG28))</f>
        <v>0</v>
      </c>
      <c r="BH30" s="187"/>
      <c r="BI30" s="186">
        <f>IF(BI29="",0,(BJ28/89%)-(BI28))</f>
        <v>0</v>
      </c>
      <c r="BJ30" s="187"/>
      <c r="BK30" s="186">
        <f>IF(BK29="",0,(BL28/89%)-(BK28))</f>
        <v>0</v>
      </c>
      <c r="BL30" s="187"/>
      <c r="BM30" s="186">
        <f>IF(BM29="",0,(BN28/89%)-(BM28))</f>
        <v>0</v>
      </c>
      <c r="BN30" s="187"/>
      <c r="BO30" s="186">
        <f>IF(BO29="",0,(BP28/89%)-(BO28))</f>
        <v>0</v>
      </c>
      <c r="BP30" s="187"/>
      <c r="BQ30" s="186">
        <f>IF(BQ29="",0,(BR28/89%)-(BQ28))</f>
        <v>0</v>
      </c>
      <c r="BR30" s="187"/>
      <c r="BS30" s="186">
        <f>IF(BS29="",0,(BT28/89%)-(BS28))</f>
        <v>0</v>
      </c>
      <c r="BT30" s="187"/>
      <c r="BU30" s="17" t="str">
        <f>IF(BU29="","",(BV28/89%)-(BU28))</f>
        <v/>
      </c>
      <c r="BV30" s="13"/>
      <c r="BW30" s="18" t="str">
        <f>IF(AND(BU28="",BV28=""),"",(BU28-BV28)-BU29)</f>
        <v/>
      </c>
      <c r="BX30" s="3"/>
      <c r="BY30" s="3"/>
      <c r="BZ30" s="3"/>
    </row>
    <row r="31" spans="1:78" ht="14.5" x14ac:dyDescent="0.3">
      <c r="A31" s="199"/>
      <c r="B31" s="19" t="s">
        <v>281</v>
      </c>
      <c r="C31" s="194" t="str">
        <f>IF(C29=0,"",ABS(IFERROR((C29/C28),0)-1))</f>
        <v/>
      </c>
      <c r="D31" s="195"/>
      <c r="E31" s="194" t="str">
        <f>IF(E29=0,"",ABS(IFERROR((E29/E28),0)-1))</f>
        <v/>
      </c>
      <c r="F31" s="195"/>
      <c r="G31" s="194" t="str">
        <f>IF(G29=0,"",ABS(IFERROR((G29/G28),0)-1))</f>
        <v/>
      </c>
      <c r="H31" s="195"/>
      <c r="I31" s="194" t="str">
        <f>IF(I29=0,"",ABS(IFERROR((I29/I28),0)-1))</f>
        <v/>
      </c>
      <c r="J31" s="195"/>
      <c r="K31" s="194" t="str">
        <f>IF(K29=0,"",ABS(IFERROR((K29/K28),0)-1))</f>
        <v/>
      </c>
      <c r="L31" s="195"/>
      <c r="M31" s="194" t="str">
        <f>IF(M29=0,"",ABS(IFERROR((M29/M28),0)-1))</f>
        <v/>
      </c>
      <c r="N31" s="195"/>
      <c r="O31" s="194" t="str">
        <f>IF(O29=0,"",ABS(IFERROR((O29/O28),0)-1))</f>
        <v/>
      </c>
      <c r="P31" s="195"/>
      <c r="Q31" s="194" t="str">
        <f>IF(Q29=0,"",ABS(IFERROR((Q29/Q28),0)-1))</f>
        <v/>
      </c>
      <c r="R31" s="195"/>
      <c r="S31" s="194" t="str">
        <f>IF(S29=0,"",ABS(IFERROR((S29/S28),0)-1))</f>
        <v/>
      </c>
      <c r="T31" s="195"/>
      <c r="U31" s="194" t="str">
        <f>IF(U29=0,"",ABS(IFERROR((U29/U28),0)-1))</f>
        <v/>
      </c>
      <c r="V31" s="195"/>
      <c r="W31" s="194" t="str">
        <f>IF(W29=0,"",ABS(IFERROR((W29/W28),0)-1))</f>
        <v/>
      </c>
      <c r="X31" s="195"/>
      <c r="Y31" s="194" t="str">
        <f>IF(Y29=0,"",ABS(IFERROR((Y29/Y28),0)-1))</f>
        <v/>
      </c>
      <c r="Z31" s="195"/>
      <c r="AA31" s="194" t="str">
        <f>IF(AA29=0,"",ABS(IFERROR((AA29/AA28),0)-1))</f>
        <v/>
      </c>
      <c r="AB31" s="195"/>
      <c r="AC31" s="194" t="str">
        <f>IF(AC29=0,"",ABS(IFERROR((AC29/AC28),0)-1))</f>
        <v/>
      </c>
      <c r="AD31" s="195"/>
      <c r="AE31" s="194" t="str">
        <f>IF(AE29=0,"",ABS(IFERROR((AE29/AE28),0)-1))</f>
        <v/>
      </c>
      <c r="AF31" s="195"/>
      <c r="AG31" s="194" t="str">
        <f>IF(AG29=0,"",ABS(IFERROR((AG29/AG28),0)-1))</f>
        <v/>
      </c>
      <c r="AH31" s="195"/>
      <c r="AI31" s="194" t="str">
        <f>IF(AI29=0,"",ABS(IFERROR((AI29/AI28),0)-1))</f>
        <v/>
      </c>
      <c r="AJ31" s="195"/>
      <c r="AK31" s="194" t="str">
        <f>IF(AK29=0,"",ABS(IFERROR((AK29/AK28),0)-1))</f>
        <v/>
      </c>
      <c r="AL31" s="195"/>
      <c r="AM31" s="194" t="str">
        <f>IF(AM29=0,"",ABS(IFERROR((AM29/AM28),0)-1))</f>
        <v/>
      </c>
      <c r="AN31" s="195"/>
      <c r="AO31" s="194" t="str">
        <f>IF(AO29=0,"",ABS(IFERROR((AO29/AO28),0)-1))</f>
        <v/>
      </c>
      <c r="AP31" s="195"/>
      <c r="AQ31" s="194" t="str">
        <f>IF(AQ29=0,"",ABS(IFERROR((AQ29/AQ28),0)-1))</f>
        <v/>
      </c>
      <c r="AR31" s="195"/>
      <c r="AS31" s="194" t="str">
        <f>IF(AS29=0,"",ABS(IFERROR((AS29/AS28),0)-1))</f>
        <v/>
      </c>
      <c r="AT31" s="195"/>
      <c r="AU31" s="194" t="str">
        <f>IF(AU29=0,"",ABS(IFERROR((AU29/AU28),0)-1))</f>
        <v/>
      </c>
      <c r="AV31" s="195"/>
      <c r="AW31" s="194" t="str">
        <f>IF(AW29=0,"",ABS(IFERROR((AW29/AW28),0)-1))</f>
        <v/>
      </c>
      <c r="AX31" s="195"/>
      <c r="AY31" s="194" t="str">
        <f>IF(AY29=0,"",ABS(IFERROR((AY29/AY28),0)-1))</f>
        <v/>
      </c>
      <c r="AZ31" s="195"/>
      <c r="BA31" s="194" t="str">
        <f>IF(BA29=0,"",ABS(IFERROR((BA29/BA28),0)-1))</f>
        <v/>
      </c>
      <c r="BB31" s="195"/>
      <c r="BC31" s="194" t="str">
        <f>IF(BC29=0,"",ABS(IFERROR((BC29/BC28),0)-1))</f>
        <v/>
      </c>
      <c r="BD31" s="195"/>
      <c r="BE31" s="194" t="str">
        <f>IF(BE29=0,"",ABS(IFERROR((BE29/BE28),0)-1))</f>
        <v/>
      </c>
      <c r="BF31" s="195"/>
      <c r="BG31" s="194" t="str">
        <f>IF(BG29=0,"",ABS(IFERROR((BG29/BG28),0)-1))</f>
        <v/>
      </c>
      <c r="BH31" s="195"/>
      <c r="BI31" s="194" t="str">
        <f>IF(BI29=0,"",ABS(IFERROR((BI29/BI28),0)-1))</f>
        <v/>
      </c>
      <c r="BJ31" s="195"/>
      <c r="BK31" s="194" t="str">
        <f>IF(BK29=0,"",ABS(IFERROR((BK29/BK28),0)-1))</f>
        <v/>
      </c>
      <c r="BL31" s="195"/>
      <c r="BM31" s="194" t="str">
        <f>IF(BM29=0,"",ABS(IFERROR((BM29/BM28),0)-1))</f>
        <v/>
      </c>
      <c r="BN31" s="195"/>
      <c r="BO31" s="194" t="str">
        <f>IF(BO29=0,"",ABS(IFERROR((BO29/BO28),0)-1))</f>
        <v/>
      </c>
      <c r="BP31" s="195"/>
      <c r="BQ31" s="194" t="str">
        <f>IF(BQ29=0,"",ABS(IFERROR((BQ29/BQ28),0)-1))</f>
        <v/>
      </c>
      <c r="BR31" s="195"/>
      <c r="BS31" s="194" t="str">
        <f>IF(BS29=0,"",ABS(IFERROR((BS29/BS28),0)-1))</f>
        <v/>
      </c>
      <c r="BT31" s="195"/>
      <c r="BU31" s="26" t="e">
        <f>ABS(IFERROR((BU29/BU28),"")-1)</f>
        <v>#VALUE!</v>
      </c>
      <c r="BV31" s="15"/>
      <c r="BW31" s="21"/>
      <c r="BX31" s="3"/>
      <c r="BY31" s="3"/>
      <c r="BZ31" s="3"/>
    </row>
    <row r="32" spans="1:78" ht="15" thickBot="1" x14ac:dyDescent="0.35">
      <c r="A32" s="181"/>
      <c r="B32" s="22" t="s">
        <v>177</v>
      </c>
      <c r="C32" s="196" t="str">
        <f>IF(C31="","", IF(C31&lt;89%,"OVER STANDART",IF(C31=89%,"GOOD","UNDER STANDART")))</f>
        <v/>
      </c>
      <c r="D32" s="197"/>
      <c r="E32" s="196" t="str">
        <f>IF(E31="","", IF(E31&lt;89%,"OVER STANDART",IF(E31=89%,"GOOD","UNDER STANDART")))</f>
        <v/>
      </c>
      <c r="F32" s="197"/>
      <c r="G32" s="196" t="str">
        <f>IF(G31="","", IF(G31&lt;89%,"OVER STANDART",IF(G31=89%,"GOOD","UNDER STANDART")))</f>
        <v/>
      </c>
      <c r="H32" s="197"/>
      <c r="I32" s="196" t="str">
        <f>IF(I31="","", IF(I31&lt;89%,"OVER STANDART",IF(I31=89%,"GOOD","UNDER STANDART")))</f>
        <v/>
      </c>
      <c r="J32" s="197"/>
      <c r="K32" s="196" t="str">
        <f>IF(K31="","", IF(K31&lt;89%,"OVER STANDART",IF(K31=89%,"GOOD","UNDER STANDART")))</f>
        <v/>
      </c>
      <c r="L32" s="197"/>
      <c r="M32" s="196" t="str">
        <f>IF(M31="","", IF(M31&lt;89%,"OVER STANDART",IF(M31=89%,"GOOD","UNDER STANDART")))</f>
        <v/>
      </c>
      <c r="N32" s="197"/>
      <c r="O32" s="196" t="str">
        <f>IF(O31="","", IF(O31&lt;89%,"OVER STANDART",IF(O31=89%,"GOOD","UNDER STANDART")))</f>
        <v/>
      </c>
      <c r="P32" s="197"/>
      <c r="Q32" s="196" t="str">
        <f>IF(Q31="","", IF(Q31&lt;89%,"OVER STANDART",IF(Q31=89%,"GOOD","UNDER STANDART")))</f>
        <v/>
      </c>
      <c r="R32" s="197"/>
      <c r="S32" s="196" t="str">
        <f>IF(S31="","", IF(S31&lt;89%,"OVER STANDART",IF(S31=89%,"GOOD","UNDER STANDART")))</f>
        <v/>
      </c>
      <c r="T32" s="197"/>
      <c r="U32" s="196" t="str">
        <f>IF(U31="","", IF(U31&lt;89%,"OVER STANDART",IF(U31=89%,"GOOD","UNDER STANDART")))</f>
        <v/>
      </c>
      <c r="V32" s="197"/>
      <c r="W32" s="196" t="str">
        <f>IF(W31="","", IF(W31&lt;89%,"OVER STANDART",IF(W31=89%,"GOOD","UNDER STANDART")))</f>
        <v/>
      </c>
      <c r="X32" s="197"/>
      <c r="Y32" s="196" t="str">
        <f>IF(Y31="","", IF(Y31&lt;89%,"OVER STANDART",IF(Y31=89%,"GOOD","UNDER STANDART")))</f>
        <v/>
      </c>
      <c r="Z32" s="197"/>
      <c r="AA32" s="196" t="str">
        <f>IF(AA31="","", IF(AA31&lt;89%,"OVER STANDART",IF(AA31=89%,"GOOD","UNDER STANDART")))</f>
        <v/>
      </c>
      <c r="AB32" s="197"/>
      <c r="AC32" s="196" t="str">
        <f>IF(AC31="","", IF(AC31&lt;89%,"OVER STANDART",IF(AC31=89%,"GOOD","UNDER STANDART")))</f>
        <v/>
      </c>
      <c r="AD32" s="197"/>
      <c r="AE32" s="196" t="str">
        <f>IF(AE31="","", IF(AE31&lt;89%,"OVER STANDART",IF(AE31=89%,"GOOD","UNDER STANDART")))</f>
        <v/>
      </c>
      <c r="AF32" s="197"/>
      <c r="AG32" s="196" t="str">
        <f>IF(AG31="","", IF(AG31&lt;89%,"OVER STANDART",IF(AG31=89%,"GOOD","UNDER STANDART")))</f>
        <v/>
      </c>
      <c r="AH32" s="197"/>
      <c r="AI32" s="196" t="str">
        <f>IF(AI31="","", IF(AI31&lt;89%,"OVER STANDART",IF(AI31=89%,"GOOD","UNDER STANDART")))</f>
        <v/>
      </c>
      <c r="AJ32" s="197"/>
      <c r="AK32" s="196" t="str">
        <f>IF(AK31="","", IF(AK31&lt;89%,"OVER STANDART",IF(AK31=89%,"GOOD","UNDER STANDART")))</f>
        <v/>
      </c>
      <c r="AL32" s="197"/>
      <c r="AM32" s="196" t="str">
        <f>IF(AM31="","", IF(AM31&lt;89%,"OVER STANDART",IF(AM31=89%,"GOOD","UNDER STANDART")))</f>
        <v/>
      </c>
      <c r="AN32" s="197"/>
      <c r="AO32" s="196" t="str">
        <f>IF(AO31="","", IF(AO31&lt;89%,"OVER STANDART",IF(AO31=89%,"GOOD","UNDER STANDART")))</f>
        <v/>
      </c>
      <c r="AP32" s="197"/>
      <c r="AQ32" s="196" t="str">
        <f>IF(AQ31="","", IF(AQ31&lt;89%,"OVER STANDART",IF(AQ31=89%,"GOOD","UNDER STANDART")))</f>
        <v/>
      </c>
      <c r="AR32" s="197"/>
      <c r="AS32" s="196" t="str">
        <f>IF(AS31="","", IF(AS31&lt;89%,"OVER STANDART",IF(AS31=89%,"GOOD","UNDER STANDART")))</f>
        <v/>
      </c>
      <c r="AT32" s="197"/>
      <c r="AU32" s="196" t="str">
        <f>IF(AU31="","", IF(AU31&lt;89%,"OVER STANDART",IF(AU31=89%,"GOOD","UNDER STANDART")))</f>
        <v/>
      </c>
      <c r="AV32" s="197"/>
      <c r="AW32" s="196" t="str">
        <f>IF(AW31="","", IF(AW31&lt;89%,"OVER STANDART",IF(AW31=89%,"GOOD","UNDER STANDART")))</f>
        <v/>
      </c>
      <c r="AX32" s="197"/>
      <c r="AY32" s="196" t="str">
        <f>IF(AY31="","", IF(AY31&lt;89%,"OVER STANDART",IF(AY31=89%,"GOOD","UNDER STANDART")))</f>
        <v/>
      </c>
      <c r="AZ32" s="197"/>
      <c r="BA32" s="196" t="str">
        <f>IF(BA31="","", IF(BA31&lt;89%,"OVER STANDART",IF(BA31=89%,"GOOD","UNDER STANDART")))</f>
        <v/>
      </c>
      <c r="BB32" s="197"/>
      <c r="BC32" s="196" t="str">
        <f>IF(BC31="","", IF(BC31&lt;89%,"OVER STANDART",IF(BC31=89%,"GOOD","UNDER STANDART")))</f>
        <v/>
      </c>
      <c r="BD32" s="197"/>
      <c r="BE32" s="196" t="str">
        <f>IF(BE31="","", IF(BE31&lt;89%,"OVER STANDART",IF(BE31=89%,"GOOD","UNDER STANDART")))</f>
        <v/>
      </c>
      <c r="BF32" s="197"/>
      <c r="BG32" s="196" t="str">
        <f>IF(BG31="","", IF(BG31&lt;89%,"OVER STANDART",IF(BG31=89%,"GOOD","UNDER STANDART")))</f>
        <v/>
      </c>
      <c r="BH32" s="197"/>
      <c r="BI32" s="196" t="str">
        <f>IF(BI31="","", IF(BI31&lt;89%,"OVER STANDART",IF(BI31=89%,"GOOD","UNDER STANDART")))</f>
        <v/>
      </c>
      <c r="BJ32" s="197"/>
      <c r="BK32" s="196" t="str">
        <f>IF(BK31="","", IF(BK31&lt;89%,"OVER STANDART",IF(BK31=89%,"GOOD","UNDER STANDART")))</f>
        <v/>
      </c>
      <c r="BL32" s="197"/>
      <c r="BM32" s="196" t="str">
        <f>IF(BM31="","", IF(BM31&lt;89%,"OVER STANDART",IF(BM31=89%,"GOOD","UNDER STANDART")))</f>
        <v/>
      </c>
      <c r="BN32" s="197"/>
      <c r="BO32" s="196" t="str">
        <f>IF(BO31="","", IF(BO31&lt;89%,"OVER STANDART",IF(BO31=89%,"GOOD","UNDER STANDART")))</f>
        <v/>
      </c>
      <c r="BP32" s="197"/>
      <c r="BQ32" s="196" t="str">
        <f>IF(BQ31="","", IF(BQ31&lt;89%,"OVER STANDART",IF(BQ31=89%,"GOOD","UNDER STANDART")))</f>
        <v/>
      </c>
      <c r="BR32" s="197"/>
      <c r="BS32" s="196" t="str">
        <f>IF(BS31="","", IF(BS31&lt;89%,"OVER STANDART",IF(BS31=89%,"GOOD","UNDER STANDART")))</f>
        <v/>
      </c>
      <c r="BT32" s="197"/>
      <c r="BU32" s="24" t="e">
        <f>IF(BU31="","", IF(BU31&lt;89%,"OVER STANDART",IF(BU31=89%,"GOOD","UNDER STANDART")))</f>
        <v>#VALUE!</v>
      </c>
      <c r="BV32" s="23"/>
      <c r="BW32" s="25"/>
      <c r="BX32" s="3"/>
      <c r="BY32" s="3"/>
      <c r="BZ32" s="3"/>
    </row>
    <row r="33" spans="1:78" ht="14.5" x14ac:dyDescent="0.3">
      <c r="A33" s="198">
        <f>A28+1</f>
        <v>7</v>
      </c>
      <c r="B33" s="7" t="s">
        <v>278</v>
      </c>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9" t="str">
        <f>IF(SUMIF($C$2:$BT$2,"FRESH",C33:BT33)=0,"",SUMIF($C$2:$BT$2,"FRESH",C33:BT33))</f>
        <v/>
      </c>
      <c r="BV33" s="10" t="str">
        <f>IF(SUMIF($C$2:$BT$2,"GILING",C33:BT33)=0,"",SUMIF($C$2:$BT$2,"GILING",C33:BT33))</f>
        <v/>
      </c>
      <c r="BW33" s="11"/>
      <c r="BX33" s="3"/>
      <c r="BY33" s="3"/>
      <c r="BZ33" s="3"/>
    </row>
    <row r="34" spans="1:78" x14ac:dyDescent="0.3">
      <c r="A34" s="199"/>
      <c r="B34" s="12" t="s">
        <v>279</v>
      </c>
      <c r="C34" s="188">
        <f>IF(AND(C33="",D33=""),0,C33-D33)</f>
        <v>0</v>
      </c>
      <c r="D34" s="189"/>
      <c r="E34" s="188">
        <f>IF(AND(E33="",F33=""),0,E33-F33)</f>
        <v>0</v>
      </c>
      <c r="F34" s="189"/>
      <c r="G34" s="188">
        <f>IF(AND(G33="",H33=""),0,G33-H33)</f>
        <v>0</v>
      </c>
      <c r="H34" s="189"/>
      <c r="I34" s="188">
        <f>IF(AND(I33="",J33=""),0,I33-J33)</f>
        <v>0</v>
      </c>
      <c r="J34" s="189"/>
      <c r="K34" s="188">
        <f>IF(AND(K33="",L33=""),0,K33-L33)</f>
        <v>0</v>
      </c>
      <c r="L34" s="189"/>
      <c r="M34" s="188">
        <f>IF(AND(M33="",N33=""),0,M33-N33)</f>
        <v>0</v>
      </c>
      <c r="N34" s="189"/>
      <c r="O34" s="188">
        <f>IF(AND(O33="",P33=""),0,O33-P33)</f>
        <v>0</v>
      </c>
      <c r="P34" s="189"/>
      <c r="Q34" s="188">
        <f>IF(AND(Q33="",R33=""),0,Q33-R33)</f>
        <v>0</v>
      </c>
      <c r="R34" s="189"/>
      <c r="S34" s="188">
        <f>IF(AND(S33="",T33=""),0,S33-T33)</f>
        <v>0</v>
      </c>
      <c r="T34" s="189"/>
      <c r="U34" s="188">
        <f>IF(AND(U33="",V33=""),0,U33-V33)</f>
        <v>0</v>
      </c>
      <c r="V34" s="189"/>
      <c r="W34" s="188">
        <f>IF(AND(W33="",X33=""),0,W33-X33)</f>
        <v>0</v>
      </c>
      <c r="X34" s="189"/>
      <c r="Y34" s="188">
        <f>IF(AND(Y33="",Z33=""),0,Y33-Z33)</f>
        <v>0</v>
      </c>
      <c r="Z34" s="189"/>
      <c r="AA34" s="188">
        <f>IF(AND(AA33="",AB33=""),0,AA33-AB33)</f>
        <v>0</v>
      </c>
      <c r="AB34" s="189"/>
      <c r="AC34" s="188">
        <f>IF(AND(AC33="",AD33=""),0,AC33-AD33)</f>
        <v>0</v>
      </c>
      <c r="AD34" s="189"/>
      <c r="AE34" s="188">
        <f>IF(AND(AE33="",AF33=""),0,AE33-AF33)</f>
        <v>0</v>
      </c>
      <c r="AF34" s="189"/>
      <c r="AG34" s="188">
        <f>IF(AND(AG33="",AH33=""),0,AG33-AH33)</f>
        <v>0</v>
      </c>
      <c r="AH34" s="189"/>
      <c r="AI34" s="188">
        <f>IF(AND(AI33="",AJ33=""),0,AI33-AJ33)</f>
        <v>0</v>
      </c>
      <c r="AJ34" s="189"/>
      <c r="AK34" s="188">
        <f>IF(AND(AK33="",AL33=""),0,AK33-AL33)</f>
        <v>0</v>
      </c>
      <c r="AL34" s="189"/>
      <c r="AM34" s="188">
        <f>IF(AND(AM33="",AN33=""),0,AM33-AN33)</f>
        <v>0</v>
      </c>
      <c r="AN34" s="189"/>
      <c r="AO34" s="188">
        <f>IF(AND(AO33="",AP33=""),0,AO33-AP33)</f>
        <v>0</v>
      </c>
      <c r="AP34" s="189"/>
      <c r="AQ34" s="188">
        <f>IF(AND(AQ33="",AR33=""),0,AQ33-AR33)</f>
        <v>0</v>
      </c>
      <c r="AR34" s="189"/>
      <c r="AS34" s="188">
        <f>IF(AND(AS33="",AT33=""),0,AS33-AT33)</f>
        <v>0</v>
      </c>
      <c r="AT34" s="189"/>
      <c r="AU34" s="188">
        <f>IF(AND(AU33="",AV33=""),0,AU33-AV33)</f>
        <v>0</v>
      </c>
      <c r="AV34" s="189"/>
      <c r="AW34" s="188">
        <f>IF(AND(AW33="",AX33=""),0,AW33-AX33)</f>
        <v>0</v>
      </c>
      <c r="AX34" s="189"/>
      <c r="AY34" s="188">
        <f>IF(AND(AY33="",AZ33=""),0,AY33-AZ33)</f>
        <v>0</v>
      </c>
      <c r="AZ34" s="189"/>
      <c r="BA34" s="188">
        <f>IF(AND(BA33="",BB33=""),0,BA33-BB33)</f>
        <v>0</v>
      </c>
      <c r="BB34" s="189"/>
      <c r="BC34" s="188">
        <f>IF(AND(BC33="",BD33=""),0,BC33-BD33)</f>
        <v>0</v>
      </c>
      <c r="BD34" s="189"/>
      <c r="BE34" s="188">
        <f>IF(AND(BE33="",BF33=""),0,BE33-BF33)</f>
        <v>0</v>
      </c>
      <c r="BF34" s="189"/>
      <c r="BG34" s="188">
        <f>IF(AND(BG33="",BH33=""),0,BG33-BH33)</f>
        <v>0</v>
      </c>
      <c r="BH34" s="189"/>
      <c r="BI34" s="188">
        <f>IF(AND(BI33="",BJ33=""),0,BI33-BJ33)</f>
        <v>0</v>
      </c>
      <c r="BJ34" s="189"/>
      <c r="BK34" s="188">
        <f>IF(AND(BK33="",BL33=""),0,BK33-BL33)</f>
        <v>0</v>
      </c>
      <c r="BL34" s="189"/>
      <c r="BM34" s="188">
        <f>IF(AND(BM33="",BN33=""),0,BM33-BN33)</f>
        <v>0</v>
      </c>
      <c r="BN34" s="189"/>
      <c r="BO34" s="188">
        <f>IF(AND(BO33="",BP33=""),0,BO33-BP33)</f>
        <v>0</v>
      </c>
      <c r="BP34" s="189"/>
      <c r="BQ34" s="188">
        <f>IF(AND(BQ33="",BR33=""),0,BQ33-BR33)</f>
        <v>0</v>
      </c>
      <c r="BR34" s="189"/>
      <c r="BS34" s="188">
        <f>IF(AND(BS33="",BT33=""),0,BS33-BT33)</f>
        <v>0</v>
      </c>
      <c r="BT34" s="189"/>
      <c r="BU34" s="14" t="str">
        <f>IF(AND(BU33="",BV33=""),"",BU33-BV33)</f>
        <v/>
      </c>
      <c r="BV34" s="13"/>
      <c r="BW34" s="16" t="str">
        <f>IF(COUNTIF(D34:BT34,"&gt;0")=0,"",COUNTIF(D34:BT34,"&gt;0"))</f>
        <v/>
      </c>
      <c r="BX34" s="3"/>
      <c r="BY34" s="3"/>
      <c r="BZ34" s="3"/>
    </row>
    <row r="35" spans="1:78" ht="14.5" x14ac:dyDescent="0.3">
      <c r="A35" s="199"/>
      <c r="B35" s="12" t="s">
        <v>280</v>
      </c>
      <c r="C35" s="186">
        <f>IF(C34="",0,(D33/89%)-(C33))</f>
        <v>0</v>
      </c>
      <c r="D35" s="187"/>
      <c r="E35" s="186">
        <f>IF(E34="",0,(F33/89%)-(E33))</f>
        <v>0</v>
      </c>
      <c r="F35" s="187"/>
      <c r="G35" s="186">
        <f>IF(G34="",0,(H33/89%)-(G33))</f>
        <v>0</v>
      </c>
      <c r="H35" s="187"/>
      <c r="I35" s="186">
        <f>IF(I34="",0,(J33/89%)-(I33))</f>
        <v>0</v>
      </c>
      <c r="J35" s="187"/>
      <c r="K35" s="186">
        <f>IF(K34="",0,(L33/89%)-(K33))</f>
        <v>0</v>
      </c>
      <c r="L35" s="187"/>
      <c r="M35" s="186">
        <f>IF(M34="",0,(N33/89%)-(M33))</f>
        <v>0</v>
      </c>
      <c r="N35" s="187"/>
      <c r="O35" s="186">
        <f>IF(O34="",0,(P33/89%)-(O33))</f>
        <v>0</v>
      </c>
      <c r="P35" s="187"/>
      <c r="Q35" s="186">
        <f>IF(Q34="",0,(R33/89%)-(Q33))</f>
        <v>0</v>
      </c>
      <c r="R35" s="187"/>
      <c r="S35" s="186">
        <f>IF(S34="",0,(T33/89%)-(S33))</f>
        <v>0</v>
      </c>
      <c r="T35" s="187"/>
      <c r="U35" s="186">
        <f>IF(U34="",0,(V33/89%)-(U33))</f>
        <v>0</v>
      </c>
      <c r="V35" s="187"/>
      <c r="W35" s="186">
        <f>IF(W34="",0,(X33/89%)-(W33))</f>
        <v>0</v>
      </c>
      <c r="X35" s="187"/>
      <c r="Y35" s="186">
        <f>IF(Y34="",0,(Z33/89%)-(Y33))</f>
        <v>0</v>
      </c>
      <c r="Z35" s="187"/>
      <c r="AA35" s="186">
        <f>IF(AA34="",0,(AB33/89%)-(AA33))</f>
        <v>0</v>
      </c>
      <c r="AB35" s="187"/>
      <c r="AC35" s="186">
        <f>IF(AC34="",0,(AD33/89%)-(AC33))</f>
        <v>0</v>
      </c>
      <c r="AD35" s="187"/>
      <c r="AE35" s="186">
        <f>IF(AE34="",0,(AF33/89%)-(AE33))</f>
        <v>0</v>
      </c>
      <c r="AF35" s="187"/>
      <c r="AG35" s="186">
        <f>IF(AG34="",0,(AH33/89%)-(AG33))</f>
        <v>0</v>
      </c>
      <c r="AH35" s="187"/>
      <c r="AI35" s="186">
        <f>IF(AI34="",0,(AJ33/89%)-(AI33))</f>
        <v>0</v>
      </c>
      <c r="AJ35" s="187"/>
      <c r="AK35" s="186">
        <f>IF(AK34="",0,(AL33/89%)-(AK33))</f>
        <v>0</v>
      </c>
      <c r="AL35" s="187"/>
      <c r="AM35" s="186">
        <f>IF(AM34="",0,(AN33/89%)-(AM33))</f>
        <v>0</v>
      </c>
      <c r="AN35" s="187"/>
      <c r="AO35" s="186">
        <f>IF(AO34="",0,(AP33/89%)-(AO33))</f>
        <v>0</v>
      </c>
      <c r="AP35" s="187"/>
      <c r="AQ35" s="186">
        <f>IF(AQ34="",0,(AR33/89%)-(AQ33))</f>
        <v>0</v>
      </c>
      <c r="AR35" s="187"/>
      <c r="AS35" s="186">
        <f>IF(AS34="",0,(AT33/89%)-(AS33))</f>
        <v>0</v>
      </c>
      <c r="AT35" s="187"/>
      <c r="AU35" s="186">
        <f>IF(AU34="",0,(AV33/89%)-(AU33))</f>
        <v>0</v>
      </c>
      <c r="AV35" s="187"/>
      <c r="AW35" s="186">
        <f>IF(AW34="",0,(AX33/89%)-(AW33))</f>
        <v>0</v>
      </c>
      <c r="AX35" s="187"/>
      <c r="AY35" s="186">
        <f>IF(AY34="",0,(AZ33/89%)-(AY33))</f>
        <v>0</v>
      </c>
      <c r="AZ35" s="187"/>
      <c r="BA35" s="186">
        <f>IF(BA34="",0,(BB33/89%)-(BA33))</f>
        <v>0</v>
      </c>
      <c r="BB35" s="187"/>
      <c r="BC35" s="186">
        <f>IF(BC34="",0,(BD33/89%)-(BC33))</f>
        <v>0</v>
      </c>
      <c r="BD35" s="187"/>
      <c r="BE35" s="186">
        <f>IF(BE34="",0,(BF33/89%)-(BE33))</f>
        <v>0</v>
      </c>
      <c r="BF35" s="187"/>
      <c r="BG35" s="186">
        <f>IF(BG34="",0,(BH33/89%)-(BG33))</f>
        <v>0</v>
      </c>
      <c r="BH35" s="187"/>
      <c r="BI35" s="186">
        <f>IF(BI34="",0,(BJ33/89%)-(BI33))</f>
        <v>0</v>
      </c>
      <c r="BJ35" s="187"/>
      <c r="BK35" s="186">
        <f>IF(BK34="",0,(BL33/89%)-(BK33))</f>
        <v>0</v>
      </c>
      <c r="BL35" s="187"/>
      <c r="BM35" s="186">
        <f>IF(BM34="",0,(BN33/89%)-(BM33))</f>
        <v>0</v>
      </c>
      <c r="BN35" s="187"/>
      <c r="BO35" s="186">
        <f>IF(BO34="",0,(BP33/89%)-(BO33))</f>
        <v>0</v>
      </c>
      <c r="BP35" s="187"/>
      <c r="BQ35" s="186">
        <f>IF(BQ34="",0,(BR33/89%)-(BQ33))</f>
        <v>0</v>
      </c>
      <c r="BR35" s="187"/>
      <c r="BS35" s="186">
        <f>IF(BS34="",0,(BT33/89%)-(BS33))</f>
        <v>0</v>
      </c>
      <c r="BT35" s="187"/>
      <c r="BU35" s="17" t="str">
        <f>IF(BU34="","",(BV33/89%)-(BU33))</f>
        <v/>
      </c>
      <c r="BV35" s="13"/>
      <c r="BW35" s="18" t="str">
        <f>IF(AND(BU33="",BV33=""),"",(BU33-BV33)-BU34)</f>
        <v/>
      </c>
      <c r="BX35" s="3"/>
      <c r="BY35" s="3"/>
      <c r="BZ35" s="3"/>
    </row>
    <row r="36" spans="1:78" ht="14.5" x14ac:dyDescent="0.3">
      <c r="A36" s="199"/>
      <c r="B36" s="19" t="s">
        <v>281</v>
      </c>
      <c r="C36" s="194" t="str">
        <f>IF(C34=0,"",ABS(IFERROR((C34/C33),0)-1))</f>
        <v/>
      </c>
      <c r="D36" s="195"/>
      <c r="E36" s="194" t="str">
        <f>IF(E34=0,"",ABS(IFERROR((E34/E33),0)-1))</f>
        <v/>
      </c>
      <c r="F36" s="195"/>
      <c r="G36" s="194" t="str">
        <f>IF(G34=0,"",ABS(IFERROR((G34/G33),0)-1))</f>
        <v/>
      </c>
      <c r="H36" s="195"/>
      <c r="I36" s="194" t="str">
        <f>IF(I34=0,"",ABS(IFERROR((I34/I33),0)-1))</f>
        <v/>
      </c>
      <c r="J36" s="195"/>
      <c r="K36" s="194" t="str">
        <f>IF(K34=0,"",ABS(IFERROR((K34/K33),0)-1))</f>
        <v/>
      </c>
      <c r="L36" s="195"/>
      <c r="M36" s="194" t="str">
        <f>IF(M34=0,"",ABS(IFERROR((M34/M33),0)-1))</f>
        <v/>
      </c>
      <c r="N36" s="195"/>
      <c r="O36" s="194" t="str">
        <f>IF(O34=0,"",ABS(IFERROR((O34/O33),0)-1))</f>
        <v/>
      </c>
      <c r="P36" s="195"/>
      <c r="Q36" s="194" t="str">
        <f>IF(Q34=0,"",ABS(IFERROR((Q34/Q33),0)-1))</f>
        <v/>
      </c>
      <c r="R36" s="195"/>
      <c r="S36" s="194" t="str">
        <f>IF(S34=0,"",ABS(IFERROR((S34/S33),0)-1))</f>
        <v/>
      </c>
      <c r="T36" s="195"/>
      <c r="U36" s="194" t="str">
        <f>IF(U34=0,"",ABS(IFERROR((U34/U33),0)-1))</f>
        <v/>
      </c>
      <c r="V36" s="195"/>
      <c r="W36" s="194" t="str">
        <f>IF(W34=0,"",ABS(IFERROR((W34/W33),0)-1))</f>
        <v/>
      </c>
      <c r="X36" s="195"/>
      <c r="Y36" s="194" t="str">
        <f>IF(Y34=0,"",ABS(IFERROR((Y34/Y33),0)-1))</f>
        <v/>
      </c>
      <c r="Z36" s="195"/>
      <c r="AA36" s="194" t="str">
        <f>IF(AA34=0,"",ABS(IFERROR((AA34/AA33),0)-1))</f>
        <v/>
      </c>
      <c r="AB36" s="195"/>
      <c r="AC36" s="194" t="str">
        <f>IF(AC34=0,"",ABS(IFERROR((AC34/AC33),0)-1))</f>
        <v/>
      </c>
      <c r="AD36" s="195"/>
      <c r="AE36" s="194" t="str">
        <f>IF(AE34=0,"",ABS(IFERROR((AE34/AE33),0)-1))</f>
        <v/>
      </c>
      <c r="AF36" s="195"/>
      <c r="AG36" s="194" t="str">
        <f>IF(AG34=0,"",ABS(IFERROR((AG34/AG33),0)-1))</f>
        <v/>
      </c>
      <c r="AH36" s="195"/>
      <c r="AI36" s="194" t="str">
        <f>IF(AI34=0,"",ABS(IFERROR((AI34/AI33),0)-1))</f>
        <v/>
      </c>
      <c r="AJ36" s="195"/>
      <c r="AK36" s="194" t="str">
        <f>IF(AK34=0,"",ABS(IFERROR((AK34/AK33),0)-1))</f>
        <v/>
      </c>
      <c r="AL36" s="195"/>
      <c r="AM36" s="194" t="str">
        <f>IF(AM34=0,"",ABS(IFERROR((AM34/AM33),0)-1))</f>
        <v/>
      </c>
      <c r="AN36" s="195"/>
      <c r="AO36" s="194" t="str">
        <f>IF(AO34=0,"",ABS(IFERROR((AO34/AO33),0)-1))</f>
        <v/>
      </c>
      <c r="AP36" s="195"/>
      <c r="AQ36" s="194" t="str">
        <f>IF(AQ34=0,"",ABS(IFERROR((AQ34/AQ33),0)-1))</f>
        <v/>
      </c>
      <c r="AR36" s="195"/>
      <c r="AS36" s="194" t="str">
        <f>IF(AS34=0,"",ABS(IFERROR((AS34/AS33),0)-1))</f>
        <v/>
      </c>
      <c r="AT36" s="195"/>
      <c r="AU36" s="194" t="str">
        <f>IF(AU34=0,"",ABS(IFERROR((AU34/AU33),0)-1))</f>
        <v/>
      </c>
      <c r="AV36" s="195"/>
      <c r="AW36" s="194" t="str">
        <f>IF(AW34=0,"",ABS(IFERROR((AW34/AW33),0)-1))</f>
        <v/>
      </c>
      <c r="AX36" s="195"/>
      <c r="AY36" s="194" t="str">
        <f>IF(AY34=0,"",ABS(IFERROR((AY34/AY33),0)-1))</f>
        <v/>
      </c>
      <c r="AZ36" s="195"/>
      <c r="BA36" s="194" t="str">
        <f>IF(BA34=0,"",ABS(IFERROR((BA34/BA33),0)-1))</f>
        <v/>
      </c>
      <c r="BB36" s="195"/>
      <c r="BC36" s="194" t="str">
        <f>IF(BC34=0,"",ABS(IFERROR((BC34/BC33),0)-1))</f>
        <v/>
      </c>
      <c r="BD36" s="195"/>
      <c r="BE36" s="194" t="str">
        <f>IF(BE34=0,"",ABS(IFERROR((BE34/BE33),0)-1))</f>
        <v/>
      </c>
      <c r="BF36" s="195"/>
      <c r="BG36" s="194" t="str">
        <f>IF(BG34=0,"",ABS(IFERROR((BG34/BG33),0)-1))</f>
        <v/>
      </c>
      <c r="BH36" s="195"/>
      <c r="BI36" s="194" t="str">
        <f>IF(BI34=0,"",ABS(IFERROR((BI34/BI33),0)-1))</f>
        <v/>
      </c>
      <c r="BJ36" s="195"/>
      <c r="BK36" s="194" t="str">
        <f>IF(BK34=0,"",ABS(IFERROR((BK34/BK33),0)-1))</f>
        <v/>
      </c>
      <c r="BL36" s="195"/>
      <c r="BM36" s="194" t="str">
        <f>IF(BM34=0,"",ABS(IFERROR((BM34/BM33),0)-1))</f>
        <v/>
      </c>
      <c r="BN36" s="195"/>
      <c r="BO36" s="194" t="str">
        <f>IF(BO34=0,"",ABS(IFERROR((BO34/BO33),0)-1))</f>
        <v/>
      </c>
      <c r="BP36" s="195"/>
      <c r="BQ36" s="194" t="str">
        <f>IF(BQ34=0,"",ABS(IFERROR((BQ34/BQ33),0)-1))</f>
        <v/>
      </c>
      <c r="BR36" s="195"/>
      <c r="BS36" s="194" t="str">
        <f>IF(BS34=0,"",ABS(IFERROR((BS34/BS33),0)-1))</f>
        <v/>
      </c>
      <c r="BT36" s="195"/>
      <c r="BU36" s="26" t="e">
        <f>ABS(IFERROR((BU34/BU33),"")-1)</f>
        <v>#VALUE!</v>
      </c>
      <c r="BV36" s="15"/>
      <c r="BW36" s="21"/>
      <c r="BX36" s="3"/>
      <c r="BY36" s="3"/>
      <c r="BZ36" s="3"/>
    </row>
    <row r="37" spans="1:78" ht="15" thickBot="1" x14ac:dyDescent="0.35">
      <c r="A37" s="181"/>
      <c r="B37" s="22" t="s">
        <v>177</v>
      </c>
      <c r="C37" s="196" t="str">
        <f>IF(C36="","", IF(C36&lt;89%,"OVER STANDART",IF(C36=89%,"GOOD","UNDER STANDART")))</f>
        <v/>
      </c>
      <c r="D37" s="197"/>
      <c r="E37" s="196" t="str">
        <f>IF(E36="","", IF(E36&lt;89%,"OVER STANDART",IF(E36=89%,"GOOD","UNDER STANDART")))</f>
        <v/>
      </c>
      <c r="F37" s="197"/>
      <c r="G37" s="196" t="str">
        <f>IF(G36="","", IF(G36&lt;89%,"OVER STANDART",IF(G36=89%,"GOOD","UNDER STANDART")))</f>
        <v/>
      </c>
      <c r="H37" s="197"/>
      <c r="I37" s="196" t="str">
        <f>IF(I36="","", IF(I36&lt;89%,"OVER STANDART",IF(I36=89%,"GOOD","UNDER STANDART")))</f>
        <v/>
      </c>
      <c r="J37" s="197"/>
      <c r="K37" s="196" t="str">
        <f>IF(K36="","", IF(K36&lt;89%,"OVER STANDART",IF(K36=89%,"GOOD","UNDER STANDART")))</f>
        <v/>
      </c>
      <c r="L37" s="197"/>
      <c r="M37" s="196" t="str">
        <f>IF(M36="","", IF(M36&lt;89%,"OVER STANDART",IF(M36=89%,"GOOD","UNDER STANDART")))</f>
        <v/>
      </c>
      <c r="N37" s="197"/>
      <c r="O37" s="196" t="str">
        <f>IF(O36="","", IF(O36&lt;89%,"OVER STANDART",IF(O36=89%,"GOOD","UNDER STANDART")))</f>
        <v/>
      </c>
      <c r="P37" s="197"/>
      <c r="Q37" s="196" t="str">
        <f>IF(Q36="","", IF(Q36&lt;89%,"OVER STANDART",IF(Q36=89%,"GOOD","UNDER STANDART")))</f>
        <v/>
      </c>
      <c r="R37" s="197"/>
      <c r="S37" s="196" t="str">
        <f>IF(S36="","", IF(S36&lt;89%,"OVER STANDART",IF(S36=89%,"GOOD","UNDER STANDART")))</f>
        <v/>
      </c>
      <c r="T37" s="197"/>
      <c r="U37" s="196" t="str">
        <f>IF(U36="","", IF(U36&lt;89%,"OVER STANDART",IF(U36=89%,"GOOD","UNDER STANDART")))</f>
        <v/>
      </c>
      <c r="V37" s="197"/>
      <c r="W37" s="196" t="str">
        <f>IF(W36="","", IF(W36&lt;89%,"OVER STANDART",IF(W36=89%,"GOOD","UNDER STANDART")))</f>
        <v/>
      </c>
      <c r="X37" s="197"/>
      <c r="Y37" s="196" t="str">
        <f>IF(Y36="","", IF(Y36&lt;89%,"OVER STANDART",IF(Y36=89%,"GOOD","UNDER STANDART")))</f>
        <v/>
      </c>
      <c r="Z37" s="197"/>
      <c r="AA37" s="196" t="str">
        <f>IF(AA36="","", IF(AA36&lt;89%,"OVER STANDART",IF(AA36=89%,"GOOD","UNDER STANDART")))</f>
        <v/>
      </c>
      <c r="AB37" s="197"/>
      <c r="AC37" s="196" t="str">
        <f>IF(AC36="","", IF(AC36&lt;89%,"OVER STANDART",IF(AC36=89%,"GOOD","UNDER STANDART")))</f>
        <v/>
      </c>
      <c r="AD37" s="197"/>
      <c r="AE37" s="196" t="str">
        <f>IF(AE36="","", IF(AE36&lt;89%,"OVER STANDART",IF(AE36=89%,"GOOD","UNDER STANDART")))</f>
        <v/>
      </c>
      <c r="AF37" s="197"/>
      <c r="AG37" s="196" t="str">
        <f>IF(AG36="","", IF(AG36&lt;89%,"OVER STANDART",IF(AG36=89%,"GOOD","UNDER STANDART")))</f>
        <v/>
      </c>
      <c r="AH37" s="197"/>
      <c r="AI37" s="196" t="str">
        <f>IF(AI36="","", IF(AI36&lt;89%,"OVER STANDART",IF(AI36=89%,"GOOD","UNDER STANDART")))</f>
        <v/>
      </c>
      <c r="AJ37" s="197"/>
      <c r="AK37" s="196" t="str">
        <f>IF(AK36="","", IF(AK36&lt;89%,"OVER STANDART",IF(AK36=89%,"GOOD","UNDER STANDART")))</f>
        <v/>
      </c>
      <c r="AL37" s="197"/>
      <c r="AM37" s="196" t="str">
        <f>IF(AM36="","", IF(AM36&lt;89%,"OVER STANDART",IF(AM36=89%,"GOOD","UNDER STANDART")))</f>
        <v/>
      </c>
      <c r="AN37" s="197"/>
      <c r="AO37" s="196" t="str">
        <f>IF(AO36="","", IF(AO36&lt;89%,"OVER STANDART",IF(AO36=89%,"GOOD","UNDER STANDART")))</f>
        <v/>
      </c>
      <c r="AP37" s="197"/>
      <c r="AQ37" s="196" t="str">
        <f>IF(AQ36="","", IF(AQ36&lt;89%,"OVER STANDART",IF(AQ36=89%,"GOOD","UNDER STANDART")))</f>
        <v/>
      </c>
      <c r="AR37" s="197"/>
      <c r="AS37" s="196" t="str">
        <f>IF(AS36="","", IF(AS36&lt;89%,"OVER STANDART",IF(AS36=89%,"GOOD","UNDER STANDART")))</f>
        <v/>
      </c>
      <c r="AT37" s="197"/>
      <c r="AU37" s="196" t="str">
        <f>IF(AU36="","", IF(AU36&lt;89%,"OVER STANDART",IF(AU36=89%,"GOOD","UNDER STANDART")))</f>
        <v/>
      </c>
      <c r="AV37" s="197"/>
      <c r="AW37" s="196" t="str">
        <f>IF(AW36="","", IF(AW36&lt;89%,"OVER STANDART",IF(AW36=89%,"GOOD","UNDER STANDART")))</f>
        <v/>
      </c>
      <c r="AX37" s="197"/>
      <c r="AY37" s="196" t="str">
        <f>IF(AY36="","", IF(AY36&lt;89%,"OVER STANDART",IF(AY36=89%,"GOOD","UNDER STANDART")))</f>
        <v/>
      </c>
      <c r="AZ37" s="197"/>
      <c r="BA37" s="196" t="str">
        <f>IF(BA36="","", IF(BA36&lt;89%,"OVER STANDART",IF(BA36=89%,"GOOD","UNDER STANDART")))</f>
        <v/>
      </c>
      <c r="BB37" s="197"/>
      <c r="BC37" s="196" t="str">
        <f>IF(BC36="","", IF(BC36&lt;89%,"OVER STANDART",IF(BC36=89%,"GOOD","UNDER STANDART")))</f>
        <v/>
      </c>
      <c r="BD37" s="197"/>
      <c r="BE37" s="196" t="str">
        <f>IF(BE36="","", IF(BE36&lt;89%,"OVER STANDART",IF(BE36=89%,"GOOD","UNDER STANDART")))</f>
        <v/>
      </c>
      <c r="BF37" s="197"/>
      <c r="BG37" s="196" t="str">
        <f>IF(BG36="","", IF(BG36&lt;89%,"OVER STANDART",IF(BG36=89%,"GOOD","UNDER STANDART")))</f>
        <v/>
      </c>
      <c r="BH37" s="197"/>
      <c r="BI37" s="196" t="str">
        <f>IF(BI36="","", IF(BI36&lt;89%,"OVER STANDART",IF(BI36=89%,"GOOD","UNDER STANDART")))</f>
        <v/>
      </c>
      <c r="BJ37" s="197"/>
      <c r="BK37" s="196" t="str">
        <f>IF(BK36="","", IF(BK36&lt;89%,"OVER STANDART",IF(BK36=89%,"GOOD","UNDER STANDART")))</f>
        <v/>
      </c>
      <c r="BL37" s="197"/>
      <c r="BM37" s="196" t="str">
        <f>IF(BM36="","", IF(BM36&lt;89%,"OVER STANDART",IF(BM36=89%,"GOOD","UNDER STANDART")))</f>
        <v/>
      </c>
      <c r="BN37" s="197"/>
      <c r="BO37" s="196" t="str">
        <f>IF(BO36="","", IF(BO36&lt;89%,"OVER STANDART",IF(BO36=89%,"GOOD","UNDER STANDART")))</f>
        <v/>
      </c>
      <c r="BP37" s="197"/>
      <c r="BQ37" s="196" t="str">
        <f>IF(BQ36="","", IF(BQ36&lt;89%,"OVER STANDART",IF(BQ36=89%,"GOOD","UNDER STANDART")))</f>
        <v/>
      </c>
      <c r="BR37" s="197"/>
      <c r="BS37" s="196" t="str">
        <f>IF(BS36="","", IF(BS36&lt;89%,"OVER STANDART",IF(BS36=89%,"GOOD","UNDER STANDART")))</f>
        <v/>
      </c>
      <c r="BT37" s="197"/>
      <c r="BU37" s="24" t="e">
        <f>IF(BU36="","", IF(BU36&lt;89%,"OVER STANDART",IF(BU36=89%,"GOOD","UNDER STANDART")))</f>
        <v>#VALUE!</v>
      </c>
      <c r="BV37" s="23"/>
      <c r="BW37" s="25"/>
      <c r="BX37" s="3"/>
      <c r="BY37" s="3"/>
      <c r="BZ37" s="3"/>
    </row>
    <row r="38" spans="1:78" ht="14.5" x14ac:dyDescent="0.3">
      <c r="A38" s="198">
        <f>A33+1</f>
        <v>8</v>
      </c>
      <c r="B38" s="7" t="s">
        <v>278</v>
      </c>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9" t="str">
        <f>IF(SUMIF($C$2:$BT$2,"FRESH",C38:BT38)=0,"",SUMIF($C$2:$BT$2,"FRESH",C38:BT38))</f>
        <v/>
      </c>
      <c r="BV38" s="10" t="str">
        <f>IF(SUMIF($C$2:$BT$2,"GILING",C38:BT38)=0,"",SUMIF($C$2:$BT$2,"GILING",C38:BT38))</f>
        <v/>
      </c>
      <c r="BW38" s="11"/>
      <c r="BX38" s="3"/>
      <c r="BY38" s="3"/>
      <c r="BZ38" s="3"/>
    </row>
    <row r="39" spans="1:78" x14ac:dyDescent="0.3">
      <c r="A39" s="199"/>
      <c r="B39" s="12" t="s">
        <v>279</v>
      </c>
      <c r="C39" s="188">
        <f>IF(AND(C38="",D38=""),0,C38-D38)</f>
        <v>0</v>
      </c>
      <c r="D39" s="189"/>
      <c r="E39" s="188">
        <f>IF(AND(E38="",F38=""),0,E38-F38)</f>
        <v>0</v>
      </c>
      <c r="F39" s="189"/>
      <c r="G39" s="188">
        <f>IF(AND(G38="",H38=""),0,G38-H38)</f>
        <v>0</v>
      </c>
      <c r="H39" s="189"/>
      <c r="I39" s="188">
        <f>IF(AND(I38="",J38=""),0,I38-J38)</f>
        <v>0</v>
      </c>
      <c r="J39" s="189"/>
      <c r="K39" s="188">
        <f>IF(AND(K38="",L38=""),0,K38-L38)</f>
        <v>0</v>
      </c>
      <c r="L39" s="189"/>
      <c r="M39" s="188">
        <f>IF(AND(M38="",N38=""),0,M38-N38)</f>
        <v>0</v>
      </c>
      <c r="N39" s="189"/>
      <c r="O39" s="188">
        <f>IF(AND(O38="",P38=""),0,O38-P38)</f>
        <v>0</v>
      </c>
      <c r="P39" s="189"/>
      <c r="Q39" s="188">
        <f>IF(AND(Q38="",R38=""),0,Q38-R38)</f>
        <v>0</v>
      </c>
      <c r="R39" s="189"/>
      <c r="S39" s="188">
        <f>IF(AND(S38="",T38=""),0,S38-T38)</f>
        <v>0</v>
      </c>
      <c r="T39" s="189"/>
      <c r="U39" s="188">
        <f>IF(AND(U38="",V38=""),0,U38-V38)</f>
        <v>0</v>
      </c>
      <c r="V39" s="189"/>
      <c r="W39" s="188">
        <f>IF(AND(W38="",X38=""),0,W38-X38)</f>
        <v>0</v>
      </c>
      <c r="X39" s="189"/>
      <c r="Y39" s="188">
        <f>IF(AND(Y38="",Z38=""),0,Y38-Z38)</f>
        <v>0</v>
      </c>
      <c r="Z39" s="189"/>
      <c r="AA39" s="188">
        <f>IF(AND(AA38="",AB38=""),0,AA38-AB38)</f>
        <v>0</v>
      </c>
      <c r="AB39" s="189"/>
      <c r="AC39" s="188">
        <f>IF(AND(AC38="",AD38=""),0,AC38-AD38)</f>
        <v>0</v>
      </c>
      <c r="AD39" s="189"/>
      <c r="AE39" s="188">
        <f>IF(AND(AE38="",AF38=""),0,AE38-AF38)</f>
        <v>0</v>
      </c>
      <c r="AF39" s="189"/>
      <c r="AG39" s="188">
        <f>IF(AND(AG38="",AH38=""),0,AG38-AH38)</f>
        <v>0</v>
      </c>
      <c r="AH39" s="189"/>
      <c r="AI39" s="188">
        <f>IF(AND(AI38="",AJ38=""),0,AI38-AJ38)</f>
        <v>0</v>
      </c>
      <c r="AJ39" s="189"/>
      <c r="AK39" s="188">
        <f>IF(AND(AK38="",AL38=""),0,AK38-AL38)</f>
        <v>0</v>
      </c>
      <c r="AL39" s="189"/>
      <c r="AM39" s="188">
        <f>IF(AND(AM38="",AN38=""),0,AM38-AN38)</f>
        <v>0</v>
      </c>
      <c r="AN39" s="189"/>
      <c r="AO39" s="188">
        <f>IF(AND(AO38="",AP38=""),0,AO38-AP38)</f>
        <v>0</v>
      </c>
      <c r="AP39" s="189"/>
      <c r="AQ39" s="188">
        <f>IF(AND(AQ38="",AR38=""),0,AQ38-AR38)</f>
        <v>0</v>
      </c>
      <c r="AR39" s="189"/>
      <c r="AS39" s="188">
        <f>IF(AND(AS38="",AT38=""),0,AS38-AT38)</f>
        <v>0</v>
      </c>
      <c r="AT39" s="189"/>
      <c r="AU39" s="188">
        <f>IF(AND(AU38="",AV38=""),0,AU38-AV38)</f>
        <v>0</v>
      </c>
      <c r="AV39" s="189"/>
      <c r="AW39" s="188">
        <f>IF(AND(AW38="",AX38=""),0,AW38-AX38)</f>
        <v>0</v>
      </c>
      <c r="AX39" s="189"/>
      <c r="AY39" s="188">
        <f>IF(AND(AY38="",AZ38=""),0,AY38-AZ38)</f>
        <v>0</v>
      </c>
      <c r="AZ39" s="189"/>
      <c r="BA39" s="188">
        <f>IF(AND(BA38="",BB38=""),0,BA38-BB38)</f>
        <v>0</v>
      </c>
      <c r="BB39" s="189"/>
      <c r="BC39" s="188">
        <f>IF(AND(BC38="",BD38=""),0,BC38-BD38)</f>
        <v>0</v>
      </c>
      <c r="BD39" s="189"/>
      <c r="BE39" s="188">
        <f>IF(AND(BE38="",BF38=""),0,BE38-BF38)</f>
        <v>0</v>
      </c>
      <c r="BF39" s="189"/>
      <c r="BG39" s="188">
        <f>IF(AND(BG38="",BH38=""),0,BG38-BH38)</f>
        <v>0</v>
      </c>
      <c r="BH39" s="189"/>
      <c r="BI39" s="188">
        <f>IF(AND(BI38="",BJ38=""),0,BI38-BJ38)</f>
        <v>0</v>
      </c>
      <c r="BJ39" s="189"/>
      <c r="BK39" s="188">
        <f>IF(AND(BK38="",BL38=""),0,BK38-BL38)</f>
        <v>0</v>
      </c>
      <c r="BL39" s="189"/>
      <c r="BM39" s="188">
        <f>IF(AND(BM38="",BN38=""),0,BM38-BN38)</f>
        <v>0</v>
      </c>
      <c r="BN39" s="189"/>
      <c r="BO39" s="188">
        <f>IF(AND(BO38="",BP38=""),0,BO38-BP38)</f>
        <v>0</v>
      </c>
      <c r="BP39" s="189"/>
      <c r="BQ39" s="188">
        <f>IF(AND(BQ38="",BR38=""),0,BQ38-BR38)</f>
        <v>0</v>
      </c>
      <c r="BR39" s="189"/>
      <c r="BS39" s="188">
        <f>IF(AND(BS38="",BT38=""),0,BS38-BT38)</f>
        <v>0</v>
      </c>
      <c r="BT39" s="189"/>
      <c r="BU39" s="14" t="str">
        <f>IF(AND(BU38="",BV38=""),"",BU38-BV38)</f>
        <v/>
      </c>
      <c r="BV39" s="13"/>
      <c r="BW39" s="16" t="str">
        <f>IF(COUNTIF(D39:BT39,"&gt;0")=0,"",COUNTIF(D39:BT39,"&gt;0"))</f>
        <v/>
      </c>
      <c r="BX39" s="3"/>
      <c r="BY39" s="3"/>
      <c r="BZ39" s="3"/>
    </row>
    <row r="40" spans="1:78" ht="14.5" x14ac:dyDescent="0.3">
      <c r="A40" s="199"/>
      <c r="B40" s="12" t="s">
        <v>280</v>
      </c>
      <c r="C40" s="186">
        <f>IF(C39="",0,(D38/89%)-(C38))</f>
        <v>0</v>
      </c>
      <c r="D40" s="187"/>
      <c r="E40" s="186">
        <f>IF(E39="",0,(F38/89%)-(E38))</f>
        <v>0</v>
      </c>
      <c r="F40" s="187"/>
      <c r="G40" s="186">
        <f>IF(G39="",0,(H38/89%)-(G38))</f>
        <v>0</v>
      </c>
      <c r="H40" s="187"/>
      <c r="I40" s="186">
        <f>IF(I39="",0,(J38/89%)-(I38))</f>
        <v>0</v>
      </c>
      <c r="J40" s="187"/>
      <c r="K40" s="186">
        <f>IF(K39="",0,(L38/89%)-(K38))</f>
        <v>0</v>
      </c>
      <c r="L40" s="187"/>
      <c r="M40" s="186">
        <f>IF(M39="",0,(N38/89%)-(M38))</f>
        <v>0</v>
      </c>
      <c r="N40" s="187"/>
      <c r="O40" s="186">
        <f>IF(O39="",0,(P38/89%)-(O38))</f>
        <v>0</v>
      </c>
      <c r="P40" s="187"/>
      <c r="Q40" s="186">
        <f>IF(Q39="",0,(R38/89%)-(Q38))</f>
        <v>0</v>
      </c>
      <c r="R40" s="187"/>
      <c r="S40" s="186">
        <f>IF(S39="",0,(T38/89%)-(S38))</f>
        <v>0</v>
      </c>
      <c r="T40" s="187"/>
      <c r="U40" s="186">
        <f>IF(U39="",0,(V38/89%)-(U38))</f>
        <v>0</v>
      </c>
      <c r="V40" s="187"/>
      <c r="W40" s="186">
        <f>IF(W39="",0,(X38/89%)-(W38))</f>
        <v>0</v>
      </c>
      <c r="X40" s="187"/>
      <c r="Y40" s="186">
        <f>IF(Y39="",0,(Z38/89%)-(Y38))</f>
        <v>0</v>
      </c>
      <c r="Z40" s="187"/>
      <c r="AA40" s="186">
        <f>IF(AA39="",0,(AB38/89%)-(AA38))</f>
        <v>0</v>
      </c>
      <c r="AB40" s="187"/>
      <c r="AC40" s="186">
        <f>IF(AC39="",0,(AD38/89%)-(AC38))</f>
        <v>0</v>
      </c>
      <c r="AD40" s="187"/>
      <c r="AE40" s="186">
        <f>IF(AE39="",0,(AF38/89%)-(AE38))</f>
        <v>0</v>
      </c>
      <c r="AF40" s="187"/>
      <c r="AG40" s="186">
        <f>IF(AG39="",0,(AH38/89%)-(AG38))</f>
        <v>0</v>
      </c>
      <c r="AH40" s="187"/>
      <c r="AI40" s="186">
        <f>IF(AI39="",0,(AJ38/89%)-(AI38))</f>
        <v>0</v>
      </c>
      <c r="AJ40" s="187"/>
      <c r="AK40" s="186">
        <f>IF(AK39="",0,(AL38/89%)-(AK38))</f>
        <v>0</v>
      </c>
      <c r="AL40" s="187"/>
      <c r="AM40" s="186">
        <f>IF(AM39="",0,(AN38/89%)-(AM38))</f>
        <v>0</v>
      </c>
      <c r="AN40" s="187"/>
      <c r="AO40" s="186">
        <f>IF(AO39="",0,(AP38/89%)-(AO38))</f>
        <v>0</v>
      </c>
      <c r="AP40" s="187"/>
      <c r="AQ40" s="186">
        <f>IF(AQ39="",0,(AR38/89%)-(AQ38))</f>
        <v>0</v>
      </c>
      <c r="AR40" s="187"/>
      <c r="AS40" s="186">
        <f>IF(AS39="",0,(AT38/89%)-(AS38))</f>
        <v>0</v>
      </c>
      <c r="AT40" s="187"/>
      <c r="AU40" s="186">
        <f>IF(AU39="",0,(AV38/89%)-(AU38))</f>
        <v>0</v>
      </c>
      <c r="AV40" s="187"/>
      <c r="AW40" s="186">
        <f>IF(AW39="",0,(AX38/89%)-(AW38))</f>
        <v>0</v>
      </c>
      <c r="AX40" s="187"/>
      <c r="AY40" s="186">
        <f>IF(AY39="",0,(AZ38/89%)-(AY38))</f>
        <v>0</v>
      </c>
      <c r="AZ40" s="187"/>
      <c r="BA40" s="186">
        <f>IF(BA39="",0,(BB38/89%)-(BA38))</f>
        <v>0</v>
      </c>
      <c r="BB40" s="187"/>
      <c r="BC40" s="186">
        <f>IF(BC39="",0,(BD38/89%)-(BC38))</f>
        <v>0</v>
      </c>
      <c r="BD40" s="187"/>
      <c r="BE40" s="186">
        <f>IF(BE39="",0,(BF38/89%)-(BE38))</f>
        <v>0</v>
      </c>
      <c r="BF40" s="187"/>
      <c r="BG40" s="186">
        <f>IF(BG39="",0,(BH38/89%)-(BG38))</f>
        <v>0</v>
      </c>
      <c r="BH40" s="187"/>
      <c r="BI40" s="186">
        <f>IF(BI39="",0,(BJ38/89%)-(BI38))</f>
        <v>0</v>
      </c>
      <c r="BJ40" s="187"/>
      <c r="BK40" s="186">
        <f>IF(BK39="",0,(BL38/89%)-(BK38))</f>
        <v>0</v>
      </c>
      <c r="BL40" s="187"/>
      <c r="BM40" s="186">
        <f>IF(BM39="",0,(BN38/89%)-(BM38))</f>
        <v>0</v>
      </c>
      <c r="BN40" s="187"/>
      <c r="BO40" s="186">
        <f>IF(BO39="",0,(BP38/89%)-(BO38))</f>
        <v>0</v>
      </c>
      <c r="BP40" s="187"/>
      <c r="BQ40" s="186">
        <f>IF(BQ39="",0,(BR38/89%)-(BQ38))</f>
        <v>0</v>
      </c>
      <c r="BR40" s="187"/>
      <c r="BS40" s="186">
        <f>IF(BS39="",0,(BT38/89%)-(BS38))</f>
        <v>0</v>
      </c>
      <c r="BT40" s="187"/>
      <c r="BU40" s="17" t="str">
        <f>IF(BU39="","",(BV38/89%)-(BU38))</f>
        <v/>
      </c>
      <c r="BV40" s="13"/>
      <c r="BW40" s="18" t="str">
        <f>IF(AND(BU38="",BV38=""),"",(BU38-BV38)-BU39)</f>
        <v/>
      </c>
      <c r="BX40" s="3"/>
      <c r="BY40" s="3"/>
      <c r="BZ40" s="3"/>
    </row>
    <row r="41" spans="1:78" ht="14.5" x14ac:dyDescent="0.3">
      <c r="A41" s="199"/>
      <c r="B41" s="19" t="s">
        <v>281</v>
      </c>
      <c r="C41" s="194" t="str">
        <f>IF(C39=0,"",ABS(IFERROR((C39/C38),0)-1))</f>
        <v/>
      </c>
      <c r="D41" s="195"/>
      <c r="E41" s="194" t="str">
        <f>IF(E39=0,"",ABS(IFERROR((E39/E38),0)-1))</f>
        <v/>
      </c>
      <c r="F41" s="195"/>
      <c r="G41" s="194" t="str">
        <f>IF(G39=0,"",ABS(IFERROR((G39/G38),0)-1))</f>
        <v/>
      </c>
      <c r="H41" s="195"/>
      <c r="I41" s="194" t="str">
        <f>IF(I39=0,"",ABS(IFERROR((I39/I38),0)-1))</f>
        <v/>
      </c>
      <c r="J41" s="195"/>
      <c r="K41" s="194" t="str">
        <f>IF(K39=0,"",ABS(IFERROR((K39/K38),0)-1))</f>
        <v/>
      </c>
      <c r="L41" s="195"/>
      <c r="M41" s="194" t="str">
        <f>IF(M39=0,"",ABS(IFERROR((M39/M38),0)-1))</f>
        <v/>
      </c>
      <c r="N41" s="195"/>
      <c r="O41" s="194" t="str">
        <f>IF(O39=0,"",ABS(IFERROR((O39/O38),0)-1))</f>
        <v/>
      </c>
      <c r="P41" s="195"/>
      <c r="Q41" s="194" t="str">
        <f>IF(Q39=0,"",ABS(IFERROR((Q39/Q38),0)-1))</f>
        <v/>
      </c>
      <c r="R41" s="195"/>
      <c r="S41" s="194" t="str">
        <f>IF(S39=0,"",ABS(IFERROR((S39/S38),0)-1))</f>
        <v/>
      </c>
      <c r="T41" s="195"/>
      <c r="U41" s="194" t="str">
        <f>IF(U39=0,"",ABS(IFERROR((U39/U38),0)-1))</f>
        <v/>
      </c>
      <c r="V41" s="195"/>
      <c r="W41" s="194" t="str">
        <f>IF(W39=0,"",ABS(IFERROR((W39/W38),0)-1))</f>
        <v/>
      </c>
      <c r="X41" s="195"/>
      <c r="Y41" s="194" t="str">
        <f>IF(Y39=0,"",ABS(IFERROR((Y39/Y38),0)-1))</f>
        <v/>
      </c>
      <c r="Z41" s="195"/>
      <c r="AA41" s="194" t="str">
        <f>IF(AA39=0,"",ABS(IFERROR((AA39/AA38),0)-1))</f>
        <v/>
      </c>
      <c r="AB41" s="195"/>
      <c r="AC41" s="194" t="str">
        <f>IF(AC39=0,"",ABS(IFERROR((AC39/AC38),0)-1))</f>
        <v/>
      </c>
      <c r="AD41" s="195"/>
      <c r="AE41" s="194" t="str">
        <f>IF(AE39=0,"",ABS(IFERROR((AE39/AE38),0)-1))</f>
        <v/>
      </c>
      <c r="AF41" s="195"/>
      <c r="AG41" s="194" t="str">
        <f>IF(AG39=0,"",ABS(IFERROR((AG39/AG38),0)-1))</f>
        <v/>
      </c>
      <c r="AH41" s="195"/>
      <c r="AI41" s="194" t="str">
        <f>IF(AI39=0,"",ABS(IFERROR((AI39/AI38),0)-1))</f>
        <v/>
      </c>
      <c r="AJ41" s="195"/>
      <c r="AK41" s="194" t="str">
        <f>IF(AK39=0,"",ABS(IFERROR((AK39/AK38),0)-1))</f>
        <v/>
      </c>
      <c r="AL41" s="195"/>
      <c r="AM41" s="194" t="str">
        <f>IF(AM39=0,"",ABS(IFERROR((AM39/AM38),0)-1))</f>
        <v/>
      </c>
      <c r="AN41" s="195"/>
      <c r="AO41" s="194" t="str">
        <f>IF(AO39=0,"",ABS(IFERROR((AO39/AO38),0)-1))</f>
        <v/>
      </c>
      <c r="AP41" s="195"/>
      <c r="AQ41" s="194" t="str">
        <f>IF(AQ39=0,"",ABS(IFERROR((AQ39/AQ38),0)-1))</f>
        <v/>
      </c>
      <c r="AR41" s="195"/>
      <c r="AS41" s="194" t="str">
        <f>IF(AS39=0,"",ABS(IFERROR((AS39/AS38),0)-1))</f>
        <v/>
      </c>
      <c r="AT41" s="195"/>
      <c r="AU41" s="194" t="str">
        <f>IF(AU39=0,"",ABS(IFERROR((AU39/AU38),0)-1))</f>
        <v/>
      </c>
      <c r="AV41" s="195"/>
      <c r="AW41" s="194" t="str">
        <f>IF(AW39=0,"",ABS(IFERROR((AW39/AW38),0)-1))</f>
        <v/>
      </c>
      <c r="AX41" s="195"/>
      <c r="AY41" s="194" t="str">
        <f>IF(AY39=0,"",ABS(IFERROR((AY39/AY38),0)-1))</f>
        <v/>
      </c>
      <c r="AZ41" s="195"/>
      <c r="BA41" s="194" t="str">
        <f>IF(BA39=0,"",ABS(IFERROR((BA39/BA38),0)-1))</f>
        <v/>
      </c>
      <c r="BB41" s="195"/>
      <c r="BC41" s="194" t="str">
        <f>IF(BC39=0,"",ABS(IFERROR((BC39/BC38),0)-1))</f>
        <v/>
      </c>
      <c r="BD41" s="195"/>
      <c r="BE41" s="194" t="str">
        <f>IF(BE39=0,"",ABS(IFERROR((BE39/BE38),0)-1))</f>
        <v/>
      </c>
      <c r="BF41" s="195"/>
      <c r="BG41" s="194" t="str">
        <f>IF(BG39=0,"",ABS(IFERROR((BG39/BG38),0)-1))</f>
        <v/>
      </c>
      <c r="BH41" s="195"/>
      <c r="BI41" s="194" t="str">
        <f>IF(BI39=0,"",ABS(IFERROR((BI39/BI38),0)-1))</f>
        <v/>
      </c>
      <c r="BJ41" s="195"/>
      <c r="BK41" s="194" t="str">
        <f>IF(BK39=0,"",ABS(IFERROR((BK39/BK38),0)-1))</f>
        <v/>
      </c>
      <c r="BL41" s="195"/>
      <c r="BM41" s="194" t="str">
        <f>IF(BM39=0,"",ABS(IFERROR((BM39/BM38),0)-1))</f>
        <v/>
      </c>
      <c r="BN41" s="195"/>
      <c r="BO41" s="194" t="str">
        <f>IF(BO39=0,"",ABS(IFERROR((BO39/BO38),0)-1))</f>
        <v/>
      </c>
      <c r="BP41" s="195"/>
      <c r="BQ41" s="194" t="str">
        <f>IF(BQ39=0,"",ABS(IFERROR((BQ39/BQ38),0)-1))</f>
        <v/>
      </c>
      <c r="BR41" s="195"/>
      <c r="BS41" s="194" t="str">
        <f>IF(BS39=0,"",ABS(IFERROR((BS39/BS38),0)-1))</f>
        <v/>
      </c>
      <c r="BT41" s="195"/>
      <c r="BU41" s="26" t="e">
        <f>ABS(IFERROR((BU39/BU38),"")-1)</f>
        <v>#VALUE!</v>
      </c>
      <c r="BV41" s="15"/>
      <c r="BW41" s="21"/>
      <c r="BX41" s="3"/>
      <c r="BY41" s="3"/>
      <c r="BZ41" s="3"/>
    </row>
    <row r="42" spans="1:78" ht="15" thickBot="1" x14ac:dyDescent="0.35">
      <c r="A42" s="181"/>
      <c r="B42" s="22" t="s">
        <v>177</v>
      </c>
      <c r="C42" s="196" t="str">
        <f>IF(C41="","", IF(C41&lt;89%,"OVER STANDART",IF(C41=89%,"GOOD","UNDER STANDART")))</f>
        <v/>
      </c>
      <c r="D42" s="197"/>
      <c r="E42" s="196" t="str">
        <f>IF(E41="","", IF(E41&lt;89%,"OVER STANDART",IF(E41=89%,"GOOD","UNDER STANDART")))</f>
        <v/>
      </c>
      <c r="F42" s="197"/>
      <c r="G42" s="196" t="str">
        <f>IF(G41="","", IF(G41&lt;89%,"OVER STANDART",IF(G41=89%,"GOOD","UNDER STANDART")))</f>
        <v/>
      </c>
      <c r="H42" s="197"/>
      <c r="I42" s="196" t="str">
        <f>IF(I41="","", IF(I41&lt;89%,"OVER STANDART",IF(I41=89%,"GOOD","UNDER STANDART")))</f>
        <v/>
      </c>
      <c r="J42" s="197"/>
      <c r="K42" s="196" t="str">
        <f>IF(K41="","", IF(K41&lt;89%,"OVER STANDART",IF(K41=89%,"GOOD","UNDER STANDART")))</f>
        <v/>
      </c>
      <c r="L42" s="197"/>
      <c r="M42" s="196" t="str">
        <f>IF(M41="","", IF(M41&lt;89%,"OVER STANDART",IF(M41=89%,"GOOD","UNDER STANDART")))</f>
        <v/>
      </c>
      <c r="N42" s="197"/>
      <c r="O42" s="196" t="str">
        <f>IF(O41="","", IF(O41&lt;89%,"OVER STANDART",IF(O41=89%,"GOOD","UNDER STANDART")))</f>
        <v/>
      </c>
      <c r="P42" s="197"/>
      <c r="Q42" s="196" t="str">
        <f>IF(Q41="","", IF(Q41&lt;89%,"OVER STANDART",IF(Q41=89%,"GOOD","UNDER STANDART")))</f>
        <v/>
      </c>
      <c r="R42" s="197"/>
      <c r="S42" s="196" t="str">
        <f>IF(S41="","", IF(S41&lt;89%,"OVER STANDART",IF(S41=89%,"GOOD","UNDER STANDART")))</f>
        <v/>
      </c>
      <c r="T42" s="197"/>
      <c r="U42" s="196" t="str">
        <f>IF(U41="","", IF(U41&lt;89%,"OVER STANDART",IF(U41=89%,"GOOD","UNDER STANDART")))</f>
        <v/>
      </c>
      <c r="V42" s="197"/>
      <c r="W42" s="196" t="str">
        <f>IF(W41="","", IF(W41&lt;89%,"OVER STANDART",IF(W41=89%,"GOOD","UNDER STANDART")))</f>
        <v/>
      </c>
      <c r="X42" s="197"/>
      <c r="Y42" s="196" t="str">
        <f>IF(Y41="","", IF(Y41&lt;89%,"OVER STANDART",IF(Y41=89%,"GOOD","UNDER STANDART")))</f>
        <v/>
      </c>
      <c r="Z42" s="197"/>
      <c r="AA42" s="196" t="str">
        <f>IF(AA41="","", IF(AA41&lt;89%,"OVER STANDART",IF(AA41=89%,"GOOD","UNDER STANDART")))</f>
        <v/>
      </c>
      <c r="AB42" s="197"/>
      <c r="AC42" s="196" t="str">
        <f>IF(AC41="","", IF(AC41&lt;89%,"OVER STANDART",IF(AC41=89%,"GOOD","UNDER STANDART")))</f>
        <v/>
      </c>
      <c r="AD42" s="197"/>
      <c r="AE42" s="196" t="str">
        <f>IF(AE41="","", IF(AE41&lt;89%,"OVER STANDART",IF(AE41=89%,"GOOD","UNDER STANDART")))</f>
        <v/>
      </c>
      <c r="AF42" s="197"/>
      <c r="AG42" s="196" t="str">
        <f>IF(AG41="","", IF(AG41&lt;89%,"OVER STANDART",IF(AG41=89%,"GOOD","UNDER STANDART")))</f>
        <v/>
      </c>
      <c r="AH42" s="197"/>
      <c r="AI42" s="196" t="str">
        <f>IF(AI41="","", IF(AI41&lt;89%,"OVER STANDART",IF(AI41=89%,"GOOD","UNDER STANDART")))</f>
        <v/>
      </c>
      <c r="AJ42" s="197"/>
      <c r="AK42" s="196" t="str">
        <f>IF(AK41="","", IF(AK41&lt;89%,"OVER STANDART",IF(AK41=89%,"GOOD","UNDER STANDART")))</f>
        <v/>
      </c>
      <c r="AL42" s="197"/>
      <c r="AM42" s="196" t="str">
        <f>IF(AM41="","", IF(AM41&lt;89%,"OVER STANDART",IF(AM41=89%,"GOOD","UNDER STANDART")))</f>
        <v/>
      </c>
      <c r="AN42" s="197"/>
      <c r="AO42" s="196" t="str">
        <f>IF(AO41="","", IF(AO41&lt;89%,"OVER STANDART",IF(AO41=89%,"GOOD","UNDER STANDART")))</f>
        <v/>
      </c>
      <c r="AP42" s="197"/>
      <c r="AQ42" s="196" t="str">
        <f>IF(AQ41="","", IF(AQ41&lt;89%,"OVER STANDART",IF(AQ41=89%,"GOOD","UNDER STANDART")))</f>
        <v/>
      </c>
      <c r="AR42" s="197"/>
      <c r="AS42" s="196" t="str">
        <f>IF(AS41="","", IF(AS41&lt;89%,"OVER STANDART",IF(AS41=89%,"GOOD","UNDER STANDART")))</f>
        <v/>
      </c>
      <c r="AT42" s="197"/>
      <c r="AU42" s="196" t="str">
        <f>IF(AU41="","", IF(AU41&lt;89%,"OVER STANDART",IF(AU41=89%,"GOOD","UNDER STANDART")))</f>
        <v/>
      </c>
      <c r="AV42" s="197"/>
      <c r="AW42" s="196" t="str">
        <f>IF(AW41="","", IF(AW41&lt;89%,"OVER STANDART",IF(AW41=89%,"GOOD","UNDER STANDART")))</f>
        <v/>
      </c>
      <c r="AX42" s="197"/>
      <c r="AY42" s="196" t="str">
        <f>IF(AY41="","", IF(AY41&lt;89%,"OVER STANDART",IF(AY41=89%,"GOOD","UNDER STANDART")))</f>
        <v/>
      </c>
      <c r="AZ42" s="197"/>
      <c r="BA42" s="196" t="str">
        <f>IF(BA41="","", IF(BA41&lt;89%,"OVER STANDART",IF(BA41=89%,"GOOD","UNDER STANDART")))</f>
        <v/>
      </c>
      <c r="BB42" s="197"/>
      <c r="BC42" s="196" t="str">
        <f>IF(BC41="","", IF(BC41&lt;89%,"OVER STANDART",IF(BC41=89%,"GOOD","UNDER STANDART")))</f>
        <v/>
      </c>
      <c r="BD42" s="197"/>
      <c r="BE42" s="196" t="str">
        <f>IF(BE41="","", IF(BE41&lt;89%,"OVER STANDART",IF(BE41=89%,"GOOD","UNDER STANDART")))</f>
        <v/>
      </c>
      <c r="BF42" s="197"/>
      <c r="BG42" s="196" t="str">
        <f>IF(BG41="","", IF(BG41&lt;89%,"OVER STANDART",IF(BG41=89%,"GOOD","UNDER STANDART")))</f>
        <v/>
      </c>
      <c r="BH42" s="197"/>
      <c r="BI42" s="196" t="str">
        <f>IF(BI41="","", IF(BI41&lt;89%,"OVER STANDART",IF(BI41=89%,"GOOD","UNDER STANDART")))</f>
        <v/>
      </c>
      <c r="BJ42" s="197"/>
      <c r="BK42" s="196" t="str">
        <f>IF(BK41="","", IF(BK41&lt;89%,"OVER STANDART",IF(BK41=89%,"GOOD","UNDER STANDART")))</f>
        <v/>
      </c>
      <c r="BL42" s="197"/>
      <c r="BM42" s="196" t="str">
        <f>IF(BM41="","", IF(BM41&lt;89%,"OVER STANDART",IF(BM41=89%,"GOOD","UNDER STANDART")))</f>
        <v/>
      </c>
      <c r="BN42" s="197"/>
      <c r="BO42" s="196" t="str">
        <f>IF(BO41="","", IF(BO41&lt;89%,"OVER STANDART",IF(BO41=89%,"GOOD","UNDER STANDART")))</f>
        <v/>
      </c>
      <c r="BP42" s="197"/>
      <c r="BQ42" s="196" t="str">
        <f>IF(BQ41="","", IF(BQ41&lt;89%,"OVER STANDART",IF(BQ41=89%,"GOOD","UNDER STANDART")))</f>
        <v/>
      </c>
      <c r="BR42" s="197"/>
      <c r="BS42" s="196" t="str">
        <f>IF(BS41="","", IF(BS41&lt;89%,"OVER STANDART",IF(BS41=89%,"GOOD","UNDER STANDART")))</f>
        <v/>
      </c>
      <c r="BT42" s="197"/>
      <c r="BU42" s="24" t="e">
        <f>IF(BU41="","", IF(BU41&lt;89%,"OVER STANDART",IF(BU41=89%,"GOOD","UNDER STANDART")))</f>
        <v>#VALUE!</v>
      </c>
      <c r="BV42" s="23"/>
      <c r="BW42" s="25"/>
      <c r="BX42" s="3"/>
      <c r="BY42" s="3"/>
      <c r="BZ42" s="3"/>
    </row>
    <row r="43" spans="1:78" ht="14.5" x14ac:dyDescent="0.3">
      <c r="A43" s="198">
        <f>A38+1</f>
        <v>9</v>
      </c>
      <c r="B43" s="7" t="s">
        <v>278</v>
      </c>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9" t="str">
        <f>IF(SUMIF($C$2:$BT$2,"FRESH",C43:BT43)=0,"",SUMIF($C$2:$BT$2,"FRESH",C43:BT43))</f>
        <v/>
      </c>
      <c r="BV43" s="10" t="str">
        <f>IF(SUMIF($C$2:$BT$2,"GILING",C43:BT43)=0,"",SUMIF($C$2:$BT$2,"GILING",C43:BT43))</f>
        <v/>
      </c>
      <c r="BW43" s="11"/>
      <c r="BX43" s="3"/>
      <c r="BY43" s="3"/>
      <c r="BZ43" s="3"/>
    </row>
    <row r="44" spans="1:78" x14ac:dyDescent="0.3">
      <c r="A44" s="199"/>
      <c r="B44" s="12" t="s">
        <v>279</v>
      </c>
      <c r="C44" s="188">
        <f>IF(AND(C43="",D43=""),0,C43-D43)</f>
        <v>0</v>
      </c>
      <c r="D44" s="189"/>
      <c r="E44" s="188">
        <f>IF(AND(E43="",F43=""),0,E43-F43)</f>
        <v>0</v>
      </c>
      <c r="F44" s="189"/>
      <c r="G44" s="188">
        <f>IF(AND(G43="",H43=""),0,G43-H43)</f>
        <v>0</v>
      </c>
      <c r="H44" s="189"/>
      <c r="I44" s="188">
        <f>IF(AND(I43="",J43=""),0,I43-J43)</f>
        <v>0</v>
      </c>
      <c r="J44" s="189"/>
      <c r="K44" s="188">
        <f>IF(AND(K43="",L43=""),0,K43-L43)</f>
        <v>0</v>
      </c>
      <c r="L44" s="189"/>
      <c r="M44" s="188">
        <f>IF(AND(M43="",N43=""),0,M43-N43)</f>
        <v>0</v>
      </c>
      <c r="N44" s="189"/>
      <c r="O44" s="188">
        <f>IF(AND(O43="",P43=""),0,O43-P43)</f>
        <v>0</v>
      </c>
      <c r="P44" s="189"/>
      <c r="Q44" s="188">
        <f>IF(AND(Q43="",R43=""),0,Q43-R43)</f>
        <v>0</v>
      </c>
      <c r="R44" s="189"/>
      <c r="S44" s="188">
        <f>IF(AND(S43="",T43=""),0,S43-T43)</f>
        <v>0</v>
      </c>
      <c r="T44" s="189"/>
      <c r="U44" s="188">
        <f>IF(AND(U43="",V43=""),0,U43-V43)</f>
        <v>0</v>
      </c>
      <c r="V44" s="189"/>
      <c r="W44" s="188">
        <f>IF(AND(W43="",X43=""),0,W43-X43)</f>
        <v>0</v>
      </c>
      <c r="X44" s="189"/>
      <c r="Y44" s="188">
        <f>IF(AND(Y43="",Z43=""),0,Y43-Z43)</f>
        <v>0</v>
      </c>
      <c r="Z44" s="189"/>
      <c r="AA44" s="188">
        <f>IF(AND(AA43="",AB43=""),0,AA43-AB43)</f>
        <v>0</v>
      </c>
      <c r="AB44" s="189"/>
      <c r="AC44" s="188">
        <f>IF(AND(AC43="",AD43=""),0,AC43-AD43)</f>
        <v>0</v>
      </c>
      <c r="AD44" s="189"/>
      <c r="AE44" s="188">
        <f>IF(AND(AE43="",AF43=""),0,AE43-AF43)</f>
        <v>0</v>
      </c>
      <c r="AF44" s="189"/>
      <c r="AG44" s="188">
        <f>IF(AND(AG43="",AH43=""),0,AG43-AH43)</f>
        <v>0</v>
      </c>
      <c r="AH44" s="189"/>
      <c r="AI44" s="188">
        <f>IF(AND(AI43="",AJ43=""),0,AI43-AJ43)</f>
        <v>0</v>
      </c>
      <c r="AJ44" s="189"/>
      <c r="AK44" s="188">
        <f>IF(AND(AK43="",AL43=""),0,AK43-AL43)</f>
        <v>0</v>
      </c>
      <c r="AL44" s="189"/>
      <c r="AM44" s="188">
        <f>IF(AND(AM43="",AN43=""),0,AM43-AN43)</f>
        <v>0</v>
      </c>
      <c r="AN44" s="189"/>
      <c r="AO44" s="188">
        <f>IF(AND(AO43="",AP43=""),0,AO43-AP43)</f>
        <v>0</v>
      </c>
      <c r="AP44" s="189"/>
      <c r="AQ44" s="188">
        <f>IF(AND(AQ43="",AR43=""),0,AQ43-AR43)</f>
        <v>0</v>
      </c>
      <c r="AR44" s="189"/>
      <c r="AS44" s="188">
        <f>IF(AND(AS43="",AT43=""),0,AS43-AT43)</f>
        <v>0</v>
      </c>
      <c r="AT44" s="189"/>
      <c r="AU44" s="188">
        <f>IF(AND(AU43="",AV43=""),0,AU43-AV43)</f>
        <v>0</v>
      </c>
      <c r="AV44" s="189"/>
      <c r="AW44" s="188">
        <f>IF(AND(AW43="",AX43=""),0,AW43-AX43)</f>
        <v>0</v>
      </c>
      <c r="AX44" s="189"/>
      <c r="AY44" s="188">
        <f>IF(AND(AY43="",AZ43=""),0,AY43-AZ43)</f>
        <v>0</v>
      </c>
      <c r="AZ44" s="189"/>
      <c r="BA44" s="188">
        <f>IF(AND(BA43="",BB43=""),0,BA43-BB43)</f>
        <v>0</v>
      </c>
      <c r="BB44" s="189"/>
      <c r="BC44" s="188">
        <f>IF(AND(BC43="",BD43=""),0,BC43-BD43)</f>
        <v>0</v>
      </c>
      <c r="BD44" s="189"/>
      <c r="BE44" s="188">
        <f>IF(AND(BE43="",BF43=""),0,BE43-BF43)</f>
        <v>0</v>
      </c>
      <c r="BF44" s="189"/>
      <c r="BG44" s="188">
        <f>IF(AND(BG43="",BH43=""),0,BG43-BH43)</f>
        <v>0</v>
      </c>
      <c r="BH44" s="189"/>
      <c r="BI44" s="188">
        <f>IF(AND(BI43="",BJ43=""),0,BI43-BJ43)</f>
        <v>0</v>
      </c>
      <c r="BJ44" s="189"/>
      <c r="BK44" s="188">
        <f>IF(AND(BK43="",BL43=""),0,BK43-BL43)</f>
        <v>0</v>
      </c>
      <c r="BL44" s="189"/>
      <c r="BM44" s="188">
        <f>IF(AND(BM43="",BN43=""),0,BM43-BN43)</f>
        <v>0</v>
      </c>
      <c r="BN44" s="189"/>
      <c r="BO44" s="188">
        <f>IF(AND(BO43="",BP43=""),0,BO43-BP43)</f>
        <v>0</v>
      </c>
      <c r="BP44" s="189"/>
      <c r="BQ44" s="188">
        <f>IF(AND(BQ43="",BR43=""),0,BQ43-BR43)</f>
        <v>0</v>
      </c>
      <c r="BR44" s="189"/>
      <c r="BS44" s="188">
        <f>IF(AND(BS43="",BT43=""),0,BS43-BT43)</f>
        <v>0</v>
      </c>
      <c r="BT44" s="189"/>
      <c r="BU44" s="14" t="str">
        <f>IF(AND(BU43="",BV43=""),"",BU43-BV43)</f>
        <v/>
      </c>
      <c r="BV44" s="13"/>
      <c r="BW44" s="16" t="str">
        <f>IF(COUNTIF(D44:BT44,"&gt;0")=0,"",COUNTIF(D44:BT44,"&gt;0"))</f>
        <v/>
      </c>
      <c r="BX44" s="3"/>
      <c r="BY44" s="3"/>
      <c r="BZ44" s="3"/>
    </row>
    <row r="45" spans="1:78" ht="14.5" x14ac:dyDescent="0.3">
      <c r="A45" s="199"/>
      <c r="B45" s="12" t="s">
        <v>280</v>
      </c>
      <c r="C45" s="186">
        <f>IF(C44="",0,(D43/89%)-(C43))</f>
        <v>0</v>
      </c>
      <c r="D45" s="187"/>
      <c r="E45" s="186">
        <f>IF(E44="",0,(F43/89%)-(E43))</f>
        <v>0</v>
      </c>
      <c r="F45" s="187"/>
      <c r="G45" s="186">
        <f>IF(G44="",0,(H43/89%)-(G43))</f>
        <v>0</v>
      </c>
      <c r="H45" s="187"/>
      <c r="I45" s="186">
        <f>IF(I44="",0,(J43/89%)-(I43))</f>
        <v>0</v>
      </c>
      <c r="J45" s="187"/>
      <c r="K45" s="186">
        <f>IF(K44="",0,(L43/89%)-(K43))</f>
        <v>0</v>
      </c>
      <c r="L45" s="187"/>
      <c r="M45" s="186">
        <f>IF(M44="",0,(N43/89%)-(M43))</f>
        <v>0</v>
      </c>
      <c r="N45" s="187"/>
      <c r="O45" s="186">
        <f>IF(O44="",0,(P43/89%)-(O43))</f>
        <v>0</v>
      </c>
      <c r="P45" s="187"/>
      <c r="Q45" s="186">
        <f>IF(Q44="",0,(R43/89%)-(Q43))</f>
        <v>0</v>
      </c>
      <c r="R45" s="187"/>
      <c r="S45" s="186">
        <f>IF(S44="",0,(T43/89%)-(S43))</f>
        <v>0</v>
      </c>
      <c r="T45" s="187"/>
      <c r="U45" s="186">
        <f>IF(U44="",0,(V43/89%)-(U43))</f>
        <v>0</v>
      </c>
      <c r="V45" s="187"/>
      <c r="W45" s="186">
        <f>IF(W44="",0,(X43/89%)-(W43))</f>
        <v>0</v>
      </c>
      <c r="X45" s="187"/>
      <c r="Y45" s="186">
        <f>IF(Y44="",0,(Z43/89%)-(Y43))</f>
        <v>0</v>
      </c>
      <c r="Z45" s="187"/>
      <c r="AA45" s="186">
        <f>IF(AA44="",0,(AB43/89%)-(AA43))</f>
        <v>0</v>
      </c>
      <c r="AB45" s="187"/>
      <c r="AC45" s="186">
        <f>IF(AC44="",0,(AD43/89%)-(AC43))</f>
        <v>0</v>
      </c>
      <c r="AD45" s="187"/>
      <c r="AE45" s="186">
        <f>IF(AE44="",0,(AF43/89%)-(AE43))</f>
        <v>0</v>
      </c>
      <c r="AF45" s="187"/>
      <c r="AG45" s="186">
        <f>IF(AG44="",0,(AH43/89%)-(AG43))</f>
        <v>0</v>
      </c>
      <c r="AH45" s="187"/>
      <c r="AI45" s="186">
        <f>IF(AI44="",0,(AJ43/89%)-(AI43))</f>
        <v>0</v>
      </c>
      <c r="AJ45" s="187"/>
      <c r="AK45" s="186">
        <f>IF(AK44="",0,(AL43/89%)-(AK43))</f>
        <v>0</v>
      </c>
      <c r="AL45" s="187"/>
      <c r="AM45" s="186">
        <f>IF(AM44="",0,(AN43/89%)-(AM43))</f>
        <v>0</v>
      </c>
      <c r="AN45" s="187"/>
      <c r="AO45" s="186">
        <f>IF(AO44="",0,(AP43/89%)-(AO43))</f>
        <v>0</v>
      </c>
      <c r="AP45" s="187"/>
      <c r="AQ45" s="186">
        <f>IF(AQ44="",0,(AR43/89%)-(AQ43))</f>
        <v>0</v>
      </c>
      <c r="AR45" s="187"/>
      <c r="AS45" s="186">
        <f>IF(AS44="",0,(AT43/89%)-(AS43))</f>
        <v>0</v>
      </c>
      <c r="AT45" s="187"/>
      <c r="AU45" s="186">
        <f>IF(AU44="",0,(AV43/89%)-(AU43))</f>
        <v>0</v>
      </c>
      <c r="AV45" s="187"/>
      <c r="AW45" s="186">
        <f>IF(AW44="",0,(AX43/89%)-(AW43))</f>
        <v>0</v>
      </c>
      <c r="AX45" s="187"/>
      <c r="AY45" s="186">
        <f>IF(AY44="",0,(AZ43/89%)-(AY43))</f>
        <v>0</v>
      </c>
      <c r="AZ45" s="187"/>
      <c r="BA45" s="186">
        <f>IF(BA44="",0,(BB43/89%)-(BA43))</f>
        <v>0</v>
      </c>
      <c r="BB45" s="187"/>
      <c r="BC45" s="186">
        <f>IF(BC44="",0,(BD43/89%)-(BC43))</f>
        <v>0</v>
      </c>
      <c r="BD45" s="187"/>
      <c r="BE45" s="186">
        <f>IF(BE44="",0,(BF43/89%)-(BE43))</f>
        <v>0</v>
      </c>
      <c r="BF45" s="187"/>
      <c r="BG45" s="186">
        <f>IF(BG44="",0,(BH43/89%)-(BG43))</f>
        <v>0</v>
      </c>
      <c r="BH45" s="187"/>
      <c r="BI45" s="186">
        <f>IF(BI44="",0,(BJ43/89%)-(BI43))</f>
        <v>0</v>
      </c>
      <c r="BJ45" s="187"/>
      <c r="BK45" s="186">
        <f>IF(BK44="",0,(BL43/89%)-(BK43))</f>
        <v>0</v>
      </c>
      <c r="BL45" s="187"/>
      <c r="BM45" s="186">
        <f>IF(BM44="",0,(BN43/89%)-(BM43))</f>
        <v>0</v>
      </c>
      <c r="BN45" s="187"/>
      <c r="BO45" s="186">
        <f>IF(BO44="",0,(BP43/89%)-(BO43))</f>
        <v>0</v>
      </c>
      <c r="BP45" s="187"/>
      <c r="BQ45" s="186">
        <f>IF(BQ44="",0,(BR43/89%)-(BQ43))</f>
        <v>0</v>
      </c>
      <c r="BR45" s="187"/>
      <c r="BS45" s="186">
        <f>IF(BS44="",0,(BT43/89%)-(BS43))</f>
        <v>0</v>
      </c>
      <c r="BT45" s="187"/>
      <c r="BU45" s="17" t="str">
        <f>IF(BU44="","",(BV43/89%)-(BU43))</f>
        <v/>
      </c>
      <c r="BV45" s="13"/>
      <c r="BW45" s="18" t="str">
        <f>IF(AND(BU43="",BV43=""),"",(BU43-BV43)-BU44)</f>
        <v/>
      </c>
      <c r="BX45" s="3"/>
      <c r="BY45" s="3"/>
      <c r="BZ45" s="3"/>
    </row>
    <row r="46" spans="1:78" ht="14.5" x14ac:dyDescent="0.3">
      <c r="A46" s="199"/>
      <c r="B46" s="19" t="s">
        <v>281</v>
      </c>
      <c r="C46" s="194" t="str">
        <f>IF(C44=0,"",ABS(IFERROR((C44/C43),0)-1))</f>
        <v/>
      </c>
      <c r="D46" s="195"/>
      <c r="E46" s="194" t="str">
        <f>IF(E44=0,"",ABS(IFERROR((E44/E43),0)-1))</f>
        <v/>
      </c>
      <c r="F46" s="195"/>
      <c r="G46" s="194" t="str">
        <f>IF(G44=0,"",ABS(IFERROR((G44/G43),0)-1))</f>
        <v/>
      </c>
      <c r="H46" s="195"/>
      <c r="I46" s="194" t="str">
        <f>IF(I44=0,"",ABS(IFERROR((I44/I43),0)-1))</f>
        <v/>
      </c>
      <c r="J46" s="195"/>
      <c r="K46" s="194" t="str">
        <f>IF(K44=0,"",ABS(IFERROR((K44/K43),0)-1))</f>
        <v/>
      </c>
      <c r="L46" s="195"/>
      <c r="M46" s="194" t="str">
        <f>IF(M44=0,"",ABS(IFERROR((M44/M43),0)-1))</f>
        <v/>
      </c>
      <c r="N46" s="195"/>
      <c r="O46" s="194" t="str">
        <f>IF(O44=0,"",ABS(IFERROR((O44/O43),0)-1))</f>
        <v/>
      </c>
      <c r="P46" s="195"/>
      <c r="Q46" s="194" t="str">
        <f>IF(Q44=0,"",ABS(IFERROR((Q44/Q43),0)-1))</f>
        <v/>
      </c>
      <c r="R46" s="195"/>
      <c r="S46" s="194" t="str">
        <f>IF(S44=0,"",ABS(IFERROR((S44/S43),0)-1))</f>
        <v/>
      </c>
      <c r="T46" s="195"/>
      <c r="U46" s="194" t="str">
        <f>IF(U44=0,"",ABS(IFERROR((U44/U43),0)-1))</f>
        <v/>
      </c>
      <c r="V46" s="195"/>
      <c r="W46" s="194" t="str">
        <f>IF(W44=0,"",ABS(IFERROR((W44/W43),0)-1))</f>
        <v/>
      </c>
      <c r="X46" s="195"/>
      <c r="Y46" s="194" t="str">
        <f>IF(Y44=0,"",ABS(IFERROR((Y44/Y43),0)-1))</f>
        <v/>
      </c>
      <c r="Z46" s="195"/>
      <c r="AA46" s="194" t="str">
        <f>IF(AA44=0,"",ABS(IFERROR((AA44/AA43),0)-1))</f>
        <v/>
      </c>
      <c r="AB46" s="195"/>
      <c r="AC46" s="194" t="str">
        <f>IF(AC44=0,"",ABS(IFERROR((AC44/AC43),0)-1))</f>
        <v/>
      </c>
      <c r="AD46" s="195"/>
      <c r="AE46" s="194" t="str">
        <f>IF(AE44=0,"",ABS(IFERROR((AE44/AE43),0)-1))</f>
        <v/>
      </c>
      <c r="AF46" s="195"/>
      <c r="AG46" s="194" t="str">
        <f>IF(AG44=0,"",ABS(IFERROR((AG44/AG43),0)-1))</f>
        <v/>
      </c>
      <c r="AH46" s="195"/>
      <c r="AI46" s="194" t="str">
        <f>IF(AI44=0,"",ABS(IFERROR((AI44/AI43),0)-1))</f>
        <v/>
      </c>
      <c r="AJ46" s="195"/>
      <c r="AK46" s="194" t="str">
        <f>IF(AK44=0,"",ABS(IFERROR((AK44/AK43),0)-1))</f>
        <v/>
      </c>
      <c r="AL46" s="195"/>
      <c r="AM46" s="194" t="str">
        <f>IF(AM44=0,"",ABS(IFERROR((AM44/AM43),0)-1))</f>
        <v/>
      </c>
      <c r="AN46" s="195"/>
      <c r="AO46" s="194" t="str">
        <f>IF(AO44=0,"",ABS(IFERROR((AO44/AO43),0)-1))</f>
        <v/>
      </c>
      <c r="AP46" s="195"/>
      <c r="AQ46" s="194" t="str">
        <f>IF(AQ44=0,"",ABS(IFERROR((AQ44/AQ43),0)-1))</f>
        <v/>
      </c>
      <c r="AR46" s="195"/>
      <c r="AS46" s="194" t="str">
        <f>IF(AS44=0,"",ABS(IFERROR((AS44/AS43),0)-1))</f>
        <v/>
      </c>
      <c r="AT46" s="195"/>
      <c r="AU46" s="194" t="str">
        <f>IF(AU44=0,"",ABS(IFERROR((AU44/AU43),0)-1))</f>
        <v/>
      </c>
      <c r="AV46" s="195"/>
      <c r="AW46" s="194" t="str">
        <f>IF(AW44=0,"",ABS(IFERROR((AW44/AW43),0)-1))</f>
        <v/>
      </c>
      <c r="AX46" s="195"/>
      <c r="AY46" s="194" t="str">
        <f>IF(AY44=0,"",ABS(IFERROR((AY44/AY43),0)-1))</f>
        <v/>
      </c>
      <c r="AZ46" s="195"/>
      <c r="BA46" s="194" t="str">
        <f>IF(BA44=0,"",ABS(IFERROR((BA44/BA43),0)-1))</f>
        <v/>
      </c>
      <c r="BB46" s="195"/>
      <c r="BC46" s="194" t="str">
        <f>IF(BC44=0,"",ABS(IFERROR((BC44/BC43),0)-1))</f>
        <v/>
      </c>
      <c r="BD46" s="195"/>
      <c r="BE46" s="194" t="str">
        <f>IF(BE44=0,"",ABS(IFERROR((BE44/BE43),0)-1))</f>
        <v/>
      </c>
      <c r="BF46" s="195"/>
      <c r="BG46" s="194" t="str">
        <f>IF(BG44=0,"",ABS(IFERROR((BG44/BG43),0)-1))</f>
        <v/>
      </c>
      <c r="BH46" s="195"/>
      <c r="BI46" s="194" t="str">
        <f>IF(BI44=0,"",ABS(IFERROR((BI44/BI43),0)-1))</f>
        <v/>
      </c>
      <c r="BJ46" s="195"/>
      <c r="BK46" s="194" t="str">
        <f>IF(BK44=0,"",ABS(IFERROR((BK44/BK43),0)-1))</f>
        <v/>
      </c>
      <c r="BL46" s="195"/>
      <c r="BM46" s="194" t="str">
        <f>IF(BM44=0,"",ABS(IFERROR((BM44/BM43),0)-1))</f>
        <v/>
      </c>
      <c r="BN46" s="195"/>
      <c r="BO46" s="194" t="str">
        <f>IF(BO44=0,"",ABS(IFERROR((BO44/BO43),0)-1))</f>
        <v/>
      </c>
      <c r="BP46" s="195"/>
      <c r="BQ46" s="194" t="str">
        <f>IF(BQ44=0,"",ABS(IFERROR((BQ44/BQ43),0)-1))</f>
        <v/>
      </c>
      <c r="BR46" s="195"/>
      <c r="BS46" s="194" t="str">
        <f>IF(BS44=0,"",ABS(IFERROR((BS44/BS43),0)-1))</f>
        <v/>
      </c>
      <c r="BT46" s="195"/>
      <c r="BU46" s="26" t="e">
        <f>ABS(IFERROR((BU44/BU43),"")-1)</f>
        <v>#VALUE!</v>
      </c>
      <c r="BV46" s="15"/>
      <c r="BW46" s="21"/>
      <c r="BX46" s="3"/>
      <c r="BY46" s="3"/>
      <c r="BZ46" s="3"/>
    </row>
    <row r="47" spans="1:78" ht="15" thickBot="1" x14ac:dyDescent="0.35">
      <c r="A47" s="181"/>
      <c r="B47" s="22" t="s">
        <v>177</v>
      </c>
      <c r="C47" s="196" t="str">
        <f>IF(C46="","", IF(C46&lt;89%,"OVER STANDART",IF(C46=89%,"GOOD","UNDER STANDART")))</f>
        <v/>
      </c>
      <c r="D47" s="197"/>
      <c r="E47" s="196" t="str">
        <f>IF(E46="","", IF(E46&lt;89%,"OVER STANDART",IF(E46=89%,"GOOD","UNDER STANDART")))</f>
        <v/>
      </c>
      <c r="F47" s="197"/>
      <c r="G47" s="196" t="str">
        <f>IF(G46="","", IF(G46&lt;89%,"OVER STANDART",IF(G46=89%,"GOOD","UNDER STANDART")))</f>
        <v/>
      </c>
      <c r="H47" s="197"/>
      <c r="I47" s="196" t="str">
        <f>IF(I46="","", IF(I46&lt;89%,"OVER STANDART",IF(I46=89%,"GOOD","UNDER STANDART")))</f>
        <v/>
      </c>
      <c r="J47" s="197"/>
      <c r="K47" s="196" t="str">
        <f>IF(K46="","", IF(K46&lt;89%,"OVER STANDART",IF(K46=89%,"GOOD","UNDER STANDART")))</f>
        <v/>
      </c>
      <c r="L47" s="197"/>
      <c r="M47" s="196" t="str">
        <f>IF(M46="","", IF(M46&lt;89%,"OVER STANDART",IF(M46=89%,"GOOD","UNDER STANDART")))</f>
        <v/>
      </c>
      <c r="N47" s="197"/>
      <c r="O47" s="196" t="str">
        <f>IF(O46="","", IF(O46&lt;89%,"OVER STANDART",IF(O46=89%,"GOOD","UNDER STANDART")))</f>
        <v/>
      </c>
      <c r="P47" s="197"/>
      <c r="Q47" s="196" t="str">
        <f>IF(Q46="","", IF(Q46&lt;89%,"OVER STANDART",IF(Q46=89%,"GOOD","UNDER STANDART")))</f>
        <v/>
      </c>
      <c r="R47" s="197"/>
      <c r="S47" s="196" t="str">
        <f>IF(S46="","", IF(S46&lt;89%,"OVER STANDART",IF(S46=89%,"GOOD","UNDER STANDART")))</f>
        <v/>
      </c>
      <c r="T47" s="197"/>
      <c r="U47" s="196" t="str">
        <f>IF(U46="","", IF(U46&lt;89%,"OVER STANDART",IF(U46=89%,"GOOD","UNDER STANDART")))</f>
        <v/>
      </c>
      <c r="V47" s="197"/>
      <c r="W47" s="196" t="str">
        <f>IF(W46="","", IF(W46&lt;89%,"OVER STANDART",IF(W46=89%,"GOOD","UNDER STANDART")))</f>
        <v/>
      </c>
      <c r="X47" s="197"/>
      <c r="Y47" s="196" t="str">
        <f>IF(Y46="","", IF(Y46&lt;89%,"OVER STANDART",IF(Y46=89%,"GOOD","UNDER STANDART")))</f>
        <v/>
      </c>
      <c r="Z47" s="197"/>
      <c r="AA47" s="196" t="str">
        <f>IF(AA46="","", IF(AA46&lt;89%,"OVER STANDART",IF(AA46=89%,"GOOD","UNDER STANDART")))</f>
        <v/>
      </c>
      <c r="AB47" s="197"/>
      <c r="AC47" s="196" t="str">
        <f>IF(AC46="","", IF(AC46&lt;89%,"OVER STANDART",IF(AC46=89%,"GOOD","UNDER STANDART")))</f>
        <v/>
      </c>
      <c r="AD47" s="197"/>
      <c r="AE47" s="196" t="str">
        <f>IF(AE46="","", IF(AE46&lt;89%,"OVER STANDART",IF(AE46=89%,"GOOD","UNDER STANDART")))</f>
        <v/>
      </c>
      <c r="AF47" s="197"/>
      <c r="AG47" s="196" t="str">
        <f>IF(AG46="","", IF(AG46&lt;89%,"OVER STANDART",IF(AG46=89%,"GOOD","UNDER STANDART")))</f>
        <v/>
      </c>
      <c r="AH47" s="197"/>
      <c r="AI47" s="196" t="str">
        <f>IF(AI46="","", IF(AI46&lt;89%,"OVER STANDART",IF(AI46=89%,"GOOD","UNDER STANDART")))</f>
        <v/>
      </c>
      <c r="AJ47" s="197"/>
      <c r="AK47" s="196" t="str">
        <f>IF(AK46="","", IF(AK46&lt;89%,"OVER STANDART",IF(AK46=89%,"GOOD","UNDER STANDART")))</f>
        <v/>
      </c>
      <c r="AL47" s="197"/>
      <c r="AM47" s="196" t="str">
        <f>IF(AM46="","", IF(AM46&lt;89%,"OVER STANDART",IF(AM46=89%,"GOOD","UNDER STANDART")))</f>
        <v/>
      </c>
      <c r="AN47" s="197"/>
      <c r="AO47" s="196" t="str">
        <f>IF(AO46="","", IF(AO46&lt;89%,"OVER STANDART",IF(AO46=89%,"GOOD","UNDER STANDART")))</f>
        <v/>
      </c>
      <c r="AP47" s="197"/>
      <c r="AQ47" s="196" t="str">
        <f>IF(AQ46="","", IF(AQ46&lt;89%,"OVER STANDART",IF(AQ46=89%,"GOOD","UNDER STANDART")))</f>
        <v/>
      </c>
      <c r="AR47" s="197"/>
      <c r="AS47" s="196" t="str">
        <f>IF(AS46="","", IF(AS46&lt;89%,"OVER STANDART",IF(AS46=89%,"GOOD","UNDER STANDART")))</f>
        <v/>
      </c>
      <c r="AT47" s="197"/>
      <c r="AU47" s="196" t="str">
        <f>IF(AU46="","", IF(AU46&lt;89%,"OVER STANDART",IF(AU46=89%,"GOOD","UNDER STANDART")))</f>
        <v/>
      </c>
      <c r="AV47" s="197"/>
      <c r="AW47" s="196" t="str">
        <f>IF(AW46="","", IF(AW46&lt;89%,"OVER STANDART",IF(AW46=89%,"GOOD","UNDER STANDART")))</f>
        <v/>
      </c>
      <c r="AX47" s="197"/>
      <c r="AY47" s="196" t="str">
        <f>IF(AY46="","", IF(AY46&lt;89%,"OVER STANDART",IF(AY46=89%,"GOOD","UNDER STANDART")))</f>
        <v/>
      </c>
      <c r="AZ47" s="197"/>
      <c r="BA47" s="196" t="str">
        <f>IF(BA46="","", IF(BA46&lt;89%,"OVER STANDART",IF(BA46=89%,"GOOD","UNDER STANDART")))</f>
        <v/>
      </c>
      <c r="BB47" s="197"/>
      <c r="BC47" s="196" t="str">
        <f>IF(BC46="","", IF(BC46&lt;89%,"OVER STANDART",IF(BC46=89%,"GOOD","UNDER STANDART")))</f>
        <v/>
      </c>
      <c r="BD47" s="197"/>
      <c r="BE47" s="196" t="str">
        <f>IF(BE46="","", IF(BE46&lt;89%,"OVER STANDART",IF(BE46=89%,"GOOD","UNDER STANDART")))</f>
        <v/>
      </c>
      <c r="BF47" s="197"/>
      <c r="BG47" s="196" t="str">
        <f>IF(BG46="","", IF(BG46&lt;89%,"OVER STANDART",IF(BG46=89%,"GOOD","UNDER STANDART")))</f>
        <v/>
      </c>
      <c r="BH47" s="197"/>
      <c r="BI47" s="196" t="str">
        <f>IF(BI46="","", IF(BI46&lt;89%,"OVER STANDART",IF(BI46=89%,"GOOD","UNDER STANDART")))</f>
        <v/>
      </c>
      <c r="BJ47" s="197"/>
      <c r="BK47" s="196" t="str">
        <f>IF(BK46="","", IF(BK46&lt;89%,"OVER STANDART",IF(BK46=89%,"GOOD","UNDER STANDART")))</f>
        <v/>
      </c>
      <c r="BL47" s="197"/>
      <c r="BM47" s="196" t="str">
        <f>IF(BM46="","", IF(BM46&lt;89%,"OVER STANDART",IF(BM46=89%,"GOOD","UNDER STANDART")))</f>
        <v/>
      </c>
      <c r="BN47" s="197"/>
      <c r="BO47" s="196" t="str">
        <f>IF(BO46="","", IF(BO46&lt;89%,"OVER STANDART",IF(BO46=89%,"GOOD","UNDER STANDART")))</f>
        <v/>
      </c>
      <c r="BP47" s="197"/>
      <c r="BQ47" s="196" t="str">
        <f>IF(BQ46="","", IF(BQ46&lt;89%,"OVER STANDART",IF(BQ46=89%,"GOOD","UNDER STANDART")))</f>
        <v/>
      </c>
      <c r="BR47" s="197"/>
      <c r="BS47" s="196" t="str">
        <f>IF(BS46="","", IF(BS46&lt;89%,"OVER STANDART",IF(BS46=89%,"GOOD","UNDER STANDART")))</f>
        <v/>
      </c>
      <c r="BT47" s="197"/>
      <c r="BU47" s="24" t="e">
        <f>IF(BU46="","", IF(BU46&lt;89%,"OVER STANDART",IF(BU46=89%,"GOOD","UNDER STANDART")))</f>
        <v>#VALUE!</v>
      </c>
      <c r="BV47" s="23"/>
      <c r="BW47" s="25"/>
      <c r="BX47" s="3"/>
      <c r="BY47" s="3"/>
      <c r="BZ47" s="3"/>
    </row>
    <row r="48" spans="1:78" ht="14.5" x14ac:dyDescent="0.3">
      <c r="A48" s="198">
        <f>A43+1</f>
        <v>10</v>
      </c>
      <c r="B48" s="7" t="s">
        <v>278</v>
      </c>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9" t="str">
        <f>IF(SUMIF($C$2:$BT$2,"FRESH",C48:BT48)=0,"",SUMIF($C$2:$BT$2,"FRESH",C48:BT48))</f>
        <v/>
      </c>
      <c r="BV48" s="10" t="str">
        <f>IF(SUMIF($C$2:$BT$2,"GILING",C48:BT48)=0,"",SUMIF($C$2:$BT$2,"GILING",C48:BT48))</f>
        <v/>
      </c>
      <c r="BW48" s="11"/>
      <c r="BX48" s="3"/>
      <c r="BY48" s="3"/>
      <c r="BZ48" s="3"/>
    </row>
    <row r="49" spans="1:78" x14ac:dyDescent="0.3">
      <c r="A49" s="199"/>
      <c r="B49" s="12" t="s">
        <v>279</v>
      </c>
      <c r="C49" s="188">
        <f>IF(AND(C48="",D48=""),0,C48-D48)</f>
        <v>0</v>
      </c>
      <c r="D49" s="189"/>
      <c r="E49" s="188">
        <f>IF(AND(E48="",F48=""),0,E48-F48)</f>
        <v>0</v>
      </c>
      <c r="F49" s="189"/>
      <c r="G49" s="188">
        <f>IF(AND(G48="",H48=""),0,G48-H48)</f>
        <v>0</v>
      </c>
      <c r="H49" s="189"/>
      <c r="I49" s="188">
        <f>IF(AND(I48="",J48=""),0,I48-J48)</f>
        <v>0</v>
      </c>
      <c r="J49" s="189"/>
      <c r="K49" s="188">
        <f>IF(AND(K48="",L48=""),0,K48-L48)</f>
        <v>0</v>
      </c>
      <c r="L49" s="189"/>
      <c r="M49" s="188">
        <f>IF(AND(M48="",N48=""),0,M48-N48)</f>
        <v>0</v>
      </c>
      <c r="N49" s="189"/>
      <c r="O49" s="188">
        <f>IF(AND(O48="",P48=""),0,O48-P48)</f>
        <v>0</v>
      </c>
      <c r="P49" s="189"/>
      <c r="Q49" s="188">
        <f>IF(AND(Q48="",R48=""),0,Q48-R48)</f>
        <v>0</v>
      </c>
      <c r="R49" s="189"/>
      <c r="S49" s="188">
        <f>IF(AND(S48="",T48=""),0,S48-T48)</f>
        <v>0</v>
      </c>
      <c r="T49" s="189"/>
      <c r="U49" s="188">
        <f>IF(AND(U48="",V48=""),0,U48-V48)</f>
        <v>0</v>
      </c>
      <c r="V49" s="189"/>
      <c r="W49" s="188">
        <f>IF(AND(W48="",X48=""),0,W48-X48)</f>
        <v>0</v>
      </c>
      <c r="X49" s="189"/>
      <c r="Y49" s="188">
        <f>IF(AND(Y48="",Z48=""),0,Y48-Z48)</f>
        <v>0</v>
      </c>
      <c r="Z49" s="189"/>
      <c r="AA49" s="188">
        <f>IF(AND(AA48="",AB48=""),0,AA48-AB48)</f>
        <v>0</v>
      </c>
      <c r="AB49" s="189"/>
      <c r="AC49" s="188">
        <f>IF(AND(AC48="",AD48=""),0,AC48-AD48)</f>
        <v>0</v>
      </c>
      <c r="AD49" s="189"/>
      <c r="AE49" s="188">
        <f>IF(AND(AE48="",AF48=""),0,AE48-AF48)</f>
        <v>0</v>
      </c>
      <c r="AF49" s="189"/>
      <c r="AG49" s="188">
        <f>IF(AND(AG48="",AH48=""),0,AG48-AH48)</f>
        <v>0</v>
      </c>
      <c r="AH49" s="189"/>
      <c r="AI49" s="188">
        <f>IF(AND(AI48="",AJ48=""),0,AI48-AJ48)</f>
        <v>0</v>
      </c>
      <c r="AJ49" s="189"/>
      <c r="AK49" s="188">
        <f>IF(AND(AK48="",AL48=""),0,AK48-AL48)</f>
        <v>0</v>
      </c>
      <c r="AL49" s="189"/>
      <c r="AM49" s="188">
        <f>IF(AND(AM48="",AN48=""),0,AM48-AN48)</f>
        <v>0</v>
      </c>
      <c r="AN49" s="189"/>
      <c r="AO49" s="188">
        <f>IF(AND(AO48="",AP48=""),0,AO48-AP48)</f>
        <v>0</v>
      </c>
      <c r="AP49" s="189"/>
      <c r="AQ49" s="188">
        <f>IF(AND(AQ48="",AR48=""),0,AQ48-AR48)</f>
        <v>0</v>
      </c>
      <c r="AR49" s="189"/>
      <c r="AS49" s="188">
        <f>IF(AND(AS48="",AT48=""),0,AS48-AT48)</f>
        <v>0</v>
      </c>
      <c r="AT49" s="189"/>
      <c r="AU49" s="188">
        <f>IF(AND(AU48="",AV48=""),0,AU48-AV48)</f>
        <v>0</v>
      </c>
      <c r="AV49" s="189"/>
      <c r="AW49" s="188">
        <f>IF(AND(AW48="",AX48=""),0,AW48-AX48)</f>
        <v>0</v>
      </c>
      <c r="AX49" s="189"/>
      <c r="AY49" s="188">
        <f>IF(AND(AY48="",AZ48=""),0,AY48-AZ48)</f>
        <v>0</v>
      </c>
      <c r="AZ49" s="189"/>
      <c r="BA49" s="188">
        <f>IF(AND(BA48="",BB48=""),0,BA48-BB48)</f>
        <v>0</v>
      </c>
      <c r="BB49" s="189"/>
      <c r="BC49" s="188">
        <f>IF(AND(BC48="",BD48=""),0,BC48-BD48)</f>
        <v>0</v>
      </c>
      <c r="BD49" s="189"/>
      <c r="BE49" s="188">
        <f>IF(AND(BE48="",BF48=""),0,BE48-BF48)</f>
        <v>0</v>
      </c>
      <c r="BF49" s="189"/>
      <c r="BG49" s="188">
        <f>IF(AND(BG48="",BH48=""),0,BG48-BH48)</f>
        <v>0</v>
      </c>
      <c r="BH49" s="189"/>
      <c r="BI49" s="188">
        <f>IF(AND(BI48="",BJ48=""),0,BI48-BJ48)</f>
        <v>0</v>
      </c>
      <c r="BJ49" s="189"/>
      <c r="BK49" s="188">
        <f>IF(AND(BK48="",BL48=""),0,BK48-BL48)</f>
        <v>0</v>
      </c>
      <c r="BL49" s="189"/>
      <c r="BM49" s="188">
        <f>IF(AND(BM48="",BN48=""),0,BM48-BN48)</f>
        <v>0</v>
      </c>
      <c r="BN49" s="189"/>
      <c r="BO49" s="188">
        <f>IF(AND(BO48="",BP48=""),0,BO48-BP48)</f>
        <v>0</v>
      </c>
      <c r="BP49" s="189"/>
      <c r="BQ49" s="188">
        <f>IF(AND(BQ48="",BR48=""),0,BQ48-BR48)</f>
        <v>0</v>
      </c>
      <c r="BR49" s="189"/>
      <c r="BS49" s="188">
        <f>IF(AND(BS48="",BT48=""),0,BS48-BT48)</f>
        <v>0</v>
      </c>
      <c r="BT49" s="189"/>
      <c r="BU49" s="14" t="str">
        <f>IF(AND(BU48="",BV48=""),"",BU48-BV48)</f>
        <v/>
      </c>
      <c r="BV49" s="13"/>
      <c r="BW49" s="16" t="str">
        <f>IF(COUNTIF(D49:BT49,"&gt;0")=0,"",COUNTIF(D49:BT49,"&gt;0"))</f>
        <v/>
      </c>
      <c r="BX49" s="3"/>
      <c r="BY49" s="3"/>
      <c r="BZ49" s="3"/>
    </row>
    <row r="50" spans="1:78" ht="14.5" x14ac:dyDescent="0.3">
      <c r="A50" s="199"/>
      <c r="B50" s="12" t="s">
        <v>280</v>
      </c>
      <c r="C50" s="186">
        <f>IF(C49="",0,(D48/89%)-(C48))</f>
        <v>0</v>
      </c>
      <c r="D50" s="187"/>
      <c r="E50" s="186">
        <f>IF(E49="",0,(F48/89%)-(E48))</f>
        <v>0</v>
      </c>
      <c r="F50" s="187"/>
      <c r="G50" s="186">
        <f>IF(G49="",0,(H48/89%)-(G48))</f>
        <v>0</v>
      </c>
      <c r="H50" s="187"/>
      <c r="I50" s="186">
        <f>IF(I49="",0,(J48/89%)-(I48))</f>
        <v>0</v>
      </c>
      <c r="J50" s="187"/>
      <c r="K50" s="186">
        <f>IF(K49="",0,(L48/89%)-(K48))</f>
        <v>0</v>
      </c>
      <c r="L50" s="187"/>
      <c r="M50" s="186">
        <f>IF(M49="",0,(N48/89%)-(M48))</f>
        <v>0</v>
      </c>
      <c r="N50" s="187"/>
      <c r="O50" s="186">
        <f>IF(O49="",0,(P48/89%)-(O48))</f>
        <v>0</v>
      </c>
      <c r="P50" s="187"/>
      <c r="Q50" s="186">
        <f>IF(Q49="",0,(R48/89%)-(Q48))</f>
        <v>0</v>
      </c>
      <c r="R50" s="187"/>
      <c r="S50" s="186">
        <f>IF(S49="",0,(T48/89%)-(S48))</f>
        <v>0</v>
      </c>
      <c r="T50" s="187"/>
      <c r="U50" s="186">
        <f>IF(U49="",0,(V48/89%)-(U48))</f>
        <v>0</v>
      </c>
      <c r="V50" s="187"/>
      <c r="W50" s="186">
        <f>IF(W49="",0,(X48/89%)-(W48))</f>
        <v>0</v>
      </c>
      <c r="X50" s="187"/>
      <c r="Y50" s="186">
        <f>IF(Y49="",0,(Z48/89%)-(Y48))</f>
        <v>0</v>
      </c>
      <c r="Z50" s="187"/>
      <c r="AA50" s="186">
        <f>IF(AA49="",0,(AB48/89%)-(AA48))</f>
        <v>0</v>
      </c>
      <c r="AB50" s="187"/>
      <c r="AC50" s="186">
        <f>IF(AC49="",0,(AD48/89%)-(AC48))</f>
        <v>0</v>
      </c>
      <c r="AD50" s="187"/>
      <c r="AE50" s="186">
        <f>IF(AE49="",0,(AF48/89%)-(AE48))</f>
        <v>0</v>
      </c>
      <c r="AF50" s="187"/>
      <c r="AG50" s="186">
        <f>IF(AG49="",0,(AH48/89%)-(AG48))</f>
        <v>0</v>
      </c>
      <c r="AH50" s="187"/>
      <c r="AI50" s="186">
        <f>IF(AI49="",0,(AJ48/89%)-(AI48))</f>
        <v>0</v>
      </c>
      <c r="AJ50" s="187"/>
      <c r="AK50" s="186">
        <f>IF(AK49="",0,(AL48/89%)-(AK48))</f>
        <v>0</v>
      </c>
      <c r="AL50" s="187"/>
      <c r="AM50" s="186">
        <f>IF(AM49="",0,(AN48/89%)-(AM48))</f>
        <v>0</v>
      </c>
      <c r="AN50" s="187"/>
      <c r="AO50" s="186">
        <f>IF(AO49="",0,(AP48/89%)-(AO48))</f>
        <v>0</v>
      </c>
      <c r="AP50" s="187"/>
      <c r="AQ50" s="186">
        <f>IF(AQ49="",0,(AR48/89%)-(AQ48))</f>
        <v>0</v>
      </c>
      <c r="AR50" s="187"/>
      <c r="AS50" s="186">
        <f>IF(AS49="",0,(AT48/89%)-(AS48))</f>
        <v>0</v>
      </c>
      <c r="AT50" s="187"/>
      <c r="AU50" s="186">
        <f>IF(AU49="",0,(AV48/89%)-(AU48))</f>
        <v>0</v>
      </c>
      <c r="AV50" s="187"/>
      <c r="AW50" s="186">
        <f>IF(AW49="",0,(AX48/89%)-(AW48))</f>
        <v>0</v>
      </c>
      <c r="AX50" s="187"/>
      <c r="AY50" s="186">
        <f>IF(AY49="",0,(AZ48/89%)-(AY48))</f>
        <v>0</v>
      </c>
      <c r="AZ50" s="187"/>
      <c r="BA50" s="186">
        <f>IF(BA49="",0,(BB48/89%)-(BA48))</f>
        <v>0</v>
      </c>
      <c r="BB50" s="187"/>
      <c r="BC50" s="186">
        <f>IF(BC49="",0,(BD48/89%)-(BC48))</f>
        <v>0</v>
      </c>
      <c r="BD50" s="187"/>
      <c r="BE50" s="186">
        <f>IF(BE49="",0,(BF48/89%)-(BE48))</f>
        <v>0</v>
      </c>
      <c r="BF50" s="187"/>
      <c r="BG50" s="186">
        <f>IF(BG49="",0,(BH48/89%)-(BG48))</f>
        <v>0</v>
      </c>
      <c r="BH50" s="187"/>
      <c r="BI50" s="186">
        <f>IF(BI49="",0,(BJ48/89%)-(BI48))</f>
        <v>0</v>
      </c>
      <c r="BJ50" s="187"/>
      <c r="BK50" s="186">
        <f>IF(BK49="",0,(BL48/89%)-(BK48))</f>
        <v>0</v>
      </c>
      <c r="BL50" s="187"/>
      <c r="BM50" s="186">
        <f>IF(BM49="",0,(BN48/89%)-(BM48))</f>
        <v>0</v>
      </c>
      <c r="BN50" s="187"/>
      <c r="BO50" s="186">
        <f>IF(BO49="",0,(BP48/89%)-(BO48))</f>
        <v>0</v>
      </c>
      <c r="BP50" s="187"/>
      <c r="BQ50" s="186">
        <f>IF(BQ49="",0,(BR48/89%)-(BQ48))</f>
        <v>0</v>
      </c>
      <c r="BR50" s="187"/>
      <c r="BS50" s="186">
        <f>IF(BS49="",0,(BT48/89%)-(BS48))</f>
        <v>0</v>
      </c>
      <c r="BT50" s="187"/>
      <c r="BU50" s="17" t="str">
        <f>IF(BU49="","",(BV48/89%)-(BU48))</f>
        <v/>
      </c>
      <c r="BV50" s="13"/>
      <c r="BW50" s="18" t="str">
        <f>IF(AND(BU48="",BV48=""),"",(BU48-BV48)-BU49)</f>
        <v/>
      </c>
      <c r="BX50" s="3"/>
      <c r="BY50" s="3"/>
      <c r="BZ50" s="3"/>
    </row>
    <row r="51" spans="1:78" ht="14.5" x14ac:dyDescent="0.3">
      <c r="A51" s="199"/>
      <c r="B51" s="19" t="s">
        <v>281</v>
      </c>
      <c r="C51" s="194" t="str">
        <f>IF(C49=0,"",ABS(IFERROR((C49/C48),0)-1))</f>
        <v/>
      </c>
      <c r="D51" s="195"/>
      <c r="E51" s="194" t="str">
        <f>IF(E49=0,"",ABS(IFERROR((E49/E48),0)-1))</f>
        <v/>
      </c>
      <c r="F51" s="195"/>
      <c r="G51" s="194" t="str">
        <f>IF(G49=0,"",ABS(IFERROR((G49/G48),0)-1))</f>
        <v/>
      </c>
      <c r="H51" s="195"/>
      <c r="I51" s="194" t="str">
        <f>IF(I49=0,"",ABS(IFERROR((I49/I48),0)-1))</f>
        <v/>
      </c>
      <c r="J51" s="195"/>
      <c r="K51" s="194" t="str">
        <f>IF(K49=0,"",ABS(IFERROR((K49/K48),0)-1))</f>
        <v/>
      </c>
      <c r="L51" s="195"/>
      <c r="M51" s="194" t="str">
        <f>IF(M49=0,"",ABS(IFERROR((M49/M48),0)-1))</f>
        <v/>
      </c>
      <c r="N51" s="195"/>
      <c r="O51" s="194" t="str">
        <f>IF(O49=0,"",ABS(IFERROR((O49/O48),0)-1))</f>
        <v/>
      </c>
      <c r="P51" s="195"/>
      <c r="Q51" s="194" t="str">
        <f>IF(Q49=0,"",ABS(IFERROR((Q49/Q48),0)-1))</f>
        <v/>
      </c>
      <c r="R51" s="195"/>
      <c r="S51" s="194" t="str">
        <f>IF(S49=0,"",ABS(IFERROR((S49/S48),0)-1))</f>
        <v/>
      </c>
      <c r="T51" s="195"/>
      <c r="U51" s="194" t="str">
        <f>IF(U49=0,"",ABS(IFERROR((U49/U48),0)-1))</f>
        <v/>
      </c>
      <c r="V51" s="195"/>
      <c r="W51" s="194" t="str">
        <f>IF(W49=0,"",ABS(IFERROR((W49/W48),0)-1))</f>
        <v/>
      </c>
      <c r="X51" s="195"/>
      <c r="Y51" s="194" t="str">
        <f>IF(Y49=0,"",ABS(IFERROR((Y49/Y48),0)-1))</f>
        <v/>
      </c>
      <c r="Z51" s="195"/>
      <c r="AA51" s="194" t="str">
        <f>IF(AA49=0,"",ABS(IFERROR((AA49/AA48),0)-1))</f>
        <v/>
      </c>
      <c r="AB51" s="195"/>
      <c r="AC51" s="194" t="str">
        <f>IF(AC49=0,"",ABS(IFERROR((AC49/AC48),0)-1))</f>
        <v/>
      </c>
      <c r="AD51" s="195"/>
      <c r="AE51" s="194" t="str">
        <f>IF(AE49=0,"",ABS(IFERROR((AE49/AE48),0)-1))</f>
        <v/>
      </c>
      <c r="AF51" s="195"/>
      <c r="AG51" s="194" t="str">
        <f>IF(AG49=0,"",ABS(IFERROR((AG49/AG48),0)-1))</f>
        <v/>
      </c>
      <c r="AH51" s="195"/>
      <c r="AI51" s="194" t="str">
        <f>IF(AI49=0,"",ABS(IFERROR((AI49/AI48),0)-1))</f>
        <v/>
      </c>
      <c r="AJ51" s="195"/>
      <c r="AK51" s="194" t="str">
        <f>IF(AK49=0,"",ABS(IFERROR((AK49/AK48),0)-1))</f>
        <v/>
      </c>
      <c r="AL51" s="195"/>
      <c r="AM51" s="194" t="str">
        <f>IF(AM49=0,"",ABS(IFERROR((AM49/AM48),0)-1))</f>
        <v/>
      </c>
      <c r="AN51" s="195"/>
      <c r="AO51" s="194" t="str">
        <f>IF(AO49=0,"",ABS(IFERROR((AO49/AO48),0)-1))</f>
        <v/>
      </c>
      <c r="AP51" s="195"/>
      <c r="AQ51" s="194" t="str">
        <f>IF(AQ49=0,"",ABS(IFERROR((AQ49/AQ48),0)-1))</f>
        <v/>
      </c>
      <c r="AR51" s="195"/>
      <c r="AS51" s="194" t="str">
        <f>IF(AS49=0,"",ABS(IFERROR((AS49/AS48),0)-1))</f>
        <v/>
      </c>
      <c r="AT51" s="195"/>
      <c r="AU51" s="194" t="str">
        <f>IF(AU49=0,"",ABS(IFERROR((AU49/AU48),0)-1))</f>
        <v/>
      </c>
      <c r="AV51" s="195"/>
      <c r="AW51" s="194" t="str">
        <f>IF(AW49=0,"",ABS(IFERROR((AW49/AW48),0)-1))</f>
        <v/>
      </c>
      <c r="AX51" s="195"/>
      <c r="AY51" s="194" t="str">
        <f>IF(AY49=0,"",ABS(IFERROR((AY49/AY48),0)-1))</f>
        <v/>
      </c>
      <c r="AZ51" s="195"/>
      <c r="BA51" s="194" t="str">
        <f>IF(BA49=0,"",ABS(IFERROR((BA49/BA48),0)-1))</f>
        <v/>
      </c>
      <c r="BB51" s="195"/>
      <c r="BC51" s="194" t="str">
        <f>IF(BC49=0,"",ABS(IFERROR((BC49/BC48),0)-1))</f>
        <v/>
      </c>
      <c r="BD51" s="195"/>
      <c r="BE51" s="194" t="str">
        <f>IF(BE49=0,"",ABS(IFERROR((BE49/BE48),0)-1))</f>
        <v/>
      </c>
      <c r="BF51" s="195"/>
      <c r="BG51" s="194" t="str">
        <f>IF(BG49=0,"",ABS(IFERROR((BG49/BG48),0)-1))</f>
        <v/>
      </c>
      <c r="BH51" s="195"/>
      <c r="BI51" s="194" t="str">
        <f>IF(BI49=0,"",ABS(IFERROR((BI49/BI48),0)-1))</f>
        <v/>
      </c>
      <c r="BJ51" s="195"/>
      <c r="BK51" s="194" t="str">
        <f>IF(BK49=0,"",ABS(IFERROR((BK49/BK48),0)-1))</f>
        <v/>
      </c>
      <c r="BL51" s="195"/>
      <c r="BM51" s="194" t="str">
        <f>IF(BM49=0,"",ABS(IFERROR((BM49/BM48),0)-1))</f>
        <v/>
      </c>
      <c r="BN51" s="195"/>
      <c r="BO51" s="194" t="str">
        <f>IF(BO49=0,"",ABS(IFERROR((BO49/BO48),0)-1))</f>
        <v/>
      </c>
      <c r="BP51" s="195"/>
      <c r="BQ51" s="194" t="str">
        <f>IF(BQ49=0,"",ABS(IFERROR((BQ49/BQ48),0)-1))</f>
        <v/>
      </c>
      <c r="BR51" s="195"/>
      <c r="BS51" s="194" t="str">
        <f>IF(BS49=0,"",ABS(IFERROR((BS49/BS48),0)-1))</f>
        <v/>
      </c>
      <c r="BT51" s="195"/>
      <c r="BU51" s="26" t="e">
        <f>ABS(IFERROR((BU49/BU48),"")-1)</f>
        <v>#VALUE!</v>
      </c>
      <c r="BV51" s="15"/>
      <c r="BW51" s="21"/>
      <c r="BX51" s="3"/>
      <c r="BY51" s="3"/>
      <c r="BZ51" s="3"/>
    </row>
    <row r="52" spans="1:78" ht="15" thickBot="1" x14ac:dyDescent="0.35">
      <c r="A52" s="181"/>
      <c r="B52" s="22" t="s">
        <v>177</v>
      </c>
      <c r="C52" s="196" t="str">
        <f>IF(C51="","", IF(C51&lt;89%,"OVER STANDART",IF(C51=89%,"GOOD","UNDER STANDART")))</f>
        <v/>
      </c>
      <c r="D52" s="197"/>
      <c r="E52" s="196" t="str">
        <f>IF(E51="","", IF(E51&lt;89%,"OVER STANDART",IF(E51=89%,"GOOD","UNDER STANDART")))</f>
        <v/>
      </c>
      <c r="F52" s="197"/>
      <c r="G52" s="196" t="str">
        <f>IF(G51="","", IF(G51&lt;89%,"OVER STANDART",IF(G51=89%,"GOOD","UNDER STANDART")))</f>
        <v/>
      </c>
      <c r="H52" s="197"/>
      <c r="I52" s="196" t="str">
        <f>IF(I51="","", IF(I51&lt;89%,"OVER STANDART",IF(I51=89%,"GOOD","UNDER STANDART")))</f>
        <v/>
      </c>
      <c r="J52" s="197"/>
      <c r="K52" s="196" t="str">
        <f>IF(K51="","", IF(K51&lt;89%,"OVER STANDART",IF(K51=89%,"GOOD","UNDER STANDART")))</f>
        <v/>
      </c>
      <c r="L52" s="197"/>
      <c r="M52" s="196" t="str">
        <f>IF(M51="","", IF(M51&lt;89%,"OVER STANDART",IF(M51=89%,"GOOD","UNDER STANDART")))</f>
        <v/>
      </c>
      <c r="N52" s="197"/>
      <c r="O52" s="196" t="str">
        <f>IF(O51="","", IF(O51&lt;89%,"OVER STANDART",IF(O51=89%,"GOOD","UNDER STANDART")))</f>
        <v/>
      </c>
      <c r="P52" s="197"/>
      <c r="Q52" s="196" t="str">
        <f>IF(Q51="","", IF(Q51&lt;89%,"OVER STANDART",IF(Q51=89%,"GOOD","UNDER STANDART")))</f>
        <v/>
      </c>
      <c r="R52" s="197"/>
      <c r="S52" s="196" t="str">
        <f>IF(S51="","", IF(S51&lt;89%,"OVER STANDART",IF(S51=89%,"GOOD","UNDER STANDART")))</f>
        <v/>
      </c>
      <c r="T52" s="197"/>
      <c r="U52" s="196" t="str">
        <f>IF(U51="","", IF(U51&lt;89%,"OVER STANDART",IF(U51=89%,"GOOD","UNDER STANDART")))</f>
        <v/>
      </c>
      <c r="V52" s="197"/>
      <c r="W52" s="196" t="str">
        <f>IF(W51="","", IF(W51&lt;89%,"OVER STANDART",IF(W51=89%,"GOOD","UNDER STANDART")))</f>
        <v/>
      </c>
      <c r="X52" s="197"/>
      <c r="Y52" s="196" t="str">
        <f>IF(Y51="","", IF(Y51&lt;89%,"OVER STANDART",IF(Y51=89%,"GOOD","UNDER STANDART")))</f>
        <v/>
      </c>
      <c r="Z52" s="197"/>
      <c r="AA52" s="196" t="str">
        <f>IF(AA51="","", IF(AA51&lt;89%,"OVER STANDART",IF(AA51=89%,"GOOD","UNDER STANDART")))</f>
        <v/>
      </c>
      <c r="AB52" s="197"/>
      <c r="AC52" s="196" t="str">
        <f>IF(AC51="","", IF(AC51&lt;89%,"OVER STANDART",IF(AC51=89%,"GOOD","UNDER STANDART")))</f>
        <v/>
      </c>
      <c r="AD52" s="197"/>
      <c r="AE52" s="196" t="str">
        <f>IF(AE51="","", IF(AE51&lt;89%,"OVER STANDART",IF(AE51=89%,"GOOD","UNDER STANDART")))</f>
        <v/>
      </c>
      <c r="AF52" s="197"/>
      <c r="AG52" s="196" t="str">
        <f>IF(AG51="","", IF(AG51&lt;89%,"OVER STANDART",IF(AG51=89%,"GOOD","UNDER STANDART")))</f>
        <v/>
      </c>
      <c r="AH52" s="197"/>
      <c r="AI52" s="196" t="str">
        <f>IF(AI51="","", IF(AI51&lt;89%,"OVER STANDART",IF(AI51=89%,"GOOD","UNDER STANDART")))</f>
        <v/>
      </c>
      <c r="AJ52" s="197"/>
      <c r="AK52" s="196" t="str">
        <f>IF(AK51="","", IF(AK51&lt;89%,"OVER STANDART",IF(AK51=89%,"GOOD","UNDER STANDART")))</f>
        <v/>
      </c>
      <c r="AL52" s="197"/>
      <c r="AM52" s="196" t="str">
        <f>IF(AM51="","", IF(AM51&lt;89%,"OVER STANDART",IF(AM51=89%,"GOOD","UNDER STANDART")))</f>
        <v/>
      </c>
      <c r="AN52" s="197"/>
      <c r="AO52" s="196" t="str">
        <f>IF(AO51="","", IF(AO51&lt;89%,"OVER STANDART",IF(AO51=89%,"GOOD","UNDER STANDART")))</f>
        <v/>
      </c>
      <c r="AP52" s="197"/>
      <c r="AQ52" s="196" t="str">
        <f>IF(AQ51="","", IF(AQ51&lt;89%,"OVER STANDART",IF(AQ51=89%,"GOOD","UNDER STANDART")))</f>
        <v/>
      </c>
      <c r="AR52" s="197"/>
      <c r="AS52" s="196" t="str">
        <f>IF(AS51="","", IF(AS51&lt;89%,"OVER STANDART",IF(AS51=89%,"GOOD","UNDER STANDART")))</f>
        <v/>
      </c>
      <c r="AT52" s="197"/>
      <c r="AU52" s="196" t="str">
        <f>IF(AU51="","", IF(AU51&lt;89%,"OVER STANDART",IF(AU51=89%,"GOOD","UNDER STANDART")))</f>
        <v/>
      </c>
      <c r="AV52" s="197"/>
      <c r="AW52" s="196" t="str">
        <f>IF(AW51="","", IF(AW51&lt;89%,"OVER STANDART",IF(AW51=89%,"GOOD","UNDER STANDART")))</f>
        <v/>
      </c>
      <c r="AX52" s="197"/>
      <c r="AY52" s="196" t="str">
        <f>IF(AY51="","", IF(AY51&lt;89%,"OVER STANDART",IF(AY51=89%,"GOOD","UNDER STANDART")))</f>
        <v/>
      </c>
      <c r="AZ52" s="197"/>
      <c r="BA52" s="196" t="str">
        <f>IF(BA51="","", IF(BA51&lt;89%,"OVER STANDART",IF(BA51=89%,"GOOD","UNDER STANDART")))</f>
        <v/>
      </c>
      <c r="BB52" s="197"/>
      <c r="BC52" s="196" t="str">
        <f>IF(BC51="","", IF(BC51&lt;89%,"OVER STANDART",IF(BC51=89%,"GOOD","UNDER STANDART")))</f>
        <v/>
      </c>
      <c r="BD52" s="197"/>
      <c r="BE52" s="196" t="str">
        <f>IF(BE51="","", IF(BE51&lt;89%,"OVER STANDART",IF(BE51=89%,"GOOD","UNDER STANDART")))</f>
        <v/>
      </c>
      <c r="BF52" s="197"/>
      <c r="BG52" s="196" t="str">
        <f>IF(BG51="","", IF(BG51&lt;89%,"OVER STANDART",IF(BG51=89%,"GOOD","UNDER STANDART")))</f>
        <v/>
      </c>
      <c r="BH52" s="197"/>
      <c r="BI52" s="196" t="str">
        <f>IF(BI51="","", IF(BI51&lt;89%,"OVER STANDART",IF(BI51=89%,"GOOD","UNDER STANDART")))</f>
        <v/>
      </c>
      <c r="BJ52" s="197"/>
      <c r="BK52" s="196" t="str">
        <f>IF(BK51="","", IF(BK51&lt;89%,"OVER STANDART",IF(BK51=89%,"GOOD","UNDER STANDART")))</f>
        <v/>
      </c>
      <c r="BL52" s="197"/>
      <c r="BM52" s="196" t="str">
        <f>IF(BM51="","", IF(BM51&lt;89%,"OVER STANDART",IF(BM51=89%,"GOOD","UNDER STANDART")))</f>
        <v/>
      </c>
      <c r="BN52" s="197"/>
      <c r="BO52" s="196" t="str">
        <f>IF(BO51="","", IF(BO51&lt;89%,"OVER STANDART",IF(BO51=89%,"GOOD","UNDER STANDART")))</f>
        <v/>
      </c>
      <c r="BP52" s="197"/>
      <c r="BQ52" s="196" t="str">
        <f>IF(BQ51="","", IF(BQ51&lt;89%,"OVER STANDART",IF(BQ51=89%,"GOOD","UNDER STANDART")))</f>
        <v/>
      </c>
      <c r="BR52" s="197"/>
      <c r="BS52" s="196" t="str">
        <f>IF(BS51="","", IF(BS51&lt;89%,"OVER STANDART",IF(BS51=89%,"GOOD","UNDER STANDART")))</f>
        <v/>
      </c>
      <c r="BT52" s="197"/>
      <c r="BU52" s="24" t="e">
        <f>IF(BU51="","", IF(BU51&lt;89%,"OVER STANDART",IF(BU51=89%,"GOOD","UNDER STANDART")))</f>
        <v>#VALUE!</v>
      </c>
      <c r="BV52" s="23"/>
      <c r="BW52" s="25"/>
      <c r="BX52" s="3"/>
      <c r="BY52" s="3"/>
      <c r="BZ52" s="3"/>
    </row>
    <row r="53" spans="1:78" ht="14.5" x14ac:dyDescent="0.3">
      <c r="A53" s="198">
        <f>A48+1</f>
        <v>11</v>
      </c>
      <c r="B53" s="7" t="s">
        <v>278</v>
      </c>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9" t="str">
        <f>IF(SUMIF($C$2:$BT$2,"FRESH",C53:BT53)=0,"",SUMIF($C$2:$BT$2,"FRESH",C53:BT53))</f>
        <v/>
      </c>
      <c r="BV53" s="10" t="str">
        <f>IF(SUMIF($C$2:$BT$2,"GILING",C53:BT53)=0,"",SUMIF($C$2:$BT$2,"GILING",C53:BT53))</f>
        <v/>
      </c>
      <c r="BW53" s="11"/>
      <c r="BX53" s="3"/>
      <c r="BY53" s="3"/>
      <c r="BZ53" s="3"/>
    </row>
    <row r="54" spans="1:78" x14ac:dyDescent="0.3">
      <c r="A54" s="199"/>
      <c r="B54" s="12" t="s">
        <v>279</v>
      </c>
      <c r="C54" s="188">
        <f>IF(AND(C53="",D53=""),0,C53-D53)</f>
        <v>0</v>
      </c>
      <c r="D54" s="189"/>
      <c r="E54" s="188">
        <f>IF(AND(E53="",F53=""),0,E53-F53)</f>
        <v>0</v>
      </c>
      <c r="F54" s="189"/>
      <c r="G54" s="188">
        <f>IF(AND(G53="",H53=""),0,G53-H53)</f>
        <v>0</v>
      </c>
      <c r="H54" s="189"/>
      <c r="I54" s="188">
        <f>IF(AND(I53="",J53=""),0,I53-J53)</f>
        <v>0</v>
      </c>
      <c r="J54" s="189"/>
      <c r="K54" s="188">
        <f>IF(AND(K53="",L53=""),0,K53-L53)</f>
        <v>0</v>
      </c>
      <c r="L54" s="189"/>
      <c r="M54" s="188">
        <f>IF(AND(M53="",N53=""),0,M53-N53)</f>
        <v>0</v>
      </c>
      <c r="N54" s="189"/>
      <c r="O54" s="188">
        <f>IF(AND(O53="",P53=""),0,O53-P53)</f>
        <v>0</v>
      </c>
      <c r="P54" s="189"/>
      <c r="Q54" s="188">
        <f>IF(AND(Q53="",R53=""),0,Q53-R53)</f>
        <v>0</v>
      </c>
      <c r="R54" s="189"/>
      <c r="S54" s="188">
        <f>IF(AND(S53="",T53=""),0,S53-T53)</f>
        <v>0</v>
      </c>
      <c r="T54" s="189"/>
      <c r="U54" s="188">
        <f>IF(AND(U53="",V53=""),0,U53-V53)</f>
        <v>0</v>
      </c>
      <c r="V54" s="189"/>
      <c r="W54" s="188">
        <f>IF(AND(W53="",X53=""),0,W53-X53)</f>
        <v>0</v>
      </c>
      <c r="X54" s="189"/>
      <c r="Y54" s="188">
        <f>IF(AND(Y53="",Z53=""),0,Y53-Z53)</f>
        <v>0</v>
      </c>
      <c r="Z54" s="189"/>
      <c r="AA54" s="188">
        <f>IF(AND(AA53="",AB53=""),0,AA53-AB53)</f>
        <v>0</v>
      </c>
      <c r="AB54" s="189"/>
      <c r="AC54" s="188">
        <f>IF(AND(AC53="",AD53=""),0,AC53-AD53)</f>
        <v>0</v>
      </c>
      <c r="AD54" s="189"/>
      <c r="AE54" s="188">
        <f>IF(AND(AE53="",AF53=""),0,AE53-AF53)</f>
        <v>0</v>
      </c>
      <c r="AF54" s="189"/>
      <c r="AG54" s="188">
        <f>IF(AND(AG53="",AH53=""),0,AG53-AH53)</f>
        <v>0</v>
      </c>
      <c r="AH54" s="189"/>
      <c r="AI54" s="188">
        <f>IF(AND(AI53="",AJ53=""),0,AI53-AJ53)</f>
        <v>0</v>
      </c>
      <c r="AJ54" s="189"/>
      <c r="AK54" s="188">
        <f>IF(AND(AK53="",AL53=""),0,AK53-AL53)</f>
        <v>0</v>
      </c>
      <c r="AL54" s="189"/>
      <c r="AM54" s="188">
        <f>IF(AND(AM53="",AN53=""),0,AM53-AN53)</f>
        <v>0</v>
      </c>
      <c r="AN54" s="189"/>
      <c r="AO54" s="188">
        <f>IF(AND(AO53="",AP53=""),0,AO53-AP53)</f>
        <v>0</v>
      </c>
      <c r="AP54" s="189"/>
      <c r="AQ54" s="188">
        <f>IF(AND(AQ53="",AR53=""),0,AQ53-AR53)</f>
        <v>0</v>
      </c>
      <c r="AR54" s="189"/>
      <c r="AS54" s="188">
        <f>IF(AND(AS53="",AT53=""),0,AS53-AT53)</f>
        <v>0</v>
      </c>
      <c r="AT54" s="189"/>
      <c r="AU54" s="188">
        <f>IF(AND(AU53="",AV53=""),0,AU53-AV53)</f>
        <v>0</v>
      </c>
      <c r="AV54" s="189"/>
      <c r="AW54" s="188">
        <f>IF(AND(AW53="",AX53=""),0,AW53-AX53)</f>
        <v>0</v>
      </c>
      <c r="AX54" s="189"/>
      <c r="AY54" s="188">
        <f>IF(AND(AY53="",AZ53=""),0,AY53-AZ53)</f>
        <v>0</v>
      </c>
      <c r="AZ54" s="189"/>
      <c r="BA54" s="188">
        <f>IF(AND(BA53="",BB53=""),0,BA53-BB53)</f>
        <v>0</v>
      </c>
      <c r="BB54" s="189"/>
      <c r="BC54" s="188">
        <f>IF(AND(BC53="",BD53=""),0,BC53-BD53)</f>
        <v>0</v>
      </c>
      <c r="BD54" s="189"/>
      <c r="BE54" s="188">
        <f>IF(AND(BE53="",BF53=""),0,BE53-BF53)</f>
        <v>0</v>
      </c>
      <c r="BF54" s="189"/>
      <c r="BG54" s="188">
        <f>IF(AND(BG53="",BH53=""),0,BG53-BH53)</f>
        <v>0</v>
      </c>
      <c r="BH54" s="189"/>
      <c r="BI54" s="188">
        <f>IF(AND(BI53="",BJ53=""),0,BI53-BJ53)</f>
        <v>0</v>
      </c>
      <c r="BJ54" s="189"/>
      <c r="BK54" s="188">
        <f>IF(AND(BK53="",BL53=""),0,BK53-BL53)</f>
        <v>0</v>
      </c>
      <c r="BL54" s="189"/>
      <c r="BM54" s="188">
        <f>IF(AND(BM53="",BN53=""),0,BM53-BN53)</f>
        <v>0</v>
      </c>
      <c r="BN54" s="189"/>
      <c r="BO54" s="188">
        <f>IF(AND(BO53="",BP53=""),0,BO53-BP53)</f>
        <v>0</v>
      </c>
      <c r="BP54" s="189"/>
      <c r="BQ54" s="188">
        <f>IF(AND(BQ53="",BR53=""),0,BQ53-BR53)</f>
        <v>0</v>
      </c>
      <c r="BR54" s="189"/>
      <c r="BS54" s="188">
        <f>IF(AND(BS53="",BT53=""),0,BS53-BT53)</f>
        <v>0</v>
      </c>
      <c r="BT54" s="189"/>
      <c r="BU54" s="14" t="str">
        <f>IF(AND(BU53="",BV53=""),"",BU53-BV53)</f>
        <v/>
      </c>
      <c r="BV54" s="13"/>
      <c r="BW54" s="16" t="str">
        <f>IF(COUNTIF(D54:BT54,"&gt;0")=0,"",COUNTIF(D54:BT54,"&gt;0"))</f>
        <v/>
      </c>
      <c r="BX54" s="3"/>
      <c r="BY54" s="3"/>
      <c r="BZ54" s="3"/>
    </row>
    <row r="55" spans="1:78" ht="14.5" x14ac:dyDescent="0.3">
      <c r="A55" s="199"/>
      <c r="B55" s="12" t="s">
        <v>280</v>
      </c>
      <c r="C55" s="186">
        <f>IF(C54="",0,(D53/89%)-(C53))</f>
        <v>0</v>
      </c>
      <c r="D55" s="187"/>
      <c r="E55" s="186">
        <f>IF(E54="",0,(F53/89%)-(E53))</f>
        <v>0</v>
      </c>
      <c r="F55" s="187"/>
      <c r="G55" s="186">
        <f>IF(G54="",0,(H53/89%)-(G53))</f>
        <v>0</v>
      </c>
      <c r="H55" s="187"/>
      <c r="I55" s="186">
        <f>IF(I54="",0,(J53/89%)-(I53))</f>
        <v>0</v>
      </c>
      <c r="J55" s="187"/>
      <c r="K55" s="186">
        <f>IF(K54="",0,(L53/89%)-(K53))</f>
        <v>0</v>
      </c>
      <c r="L55" s="187"/>
      <c r="M55" s="186">
        <f>IF(M54="",0,(N53/89%)-(M53))</f>
        <v>0</v>
      </c>
      <c r="N55" s="187"/>
      <c r="O55" s="186">
        <f>IF(O54="",0,(P53/89%)-(O53))</f>
        <v>0</v>
      </c>
      <c r="P55" s="187"/>
      <c r="Q55" s="186">
        <f>IF(Q54="",0,(R53/89%)-(Q53))</f>
        <v>0</v>
      </c>
      <c r="R55" s="187"/>
      <c r="S55" s="186">
        <f>IF(S54="",0,(T53/89%)-(S53))</f>
        <v>0</v>
      </c>
      <c r="T55" s="187"/>
      <c r="U55" s="186">
        <f>IF(U54="",0,(V53/89%)-(U53))</f>
        <v>0</v>
      </c>
      <c r="V55" s="187"/>
      <c r="W55" s="186">
        <f>IF(W54="",0,(X53/89%)-(W53))</f>
        <v>0</v>
      </c>
      <c r="X55" s="187"/>
      <c r="Y55" s="186">
        <f>IF(Y54="",0,(Z53/89%)-(Y53))</f>
        <v>0</v>
      </c>
      <c r="Z55" s="187"/>
      <c r="AA55" s="186">
        <f>IF(AA54="",0,(AB53/89%)-(AA53))</f>
        <v>0</v>
      </c>
      <c r="AB55" s="187"/>
      <c r="AC55" s="186">
        <f>IF(AC54="",0,(AD53/89%)-(AC53))</f>
        <v>0</v>
      </c>
      <c r="AD55" s="187"/>
      <c r="AE55" s="186">
        <f>IF(AE54="",0,(AF53/89%)-(AE53))</f>
        <v>0</v>
      </c>
      <c r="AF55" s="187"/>
      <c r="AG55" s="186">
        <f>IF(AG54="",0,(AH53/89%)-(AG53))</f>
        <v>0</v>
      </c>
      <c r="AH55" s="187"/>
      <c r="AI55" s="186">
        <f>IF(AI54="",0,(AJ53/89%)-(AI53))</f>
        <v>0</v>
      </c>
      <c r="AJ55" s="187"/>
      <c r="AK55" s="186">
        <f>IF(AK54="",0,(AL53/89%)-(AK53))</f>
        <v>0</v>
      </c>
      <c r="AL55" s="187"/>
      <c r="AM55" s="186">
        <f>IF(AM54="",0,(AN53/89%)-(AM53))</f>
        <v>0</v>
      </c>
      <c r="AN55" s="187"/>
      <c r="AO55" s="186">
        <f>IF(AO54="",0,(AP53/89%)-(AO53))</f>
        <v>0</v>
      </c>
      <c r="AP55" s="187"/>
      <c r="AQ55" s="186">
        <f>IF(AQ54="",0,(AR53/89%)-(AQ53))</f>
        <v>0</v>
      </c>
      <c r="AR55" s="187"/>
      <c r="AS55" s="186">
        <f>IF(AS54="",0,(AT53/89%)-(AS53))</f>
        <v>0</v>
      </c>
      <c r="AT55" s="187"/>
      <c r="AU55" s="186">
        <f>IF(AU54="",0,(AV53/89%)-(AU53))</f>
        <v>0</v>
      </c>
      <c r="AV55" s="187"/>
      <c r="AW55" s="186">
        <f>IF(AW54="",0,(AX53/89%)-(AW53))</f>
        <v>0</v>
      </c>
      <c r="AX55" s="187"/>
      <c r="AY55" s="186">
        <f>IF(AY54="",0,(AZ53/89%)-(AY53))</f>
        <v>0</v>
      </c>
      <c r="AZ55" s="187"/>
      <c r="BA55" s="186">
        <f>IF(BA54="",0,(BB53/89%)-(BA53))</f>
        <v>0</v>
      </c>
      <c r="BB55" s="187"/>
      <c r="BC55" s="186">
        <f>IF(BC54="",0,(BD53/89%)-(BC53))</f>
        <v>0</v>
      </c>
      <c r="BD55" s="187"/>
      <c r="BE55" s="186">
        <f>IF(BE54="",0,(BF53/89%)-(BE53))</f>
        <v>0</v>
      </c>
      <c r="BF55" s="187"/>
      <c r="BG55" s="186">
        <f>IF(BG54="",0,(BH53/89%)-(BG53))</f>
        <v>0</v>
      </c>
      <c r="BH55" s="187"/>
      <c r="BI55" s="186">
        <f>IF(BI54="",0,(BJ53/89%)-(BI53))</f>
        <v>0</v>
      </c>
      <c r="BJ55" s="187"/>
      <c r="BK55" s="186">
        <f>IF(BK54="",0,(BL53/89%)-(BK53))</f>
        <v>0</v>
      </c>
      <c r="BL55" s="187"/>
      <c r="BM55" s="186">
        <f>IF(BM54="",0,(BN53/89%)-(BM53))</f>
        <v>0</v>
      </c>
      <c r="BN55" s="187"/>
      <c r="BO55" s="186">
        <f>IF(BO54="",0,(BP53/89%)-(BO53))</f>
        <v>0</v>
      </c>
      <c r="BP55" s="187"/>
      <c r="BQ55" s="186">
        <f>IF(BQ54="",0,(BR53/89%)-(BQ53))</f>
        <v>0</v>
      </c>
      <c r="BR55" s="187"/>
      <c r="BS55" s="186">
        <f>IF(BS54="",0,(BT53/89%)-(BS53))</f>
        <v>0</v>
      </c>
      <c r="BT55" s="187"/>
      <c r="BU55" s="17" t="str">
        <f>IF(BU54="","",(BV53/89%)-(BU53))</f>
        <v/>
      </c>
      <c r="BV55" s="13"/>
      <c r="BW55" s="18" t="str">
        <f>IF(AND(BU53="",BV53=""),"",(BU53-BV53)-BU54)</f>
        <v/>
      </c>
      <c r="BX55" s="3"/>
      <c r="BY55" s="3"/>
      <c r="BZ55" s="3"/>
    </row>
    <row r="56" spans="1:78" ht="14.5" x14ac:dyDescent="0.3">
      <c r="A56" s="199"/>
      <c r="B56" s="19" t="s">
        <v>281</v>
      </c>
      <c r="C56" s="194" t="str">
        <f>IF(C54=0,"",ABS(IFERROR((C54/C53),0)-1))</f>
        <v/>
      </c>
      <c r="D56" s="195"/>
      <c r="E56" s="194" t="str">
        <f>IF(E54=0,"",ABS(IFERROR((E54/E53),0)-1))</f>
        <v/>
      </c>
      <c r="F56" s="195"/>
      <c r="G56" s="194" t="str">
        <f>IF(G54=0,"",ABS(IFERROR((G54/G53),0)-1))</f>
        <v/>
      </c>
      <c r="H56" s="195"/>
      <c r="I56" s="194" t="str">
        <f>IF(I54=0,"",ABS(IFERROR((I54/I53),0)-1))</f>
        <v/>
      </c>
      <c r="J56" s="195"/>
      <c r="K56" s="194" t="str">
        <f>IF(K54=0,"",ABS(IFERROR((K54/K53),0)-1))</f>
        <v/>
      </c>
      <c r="L56" s="195"/>
      <c r="M56" s="194" t="str">
        <f>IF(M54=0,"",ABS(IFERROR((M54/M53),0)-1))</f>
        <v/>
      </c>
      <c r="N56" s="195"/>
      <c r="O56" s="194" t="str">
        <f>IF(O54=0,"",ABS(IFERROR((O54/O53),0)-1))</f>
        <v/>
      </c>
      <c r="P56" s="195"/>
      <c r="Q56" s="194" t="str">
        <f>IF(Q54=0,"",ABS(IFERROR((Q54/Q53),0)-1))</f>
        <v/>
      </c>
      <c r="R56" s="195"/>
      <c r="S56" s="194" t="str">
        <f>IF(S54=0,"",ABS(IFERROR((S54/S53),0)-1))</f>
        <v/>
      </c>
      <c r="T56" s="195"/>
      <c r="U56" s="194" t="str">
        <f>IF(U54=0,"",ABS(IFERROR((U54/U53),0)-1))</f>
        <v/>
      </c>
      <c r="V56" s="195"/>
      <c r="W56" s="194" t="str">
        <f>IF(W54=0,"",ABS(IFERROR((W54/W53),0)-1))</f>
        <v/>
      </c>
      <c r="X56" s="195"/>
      <c r="Y56" s="194" t="str">
        <f>IF(Y54=0,"",ABS(IFERROR((Y54/Y53),0)-1))</f>
        <v/>
      </c>
      <c r="Z56" s="195"/>
      <c r="AA56" s="194" t="str">
        <f>IF(AA54=0,"",ABS(IFERROR((AA54/AA53),0)-1))</f>
        <v/>
      </c>
      <c r="AB56" s="195"/>
      <c r="AC56" s="194" t="str">
        <f>IF(AC54=0,"",ABS(IFERROR((AC54/AC53),0)-1))</f>
        <v/>
      </c>
      <c r="AD56" s="195"/>
      <c r="AE56" s="194" t="str">
        <f>IF(AE54=0,"",ABS(IFERROR((AE54/AE53),0)-1))</f>
        <v/>
      </c>
      <c r="AF56" s="195"/>
      <c r="AG56" s="194" t="str">
        <f>IF(AG54=0,"",ABS(IFERROR((AG54/AG53),0)-1))</f>
        <v/>
      </c>
      <c r="AH56" s="195"/>
      <c r="AI56" s="194" t="str">
        <f>IF(AI54=0,"",ABS(IFERROR((AI54/AI53),0)-1))</f>
        <v/>
      </c>
      <c r="AJ56" s="195"/>
      <c r="AK56" s="194" t="str">
        <f>IF(AK54=0,"",ABS(IFERROR((AK54/AK53),0)-1))</f>
        <v/>
      </c>
      <c r="AL56" s="195"/>
      <c r="AM56" s="194" t="str">
        <f>IF(AM54=0,"",ABS(IFERROR((AM54/AM53),0)-1))</f>
        <v/>
      </c>
      <c r="AN56" s="195"/>
      <c r="AO56" s="194" t="str">
        <f>IF(AO54=0,"",ABS(IFERROR((AO54/AO53),0)-1))</f>
        <v/>
      </c>
      <c r="AP56" s="195"/>
      <c r="AQ56" s="194" t="str">
        <f>IF(AQ54=0,"",ABS(IFERROR((AQ54/AQ53),0)-1))</f>
        <v/>
      </c>
      <c r="AR56" s="195"/>
      <c r="AS56" s="194" t="str">
        <f>IF(AS54=0,"",ABS(IFERROR((AS54/AS53),0)-1))</f>
        <v/>
      </c>
      <c r="AT56" s="195"/>
      <c r="AU56" s="194" t="str">
        <f>IF(AU54=0,"",ABS(IFERROR((AU54/AU53),0)-1))</f>
        <v/>
      </c>
      <c r="AV56" s="195"/>
      <c r="AW56" s="194" t="str">
        <f>IF(AW54=0,"",ABS(IFERROR((AW54/AW53),0)-1))</f>
        <v/>
      </c>
      <c r="AX56" s="195"/>
      <c r="AY56" s="194" t="str">
        <f>IF(AY54=0,"",ABS(IFERROR((AY54/AY53),0)-1))</f>
        <v/>
      </c>
      <c r="AZ56" s="195"/>
      <c r="BA56" s="194" t="str">
        <f>IF(BA54=0,"",ABS(IFERROR((BA54/BA53),0)-1))</f>
        <v/>
      </c>
      <c r="BB56" s="195"/>
      <c r="BC56" s="194" t="str">
        <f>IF(BC54=0,"",ABS(IFERROR((BC54/BC53),0)-1))</f>
        <v/>
      </c>
      <c r="BD56" s="195"/>
      <c r="BE56" s="194" t="str">
        <f>IF(BE54=0,"",ABS(IFERROR((BE54/BE53),0)-1))</f>
        <v/>
      </c>
      <c r="BF56" s="195"/>
      <c r="BG56" s="194" t="str">
        <f>IF(BG54=0,"",ABS(IFERROR((BG54/BG53),0)-1))</f>
        <v/>
      </c>
      <c r="BH56" s="195"/>
      <c r="BI56" s="194" t="str">
        <f>IF(BI54=0,"",ABS(IFERROR((BI54/BI53),0)-1))</f>
        <v/>
      </c>
      <c r="BJ56" s="195"/>
      <c r="BK56" s="194" t="str">
        <f>IF(BK54=0,"",ABS(IFERROR((BK54/BK53),0)-1))</f>
        <v/>
      </c>
      <c r="BL56" s="195"/>
      <c r="BM56" s="194" t="str">
        <f>IF(BM54=0,"",ABS(IFERROR((BM54/BM53),0)-1))</f>
        <v/>
      </c>
      <c r="BN56" s="195"/>
      <c r="BO56" s="194" t="str">
        <f>IF(BO54=0,"",ABS(IFERROR((BO54/BO53),0)-1))</f>
        <v/>
      </c>
      <c r="BP56" s="195"/>
      <c r="BQ56" s="194" t="str">
        <f>IF(BQ54=0,"",ABS(IFERROR((BQ54/BQ53),0)-1))</f>
        <v/>
      </c>
      <c r="BR56" s="195"/>
      <c r="BS56" s="194" t="str">
        <f>IF(BS54=0,"",ABS(IFERROR((BS54/BS53),0)-1))</f>
        <v/>
      </c>
      <c r="BT56" s="195"/>
      <c r="BU56" s="26" t="e">
        <f>ABS(IFERROR((BU54/BU53),"")-1)</f>
        <v>#VALUE!</v>
      </c>
      <c r="BV56" s="15"/>
      <c r="BW56" s="21"/>
      <c r="BX56" s="3"/>
      <c r="BY56" s="3"/>
      <c r="BZ56" s="3"/>
    </row>
    <row r="57" spans="1:78" ht="15" thickBot="1" x14ac:dyDescent="0.35">
      <c r="A57" s="181"/>
      <c r="B57" s="22" t="s">
        <v>177</v>
      </c>
      <c r="C57" s="196" t="str">
        <f>IF(C56="","", IF(C56&lt;89%,"OVER STANDART",IF(C56=89%,"GOOD","UNDER STANDART")))</f>
        <v/>
      </c>
      <c r="D57" s="197"/>
      <c r="E57" s="196" t="str">
        <f>IF(E56="","", IF(E56&lt;89%,"OVER STANDART",IF(E56=89%,"GOOD","UNDER STANDART")))</f>
        <v/>
      </c>
      <c r="F57" s="197"/>
      <c r="G57" s="196" t="str">
        <f>IF(G56="","", IF(G56&lt;89%,"OVER STANDART",IF(G56=89%,"GOOD","UNDER STANDART")))</f>
        <v/>
      </c>
      <c r="H57" s="197"/>
      <c r="I57" s="196" t="str">
        <f>IF(I56="","", IF(I56&lt;89%,"OVER STANDART",IF(I56=89%,"GOOD","UNDER STANDART")))</f>
        <v/>
      </c>
      <c r="J57" s="197"/>
      <c r="K57" s="196" t="str">
        <f>IF(K56="","", IF(K56&lt;89%,"OVER STANDART",IF(K56=89%,"GOOD","UNDER STANDART")))</f>
        <v/>
      </c>
      <c r="L57" s="197"/>
      <c r="M57" s="196" t="str">
        <f>IF(M56="","", IF(M56&lt;89%,"OVER STANDART",IF(M56=89%,"GOOD","UNDER STANDART")))</f>
        <v/>
      </c>
      <c r="N57" s="197"/>
      <c r="O57" s="196" t="str">
        <f>IF(O56="","", IF(O56&lt;89%,"OVER STANDART",IF(O56=89%,"GOOD","UNDER STANDART")))</f>
        <v/>
      </c>
      <c r="P57" s="197"/>
      <c r="Q57" s="196" t="str">
        <f>IF(Q56="","", IF(Q56&lt;89%,"OVER STANDART",IF(Q56=89%,"GOOD","UNDER STANDART")))</f>
        <v/>
      </c>
      <c r="R57" s="197"/>
      <c r="S57" s="196" t="str">
        <f>IF(S56="","", IF(S56&lt;89%,"OVER STANDART",IF(S56=89%,"GOOD","UNDER STANDART")))</f>
        <v/>
      </c>
      <c r="T57" s="197"/>
      <c r="U57" s="196" t="str">
        <f>IF(U56="","", IF(U56&lt;89%,"OVER STANDART",IF(U56=89%,"GOOD","UNDER STANDART")))</f>
        <v/>
      </c>
      <c r="V57" s="197"/>
      <c r="W57" s="196" t="str">
        <f>IF(W56="","", IF(W56&lt;89%,"OVER STANDART",IF(W56=89%,"GOOD","UNDER STANDART")))</f>
        <v/>
      </c>
      <c r="X57" s="197"/>
      <c r="Y57" s="196" t="str">
        <f>IF(Y56="","", IF(Y56&lt;89%,"OVER STANDART",IF(Y56=89%,"GOOD","UNDER STANDART")))</f>
        <v/>
      </c>
      <c r="Z57" s="197"/>
      <c r="AA57" s="196" t="str">
        <f>IF(AA56="","", IF(AA56&lt;89%,"OVER STANDART",IF(AA56=89%,"GOOD","UNDER STANDART")))</f>
        <v/>
      </c>
      <c r="AB57" s="197"/>
      <c r="AC57" s="196" t="str">
        <f>IF(AC56="","", IF(AC56&lt;89%,"OVER STANDART",IF(AC56=89%,"GOOD","UNDER STANDART")))</f>
        <v/>
      </c>
      <c r="AD57" s="197"/>
      <c r="AE57" s="196" t="str">
        <f>IF(AE56="","", IF(AE56&lt;89%,"OVER STANDART",IF(AE56=89%,"GOOD","UNDER STANDART")))</f>
        <v/>
      </c>
      <c r="AF57" s="197"/>
      <c r="AG57" s="196" t="str">
        <f>IF(AG56="","", IF(AG56&lt;89%,"OVER STANDART",IF(AG56=89%,"GOOD","UNDER STANDART")))</f>
        <v/>
      </c>
      <c r="AH57" s="197"/>
      <c r="AI57" s="196" t="str">
        <f>IF(AI56="","", IF(AI56&lt;89%,"OVER STANDART",IF(AI56=89%,"GOOD","UNDER STANDART")))</f>
        <v/>
      </c>
      <c r="AJ57" s="197"/>
      <c r="AK57" s="196" t="str">
        <f>IF(AK56="","", IF(AK56&lt;89%,"OVER STANDART",IF(AK56=89%,"GOOD","UNDER STANDART")))</f>
        <v/>
      </c>
      <c r="AL57" s="197"/>
      <c r="AM57" s="196" t="str">
        <f>IF(AM56="","", IF(AM56&lt;89%,"OVER STANDART",IF(AM56=89%,"GOOD","UNDER STANDART")))</f>
        <v/>
      </c>
      <c r="AN57" s="197"/>
      <c r="AO57" s="196" t="str">
        <f>IF(AO56="","", IF(AO56&lt;89%,"OVER STANDART",IF(AO56=89%,"GOOD","UNDER STANDART")))</f>
        <v/>
      </c>
      <c r="AP57" s="197"/>
      <c r="AQ57" s="196" t="str">
        <f>IF(AQ56="","", IF(AQ56&lt;89%,"OVER STANDART",IF(AQ56=89%,"GOOD","UNDER STANDART")))</f>
        <v/>
      </c>
      <c r="AR57" s="197"/>
      <c r="AS57" s="196" t="str">
        <f>IF(AS56="","", IF(AS56&lt;89%,"OVER STANDART",IF(AS56=89%,"GOOD","UNDER STANDART")))</f>
        <v/>
      </c>
      <c r="AT57" s="197"/>
      <c r="AU57" s="196" t="str">
        <f>IF(AU56="","", IF(AU56&lt;89%,"OVER STANDART",IF(AU56=89%,"GOOD","UNDER STANDART")))</f>
        <v/>
      </c>
      <c r="AV57" s="197"/>
      <c r="AW57" s="196" t="str">
        <f>IF(AW56="","", IF(AW56&lt;89%,"OVER STANDART",IF(AW56=89%,"GOOD","UNDER STANDART")))</f>
        <v/>
      </c>
      <c r="AX57" s="197"/>
      <c r="AY57" s="196" t="str">
        <f>IF(AY56="","", IF(AY56&lt;89%,"OVER STANDART",IF(AY56=89%,"GOOD","UNDER STANDART")))</f>
        <v/>
      </c>
      <c r="AZ57" s="197"/>
      <c r="BA57" s="196" t="str">
        <f>IF(BA56="","", IF(BA56&lt;89%,"OVER STANDART",IF(BA56=89%,"GOOD","UNDER STANDART")))</f>
        <v/>
      </c>
      <c r="BB57" s="197"/>
      <c r="BC57" s="196" t="str">
        <f>IF(BC56="","", IF(BC56&lt;89%,"OVER STANDART",IF(BC56=89%,"GOOD","UNDER STANDART")))</f>
        <v/>
      </c>
      <c r="BD57" s="197"/>
      <c r="BE57" s="196" t="str">
        <f>IF(BE56="","", IF(BE56&lt;89%,"OVER STANDART",IF(BE56=89%,"GOOD","UNDER STANDART")))</f>
        <v/>
      </c>
      <c r="BF57" s="197"/>
      <c r="BG57" s="196" t="str">
        <f>IF(BG56="","", IF(BG56&lt;89%,"OVER STANDART",IF(BG56=89%,"GOOD","UNDER STANDART")))</f>
        <v/>
      </c>
      <c r="BH57" s="197"/>
      <c r="BI57" s="196" t="str">
        <f>IF(BI56="","", IF(BI56&lt;89%,"OVER STANDART",IF(BI56=89%,"GOOD","UNDER STANDART")))</f>
        <v/>
      </c>
      <c r="BJ57" s="197"/>
      <c r="BK57" s="196" t="str">
        <f>IF(BK56="","", IF(BK56&lt;89%,"OVER STANDART",IF(BK56=89%,"GOOD","UNDER STANDART")))</f>
        <v/>
      </c>
      <c r="BL57" s="197"/>
      <c r="BM57" s="196" t="str">
        <f>IF(BM56="","", IF(BM56&lt;89%,"OVER STANDART",IF(BM56=89%,"GOOD","UNDER STANDART")))</f>
        <v/>
      </c>
      <c r="BN57" s="197"/>
      <c r="BO57" s="196" t="str">
        <f>IF(BO56="","", IF(BO56&lt;89%,"OVER STANDART",IF(BO56=89%,"GOOD","UNDER STANDART")))</f>
        <v/>
      </c>
      <c r="BP57" s="197"/>
      <c r="BQ57" s="196" t="str">
        <f>IF(BQ56="","", IF(BQ56&lt;89%,"OVER STANDART",IF(BQ56=89%,"GOOD","UNDER STANDART")))</f>
        <v/>
      </c>
      <c r="BR57" s="197"/>
      <c r="BS57" s="196" t="str">
        <f>IF(BS56="","", IF(BS56&lt;89%,"OVER STANDART",IF(BS56=89%,"GOOD","UNDER STANDART")))</f>
        <v/>
      </c>
      <c r="BT57" s="197"/>
      <c r="BU57" s="24" t="e">
        <f>IF(BU56="","", IF(BU56&lt;89%,"OVER STANDART",IF(BU56=89%,"GOOD","UNDER STANDART")))</f>
        <v>#VALUE!</v>
      </c>
      <c r="BV57" s="23"/>
      <c r="BW57" s="25"/>
      <c r="BX57" s="3"/>
      <c r="BY57" s="3"/>
      <c r="BZ57" s="3"/>
    </row>
    <row r="58" spans="1:78" ht="14.5" x14ac:dyDescent="0.3">
      <c r="A58" s="198">
        <f>A53+1</f>
        <v>12</v>
      </c>
      <c r="B58" s="7" t="s">
        <v>278</v>
      </c>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9" t="str">
        <f>IF(SUMIF($C$2:$BT$2,"FRESH",C58:BT58)=0,"",SUMIF($C$2:$BT$2,"FRESH",C58:BT58))</f>
        <v/>
      </c>
      <c r="BV58" s="10" t="str">
        <f>IF(SUMIF($C$2:$BT$2,"GILING",C58:BT58)=0,"",SUMIF($C$2:$BT$2,"GILING",C58:BT58))</f>
        <v/>
      </c>
      <c r="BW58" s="11"/>
      <c r="BX58" s="3"/>
      <c r="BY58" s="3"/>
      <c r="BZ58" s="3"/>
    </row>
    <row r="59" spans="1:78" x14ac:dyDescent="0.3">
      <c r="A59" s="199"/>
      <c r="B59" s="12" t="s">
        <v>279</v>
      </c>
      <c r="C59" s="188">
        <f>IF(AND(C58="",D58=""),0,C58-D58)</f>
        <v>0</v>
      </c>
      <c r="D59" s="189"/>
      <c r="E59" s="188">
        <f>IF(AND(E58="",F58=""),0,E58-F58)</f>
        <v>0</v>
      </c>
      <c r="F59" s="189"/>
      <c r="G59" s="188">
        <f>IF(AND(G58="",H58=""),0,G58-H58)</f>
        <v>0</v>
      </c>
      <c r="H59" s="189"/>
      <c r="I59" s="188">
        <f>IF(AND(I58="",J58=""),0,I58-J58)</f>
        <v>0</v>
      </c>
      <c r="J59" s="189"/>
      <c r="K59" s="188">
        <f>IF(AND(K58="",L58=""),0,K58-L58)</f>
        <v>0</v>
      </c>
      <c r="L59" s="189"/>
      <c r="M59" s="188">
        <f>IF(AND(M58="",N58=""),0,M58-N58)</f>
        <v>0</v>
      </c>
      <c r="N59" s="189"/>
      <c r="O59" s="188">
        <f>IF(AND(O58="",P58=""),0,O58-P58)</f>
        <v>0</v>
      </c>
      <c r="P59" s="189"/>
      <c r="Q59" s="188">
        <f>IF(AND(Q58="",R58=""),0,Q58-R58)</f>
        <v>0</v>
      </c>
      <c r="R59" s="189"/>
      <c r="S59" s="188">
        <f>IF(AND(S58="",T58=""),0,S58-T58)</f>
        <v>0</v>
      </c>
      <c r="T59" s="189"/>
      <c r="U59" s="188">
        <f>IF(AND(U58="",V58=""),0,U58-V58)</f>
        <v>0</v>
      </c>
      <c r="V59" s="189"/>
      <c r="W59" s="188">
        <f>IF(AND(W58="",X58=""),0,W58-X58)</f>
        <v>0</v>
      </c>
      <c r="X59" s="189"/>
      <c r="Y59" s="188">
        <f>IF(AND(Y58="",Z58=""),0,Y58-Z58)</f>
        <v>0</v>
      </c>
      <c r="Z59" s="189"/>
      <c r="AA59" s="188">
        <f>IF(AND(AA58="",AB58=""),0,AA58-AB58)</f>
        <v>0</v>
      </c>
      <c r="AB59" s="189"/>
      <c r="AC59" s="188">
        <f>IF(AND(AC58="",AD58=""),0,AC58-AD58)</f>
        <v>0</v>
      </c>
      <c r="AD59" s="189"/>
      <c r="AE59" s="188">
        <f>IF(AND(AE58="",AF58=""),0,AE58-AF58)</f>
        <v>0</v>
      </c>
      <c r="AF59" s="189"/>
      <c r="AG59" s="188">
        <f>IF(AND(AG58="",AH58=""),0,AG58-AH58)</f>
        <v>0</v>
      </c>
      <c r="AH59" s="189"/>
      <c r="AI59" s="188">
        <f>IF(AND(AI58="",AJ58=""),0,AI58-AJ58)</f>
        <v>0</v>
      </c>
      <c r="AJ59" s="189"/>
      <c r="AK59" s="188">
        <f>IF(AND(AK58="",AL58=""),0,AK58-AL58)</f>
        <v>0</v>
      </c>
      <c r="AL59" s="189"/>
      <c r="AM59" s="188">
        <f>IF(AND(AM58="",AN58=""),0,AM58-AN58)</f>
        <v>0</v>
      </c>
      <c r="AN59" s="189"/>
      <c r="AO59" s="188">
        <f>IF(AND(AO58="",AP58=""),0,AO58-AP58)</f>
        <v>0</v>
      </c>
      <c r="AP59" s="189"/>
      <c r="AQ59" s="188">
        <f>IF(AND(AQ58="",AR58=""),0,AQ58-AR58)</f>
        <v>0</v>
      </c>
      <c r="AR59" s="189"/>
      <c r="AS59" s="188">
        <f>IF(AND(AS58="",AT58=""),0,AS58-AT58)</f>
        <v>0</v>
      </c>
      <c r="AT59" s="189"/>
      <c r="AU59" s="188">
        <f>IF(AND(AU58="",AV58=""),0,AU58-AV58)</f>
        <v>0</v>
      </c>
      <c r="AV59" s="189"/>
      <c r="AW59" s="188">
        <f>IF(AND(AW58="",AX58=""),0,AW58-AX58)</f>
        <v>0</v>
      </c>
      <c r="AX59" s="189"/>
      <c r="AY59" s="188">
        <f>IF(AND(AY58="",AZ58=""),0,AY58-AZ58)</f>
        <v>0</v>
      </c>
      <c r="AZ59" s="189"/>
      <c r="BA59" s="188">
        <f>IF(AND(BA58="",BB58=""),0,BA58-BB58)</f>
        <v>0</v>
      </c>
      <c r="BB59" s="189"/>
      <c r="BC59" s="188">
        <f>IF(AND(BC58="",BD58=""),0,BC58-BD58)</f>
        <v>0</v>
      </c>
      <c r="BD59" s="189"/>
      <c r="BE59" s="188">
        <f>IF(AND(BE58="",BF58=""),0,BE58-BF58)</f>
        <v>0</v>
      </c>
      <c r="BF59" s="189"/>
      <c r="BG59" s="188">
        <f>IF(AND(BG58="",BH58=""),0,BG58-BH58)</f>
        <v>0</v>
      </c>
      <c r="BH59" s="189"/>
      <c r="BI59" s="188">
        <f>IF(AND(BI58="",BJ58=""),0,BI58-BJ58)</f>
        <v>0</v>
      </c>
      <c r="BJ59" s="189"/>
      <c r="BK59" s="188">
        <f>IF(AND(BK58="",BL58=""),0,BK58-BL58)</f>
        <v>0</v>
      </c>
      <c r="BL59" s="189"/>
      <c r="BM59" s="188">
        <f>IF(AND(BM58="",BN58=""),0,BM58-BN58)</f>
        <v>0</v>
      </c>
      <c r="BN59" s="189"/>
      <c r="BO59" s="188">
        <f>IF(AND(BO58="",BP58=""),0,BO58-BP58)</f>
        <v>0</v>
      </c>
      <c r="BP59" s="189"/>
      <c r="BQ59" s="188">
        <f>IF(AND(BQ58="",BR58=""),0,BQ58-BR58)</f>
        <v>0</v>
      </c>
      <c r="BR59" s="189"/>
      <c r="BS59" s="188">
        <f>IF(AND(BS58="",BT58=""),0,BS58-BT58)</f>
        <v>0</v>
      </c>
      <c r="BT59" s="189"/>
      <c r="BU59" s="14" t="str">
        <f>IF(AND(BU58="",BV58=""),"",BU58-BV58)</f>
        <v/>
      </c>
      <c r="BV59" s="13"/>
      <c r="BW59" s="16" t="str">
        <f>IF(COUNTIF(D59:BT59,"&gt;0")=0,"",COUNTIF(D59:BT59,"&gt;0"))</f>
        <v/>
      </c>
      <c r="BX59" s="3"/>
      <c r="BY59" s="3"/>
      <c r="BZ59" s="3"/>
    </row>
    <row r="60" spans="1:78" ht="14.5" x14ac:dyDescent="0.3">
      <c r="A60" s="199"/>
      <c r="B60" s="12" t="s">
        <v>280</v>
      </c>
      <c r="C60" s="186">
        <f>IF(C59="",0,(D58/89%)-(C58))</f>
        <v>0</v>
      </c>
      <c r="D60" s="187"/>
      <c r="E60" s="186">
        <f>IF(E59="",0,(F58/89%)-(E58))</f>
        <v>0</v>
      </c>
      <c r="F60" s="187"/>
      <c r="G60" s="186">
        <f>IF(G59="",0,(H58/89%)-(G58))</f>
        <v>0</v>
      </c>
      <c r="H60" s="187"/>
      <c r="I60" s="186">
        <f>IF(I59="",0,(J58/89%)-(I58))</f>
        <v>0</v>
      </c>
      <c r="J60" s="187"/>
      <c r="K60" s="186">
        <f>IF(K59="",0,(L58/89%)-(K58))</f>
        <v>0</v>
      </c>
      <c r="L60" s="187"/>
      <c r="M60" s="186">
        <f>IF(M59="",0,(N58/89%)-(M58))</f>
        <v>0</v>
      </c>
      <c r="N60" s="187"/>
      <c r="O60" s="186">
        <f>IF(O59="",0,(P58/89%)-(O58))</f>
        <v>0</v>
      </c>
      <c r="P60" s="187"/>
      <c r="Q60" s="186">
        <f>IF(Q59="",0,(R58/89%)-(Q58))</f>
        <v>0</v>
      </c>
      <c r="R60" s="187"/>
      <c r="S60" s="186">
        <f>IF(S59="",0,(T58/89%)-(S58))</f>
        <v>0</v>
      </c>
      <c r="T60" s="187"/>
      <c r="U60" s="186">
        <f>IF(U59="",0,(V58/89%)-(U58))</f>
        <v>0</v>
      </c>
      <c r="V60" s="187"/>
      <c r="W60" s="186">
        <f>IF(W59="",0,(X58/89%)-(W58))</f>
        <v>0</v>
      </c>
      <c r="X60" s="187"/>
      <c r="Y60" s="186">
        <f>IF(Y59="",0,(Z58/89%)-(Y58))</f>
        <v>0</v>
      </c>
      <c r="Z60" s="187"/>
      <c r="AA60" s="186">
        <f>IF(AA59="",0,(AB58/89%)-(AA58))</f>
        <v>0</v>
      </c>
      <c r="AB60" s="187"/>
      <c r="AC60" s="186">
        <f>IF(AC59="",0,(AD58/89%)-(AC58))</f>
        <v>0</v>
      </c>
      <c r="AD60" s="187"/>
      <c r="AE60" s="186">
        <f>IF(AE59="",0,(AF58/89%)-(AE58))</f>
        <v>0</v>
      </c>
      <c r="AF60" s="187"/>
      <c r="AG60" s="186">
        <f>IF(AG59="",0,(AH58/89%)-(AG58))</f>
        <v>0</v>
      </c>
      <c r="AH60" s="187"/>
      <c r="AI60" s="186">
        <f>IF(AI59="",0,(AJ58/89%)-(AI58))</f>
        <v>0</v>
      </c>
      <c r="AJ60" s="187"/>
      <c r="AK60" s="186">
        <f>IF(AK59="",0,(AL58/89%)-(AK58))</f>
        <v>0</v>
      </c>
      <c r="AL60" s="187"/>
      <c r="AM60" s="186">
        <f>IF(AM59="",0,(AN58/89%)-(AM58))</f>
        <v>0</v>
      </c>
      <c r="AN60" s="187"/>
      <c r="AO60" s="186">
        <f>IF(AO59="",0,(AP58/89%)-(AO58))</f>
        <v>0</v>
      </c>
      <c r="AP60" s="187"/>
      <c r="AQ60" s="186">
        <f>IF(AQ59="",0,(AR58/89%)-(AQ58))</f>
        <v>0</v>
      </c>
      <c r="AR60" s="187"/>
      <c r="AS60" s="186">
        <f>IF(AS59="",0,(AT58/89%)-(AS58))</f>
        <v>0</v>
      </c>
      <c r="AT60" s="187"/>
      <c r="AU60" s="186">
        <f>IF(AU59="",0,(AV58/89%)-(AU58))</f>
        <v>0</v>
      </c>
      <c r="AV60" s="187"/>
      <c r="AW60" s="186">
        <f>IF(AW59="",0,(AX58/89%)-(AW58))</f>
        <v>0</v>
      </c>
      <c r="AX60" s="187"/>
      <c r="AY60" s="186">
        <f>IF(AY59="",0,(AZ58/89%)-(AY58))</f>
        <v>0</v>
      </c>
      <c r="AZ60" s="187"/>
      <c r="BA60" s="186">
        <f>IF(BA59="",0,(BB58/89%)-(BA58))</f>
        <v>0</v>
      </c>
      <c r="BB60" s="187"/>
      <c r="BC60" s="186">
        <f>IF(BC59="",0,(BD58/89%)-(BC58))</f>
        <v>0</v>
      </c>
      <c r="BD60" s="187"/>
      <c r="BE60" s="186">
        <f>IF(BE59="",0,(BF58/89%)-(BE58))</f>
        <v>0</v>
      </c>
      <c r="BF60" s="187"/>
      <c r="BG60" s="186">
        <f>IF(BG59="",0,(BH58/89%)-(BG58))</f>
        <v>0</v>
      </c>
      <c r="BH60" s="187"/>
      <c r="BI60" s="186">
        <f>IF(BI59="",0,(BJ58/89%)-(BI58))</f>
        <v>0</v>
      </c>
      <c r="BJ60" s="187"/>
      <c r="BK60" s="186">
        <f>IF(BK59="",0,(BL58/89%)-(BK58))</f>
        <v>0</v>
      </c>
      <c r="BL60" s="187"/>
      <c r="BM60" s="186">
        <f>IF(BM59="",0,(BN58/89%)-(BM58))</f>
        <v>0</v>
      </c>
      <c r="BN60" s="187"/>
      <c r="BO60" s="186">
        <f>IF(BO59="",0,(BP58/89%)-(BO58))</f>
        <v>0</v>
      </c>
      <c r="BP60" s="187"/>
      <c r="BQ60" s="186">
        <f>IF(BQ59="",0,(BR58/89%)-(BQ58))</f>
        <v>0</v>
      </c>
      <c r="BR60" s="187"/>
      <c r="BS60" s="186">
        <f>IF(BS59="",0,(BT58/89%)-(BS58))</f>
        <v>0</v>
      </c>
      <c r="BT60" s="187"/>
      <c r="BU60" s="17" t="str">
        <f>IF(BU59="","",(BV58/89%)-(BU58))</f>
        <v/>
      </c>
      <c r="BV60" s="13"/>
      <c r="BW60" s="18" t="str">
        <f>IF(AND(BU58="",BV58=""),"",(BU58-BV58)-BU59)</f>
        <v/>
      </c>
      <c r="BX60" s="3"/>
      <c r="BY60" s="3"/>
      <c r="BZ60" s="3"/>
    </row>
    <row r="61" spans="1:78" ht="14.5" x14ac:dyDescent="0.3">
      <c r="A61" s="199"/>
      <c r="B61" s="19" t="s">
        <v>281</v>
      </c>
      <c r="C61" s="194" t="str">
        <f>IF(C59=0,"",ABS(IFERROR((C59/C58),0)-1))</f>
        <v/>
      </c>
      <c r="D61" s="195"/>
      <c r="E61" s="194" t="str">
        <f>IF(E59=0,"",ABS(IFERROR((E59/E58),0)-1))</f>
        <v/>
      </c>
      <c r="F61" s="195"/>
      <c r="G61" s="194" t="str">
        <f>IF(G59=0,"",ABS(IFERROR((G59/G58),0)-1))</f>
        <v/>
      </c>
      <c r="H61" s="195"/>
      <c r="I61" s="194" t="str">
        <f>IF(I59=0,"",ABS(IFERROR((I59/I58),0)-1))</f>
        <v/>
      </c>
      <c r="J61" s="195"/>
      <c r="K61" s="194" t="str">
        <f>IF(K59=0,"",ABS(IFERROR((K59/K58),0)-1))</f>
        <v/>
      </c>
      <c r="L61" s="195"/>
      <c r="M61" s="194" t="str">
        <f>IF(M59=0,"",ABS(IFERROR((M59/M58),0)-1))</f>
        <v/>
      </c>
      <c r="N61" s="195"/>
      <c r="O61" s="194" t="str">
        <f>IF(O59=0,"",ABS(IFERROR((O59/O58),0)-1))</f>
        <v/>
      </c>
      <c r="P61" s="195"/>
      <c r="Q61" s="194" t="str">
        <f>IF(Q59=0,"",ABS(IFERROR((Q59/Q58),0)-1))</f>
        <v/>
      </c>
      <c r="R61" s="195"/>
      <c r="S61" s="194" t="str">
        <f>IF(S59=0,"",ABS(IFERROR((S59/S58),0)-1))</f>
        <v/>
      </c>
      <c r="T61" s="195"/>
      <c r="U61" s="194" t="str">
        <f>IF(U59=0,"",ABS(IFERROR((U59/U58),0)-1))</f>
        <v/>
      </c>
      <c r="V61" s="195"/>
      <c r="W61" s="194" t="str">
        <f>IF(W59=0,"",ABS(IFERROR((W59/W58),0)-1))</f>
        <v/>
      </c>
      <c r="X61" s="195"/>
      <c r="Y61" s="194" t="str">
        <f>IF(Y59=0,"",ABS(IFERROR((Y59/Y58),0)-1))</f>
        <v/>
      </c>
      <c r="Z61" s="195"/>
      <c r="AA61" s="194" t="str">
        <f>IF(AA59=0,"",ABS(IFERROR((AA59/AA58),0)-1))</f>
        <v/>
      </c>
      <c r="AB61" s="195"/>
      <c r="AC61" s="194" t="str">
        <f>IF(AC59=0,"",ABS(IFERROR((AC59/AC58),0)-1))</f>
        <v/>
      </c>
      <c r="AD61" s="195"/>
      <c r="AE61" s="194" t="str">
        <f>IF(AE59=0,"",ABS(IFERROR((AE59/AE58),0)-1))</f>
        <v/>
      </c>
      <c r="AF61" s="195"/>
      <c r="AG61" s="194" t="str">
        <f>IF(AG59=0,"",ABS(IFERROR((AG59/AG58),0)-1))</f>
        <v/>
      </c>
      <c r="AH61" s="195"/>
      <c r="AI61" s="194" t="str">
        <f>IF(AI59=0,"",ABS(IFERROR((AI59/AI58),0)-1))</f>
        <v/>
      </c>
      <c r="AJ61" s="195"/>
      <c r="AK61" s="194" t="str">
        <f>IF(AK59=0,"",ABS(IFERROR((AK59/AK58),0)-1))</f>
        <v/>
      </c>
      <c r="AL61" s="195"/>
      <c r="AM61" s="194" t="str">
        <f>IF(AM59=0,"",ABS(IFERROR((AM59/AM58),0)-1))</f>
        <v/>
      </c>
      <c r="AN61" s="195"/>
      <c r="AO61" s="194" t="str">
        <f>IF(AO59=0,"",ABS(IFERROR((AO59/AO58),0)-1))</f>
        <v/>
      </c>
      <c r="AP61" s="195"/>
      <c r="AQ61" s="194" t="str">
        <f>IF(AQ59=0,"",ABS(IFERROR((AQ59/AQ58),0)-1))</f>
        <v/>
      </c>
      <c r="AR61" s="195"/>
      <c r="AS61" s="194" t="str">
        <f>IF(AS59=0,"",ABS(IFERROR((AS59/AS58),0)-1))</f>
        <v/>
      </c>
      <c r="AT61" s="195"/>
      <c r="AU61" s="194" t="str">
        <f>IF(AU59=0,"",ABS(IFERROR((AU59/AU58),0)-1))</f>
        <v/>
      </c>
      <c r="AV61" s="195"/>
      <c r="AW61" s="194" t="str">
        <f>IF(AW59=0,"",ABS(IFERROR((AW59/AW58),0)-1))</f>
        <v/>
      </c>
      <c r="AX61" s="195"/>
      <c r="AY61" s="194" t="str">
        <f>IF(AY59=0,"",ABS(IFERROR((AY59/AY58),0)-1))</f>
        <v/>
      </c>
      <c r="AZ61" s="195"/>
      <c r="BA61" s="194" t="str">
        <f>IF(BA59=0,"",ABS(IFERROR((BA59/BA58),0)-1))</f>
        <v/>
      </c>
      <c r="BB61" s="195"/>
      <c r="BC61" s="194" t="str">
        <f>IF(BC59=0,"",ABS(IFERROR((BC59/BC58),0)-1))</f>
        <v/>
      </c>
      <c r="BD61" s="195"/>
      <c r="BE61" s="194" t="str">
        <f>IF(BE59=0,"",ABS(IFERROR((BE59/BE58),0)-1))</f>
        <v/>
      </c>
      <c r="BF61" s="195"/>
      <c r="BG61" s="194" t="str">
        <f>IF(BG59=0,"",ABS(IFERROR((BG59/BG58),0)-1))</f>
        <v/>
      </c>
      <c r="BH61" s="195"/>
      <c r="BI61" s="194" t="str">
        <f>IF(BI59=0,"",ABS(IFERROR((BI59/BI58),0)-1))</f>
        <v/>
      </c>
      <c r="BJ61" s="195"/>
      <c r="BK61" s="194" t="str">
        <f>IF(BK59=0,"",ABS(IFERROR((BK59/BK58),0)-1))</f>
        <v/>
      </c>
      <c r="BL61" s="195"/>
      <c r="BM61" s="194" t="str">
        <f>IF(BM59=0,"",ABS(IFERROR((BM59/BM58),0)-1))</f>
        <v/>
      </c>
      <c r="BN61" s="195"/>
      <c r="BO61" s="194" t="str">
        <f>IF(BO59=0,"",ABS(IFERROR((BO59/BO58),0)-1))</f>
        <v/>
      </c>
      <c r="BP61" s="195"/>
      <c r="BQ61" s="194" t="str">
        <f>IF(BQ59=0,"",ABS(IFERROR((BQ59/BQ58),0)-1))</f>
        <v/>
      </c>
      <c r="BR61" s="195"/>
      <c r="BS61" s="194" t="str">
        <f>IF(BS59=0,"",ABS(IFERROR((BS59/BS58),0)-1))</f>
        <v/>
      </c>
      <c r="BT61" s="195"/>
      <c r="BU61" s="26" t="e">
        <f>ABS(IFERROR((BU59/BU58),"")-1)</f>
        <v>#VALUE!</v>
      </c>
      <c r="BV61" s="15"/>
      <c r="BW61" s="21"/>
      <c r="BX61" s="3"/>
      <c r="BY61" s="3"/>
      <c r="BZ61" s="3"/>
    </row>
    <row r="62" spans="1:78" ht="15" thickBot="1" x14ac:dyDescent="0.35">
      <c r="A62" s="181"/>
      <c r="B62" s="22" t="s">
        <v>177</v>
      </c>
      <c r="C62" s="196" t="str">
        <f>IF(C61="","", IF(C61&lt;89%,"OVER STANDART",IF(C61=89%,"GOOD","UNDER STANDART")))</f>
        <v/>
      </c>
      <c r="D62" s="197"/>
      <c r="E62" s="196" t="str">
        <f>IF(E61="","", IF(E61&lt;89%,"OVER STANDART",IF(E61=89%,"GOOD","UNDER STANDART")))</f>
        <v/>
      </c>
      <c r="F62" s="197"/>
      <c r="G62" s="196" t="str">
        <f>IF(G61="","", IF(G61&lt;89%,"OVER STANDART",IF(G61=89%,"GOOD","UNDER STANDART")))</f>
        <v/>
      </c>
      <c r="H62" s="197"/>
      <c r="I62" s="196" t="str">
        <f>IF(I61="","", IF(I61&lt;89%,"OVER STANDART",IF(I61=89%,"GOOD","UNDER STANDART")))</f>
        <v/>
      </c>
      <c r="J62" s="197"/>
      <c r="K62" s="196" t="str">
        <f>IF(K61="","", IF(K61&lt;89%,"OVER STANDART",IF(K61=89%,"GOOD","UNDER STANDART")))</f>
        <v/>
      </c>
      <c r="L62" s="197"/>
      <c r="M62" s="196" t="str">
        <f>IF(M61="","", IF(M61&lt;89%,"OVER STANDART",IF(M61=89%,"GOOD","UNDER STANDART")))</f>
        <v/>
      </c>
      <c r="N62" s="197"/>
      <c r="O62" s="196" t="str">
        <f>IF(O61="","", IF(O61&lt;89%,"OVER STANDART",IF(O61=89%,"GOOD","UNDER STANDART")))</f>
        <v/>
      </c>
      <c r="P62" s="197"/>
      <c r="Q62" s="196" t="str">
        <f>IF(Q61="","", IF(Q61&lt;89%,"OVER STANDART",IF(Q61=89%,"GOOD","UNDER STANDART")))</f>
        <v/>
      </c>
      <c r="R62" s="197"/>
      <c r="S62" s="196" t="str">
        <f>IF(S61="","", IF(S61&lt;89%,"OVER STANDART",IF(S61=89%,"GOOD","UNDER STANDART")))</f>
        <v/>
      </c>
      <c r="T62" s="197"/>
      <c r="U62" s="196" t="str">
        <f>IF(U61="","", IF(U61&lt;89%,"OVER STANDART",IF(U61=89%,"GOOD","UNDER STANDART")))</f>
        <v/>
      </c>
      <c r="V62" s="197"/>
      <c r="W62" s="196" t="str">
        <f>IF(W61="","", IF(W61&lt;89%,"OVER STANDART",IF(W61=89%,"GOOD","UNDER STANDART")))</f>
        <v/>
      </c>
      <c r="X62" s="197"/>
      <c r="Y62" s="196" t="str">
        <f>IF(Y61="","", IF(Y61&lt;89%,"OVER STANDART",IF(Y61=89%,"GOOD","UNDER STANDART")))</f>
        <v/>
      </c>
      <c r="Z62" s="197"/>
      <c r="AA62" s="196" t="str">
        <f>IF(AA61="","", IF(AA61&lt;89%,"OVER STANDART",IF(AA61=89%,"GOOD","UNDER STANDART")))</f>
        <v/>
      </c>
      <c r="AB62" s="197"/>
      <c r="AC62" s="196" t="str">
        <f>IF(AC61="","", IF(AC61&lt;89%,"OVER STANDART",IF(AC61=89%,"GOOD","UNDER STANDART")))</f>
        <v/>
      </c>
      <c r="AD62" s="197"/>
      <c r="AE62" s="196" t="str">
        <f>IF(AE61="","", IF(AE61&lt;89%,"OVER STANDART",IF(AE61=89%,"GOOD","UNDER STANDART")))</f>
        <v/>
      </c>
      <c r="AF62" s="197"/>
      <c r="AG62" s="196" t="str">
        <f>IF(AG61="","", IF(AG61&lt;89%,"OVER STANDART",IF(AG61=89%,"GOOD","UNDER STANDART")))</f>
        <v/>
      </c>
      <c r="AH62" s="197"/>
      <c r="AI62" s="196" t="str">
        <f>IF(AI61="","", IF(AI61&lt;89%,"OVER STANDART",IF(AI61=89%,"GOOD","UNDER STANDART")))</f>
        <v/>
      </c>
      <c r="AJ62" s="197"/>
      <c r="AK62" s="196" t="str">
        <f>IF(AK61="","", IF(AK61&lt;89%,"OVER STANDART",IF(AK61=89%,"GOOD","UNDER STANDART")))</f>
        <v/>
      </c>
      <c r="AL62" s="197"/>
      <c r="AM62" s="196" t="str">
        <f>IF(AM61="","", IF(AM61&lt;89%,"OVER STANDART",IF(AM61=89%,"GOOD","UNDER STANDART")))</f>
        <v/>
      </c>
      <c r="AN62" s="197"/>
      <c r="AO62" s="196" t="str">
        <f>IF(AO61="","", IF(AO61&lt;89%,"OVER STANDART",IF(AO61=89%,"GOOD","UNDER STANDART")))</f>
        <v/>
      </c>
      <c r="AP62" s="197"/>
      <c r="AQ62" s="196" t="str">
        <f>IF(AQ61="","", IF(AQ61&lt;89%,"OVER STANDART",IF(AQ61=89%,"GOOD","UNDER STANDART")))</f>
        <v/>
      </c>
      <c r="AR62" s="197"/>
      <c r="AS62" s="196" t="str">
        <f>IF(AS61="","", IF(AS61&lt;89%,"OVER STANDART",IF(AS61=89%,"GOOD","UNDER STANDART")))</f>
        <v/>
      </c>
      <c r="AT62" s="197"/>
      <c r="AU62" s="196" t="str">
        <f>IF(AU61="","", IF(AU61&lt;89%,"OVER STANDART",IF(AU61=89%,"GOOD","UNDER STANDART")))</f>
        <v/>
      </c>
      <c r="AV62" s="197"/>
      <c r="AW62" s="196" t="str">
        <f>IF(AW61="","", IF(AW61&lt;89%,"OVER STANDART",IF(AW61=89%,"GOOD","UNDER STANDART")))</f>
        <v/>
      </c>
      <c r="AX62" s="197"/>
      <c r="AY62" s="196" t="str">
        <f>IF(AY61="","", IF(AY61&lt;89%,"OVER STANDART",IF(AY61=89%,"GOOD","UNDER STANDART")))</f>
        <v/>
      </c>
      <c r="AZ62" s="197"/>
      <c r="BA62" s="196" t="str">
        <f>IF(BA61="","", IF(BA61&lt;89%,"OVER STANDART",IF(BA61=89%,"GOOD","UNDER STANDART")))</f>
        <v/>
      </c>
      <c r="BB62" s="197"/>
      <c r="BC62" s="196" t="str">
        <f>IF(BC61="","", IF(BC61&lt;89%,"OVER STANDART",IF(BC61=89%,"GOOD","UNDER STANDART")))</f>
        <v/>
      </c>
      <c r="BD62" s="197"/>
      <c r="BE62" s="196" t="str">
        <f>IF(BE61="","", IF(BE61&lt;89%,"OVER STANDART",IF(BE61=89%,"GOOD","UNDER STANDART")))</f>
        <v/>
      </c>
      <c r="BF62" s="197"/>
      <c r="BG62" s="196" t="str">
        <f>IF(BG61="","", IF(BG61&lt;89%,"OVER STANDART",IF(BG61=89%,"GOOD","UNDER STANDART")))</f>
        <v/>
      </c>
      <c r="BH62" s="197"/>
      <c r="BI62" s="196" t="str">
        <f>IF(BI61="","", IF(BI61&lt;89%,"OVER STANDART",IF(BI61=89%,"GOOD","UNDER STANDART")))</f>
        <v/>
      </c>
      <c r="BJ62" s="197"/>
      <c r="BK62" s="196" t="str">
        <f>IF(BK61="","", IF(BK61&lt;89%,"OVER STANDART",IF(BK61=89%,"GOOD","UNDER STANDART")))</f>
        <v/>
      </c>
      <c r="BL62" s="197"/>
      <c r="BM62" s="196" t="str">
        <f>IF(BM61="","", IF(BM61&lt;89%,"OVER STANDART",IF(BM61=89%,"GOOD","UNDER STANDART")))</f>
        <v/>
      </c>
      <c r="BN62" s="197"/>
      <c r="BO62" s="196" t="str">
        <f>IF(BO61="","", IF(BO61&lt;89%,"OVER STANDART",IF(BO61=89%,"GOOD","UNDER STANDART")))</f>
        <v/>
      </c>
      <c r="BP62" s="197"/>
      <c r="BQ62" s="196" t="str">
        <f>IF(BQ61="","", IF(BQ61&lt;89%,"OVER STANDART",IF(BQ61=89%,"GOOD","UNDER STANDART")))</f>
        <v/>
      </c>
      <c r="BR62" s="197"/>
      <c r="BS62" s="196" t="str">
        <f>IF(BS61="","", IF(BS61&lt;89%,"OVER STANDART",IF(BS61=89%,"GOOD","UNDER STANDART")))</f>
        <v/>
      </c>
      <c r="BT62" s="197"/>
      <c r="BU62" s="24" t="e">
        <f>IF(BU61="","", IF(BU61&lt;89%,"OVER STANDART",IF(BU61=89%,"GOOD","UNDER STANDART")))</f>
        <v>#VALUE!</v>
      </c>
      <c r="BV62" s="23"/>
      <c r="BW62" s="25"/>
      <c r="BX62" s="3"/>
      <c r="BY62" s="3"/>
      <c r="BZ62" s="3"/>
    </row>
    <row r="63" spans="1:78" ht="14.5" x14ac:dyDescent="0.3">
      <c r="A63" s="198">
        <f>A58+1</f>
        <v>13</v>
      </c>
      <c r="B63" s="7" t="s">
        <v>278</v>
      </c>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9" t="str">
        <f>IF(SUMIF($C$2:$BT$2,"FRESH",C63:BT63)=0,"",SUMIF($C$2:$BT$2,"FRESH",C63:BT63))</f>
        <v/>
      </c>
      <c r="BV63" s="10" t="str">
        <f>IF(SUMIF($C$2:$BT$2,"GILING",C63:BT63)=0,"",SUMIF($C$2:$BT$2,"GILING",C63:BT63))</f>
        <v/>
      </c>
      <c r="BW63" s="11"/>
      <c r="BX63" s="3"/>
      <c r="BY63" s="3"/>
      <c r="BZ63" s="3"/>
    </row>
    <row r="64" spans="1:78" x14ac:dyDescent="0.3">
      <c r="A64" s="199"/>
      <c r="B64" s="12" t="s">
        <v>279</v>
      </c>
      <c r="C64" s="188">
        <f>IF(AND(C63="",D63=""),0,C63-D63)</f>
        <v>0</v>
      </c>
      <c r="D64" s="189"/>
      <c r="E64" s="188">
        <f>IF(AND(E63="",F63=""),0,E63-F63)</f>
        <v>0</v>
      </c>
      <c r="F64" s="189"/>
      <c r="G64" s="188">
        <f>IF(AND(G63="",H63=""),0,G63-H63)</f>
        <v>0</v>
      </c>
      <c r="H64" s="189"/>
      <c r="I64" s="188">
        <f>IF(AND(I63="",J63=""),0,I63-J63)</f>
        <v>0</v>
      </c>
      <c r="J64" s="189"/>
      <c r="K64" s="188">
        <f>IF(AND(K63="",L63=""),0,K63-L63)</f>
        <v>0</v>
      </c>
      <c r="L64" s="189"/>
      <c r="M64" s="188">
        <f>IF(AND(M63="",N63=""),0,M63-N63)</f>
        <v>0</v>
      </c>
      <c r="N64" s="189"/>
      <c r="O64" s="188">
        <f>IF(AND(O63="",P63=""),0,O63-P63)</f>
        <v>0</v>
      </c>
      <c r="P64" s="189"/>
      <c r="Q64" s="188">
        <f>IF(AND(Q63="",R63=""),0,Q63-R63)</f>
        <v>0</v>
      </c>
      <c r="R64" s="189"/>
      <c r="S64" s="188">
        <f>IF(AND(S63="",T63=""),0,S63-T63)</f>
        <v>0</v>
      </c>
      <c r="T64" s="189"/>
      <c r="U64" s="188">
        <f>IF(AND(U63="",V63=""),0,U63-V63)</f>
        <v>0</v>
      </c>
      <c r="V64" s="189"/>
      <c r="W64" s="188">
        <f>IF(AND(W63="",X63=""),0,W63-X63)</f>
        <v>0</v>
      </c>
      <c r="X64" s="189"/>
      <c r="Y64" s="188">
        <f>IF(AND(Y63="",Z63=""),0,Y63-Z63)</f>
        <v>0</v>
      </c>
      <c r="Z64" s="189"/>
      <c r="AA64" s="188">
        <f>IF(AND(AA63="",AB63=""),0,AA63-AB63)</f>
        <v>0</v>
      </c>
      <c r="AB64" s="189"/>
      <c r="AC64" s="188">
        <f>IF(AND(AC63="",AD63=""),0,AC63-AD63)</f>
        <v>0</v>
      </c>
      <c r="AD64" s="189"/>
      <c r="AE64" s="188">
        <f>IF(AND(AE63="",AF63=""),0,AE63-AF63)</f>
        <v>0</v>
      </c>
      <c r="AF64" s="189"/>
      <c r="AG64" s="188">
        <f>IF(AND(AG63="",AH63=""),0,AG63-AH63)</f>
        <v>0</v>
      </c>
      <c r="AH64" s="189"/>
      <c r="AI64" s="188">
        <f>IF(AND(AI63="",AJ63=""),0,AI63-AJ63)</f>
        <v>0</v>
      </c>
      <c r="AJ64" s="189"/>
      <c r="AK64" s="188">
        <f>IF(AND(AK63="",AL63=""),0,AK63-AL63)</f>
        <v>0</v>
      </c>
      <c r="AL64" s="189"/>
      <c r="AM64" s="188">
        <f>IF(AND(AM63="",AN63=""),0,AM63-AN63)</f>
        <v>0</v>
      </c>
      <c r="AN64" s="189"/>
      <c r="AO64" s="188">
        <f>IF(AND(AO63="",AP63=""),0,AO63-AP63)</f>
        <v>0</v>
      </c>
      <c r="AP64" s="189"/>
      <c r="AQ64" s="188">
        <f>IF(AND(AQ63="",AR63=""),0,AQ63-AR63)</f>
        <v>0</v>
      </c>
      <c r="AR64" s="189"/>
      <c r="AS64" s="188">
        <f>IF(AND(AS63="",AT63=""),0,AS63-AT63)</f>
        <v>0</v>
      </c>
      <c r="AT64" s="189"/>
      <c r="AU64" s="188">
        <f>IF(AND(AU63="",AV63=""),0,AU63-AV63)</f>
        <v>0</v>
      </c>
      <c r="AV64" s="189"/>
      <c r="AW64" s="188">
        <f>IF(AND(AW63="",AX63=""),0,AW63-AX63)</f>
        <v>0</v>
      </c>
      <c r="AX64" s="189"/>
      <c r="AY64" s="188">
        <f>IF(AND(AY63="",AZ63=""),0,AY63-AZ63)</f>
        <v>0</v>
      </c>
      <c r="AZ64" s="189"/>
      <c r="BA64" s="188">
        <f>IF(AND(BA63="",BB63=""),0,BA63-BB63)</f>
        <v>0</v>
      </c>
      <c r="BB64" s="189"/>
      <c r="BC64" s="188">
        <f>IF(AND(BC63="",BD63=""),0,BC63-BD63)</f>
        <v>0</v>
      </c>
      <c r="BD64" s="189"/>
      <c r="BE64" s="188">
        <f>IF(AND(BE63="",BF63=""),0,BE63-BF63)</f>
        <v>0</v>
      </c>
      <c r="BF64" s="189"/>
      <c r="BG64" s="188">
        <f>IF(AND(BG63="",BH63=""),0,BG63-BH63)</f>
        <v>0</v>
      </c>
      <c r="BH64" s="189"/>
      <c r="BI64" s="188">
        <f>IF(AND(BI63="",BJ63=""),0,BI63-BJ63)</f>
        <v>0</v>
      </c>
      <c r="BJ64" s="189"/>
      <c r="BK64" s="188">
        <f>IF(AND(BK63="",BL63=""),0,BK63-BL63)</f>
        <v>0</v>
      </c>
      <c r="BL64" s="189"/>
      <c r="BM64" s="188">
        <f>IF(AND(BM63="",BN63=""),0,BM63-BN63)</f>
        <v>0</v>
      </c>
      <c r="BN64" s="189"/>
      <c r="BO64" s="188">
        <f>IF(AND(BO63="",BP63=""),0,BO63-BP63)</f>
        <v>0</v>
      </c>
      <c r="BP64" s="189"/>
      <c r="BQ64" s="188">
        <f>IF(AND(BQ63="",BR63=""),0,BQ63-BR63)</f>
        <v>0</v>
      </c>
      <c r="BR64" s="189"/>
      <c r="BS64" s="188">
        <f>IF(AND(BS63="",BT63=""),0,BS63-BT63)</f>
        <v>0</v>
      </c>
      <c r="BT64" s="189"/>
      <c r="BU64" s="14" t="str">
        <f>IF(AND(BU63="",BV63=""),"",BU63-BV63)</f>
        <v/>
      </c>
      <c r="BV64" s="13"/>
      <c r="BW64" s="16" t="str">
        <f>IF(COUNTIF(D64:BT64,"&gt;0")=0,"",COUNTIF(D64:BT64,"&gt;0"))</f>
        <v/>
      </c>
      <c r="BX64" s="3"/>
      <c r="BY64" s="3"/>
      <c r="BZ64" s="3"/>
    </row>
    <row r="65" spans="1:78" ht="14.5" x14ac:dyDescent="0.3">
      <c r="A65" s="199"/>
      <c r="B65" s="12" t="s">
        <v>280</v>
      </c>
      <c r="C65" s="186">
        <f>IF(C64="",0,(D63/89%)-(C63))</f>
        <v>0</v>
      </c>
      <c r="D65" s="187"/>
      <c r="E65" s="186">
        <f>IF(E64="",0,(F63/89%)-(E63))</f>
        <v>0</v>
      </c>
      <c r="F65" s="187"/>
      <c r="G65" s="186">
        <f>IF(G64="",0,(H63/89%)-(G63))</f>
        <v>0</v>
      </c>
      <c r="H65" s="187"/>
      <c r="I65" s="186">
        <f>IF(I64="",0,(J63/89%)-(I63))</f>
        <v>0</v>
      </c>
      <c r="J65" s="187"/>
      <c r="K65" s="186">
        <f>IF(K64="",0,(L63/89%)-(K63))</f>
        <v>0</v>
      </c>
      <c r="L65" s="187"/>
      <c r="M65" s="186">
        <f>IF(M64="",0,(N63/89%)-(M63))</f>
        <v>0</v>
      </c>
      <c r="N65" s="187"/>
      <c r="O65" s="186">
        <f>IF(O64="",0,(P63/89%)-(O63))</f>
        <v>0</v>
      </c>
      <c r="P65" s="187"/>
      <c r="Q65" s="186">
        <f>IF(Q64="",0,(R63/89%)-(Q63))</f>
        <v>0</v>
      </c>
      <c r="R65" s="187"/>
      <c r="S65" s="186">
        <f>IF(S64="",0,(T63/89%)-(S63))</f>
        <v>0</v>
      </c>
      <c r="T65" s="187"/>
      <c r="U65" s="186">
        <f>IF(U64="",0,(V63/89%)-(U63))</f>
        <v>0</v>
      </c>
      <c r="V65" s="187"/>
      <c r="W65" s="186">
        <f>IF(W64="",0,(X63/89%)-(W63))</f>
        <v>0</v>
      </c>
      <c r="X65" s="187"/>
      <c r="Y65" s="186">
        <f>IF(Y64="",0,(Z63/89%)-(Y63))</f>
        <v>0</v>
      </c>
      <c r="Z65" s="187"/>
      <c r="AA65" s="186">
        <f>IF(AA64="",0,(AB63/89%)-(AA63))</f>
        <v>0</v>
      </c>
      <c r="AB65" s="187"/>
      <c r="AC65" s="186">
        <f>IF(AC64="",0,(AD63/89%)-(AC63))</f>
        <v>0</v>
      </c>
      <c r="AD65" s="187"/>
      <c r="AE65" s="186">
        <f>IF(AE64="",0,(AF63/89%)-(AE63))</f>
        <v>0</v>
      </c>
      <c r="AF65" s="187"/>
      <c r="AG65" s="186">
        <f>IF(AG64="",0,(AH63/89%)-(AG63))</f>
        <v>0</v>
      </c>
      <c r="AH65" s="187"/>
      <c r="AI65" s="186">
        <f>IF(AI64="",0,(AJ63/89%)-(AI63))</f>
        <v>0</v>
      </c>
      <c r="AJ65" s="187"/>
      <c r="AK65" s="186">
        <f>IF(AK64="",0,(AL63/89%)-(AK63))</f>
        <v>0</v>
      </c>
      <c r="AL65" s="187"/>
      <c r="AM65" s="186">
        <f>IF(AM64="",0,(AN63/89%)-(AM63))</f>
        <v>0</v>
      </c>
      <c r="AN65" s="187"/>
      <c r="AO65" s="186">
        <f>IF(AO64="",0,(AP63/89%)-(AO63))</f>
        <v>0</v>
      </c>
      <c r="AP65" s="187"/>
      <c r="AQ65" s="186">
        <f>IF(AQ64="",0,(AR63/89%)-(AQ63))</f>
        <v>0</v>
      </c>
      <c r="AR65" s="187"/>
      <c r="AS65" s="186">
        <f>IF(AS64="",0,(AT63/89%)-(AS63))</f>
        <v>0</v>
      </c>
      <c r="AT65" s="187"/>
      <c r="AU65" s="186">
        <f>IF(AU64="",0,(AV63/89%)-(AU63))</f>
        <v>0</v>
      </c>
      <c r="AV65" s="187"/>
      <c r="AW65" s="186">
        <f>IF(AW64="",0,(AX63/89%)-(AW63))</f>
        <v>0</v>
      </c>
      <c r="AX65" s="187"/>
      <c r="AY65" s="186">
        <f>IF(AY64="",0,(AZ63/89%)-(AY63))</f>
        <v>0</v>
      </c>
      <c r="AZ65" s="187"/>
      <c r="BA65" s="186">
        <f>IF(BA64="",0,(BB63/89%)-(BA63))</f>
        <v>0</v>
      </c>
      <c r="BB65" s="187"/>
      <c r="BC65" s="186">
        <f>IF(BC64="",0,(BD63/89%)-(BC63))</f>
        <v>0</v>
      </c>
      <c r="BD65" s="187"/>
      <c r="BE65" s="186">
        <f>IF(BE64="",0,(BF63/89%)-(BE63))</f>
        <v>0</v>
      </c>
      <c r="BF65" s="187"/>
      <c r="BG65" s="186">
        <f>IF(BG64="",0,(BH63/89%)-(BG63))</f>
        <v>0</v>
      </c>
      <c r="BH65" s="187"/>
      <c r="BI65" s="186">
        <f>IF(BI64="",0,(BJ63/89%)-(BI63))</f>
        <v>0</v>
      </c>
      <c r="BJ65" s="187"/>
      <c r="BK65" s="186">
        <f>IF(BK64="",0,(BL63/89%)-(BK63))</f>
        <v>0</v>
      </c>
      <c r="BL65" s="187"/>
      <c r="BM65" s="186">
        <f>IF(BM64="",0,(BN63/89%)-(BM63))</f>
        <v>0</v>
      </c>
      <c r="BN65" s="187"/>
      <c r="BO65" s="186">
        <f>IF(BO64="",0,(BP63/89%)-(BO63))</f>
        <v>0</v>
      </c>
      <c r="BP65" s="187"/>
      <c r="BQ65" s="186">
        <f>IF(BQ64="",0,(BR63/89%)-(BQ63))</f>
        <v>0</v>
      </c>
      <c r="BR65" s="187"/>
      <c r="BS65" s="186">
        <f>IF(BS64="",0,(BT63/89%)-(BS63))</f>
        <v>0</v>
      </c>
      <c r="BT65" s="187"/>
      <c r="BU65" s="17" t="str">
        <f>IF(BU64="","",(BV63/89%)-(BU63))</f>
        <v/>
      </c>
      <c r="BV65" s="13"/>
      <c r="BW65" s="18" t="str">
        <f>IF(AND(BU63="",BV63=""),"",(BU63-BV63)-BU64)</f>
        <v/>
      </c>
      <c r="BX65" s="3"/>
      <c r="BY65" s="3"/>
      <c r="BZ65" s="3"/>
    </row>
    <row r="66" spans="1:78" ht="14.5" x14ac:dyDescent="0.3">
      <c r="A66" s="199"/>
      <c r="B66" s="19" t="s">
        <v>281</v>
      </c>
      <c r="C66" s="194" t="str">
        <f>IF(C64=0,"",ABS(IFERROR((C64/C63),0)-1))</f>
        <v/>
      </c>
      <c r="D66" s="195"/>
      <c r="E66" s="194" t="str">
        <f>IF(E64=0,"",ABS(IFERROR((E64/E63),0)-1))</f>
        <v/>
      </c>
      <c r="F66" s="195"/>
      <c r="G66" s="194" t="str">
        <f>IF(G64=0,"",ABS(IFERROR((G64/G63),0)-1))</f>
        <v/>
      </c>
      <c r="H66" s="195"/>
      <c r="I66" s="194" t="str">
        <f>IF(I64=0,"",ABS(IFERROR((I64/I63),0)-1))</f>
        <v/>
      </c>
      <c r="J66" s="195"/>
      <c r="K66" s="194" t="str">
        <f>IF(K64=0,"",ABS(IFERROR((K64/K63),0)-1))</f>
        <v/>
      </c>
      <c r="L66" s="195"/>
      <c r="M66" s="194" t="str">
        <f>IF(M64=0,"",ABS(IFERROR((M64/M63),0)-1))</f>
        <v/>
      </c>
      <c r="N66" s="195"/>
      <c r="O66" s="194" t="str">
        <f>IF(O64=0,"",ABS(IFERROR((O64/O63),0)-1))</f>
        <v/>
      </c>
      <c r="P66" s="195"/>
      <c r="Q66" s="194" t="str">
        <f>IF(Q64=0,"",ABS(IFERROR((Q64/Q63),0)-1))</f>
        <v/>
      </c>
      <c r="R66" s="195"/>
      <c r="S66" s="194" t="str">
        <f>IF(S64=0,"",ABS(IFERROR((S64/S63),0)-1))</f>
        <v/>
      </c>
      <c r="T66" s="195"/>
      <c r="U66" s="194" t="str">
        <f>IF(U64=0,"",ABS(IFERROR((U64/U63),0)-1))</f>
        <v/>
      </c>
      <c r="V66" s="195"/>
      <c r="W66" s="194" t="str">
        <f>IF(W64=0,"",ABS(IFERROR((W64/W63),0)-1))</f>
        <v/>
      </c>
      <c r="X66" s="195"/>
      <c r="Y66" s="194" t="str">
        <f>IF(Y64=0,"",ABS(IFERROR((Y64/Y63),0)-1))</f>
        <v/>
      </c>
      <c r="Z66" s="195"/>
      <c r="AA66" s="194" t="str">
        <f>IF(AA64=0,"",ABS(IFERROR((AA64/AA63),0)-1))</f>
        <v/>
      </c>
      <c r="AB66" s="195"/>
      <c r="AC66" s="194" t="str">
        <f>IF(AC64=0,"",ABS(IFERROR((AC64/AC63),0)-1))</f>
        <v/>
      </c>
      <c r="AD66" s="195"/>
      <c r="AE66" s="194" t="str">
        <f>IF(AE64=0,"",ABS(IFERROR((AE64/AE63),0)-1))</f>
        <v/>
      </c>
      <c r="AF66" s="195"/>
      <c r="AG66" s="194" t="str">
        <f>IF(AG64=0,"",ABS(IFERROR((AG64/AG63),0)-1))</f>
        <v/>
      </c>
      <c r="AH66" s="195"/>
      <c r="AI66" s="194" t="str">
        <f>IF(AI64=0,"",ABS(IFERROR((AI64/AI63),0)-1))</f>
        <v/>
      </c>
      <c r="AJ66" s="195"/>
      <c r="AK66" s="194" t="str">
        <f>IF(AK64=0,"",ABS(IFERROR((AK64/AK63),0)-1))</f>
        <v/>
      </c>
      <c r="AL66" s="195"/>
      <c r="AM66" s="194" t="str">
        <f>IF(AM64=0,"",ABS(IFERROR((AM64/AM63),0)-1))</f>
        <v/>
      </c>
      <c r="AN66" s="195"/>
      <c r="AO66" s="194" t="str">
        <f>IF(AO64=0,"",ABS(IFERROR((AO64/AO63),0)-1))</f>
        <v/>
      </c>
      <c r="AP66" s="195"/>
      <c r="AQ66" s="194" t="str">
        <f>IF(AQ64=0,"",ABS(IFERROR((AQ64/AQ63),0)-1))</f>
        <v/>
      </c>
      <c r="AR66" s="195"/>
      <c r="AS66" s="194" t="str">
        <f>IF(AS64=0,"",ABS(IFERROR((AS64/AS63),0)-1))</f>
        <v/>
      </c>
      <c r="AT66" s="195"/>
      <c r="AU66" s="194" t="str">
        <f>IF(AU64=0,"",ABS(IFERROR((AU64/AU63),0)-1))</f>
        <v/>
      </c>
      <c r="AV66" s="195"/>
      <c r="AW66" s="194" t="str">
        <f>IF(AW64=0,"",ABS(IFERROR((AW64/AW63),0)-1))</f>
        <v/>
      </c>
      <c r="AX66" s="195"/>
      <c r="AY66" s="194" t="str">
        <f>IF(AY64=0,"",ABS(IFERROR((AY64/AY63),0)-1))</f>
        <v/>
      </c>
      <c r="AZ66" s="195"/>
      <c r="BA66" s="194" t="str">
        <f>IF(BA64=0,"",ABS(IFERROR((BA64/BA63),0)-1))</f>
        <v/>
      </c>
      <c r="BB66" s="195"/>
      <c r="BC66" s="194" t="str">
        <f>IF(BC64=0,"",ABS(IFERROR((BC64/BC63),0)-1))</f>
        <v/>
      </c>
      <c r="BD66" s="195"/>
      <c r="BE66" s="194" t="str">
        <f>IF(BE64=0,"",ABS(IFERROR((BE64/BE63),0)-1))</f>
        <v/>
      </c>
      <c r="BF66" s="195"/>
      <c r="BG66" s="194" t="str">
        <f>IF(BG64=0,"",ABS(IFERROR((BG64/BG63),0)-1))</f>
        <v/>
      </c>
      <c r="BH66" s="195"/>
      <c r="BI66" s="194" t="str">
        <f>IF(BI64=0,"",ABS(IFERROR((BI64/BI63),0)-1))</f>
        <v/>
      </c>
      <c r="BJ66" s="195"/>
      <c r="BK66" s="194" t="str">
        <f>IF(BK64=0,"",ABS(IFERROR((BK64/BK63),0)-1))</f>
        <v/>
      </c>
      <c r="BL66" s="195"/>
      <c r="BM66" s="194" t="str">
        <f>IF(BM64=0,"",ABS(IFERROR((BM64/BM63),0)-1))</f>
        <v/>
      </c>
      <c r="BN66" s="195"/>
      <c r="BO66" s="194" t="str">
        <f>IF(BO64=0,"",ABS(IFERROR((BO64/BO63),0)-1))</f>
        <v/>
      </c>
      <c r="BP66" s="195"/>
      <c r="BQ66" s="194" t="str">
        <f>IF(BQ64=0,"",ABS(IFERROR((BQ64/BQ63),0)-1))</f>
        <v/>
      </c>
      <c r="BR66" s="195"/>
      <c r="BS66" s="194" t="str">
        <f>IF(BS64=0,"",ABS(IFERROR((BS64/BS63),0)-1))</f>
        <v/>
      </c>
      <c r="BT66" s="195"/>
      <c r="BU66" s="26" t="e">
        <f>ABS(IFERROR((BU64/BU63),"")-1)</f>
        <v>#VALUE!</v>
      </c>
      <c r="BV66" s="15"/>
      <c r="BW66" s="21"/>
      <c r="BX66" s="3"/>
      <c r="BY66" s="3"/>
      <c r="BZ66" s="3"/>
    </row>
    <row r="67" spans="1:78" ht="15" thickBot="1" x14ac:dyDescent="0.35">
      <c r="A67" s="181"/>
      <c r="B67" s="22" t="s">
        <v>177</v>
      </c>
      <c r="C67" s="196" t="str">
        <f>IF(C66="","", IF(C66&lt;89%,"OVER STANDART",IF(C66=89%,"GOOD","UNDER STANDART")))</f>
        <v/>
      </c>
      <c r="D67" s="197"/>
      <c r="E67" s="196" t="str">
        <f>IF(E66="","", IF(E66&lt;89%,"OVER STANDART",IF(E66=89%,"GOOD","UNDER STANDART")))</f>
        <v/>
      </c>
      <c r="F67" s="197"/>
      <c r="G67" s="196" t="str">
        <f>IF(G66="","", IF(G66&lt;89%,"OVER STANDART",IF(G66=89%,"GOOD","UNDER STANDART")))</f>
        <v/>
      </c>
      <c r="H67" s="197"/>
      <c r="I67" s="196" t="str">
        <f>IF(I66="","", IF(I66&lt;89%,"OVER STANDART",IF(I66=89%,"GOOD","UNDER STANDART")))</f>
        <v/>
      </c>
      <c r="J67" s="197"/>
      <c r="K67" s="196" t="str">
        <f>IF(K66="","", IF(K66&lt;89%,"OVER STANDART",IF(K66=89%,"GOOD","UNDER STANDART")))</f>
        <v/>
      </c>
      <c r="L67" s="197"/>
      <c r="M67" s="196" t="str">
        <f>IF(M66="","", IF(M66&lt;89%,"OVER STANDART",IF(M66=89%,"GOOD","UNDER STANDART")))</f>
        <v/>
      </c>
      <c r="N67" s="197"/>
      <c r="O67" s="196" t="str">
        <f>IF(O66="","", IF(O66&lt;89%,"OVER STANDART",IF(O66=89%,"GOOD","UNDER STANDART")))</f>
        <v/>
      </c>
      <c r="P67" s="197"/>
      <c r="Q67" s="196" t="str">
        <f>IF(Q66="","", IF(Q66&lt;89%,"OVER STANDART",IF(Q66=89%,"GOOD","UNDER STANDART")))</f>
        <v/>
      </c>
      <c r="R67" s="197"/>
      <c r="S67" s="196" t="str">
        <f>IF(S66="","", IF(S66&lt;89%,"OVER STANDART",IF(S66=89%,"GOOD","UNDER STANDART")))</f>
        <v/>
      </c>
      <c r="T67" s="197"/>
      <c r="U67" s="196" t="str">
        <f>IF(U66="","", IF(U66&lt;89%,"OVER STANDART",IF(U66=89%,"GOOD","UNDER STANDART")))</f>
        <v/>
      </c>
      <c r="V67" s="197"/>
      <c r="W67" s="196" t="str">
        <f>IF(W66="","", IF(W66&lt;89%,"OVER STANDART",IF(W66=89%,"GOOD","UNDER STANDART")))</f>
        <v/>
      </c>
      <c r="X67" s="197"/>
      <c r="Y67" s="196" t="str">
        <f>IF(Y66="","", IF(Y66&lt;89%,"OVER STANDART",IF(Y66=89%,"GOOD","UNDER STANDART")))</f>
        <v/>
      </c>
      <c r="Z67" s="197"/>
      <c r="AA67" s="196" t="str">
        <f>IF(AA66="","", IF(AA66&lt;89%,"OVER STANDART",IF(AA66=89%,"GOOD","UNDER STANDART")))</f>
        <v/>
      </c>
      <c r="AB67" s="197"/>
      <c r="AC67" s="196" t="str">
        <f>IF(AC66="","", IF(AC66&lt;89%,"OVER STANDART",IF(AC66=89%,"GOOD","UNDER STANDART")))</f>
        <v/>
      </c>
      <c r="AD67" s="197"/>
      <c r="AE67" s="196" t="str">
        <f>IF(AE66="","", IF(AE66&lt;89%,"OVER STANDART",IF(AE66=89%,"GOOD","UNDER STANDART")))</f>
        <v/>
      </c>
      <c r="AF67" s="197"/>
      <c r="AG67" s="196" t="str">
        <f>IF(AG66="","", IF(AG66&lt;89%,"OVER STANDART",IF(AG66=89%,"GOOD","UNDER STANDART")))</f>
        <v/>
      </c>
      <c r="AH67" s="197"/>
      <c r="AI67" s="196" t="str">
        <f>IF(AI66="","", IF(AI66&lt;89%,"OVER STANDART",IF(AI66=89%,"GOOD","UNDER STANDART")))</f>
        <v/>
      </c>
      <c r="AJ67" s="197"/>
      <c r="AK67" s="196" t="str">
        <f>IF(AK66="","", IF(AK66&lt;89%,"OVER STANDART",IF(AK66=89%,"GOOD","UNDER STANDART")))</f>
        <v/>
      </c>
      <c r="AL67" s="197"/>
      <c r="AM67" s="196" t="str">
        <f>IF(AM66="","", IF(AM66&lt;89%,"OVER STANDART",IF(AM66=89%,"GOOD","UNDER STANDART")))</f>
        <v/>
      </c>
      <c r="AN67" s="197"/>
      <c r="AO67" s="196" t="str">
        <f>IF(AO66="","", IF(AO66&lt;89%,"OVER STANDART",IF(AO66=89%,"GOOD","UNDER STANDART")))</f>
        <v/>
      </c>
      <c r="AP67" s="197"/>
      <c r="AQ67" s="196" t="str">
        <f>IF(AQ66="","", IF(AQ66&lt;89%,"OVER STANDART",IF(AQ66=89%,"GOOD","UNDER STANDART")))</f>
        <v/>
      </c>
      <c r="AR67" s="197"/>
      <c r="AS67" s="196" t="str">
        <f>IF(AS66="","", IF(AS66&lt;89%,"OVER STANDART",IF(AS66=89%,"GOOD","UNDER STANDART")))</f>
        <v/>
      </c>
      <c r="AT67" s="197"/>
      <c r="AU67" s="196" t="str">
        <f>IF(AU66="","", IF(AU66&lt;89%,"OVER STANDART",IF(AU66=89%,"GOOD","UNDER STANDART")))</f>
        <v/>
      </c>
      <c r="AV67" s="197"/>
      <c r="AW67" s="196" t="str">
        <f>IF(AW66="","", IF(AW66&lt;89%,"OVER STANDART",IF(AW66=89%,"GOOD","UNDER STANDART")))</f>
        <v/>
      </c>
      <c r="AX67" s="197"/>
      <c r="AY67" s="196" t="str">
        <f>IF(AY66="","", IF(AY66&lt;89%,"OVER STANDART",IF(AY66=89%,"GOOD","UNDER STANDART")))</f>
        <v/>
      </c>
      <c r="AZ67" s="197"/>
      <c r="BA67" s="196" t="str">
        <f>IF(BA66="","", IF(BA66&lt;89%,"OVER STANDART",IF(BA66=89%,"GOOD","UNDER STANDART")))</f>
        <v/>
      </c>
      <c r="BB67" s="197"/>
      <c r="BC67" s="196" t="str">
        <f>IF(BC66="","", IF(BC66&lt;89%,"OVER STANDART",IF(BC66=89%,"GOOD","UNDER STANDART")))</f>
        <v/>
      </c>
      <c r="BD67" s="197"/>
      <c r="BE67" s="196" t="str">
        <f>IF(BE66="","", IF(BE66&lt;89%,"OVER STANDART",IF(BE66=89%,"GOOD","UNDER STANDART")))</f>
        <v/>
      </c>
      <c r="BF67" s="197"/>
      <c r="BG67" s="196" t="str">
        <f>IF(BG66="","", IF(BG66&lt;89%,"OVER STANDART",IF(BG66=89%,"GOOD","UNDER STANDART")))</f>
        <v/>
      </c>
      <c r="BH67" s="197"/>
      <c r="BI67" s="196" t="str">
        <f>IF(BI66="","", IF(BI66&lt;89%,"OVER STANDART",IF(BI66=89%,"GOOD","UNDER STANDART")))</f>
        <v/>
      </c>
      <c r="BJ67" s="197"/>
      <c r="BK67" s="196" t="str">
        <f>IF(BK66="","", IF(BK66&lt;89%,"OVER STANDART",IF(BK66=89%,"GOOD","UNDER STANDART")))</f>
        <v/>
      </c>
      <c r="BL67" s="197"/>
      <c r="BM67" s="196" t="str">
        <f>IF(BM66="","", IF(BM66&lt;89%,"OVER STANDART",IF(BM66=89%,"GOOD","UNDER STANDART")))</f>
        <v/>
      </c>
      <c r="BN67" s="197"/>
      <c r="BO67" s="196" t="str">
        <f>IF(BO66="","", IF(BO66&lt;89%,"OVER STANDART",IF(BO66=89%,"GOOD","UNDER STANDART")))</f>
        <v/>
      </c>
      <c r="BP67" s="197"/>
      <c r="BQ67" s="196" t="str">
        <f>IF(BQ66="","", IF(BQ66&lt;89%,"OVER STANDART",IF(BQ66=89%,"GOOD","UNDER STANDART")))</f>
        <v/>
      </c>
      <c r="BR67" s="197"/>
      <c r="BS67" s="196" t="str">
        <f>IF(BS66="","", IF(BS66&lt;89%,"OVER STANDART",IF(BS66=89%,"GOOD","UNDER STANDART")))</f>
        <v/>
      </c>
      <c r="BT67" s="197"/>
      <c r="BU67" s="24" t="e">
        <f>IF(BU66="","", IF(BU66&lt;89%,"OVER STANDART",IF(BU66=89%,"GOOD","UNDER STANDART")))</f>
        <v>#VALUE!</v>
      </c>
      <c r="BV67" s="23"/>
      <c r="BW67" s="25"/>
      <c r="BX67" s="3"/>
      <c r="BY67" s="3"/>
      <c r="BZ67" s="3"/>
    </row>
    <row r="68" spans="1:78" ht="14.5" x14ac:dyDescent="0.3">
      <c r="A68" s="198">
        <f>A63+1</f>
        <v>14</v>
      </c>
      <c r="B68" s="7" t="s">
        <v>278</v>
      </c>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9" t="str">
        <f>IF(SUMIF($C$2:$BT$2,"FRESH",C68:BT68)=0,"",SUMIF($C$2:$BT$2,"FRESH",C68:BT68))</f>
        <v/>
      </c>
      <c r="BV68" s="10" t="str">
        <f>IF(SUMIF($C$2:$BT$2,"GILING",C68:BT68)=0,"",SUMIF($C$2:$BT$2,"GILING",C68:BT68))</f>
        <v/>
      </c>
      <c r="BW68" s="11"/>
      <c r="BX68" s="3"/>
      <c r="BY68" s="3"/>
      <c r="BZ68" s="3"/>
    </row>
    <row r="69" spans="1:78" x14ac:dyDescent="0.3">
      <c r="A69" s="199"/>
      <c r="B69" s="12" t="s">
        <v>279</v>
      </c>
      <c r="C69" s="188">
        <f>IF(AND(C68="",D68=""),0,C68-D68)</f>
        <v>0</v>
      </c>
      <c r="D69" s="189"/>
      <c r="E69" s="188">
        <f>IF(AND(E68="",F68=""),0,E68-F68)</f>
        <v>0</v>
      </c>
      <c r="F69" s="189"/>
      <c r="G69" s="188">
        <f>IF(AND(G68="",H68=""),0,G68-H68)</f>
        <v>0</v>
      </c>
      <c r="H69" s="189"/>
      <c r="I69" s="188">
        <f>IF(AND(I68="",J68=""),0,I68-J68)</f>
        <v>0</v>
      </c>
      <c r="J69" s="189"/>
      <c r="K69" s="188">
        <f>IF(AND(K68="",L68=""),0,K68-L68)</f>
        <v>0</v>
      </c>
      <c r="L69" s="189"/>
      <c r="M69" s="188">
        <f>IF(AND(M68="",N68=""),0,M68-N68)</f>
        <v>0</v>
      </c>
      <c r="N69" s="189"/>
      <c r="O69" s="188">
        <f>IF(AND(O68="",P68=""),0,O68-P68)</f>
        <v>0</v>
      </c>
      <c r="P69" s="189"/>
      <c r="Q69" s="188">
        <f>IF(AND(Q68="",R68=""),0,Q68-R68)</f>
        <v>0</v>
      </c>
      <c r="R69" s="189"/>
      <c r="S69" s="188">
        <f>IF(AND(S68="",T68=""),0,S68-T68)</f>
        <v>0</v>
      </c>
      <c r="T69" s="189"/>
      <c r="U69" s="188">
        <f>IF(AND(U68="",V68=""),0,U68-V68)</f>
        <v>0</v>
      </c>
      <c r="V69" s="189"/>
      <c r="W69" s="188">
        <f>IF(AND(W68="",X68=""),0,W68-X68)</f>
        <v>0</v>
      </c>
      <c r="X69" s="189"/>
      <c r="Y69" s="188">
        <f>IF(AND(Y68="",Z68=""),0,Y68-Z68)</f>
        <v>0</v>
      </c>
      <c r="Z69" s="189"/>
      <c r="AA69" s="188">
        <f>IF(AND(AA68="",AB68=""),0,AA68-AB68)</f>
        <v>0</v>
      </c>
      <c r="AB69" s="189"/>
      <c r="AC69" s="188">
        <f>IF(AND(AC68="",AD68=""),0,AC68-AD68)</f>
        <v>0</v>
      </c>
      <c r="AD69" s="189"/>
      <c r="AE69" s="188">
        <f>IF(AND(AE68="",AF68=""),0,AE68-AF68)</f>
        <v>0</v>
      </c>
      <c r="AF69" s="189"/>
      <c r="AG69" s="188">
        <f>IF(AND(AG68="",AH68=""),0,AG68-AH68)</f>
        <v>0</v>
      </c>
      <c r="AH69" s="189"/>
      <c r="AI69" s="188">
        <f>IF(AND(AI68="",AJ68=""),0,AI68-AJ68)</f>
        <v>0</v>
      </c>
      <c r="AJ69" s="189"/>
      <c r="AK69" s="188">
        <f>IF(AND(AK68="",AL68=""),0,AK68-AL68)</f>
        <v>0</v>
      </c>
      <c r="AL69" s="189"/>
      <c r="AM69" s="188">
        <f>IF(AND(AM68="",AN68=""),0,AM68-AN68)</f>
        <v>0</v>
      </c>
      <c r="AN69" s="189"/>
      <c r="AO69" s="188">
        <f>IF(AND(AO68="",AP68=""),0,AO68-AP68)</f>
        <v>0</v>
      </c>
      <c r="AP69" s="189"/>
      <c r="AQ69" s="188">
        <f>IF(AND(AQ68="",AR68=""),0,AQ68-AR68)</f>
        <v>0</v>
      </c>
      <c r="AR69" s="189"/>
      <c r="AS69" s="188">
        <f>IF(AND(AS68="",AT68=""),0,AS68-AT68)</f>
        <v>0</v>
      </c>
      <c r="AT69" s="189"/>
      <c r="AU69" s="188">
        <f>IF(AND(AU68="",AV68=""),0,AU68-AV68)</f>
        <v>0</v>
      </c>
      <c r="AV69" s="189"/>
      <c r="AW69" s="188">
        <f>IF(AND(AW68="",AX68=""),0,AW68-AX68)</f>
        <v>0</v>
      </c>
      <c r="AX69" s="189"/>
      <c r="AY69" s="188">
        <f>IF(AND(AY68="",AZ68=""),0,AY68-AZ68)</f>
        <v>0</v>
      </c>
      <c r="AZ69" s="189"/>
      <c r="BA69" s="188">
        <f>IF(AND(BA68="",BB68=""),0,BA68-BB68)</f>
        <v>0</v>
      </c>
      <c r="BB69" s="189"/>
      <c r="BC69" s="188">
        <f>IF(AND(BC68="",BD68=""),0,BC68-BD68)</f>
        <v>0</v>
      </c>
      <c r="BD69" s="189"/>
      <c r="BE69" s="188">
        <f>IF(AND(BE68="",BF68=""),0,BE68-BF68)</f>
        <v>0</v>
      </c>
      <c r="BF69" s="189"/>
      <c r="BG69" s="188">
        <f>IF(AND(BG68="",BH68=""),0,BG68-BH68)</f>
        <v>0</v>
      </c>
      <c r="BH69" s="189"/>
      <c r="BI69" s="188">
        <f>IF(AND(BI68="",BJ68=""),0,BI68-BJ68)</f>
        <v>0</v>
      </c>
      <c r="BJ69" s="189"/>
      <c r="BK69" s="188">
        <f>IF(AND(BK68="",BL68=""),0,BK68-BL68)</f>
        <v>0</v>
      </c>
      <c r="BL69" s="189"/>
      <c r="BM69" s="188">
        <f>IF(AND(BM68="",BN68=""),0,BM68-BN68)</f>
        <v>0</v>
      </c>
      <c r="BN69" s="189"/>
      <c r="BO69" s="188">
        <f>IF(AND(BO68="",BP68=""),0,BO68-BP68)</f>
        <v>0</v>
      </c>
      <c r="BP69" s="189"/>
      <c r="BQ69" s="188">
        <f>IF(AND(BQ68="",BR68=""),0,BQ68-BR68)</f>
        <v>0</v>
      </c>
      <c r="BR69" s="189"/>
      <c r="BS69" s="188">
        <f>IF(AND(BS68="",BT68=""),0,BS68-BT68)</f>
        <v>0</v>
      </c>
      <c r="BT69" s="189"/>
      <c r="BU69" s="14" t="str">
        <f>IF(AND(BU68="",BV68=""),"",BU68-BV68)</f>
        <v/>
      </c>
      <c r="BV69" s="13"/>
      <c r="BW69" s="16" t="str">
        <f>IF(COUNTIF(D69:BT69,"&gt;0")=0,"",COUNTIF(D69:BT69,"&gt;0"))</f>
        <v/>
      </c>
      <c r="BX69" s="3"/>
      <c r="BY69" s="3"/>
      <c r="BZ69" s="3"/>
    </row>
    <row r="70" spans="1:78" ht="14.5" x14ac:dyDescent="0.3">
      <c r="A70" s="199"/>
      <c r="B70" s="12" t="s">
        <v>280</v>
      </c>
      <c r="C70" s="186">
        <f>IF(C69="",0,(D68/89%)-(C68))</f>
        <v>0</v>
      </c>
      <c r="D70" s="187"/>
      <c r="E70" s="186">
        <f>IF(E69="",0,(F68/89%)-(E68))</f>
        <v>0</v>
      </c>
      <c r="F70" s="187"/>
      <c r="G70" s="186">
        <f>IF(G69="",0,(H68/89%)-(G68))</f>
        <v>0</v>
      </c>
      <c r="H70" s="187"/>
      <c r="I70" s="186">
        <f>IF(I69="",0,(J68/89%)-(I68))</f>
        <v>0</v>
      </c>
      <c r="J70" s="187"/>
      <c r="K70" s="186">
        <f>IF(K69="",0,(L68/89%)-(K68))</f>
        <v>0</v>
      </c>
      <c r="L70" s="187"/>
      <c r="M70" s="186">
        <f>IF(M69="",0,(N68/89%)-(M68))</f>
        <v>0</v>
      </c>
      <c r="N70" s="187"/>
      <c r="O70" s="186">
        <f>IF(O69="",0,(P68/89%)-(O68))</f>
        <v>0</v>
      </c>
      <c r="P70" s="187"/>
      <c r="Q70" s="186">
        <f>IF(Q69="",0,(R68/89%)-(Q68))</f>
        <v>0</v>
      </c>
      <c r="R70" s="187"/>
      <c r="S70" s="186">
        <f>IF(S69="",0,(T68/89%)-(S68))</f>
        <v>0</v>
      </c>
      <c r="T70" s="187"/>
      <c r="U70" s="186">
        <f>IF(U69="",0,(V68/89%)-(U68))</f>
        <v>0</v>
      </c>
      <c r="V70" s="187"/>
      <c r="W70" s="186">
        <f>IF(W69="",0,(X68/89%)-(W68))</f>
        <v>0</v>
      </c>
      <c r="X70" s="187"/>
      <c r="Y70" s="186">
        <f>IF(Y69="",0,(Z68/89%)-(Y68))</f>
        <v>0</v>
      </c>
      <c r="Z70" s="187"/>
      <c r="AA70" s="186">
        <f>IF(AA69="",0,(AB68/89%)-(AA68))</f>
        <v>0</v>
      </c>
      <c r="AB70" s="187"/>
      <c r="AC70" s="186">
        <f>IF(AC69="",0,(AD68/89%)-(AC68))</f>
        <v>0</v>
      </c>
      <c r="AD70" s="187"/>
      <c r="AE70" s="186">
        <f>IF(AE69="",0,(AF68/89%)-(AE68))</f>
        <v>0</v>
      </c>
      <c r="AF70" s="187"/>
      <c r="AG70" s="186">
        <f>IF(AG69="",0,(AH68/89%)-(AG68))</f>
        <v>0</v>
      </c>
      <c r="AH70" s="187"/>
      <c r="AI70" s="186">
        <f>IF(AI69="",0,(AJ68/89%)-(AI68))</f>
        <v>0</v>
      </c>
      <c r="AJ70" s="187"/>
      <c r="AK70" s="186">
        <f>IF(AK69="",0,(AL68/89%)-(AK68))</f>
        <v>0</v>
      </c>
      <c r="AL70" s="187"/>
      <c r="AM70" s="186">
        <f>IF(AM69="",0,(AN68/89%)-(AM68))</f>
        <v>0</v>
      </c>
      <c r="AN70" s="187"/>
      <c r="AO70" s="186">
        <f>IF(AO69="",0,(AP68/89%)-(AO68))</f>
        <v>0</v>
      </c>
      <c r="AP70" s="187"/>
      <c r="AQ70" s="186">
        <f>IF(AQ69="",0,(AR68/89%)-(AQ68))</f>
        <v>0</v>
      </c>
      <c r="AR70" s="187"/>
      <c r="AS70" s="186">
        <f>IF(AS69="",0,(AT68/89%)-(AS68))</f>
        <v>0</v>
      </c>
      <c r="AT70" s="187"/>
      <c r="AU70" s="186">
        <f>IF(AU69="",0,(AV68/89%)-(AU68))</f>
        <v>0</v>
      </c>
      <c r="AV70" s="187"/>
      <c r="AW70" s="186">
        <f>IF(AW69="",0,(AX68/89%)-(AW68))</f>
        <v>0</v>
      </c>
      <c r="AX70" s="187"/>
      <c r="AY70" s="186">
        <f>IF(AY69="",0,(AZ68/89%)-(AY68))</f>
        <v>0</v>
      </c>
      <c r="AZ70" s="187"/>
      <c r="BA70" s="186">
        <f>IF(BA69="",0,(BB68/89%)-(BA68))</f>
        <v>0</v>
      </c>
      <c r="BB70" s="187"/>
      <c r="BC70" s="186">
        <f>IF(BC69="",0,(BD68/89%)-(BC68))</f>
        <v>0</v>
      </c>
      <c r="BD70" s="187"/>
      <c r="BE70" s="186">
        <f>IF(BE69="",0,(BF68/89%)-(BE68))</f>
        <v>0</v>
      </c>
      <c r="BF70" s="187"/>
      <c r="BG70" s="186">
        <f>IF(BG69="",0,(BH68/89%)-(BG68))</f>
        <v>0</v>
      </c>
      <c r="BH70" s="187"/>
      <c r="BI70" s="186">
        <f>IF(BI69="",0,(BJ68/89%)-(BI68))</f>
        <v>0</v>
      </c>
      <c r="BJ70" s="187"/>
      <c r="BK70" s="186">
        <f>IF(BK69="",0,(BL68/89%)-(BK68))</f>
        <v>0</v>
      </c>
      <c r="BL70" s="187"/>
      <c r="BM70" s="186">
        <f>IF(BM69="",0,(BN68/89%)-(BM68))</f>
        <v>0</v>
      </c>
      <c r="BN70" s="187"/>
      <c r="BO70" s="186">
        <f>IF(BO69="",0,(BP68/89%)-(BO68))</f>
        <v>0</v>
      </c>
      <c r="BP70" s="187"/>
      <c r="BQ70" s="186">
        <f>IF(BQ69="",0,(BR68/89%)-(BQ68))</f>
        <v>0</v>
      </c>
      <c r="BR70" s="187"/>
      <c r="BS70" s="186">
        <f>IF(BS69="",0,(BT68/89%)-(BS68))</f>
        <v>0</v>
      </c>
      <c r="BT70" s="187"/>
      <c r="BU70" s="17" t="str">
        <f>IF(BU69="","",(BV68/89%)-(BU68))</f>
        <v/>
      </c>
      <c r="BV70" s="13"/>
      <c r="BW70" s="18" t="str">
        <f>IF(AND(BU68="",BV68=""),"",(BU68-BV68)-BU69)</f>
        <v/>
      </c>
      <c r="BX70" s="3"/>
      <c r="BY70" s="3"/>
      <c r="BZ70" s="3"/>
    </row>
    <row r="71" spans="1:78" ht="14.5" x14ac:dyDescent="0.3">
      <c r="A71" s="199"/>
      <c r="B71" s="19" t="s">
        <v>281</v>
      </c>
      <c r="C71" s="194" t="str">
        <f>IF(C69=0,"",ABS(IFERROR((C69/C68),0)-1))</f>
        <v/>
      </c>
      <c r="D71" s="195"/>
      <c r="E71" s="194" t="str">
        <f>IF(E69=0,"",ABS(IFERROR((E69/E68),0)-1))</f>
        <v/>
      </c>
      <c r="F71" s="195"/>
      <c r="G71" s="194" t="str">
        <f>IF(G69=0,"",ABS(IFERROR((G69/G68),0)-1))</f>
        <v/>
      </c>
      <c r="H71" s="195"/>
      <c r="I71" s="194" t="str">
        <f>IF(I69=0,"",ABS(IFERROR((I69/I68),0)-1))</f>
        <v/>
      </c>
      <c r="J71" s="195"/>
      <c r="K71" s="194" t="str">
        <f>IF(K69=0,"",ABS(IFERROR((K69/K68),0)-1))</f>
        <v/>
      </c>
      <c r="L71" s="195"/>
      <c r="M71" s="194" t="str">
        <f>IF(M69=0,"",ABS(IFERROR((M69/M68),0)-1))</f>
        <v/>
      </c>
      <c r="N71" s="195"/>
      <c r="O71" s="194" t="str">
        <f>IF(O69=0,"",ABS(IFERROR((O69/O68),0)-1))</f>
        <v/>
      </c>
      <c r="P71" s="195"/>
      <c r="Q71" s="194" t="str">
        <f>IF(Q69=0,"",ABS(IFERROR((Q69/Q68),0)-1))</f>
        <v/>
      </c>
      <c r="R71" s="195"/>
      <c r="S71" s="194" t="str">
        <f>IF(S69=0,"",ABS(IFERROR((S69/S68),0)-1))</f>
        <v/>
      </c>
      <c r="T71" s="195"/>
      <c r="U71" s="194" t="str">
        <f>IF(U69=0,"",ABS(IFERROR((U69/U68),0)-1))</f>
        <v/>
      </c>
      <c r="V71" s="195"/>
      <c r="W71" s="194" t="str">
        <f>IF(W69=0,"",ABS(IFERROR((W69/W68),0)-1))</f>
        <v/>
      </c>
      <c r="X71" s="195"/>
      <c r="Y71" s="194" t="str">
        <f>IF(Y69=0,"",ABS(IFERROR((Y69/Y68),0)-1))</f>
        <v/>
      </c>
      <c r="Z71" s="195"/>
      <c r="AA71" s="194" t="str">
        <f>IF(AA69=0,"",ABS(IFERROR((AA69/AA68),0)-1))</f>
        <v/>
      </c>
      <c r="AB71" s="195"/>
      <c r="AC71" s="194" t="str">
        <f>IF(AC69=0,"",ABS(IFERROR((AC69/AC68),0)-1))</f>
        <v/>
      </c>
      <c r="AD71" s="195"/>
      <c r="AE71" s="194" t="str">
        <f>IF(AE69=0,"",ABS(IFERROR((AE69/AE68),0)-1))</f>
        <v/>
      </c>
      <c r="AF71" s="195"/>
      <c r="AG71" s="194" t="str">
        <f>IF(AG69=0,"",ABS(IFERROR((AG69/AG68),0)-1))</f>
        <v/>
      </c>
      <c r="AH71" s="195"/>
      <c r="AI71" s="194" t="str">
        <f>IF(AI69=0,"",ABS(IFERROR((AI69/AI68),0)-1))</f>
        <v/>
      </c>
      <c r="AJ71" s="195"/>
      <c r="AK71" s="194" t="str">
        <f>IF(AK69=0,"",ABS(IFERROR((AK69/AK68),0)-1))</f>
        <v/>
      </c>
      <c r="AL71" s="195"/>
      <c r="AM71" s="194" t="str">
        <f>IF(AM69=0,"",ABS(IFERROR((AM69/AM68),0)-1))</f>
        <v/>
      </c>
      <c r="AN71" s="195"/>
      <c r="AO71" s="194" t="str">
        <f>IF(AO69=0,"",ABS(IFERROR((AO69/AO68),0)-1))</f>
        <v/>
      </c>
      <c r="AP71" s="195"/>
      <c r="AQ71" s="194" t="str">
        <f>IF(AQ69=0,"",ABS(IFERROR((AQ69/AQ68),0)-1))</f>
        <v/>
      </c>
      <c r="AR71" s="195"/>
      <c r="AS71" s="194" t="str">
        <f>IF(AS69=0,"",ABS(IFERROR((AS69/AS68),0)-1))</f>
        <v/>
      </c>
      <c r="AT71" s="195"/>
      <c r="AU71" s="194" t="str">
        <f>IF(AU69=0,"",ABS(IFERROR((AU69/AU68),0)-1))</f>
        <v/>
      </c>
      <c r="AV71" s="195"/>
      <c r="AW71" s="194" t="str">
        <f>IF(AW69=0,"",ABS(IFERROR((AW69/AW68),0)-1))</f>
        <v/>
      </c>
      <c r="AX71" s="195"/>
      <c r="AY71" s="194" t="str">
        <f>IF(AY69=0,"",ABS(IFERROR((AY69/AY68),0)-1))</f>
        <v/>
      </c>
      <c r="AZ71" s="195"/>
      <c r="BA71" s="194" t="str">
        <f>IF(BA69=0,"",ABS(IFERROR((BA69/BA68),0)-1))</f>
        <v/>
      </c>
      <c r="BB71" s="195"/>
      <c r="BC71" s="194" t="str">
        <f>IF(BC69=0,"",ABS(IFERROR((BC69/BC68),0)-1))</f>
        <v/>
      </c>
      <c r="BD71" s="195"/>
      <c r="BE71" s="194" t="str">
        <f>IF(BE69=0,"",ABS(IFERROR((BE69/BE68),0)-1))</f>
        <v/>
      </c>
      <c r="BF71" s="195"/>
      <c r="BG71" s="194" t="str">
        <f>IF(BG69=0,"",ABS(IFERROR((BG69/BG68),0)-1))</f>
        <v/>
      </c>
      <c r="BH71" s="195"/>
      <c r="BI71" s="194" t="str">
        <f>IF(BI69=0,"",ABS(IFERROR((BI69/BI68),0)-1))</f>
        <v/>
      </c>
      <c r="BJ71" s="195"/>
      <c r="BK71" s="194" t="str">
        <f>IF(BK69=0,"",ABS(IFERROR((BK69/BK68),0)-1))</f>
        <v/>
      </c>
      <c r="BL71" s="195"/>
      <c r="BM71" s="194" t="str">
        <f>IF(BM69=0,"",ABS(IFERROR((BM69/BM68),0)-1))</f>
        <v/>
      </c>
      <c r="BN71" s="195"/>
      <c r="BO71" s="194" t="str">
        <f>IF(BO69=0,"",ABS(IFERROR((BO69/BO68),0)-1))</f>
        <v/>
      </c>
      <c r="BP71" s="195"/>
      <c r="BQ71" s="194" t="str">
        <f>IF(BQ69=0,"",ABS(IFERROR((BQ69/BQ68),0)-1))</f>
        <v/>
      </c>
      <c r="BR71" s="195"/>
      <c r="BS71" s="194" t="str">
        <f>IF(BS69=0,"",ABS(IFERROR((BS69/BS68),0)-1))</f>
        <v/>
      </c>
      <c r="BT71" s="195"/>
      <c r="BU71" s="26" t="e">
        <f>ABS(IFERROR((BU69/BU68),"")-1)</f>
        <v>#VALUE!</v>
      </c>
      <c r="BV71" s="15"/>
      <c r="BW71" s="21"/>
      <c r="BX71" s="3"/>
      <c r="BY71" s="3"/>
      <c r="BZ71" s="3"/>
    </row>
    <row r="72" spans="1:78" ht="15" thickBot="1" x14ac:dyDescent="0.35">
      <c r="A72" s="181"/>
      <c r="B72" s="22" t="s">
        <v>177</v>
      </c>
      <c r="C72" s="196" t="str">
        <f>IF(C71="","", IF(C71&lt;89%,"OVER STANDART",IF(C71=89%,"GOOD","UNDER STANDART")))</f>
        <v/>
      </c>
      <c r="D72" s="197"/>
      <c r="E72" s="196" t="str">
        <f>IF(E71="","", IF(E71&lt;89%,"OVER STANDART",IF(E71=89%,"GOOD","UNDER STANDART")))</f>
        <v/>
      </c>
      <c r="F72" s="197"/>
      <c r="G72" s="196" t="str">
        <f>IF(G71="","", IF(G71&lt;89%,"OVER STANDART",IF(G71=89%,"GOOD","UNDER STANDART")))</f>
        <v/>
      </c>
      <c r="H72" s="197"/>
      <c r="I72" s="196" t="str">
        <f>IF(I71="","", IF(I71&lt;89%,"OVER STANDART",IF(I71=89%,"GOOD","UNDER STANDART")))</f>
        <v/>
      </c>
      <c r="J72" s="197"/>
      <c r="K72" s="196" t="str">
        <f>IF(K71="","", IF(K71&lt;89%,"OVER STANDART",IF(K71=89%,"GOOD","UNDER STANDART")))</f>
        <v/>
      </c>
      <c r="L72" s="197"/>
      <c r="M72" s="196" t="str">
        <f>IF(M71="","", IF(M71&lt;89%,"OVER STANDART",IF(M71=89%,"GOOD","UNDER STANDART")))</f>
        <v/>
      </c>
      <c r="N72" s="197"/>
      <c r="O72" s="196" t="str">
        <f>IF(O71="","", IF(O71&lt;89%,"OVER STANDART",IF(O71=89%,"GOOD","UNDER STANDART")))</f>
        <v/>
      </c>
      <c r="P72" s="197"/>
      <c r="Q72" s="196" t="str">
        <f>IF(Q71="","", IF(Q71&lt;89%,"OVER STANDART",IF(Q71=89%,"GOOD","UNDER STANDART")))</f>
        <v/>
      </c>
      <c r="R72" s="197"/>
      <c r="S72" s="196" t="str">
        <f>IF(S71="","", IF(S71&lt;89%,"OVER STANDART",IF(S71=89%,"GOOD","UNDER STANDART")))</f>
        <v/>
      </c>
      <c r="T72" s="197"/>
      <c r="U72" s="196" t="str">
        <f>IF(U71="","", IF(U71&lt;89%,"OVER STANDART",IF(U71=89%,"GOOD","UNDER STANDART")))</f>
        <v/>
      </c>
      <c r="V72" s="197"/>
      <c r="W72" s="196" t="str">
        <f>IF(W71="","", IF(W71&lt;89%,"OVER STANDART",IF(W71=89%,"GOOD","UNDER STANDART")))</f>
        <v/>
      </c>
      <c r="X72" s="197"/>
      <c r="Y72" s="196" t="str">
        <f>IF(Y71="","", IF(Y71&lt;89%,"OVER STANDART",IF(Y71=89%,"GOOD","UNDER STANDART")))</f>
        <v/>
      </c>
      <c r="Z72" s="197"/>
      <c r="AA72" s="196" t="str">
        <f>IF(AA71="","", IF(AA71&lt;89%,"OVER STANDART",IF(AA71=89%,"GOOD","UNDER STANDART")))</f>
        <v/>
      </c>
      <c r="AB72" s="197"/>
      <c r="AC72" s="196" t="str">
        <f>IF(AC71="","", IF(AC71&lt;89%,"OVER STANDART",IF(AC71=89%,"GOOD","UNDER STANDART")))</f>
        <v/>
      </c>
      <c r="AD72" s="197"/>
      <c r="AE72" s="196" t="str">
        <f>IF(AE71="","", IF(AE71&lt;89%,"OVER STANDART",IF(AE71=89%,"GOOD","UNDER STANDART")))</f>
        <v/>
      </c>
      <c r="AF72" s="197"/>
      <c r="AG72" s="196" t="str">
        <f>IF(AG71="","", IF(AG71&lt;89%,"OVER STANDART",IF(AG71=89%,"GOOD","UNDER STANDART")))</f>
        <v/>
      </c>
      <c r="AH72" s="197"/>
      <c r="AI72" s="196" t="str">
        <f>IF(AI71="","", IF(AI71&lt;89%,"OVER STANDART",IF(AI71=89%,"GOOD","UNDER STANDART")))</f>
        <v/>
      </c>
      <c r="AJ72" s="197"/>
      <c r="AK72" s="196" t="str">
        <f>IF(AK71="","", IF(AK71&lt;89%,"OVER STANDART",IF(AK71=89%,"GOOD","UNDER STANDART")))</f>
        <v/>
      </c>
      <c r="AL72" s="197"/>
      <c r="AM72" s="196" t="str">
        <f>IF(AM71="","", IF(AM71&lt;89%,"OVER STANDART",IF(AM71=89%,"GOOD","UNDER STANDART")))</f>
        <v/>
      </c>
      <c r="AN72" s="197"/>
      <c r="AO72" s="196" t="str">
        <f>IF(AO71="","", IF(AO71&lt;89%,"OVER STANDART",IF(AO71=89%,"GOOD","UNDER STANDART")))</f>
        <v/>
      </c>
      <c r="AP72" s="197"/>
      <c r="AQ72" s="196" t="str">
        <f>IF(AQ71="","", IF(AQ71&lt;89%,"OVER STANDART",IF(AQ71=89%,"GOOD","UNDER STANDART")))</f>
        <v/>
      </c>
      <c r="AR72" s="197"/>
      <c r="AS72" s="196" t="str">
        <f>IF(AS71="","", IF(AS71&lt;89%,"OVER STANDART",IF(AS71=89%,"GOOD","UNDER STANDART")))</f>
        <v/>
      </c>
      <c r="AT72" s="197"/>
      <c r="AU72" s="196" t="str">
        <f>IF(AU71="","", IF(AU71&lt;89%,"OVER STANDART",IF(AU71=89%,"GOOD","UNDER STANDART")))</f>
        <v/>
      </c>
      <c r="AV72" s="197"/>
      <c r="AW72" s="196" t="str">
        <f>IF(AW71="","", IF(AW71&lt;89%,"OVER STANDART",IF(AW71=89%,"GOOD","UNDER STANDART")))</f>
        <v/>
      </c>
      <c r="AX72" s="197"/>
      <c r="AY72" s="196" t="str">
        <f>IF(AY71="","", IF(AY71&lt;89%,"OVER STANDART",IF(AY71=89%,"GOOD","UNDER STANDART")))</f>
        <v/>
      </c>
      <c r="AZ72" s="197"/>
      <c r="BA72" s="196" t="str">
        <f>IF(BA71="","", IF(BA71&lt;89%,"OVER STANDART",IF(BA71=89%,"GOOD","UNDER STANDART")))</f>
        <v/>
      </c>
      <c r="BB72" s="197"/>
      <c r="BC72" s="196" t="str">
        <f>IF(BC71="","", IF(BC71&lt;89%,"OVER STANDART",IF(BC71=89%,"GOOD","UNDER STANDART")))</f>
        <v/>
      </c>
      <c r="BD72" s="197"/>
      <c r="BE72" s="196" t="str">
        <f>IF(BE71="","", IF(BE71&lt;89%,"OVER STANDART",IF(BE71=89%,"GOOD","UNDER STANDART")))</f>
        <v/>
      </c>
      <c r="BF72" s="197"/>
      <c r="BG72" s="196" t="str">
        <f>IF(BG71="","", IF(BG71&lt;89%,"OVER STANDART",IF(BG71=89%,"GOOD","UNDER STANDART")))</f>
        <v/>
      </c>
      <c r="BH72" s="197"/>
      <c r="BI72" s="196" t="str">
        <f>IF(BI71="","", IF(BI71&lt;89%,"OVER STANDART",IF(BI71=89%,"GOOD","UNDER STANDART")))</f>
        <v/>
      </c>
      <c r="BJ72" s="197"/>
      <c r="BK72" s="196" t="str">
        <f>IF(BK71="","", IF(BK71&lt;89%,"OVER STANDART",IF(BK71=89%,"GOOD","UNDER STANDART")))</f>
        <v/>
      </c>
      <c r="BL72" s="197"/>
      <c r="BM72" s="196" t="str">
        <f>IF(BM71="","", IF(BM71&lt;89%,"OVER STANDART",IF(BM71=89%,"GOOD","UNDER STANDART")))</f>
        <v/>
      </c>
      <c r="BN72" s="197"/>
      <c r="BO72" s="196" t="str">
        <f>IF(BO71="","", IF(BO71&lt;89%,"OVER STANDART",IF(BO71=89%,"GOOD","UNDER STANDART")))</f>
        <v/>
      </c>
      <c r="BP72" s="197"/>
      <c r="BQ72" s="196" t="str">
        <f>IF(BQ71="","", IF(BQ71&lt;89%,"OVER STANDART",IF(BQ71=89%,"GOOD","UNDER STANDART")))</f>
        <v/>
      </c>
      <c r="BR72" s="197"/>
      <c r="BS72" s="196" t="str">
        <f>IF(BS71="","", IF(BS71&lt;89%,"OVER STANDART",IF(BS71=89%,"GOOD","UNDER STANDART")))</f>
        <v/>
      </c>
      <c r="BT72" s="197"/>
      <c r="BU72" s="24" t="e">
        <f>IF(BU71="","", IF(BU71&lt;89%,"OVER STANDART",IF(BU71=89%,"GOOD","UNDER STANDART")))</f>
        <v>#VALUE!</v>
      </c>
      <c r="BV72" s="23"/>
      <c r="BW72" s="25"/>
      <c r="BX72" s="3"/>
      <c r="BY72" s="3"/>
      <c r="BZ72" s="3"/>
    </row>
    <row r="73" spans="1:78" ht="14.5" x14ac:dyDescent="0.3">
      <c r="A73" s="198">
        <f>A68+1</f>
        <v>15</v>
      </c>
      <c r="B73" s="7" t="s">
        <v>278</v>
      </c>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9" t="str">
        <f>IF(SUMIF($C$2:$BT$2,"FRESH",C73:BT73)=0,"",SUMIF($C$2:$BT$2,"FRESH",C73:BT73))</f>
        <v/>
      </c>
      <c r="BV73" s="10" t="str">
        <f>IF(SUMIF($C$2:$BT$2,"GILING",C73:BT73)=0,"",SUMIF($C$2:$BT$2,"GILING",C73:BT73))</f>
        <v/>
      </c>
      <c r="BW73" s="11"/>
      <c r="BX73" s="3"/>
      <c r="BY73" s="3"/>
      <c r="BZ73" s="3"/>
    </row>
    <row r="74" spans="1:78" x14ac:dyDescent="0.3">
      <c r="A74" s="199"/>
      <c r="B74" s="12" t="s">
        <v>279</v>
      </c>
      <c r="C74" s="188">
        <f>IF(AND(C73="",D73=""),0,C73-D73)</f>
        <v>0</v>
      </c>
      <c r="D74" s="189"/>
      <c r="E74" s="188">
        <f>IF(AND(E73="",F73=""),0,E73-F73)</f>
        <v>0</v>
      </c>
      <c r="F74" s="189"/>
      <c r="G74" s="188">
        <f>IF(AND(G73="",H73=""),0,G73-H73)</f>
        <v>0</v>
      </c>
      <c r="H74" s="189"/>
      <c r="I74" s="188">
        <f>IF(AND(I73="",J73=""),0,I73-J73)</f>
        <v>0</v>
      </c>
      <c r="J74" s="189"/>
      <c r="K74" s="188">
        <f>IF(AND(K73="",L73=""),0,K73-L73)</f>
        <v>0</v>
      </c>
      <c r="L74" s="189"/>
      <c r="M74" s="188">
        <f>IF(AND(M73="",N73=""),0,M73-N73)</f>
        <v>0</v>
      </c>
      <c r="N74" s="189"/>
      <c r="O74" s="188">
        <f>IF(AND(O73="",P73=""),0,O73-P73)</f>
        <v>0</v>
      </c>
      <c r="P74" s="189"/>
      <c r="Q74" s="188">
        <f>IF(AND(Q73="",R73=""),0,Q73-R73)</f>
        <v>0</v>
      </c>
      <c r="R74" s="189"/>
      <c r="S74" s="188">
        <f>IF(AND(S73="",T73=""),0,S73-T73)</f>
        <v>0</v>
      </c>
      <c r="T74" s="189"/>
      <c r="U74" s="188">
        <f>IF(AND(U73="",V73=""),0,U73-V73)</f>
        <v>0</v>
      </c>
      <c r="V74" s="189"/>
      <c r="W74" s="188">
        <f>IF(AND(W73="",X73=""),0,W73-X73)</f>
        <v>0</v>
      </c>
      <c r="X74" s="189"/>
      <c r="Y74" s="188">
        <f>IF(AND(Y73="",Z73=""),0,Y73-Z73)</f>
        <v>0</v>
      </c>
      <c r="Z74" s="189"/>
      <c r="AA74" s="188">
        <f>IF(AND(AA73="",AB73=""),0,AA73-AB73)</f>
        <v>0</v>
      </c>
      <c r="AB74" s="189"/>
      <c r="AC74" s="188">
        <f>IF(AND(AC73="",AD73=""),0,AC73-AD73)</f>
        <v>0</v>
      </c>
      <c r="AD74" s="189"/>
      <c r="AE74" s="188">
        <f>IF(AND(AE73="",AF73=""),0,AE73-AF73)</f>
        <v>0</v>
      </c>
      <c r="AF74" s="189"/>
      <c r="AG74" s="188">
        <f>IF(AND(AG73="",AH73=""),0,AG73-AH73)</f>
        <v>0</v>
      </c>
      <c r="AH74" s="189"/>
      <c r="AI74" s="188">
        <f>IF(AND(AI73="",AJ73=""),0,AI73-AJ73)</f>
        <v>0</v>
      </c>
      <c r="AJ74" s="189"/>
      <c r="AK74" s="188">
        <f>IF(AND(AK73="",AL73=""),0,AK73-AL73)</f>
        <v>0</v>
      </c>
      <c r="AL74" s="189"/>
      <c r="AM74" s="188">
        <f>IF(AND(AM73="",AN73=""),0,AM73-AN73)</f>
        <v>0</v>
      </c>
      <c r="AN74" s="189"/>
      <c r="AO74" s="188">
        <f>IF(AND(AO73="",AP73=""),0,AO73-AP73)</f>
        <v>0</v>
      </c>
      <c r="AP74" s="189"/>
      <c r="AQ74" s="188">
        <f>IF(AND(AQ73="",AR73=""),0,AQ73-AR73)</f>
        <v>0</v>
      </c>
      <c r="AR74" s="189"/>
      <c r="AS74" s="188">
        <f>IF(AND(AS73="",AT73=""),0,AS73-AT73)</f>
        <v>0</v>
      </c>
      <c r="AT74" s="189"/>
      <c r="AU74" s="188">
        <f>IF(AND(AU73="",AV73=""),0,AU73-AV73)</f>
        <v>0</v>
      </c>
      <c r="AV74" s="189"/>
      <c r="AW74" s="188">
        <f>IF(AND(AW73="",AX73=""),0,AW73-AX73)</f>
        <v>0</v>
      </c>
      <c r="AX74" s="189"/>
      <c r="AY74" s="188">
        <f>IF(AND(AY73="",AZ73=""),0,AY73-AZ73)</f>
        <v>0</v>
      </c>
      <c r="AZ74" s="189"/>
      <c r="BA74" s="188">
        <f>IF(AND(BA73="",BB73=""),0,BA73-BB73)</f>
        <v>0</v>
      </c>
      <c r="BB74" s="189"/>
      <c r="BC74" s="188">
        <f>IF(AND(BC73="",BD73=""),0,BC73-BD73)</f>
        <v>0</v>
      </c>
      <c r="BD74" s="189"/>
      <c r="BE74" s="188">
        <f>IF(AND(BE73="",BF73=""),0,BE73-BF73)</f>
        <v>0</v>
      </c>
      <c r="BF74" s="189"/>
      <c r="BG74" s="188">
        <f>IF(AND(BG73="",BH73=""),0,BG73-BH73)</f>
        <v>0</v>
      </c>
      <c r="BH74" s="189"/>
      <c r="BI74" s="188">
        <f>IF(AND(BI73="",BJ73=""),0,BI73-BJ73)</f>
        <v>0</v>
      </c>
      <c r="BJ74" s="189"/>
      <c r="BK74" s="188">
        <f>IF(AND(BK73="",BL73=""),0,BK73-BL73)</f>
        <v>0</v>
      </c>
      <c r="BL74" s="189"/>
      <c r="BM74" s="188">
        <f>IF(AND(BM73="",BN73=""),0,BM73-BN73)</f>
        <v>0</v>
      </c>
      <c r="BN74" s="189"/>
      <c r="BO74" s="188">
        <f>IF(AND(BO73="",BP73=""),0,BO73-BP73)</f>
        <v>0</v>
      </c>
      <c r="BP74" s="189"/>
      <c r="BQ74" s="188">
        <f>IF(AND(BQ73="",BR73=""),0,BQ73-BR73)</f>
        <v>0</v>
      </c>
      <c r="BR74" s="189"/>
      <c r="BS74" s="188">
        <f>IF(AND(BS73="",BT73=""),0,BS73-BT73)</f>
        <v>0</v>
      </c>
      <c r="BT74" s="189"/>
      <c r="BU74" s="14" t="str">
        <f>IF(AND(BU73="",BV73=""),"",BU73-BV73)</f>
        <v/>
      </c>
      <c r="BV74" s="13"/>
      <c r="BW74" s="16" t="str">
        <f>IF(COUNTIF(D74:BT74,"&gt;0")=0,"",COUNTIF(D74:BT74,"&gt;0"))</f>
        <v/>
      </c>
      <c r="BX74" s="3"/>
      <c r="BY74" s="3"/>
      <c r="BZ74" s="3"/>
    </row>
    <row r="75" spans="1:78" ht="14.5" x14ac:dyDescent="0.3">
      <c r="A75" s="199"/>
      <c r="B75" s="12" t="s">
        <v>280</v>
      </c>
      <c r="C75" s="186">
        <f>IF(C74="",0,(D73/89%)-(C73))</f>
        <v>0</v>
      </c>
      <c r="D75" s="187"/>
      <c r="E75" s="186">
        <f>IF(E74="",0,(F73/89%)-(E73))</f>
        <v>0</v>
      </c>
      <c r="F75" s="187"/>
      <c r="G75" s="186">
        <f>IF(G74="",0,(H73/89%)-(G73))</f>
        <v>0</v>
      </c>
      <c r="H75" s="187"/>
      <c r="I75" s="186">
        <f>IF(I74="",0,(J73/89%)-(I73))</f>
        <v>0</v>
      </c>
      <c r="J75" s="187"/>
      <c r="K75" s="186">
        <f>IF(K74="",0,(L73/89%)-(K73))</f>
        <v>0</v>
      </c>
      <c r="L75" s="187"/>
      <c r="M75" s="186">
        <f>IF(M74="",0,(N73/89%)-(M73))</f>
        <v>0</v>
      </c>
      <c r="N75" s="187"/>
      <c r="O75" s="186">
        <f>IF(O74="",0,(P73/89%)-(O73))</f>
        <v>0</v>
      </c>
      <c r="P75" s="187"/>
      <c r="Q75" s="186">
        <f>IF(Q74="",0,(R73/89%)-(Q73))</f>
        <v>0</v>
      </c>
      <c r="R75" s="187"/>
      <c r="S75" s="186">
        <f>IF(S74="",0,(T73/89%)-(S73))</f>
        <v>0</v>
      </c>
      <c r="T75" s="187"/>
      <c r="U75" s="186">
        <f>IF(U74="",0,(V73/89%)-(U73))</f>
        <v>0</v>
      </c>
      <c r="V75" s="187"/>
      <c r="W75" s="186">
        <f>IF(W74="",0,(X73/89%)-(W73))</f>
        <v>0</v>
      </c>
      <c r="X75" s="187"/>
      <c r="Y75" s="186">
        <f>IF(Y74="",0,(Z73/89%)-(Y73))</f>
        <v>0</v>
      </c>
      <c r="Z75" s="187"/>
      <c r="AA75" s="186">
        <f>IF(AA74="",0,(AB73/89%)-(AA73))</f>
        <v>0</v>
      </c>
      <c r="AB75" s="187"/>
      <c r="AC75" s="186">
        <f>IF(AC74="",0,(AD73/89%)-(AC73))</f>
        <v>0</v>
      </c>
      <c r="AD75" s="187"/>
      <c r="AE75" s="186">
        <f>IF(AE74="",0,(AF73/89%)-(AE73))</f>
        <v>0</v>
      </c>
      <c r="AF75" s="187"/>
      <c r="AG75" s="186">
        <f>IF(AG74="",0,(AH73/89%)-(AG73))</f>
        <v>0</v>
      </c>
      <c r="AH75" s="187"/>
      <c r="AI75" s="186">
        <f>IF(AI74="",0,(AJ73/89%)-(AI73))</f>
        <v>0</v>
      </c>
      <c r="AJ75" s="187"/>
      <c r="AK75" s="186">
        <f>IF(AK74="",0,(AL73/89%)-(AK73))</f>
        <v>0</v>
      </c>
      <c r="AL75" s="187"/>
      <c r="AM75" s="186">
        <f>IF(AM74="",0,(AN73/89%)-(AM73))</f>
        <v>0</v>
      </c>
      <c r="AN75" s="187"/>
      <c r="AO75" s="186">
        <f>IF(AO74="",0,(AP73/89%)-(AO73))</f>
        <v>0</v>
      </c>
      <c r="AP75" s="187"/>
      <c r="AQ75" s="186">
        <f>IF(AQ74="",0,(AR73/89%)-(AQ73))</f>
        <v>0</v>
      </c>
      <c r="AR75" s="187"/>
      <c r="AS75" s="186">
        <f>IF(AS74="",0,(AT73/89%)-(AS73))</f>
        <v>0</v>
      </c>
      <c r="AT75" s="187"/>
      <c r="AU75" s="186">
        <f>IF(AU74="",0,(AV73/89%)-(AU73))</f>
        <v>0</v>
      </c>
      <c r="AV75" s="187"/>
      <c r="AW75" s="186">
        <f>IF(AW74="",0,(AX73/89%)-(AW73))</f>
        <v>0</v>
      </c>
      <c r="AX75" s="187"/>
      <c r="AY75" s="186">
        <f>IF(AY74="",0,(AZ73/89%)-(AY73))</f>
        <v>0</v>
      </c>
      <c r="AZ75" s="187"/>
      <c r="BA75" s="186">
        <f>IF(BA74="",0,(BB73/89%)-(BA73))</f>
        <v>0</v>
      </c>
      <c r="BB75" s="187"/>
      <c r="BC75" s="186">
        <f>IF(BC74="",0,(BD73/89%)-(BC73))</f>
        <v>0</v>
      </c>
      <c r="BD75" s="187"/>
      <c r="BE75" s="186">
        <f>IF(BE74="",0,(BF73/89%)-(BE73))</f>
        <v>0</v>
      </c>
      <c r="BF75" s="187"/>
      <c r="BG75" s="186">
        <f>IF(BG74="",0,(BH73/89%)-(BG73))</f>
        <v>0</v>
      </c>
      <c r="BH75" s="187"/>
      <c r="BI75" s="186">
        <f>IF(BI74="",0,(BJ73/89%)-(BI73))</f>
        <v>0</v>
      </c>
      <c r="BJ75" s="187"/>
      <c r="BK75" s="186">
        <f>IF(BK74="",0,(BL73/89%)-(BK73))</f>
        <v>0</v>
      </c>
      <c r="BL75" s="187"/>
      <c r="BM75" s="186">
        <f>IF(BM74="",0,(BN73/89%)-(BM73))</f>
        <v>0</v>
      </c>
      <c r="BN75" s="187"/>
      <c r="BO75" s="186">
        <f>IF(BO74="",0,(BP73/89%)-(BO73))</f>
        <v>0</v>
      </c>
      <c r="BP75" s="187"/>
      <c r="BQ75" s="186">
        <f>IF(BQ74="",0,(BR73/89%)-(BQ73))</f>
        <v>0</v>
      </c>
      <c r="BR75" s="187"/>
      <c r="BS75" s="186">
        <f>IF(BS74="",0,(BT73/89%)-(BS73))</f>
        <v>0</v>
      </c>
      <c r="BT75" s="187"/>
      <c r="BU75" s="17" t="str">
        <f>IF(BU74="","",(BV73/89%)-(BU73))</f>
        <v/>
      </c>
      <c r="BV75" s="13"/>
      <c r="BW75" s="18" t="str">
        <f>IF(AND(BU73="",BV73=""),"",(BU73-BV73)-BU74)</f>
        <v/>
      </c>
      <c r="BX75" s="3"/>
      <c r="BY75" s="3"/>
      <c r="BZ75" s="3"/>
    </row>
    <row r="76" spans="1:78" ht="14.5" x14ac:dyDescent="0.3">
      <c r="A76" s="199"/>
      <c r="B76" s="19" t="s">
        <v>281</v>
      </c>
      <c r="C76" s="194" t="str">
        <f>IF(C74=0,"",ABS(IFERROR((C74/C73),0)-1))</f>
        <v/>
      </c>
      <c r="D76" s="195"/>
      <c r="E76" s="194" t="str">
        <f>IF(E74=0,"",ABS(IFERROR((E74/E73),0)-1))</f>
        <v/>
      </c>
      <c r="F76" s="195"/>
      <c r="G76" s="194" t="str">
        <f>IF(G74=0,"",ABS(IFERROR((G74/G73),0)-1))</f>
        <v/>
      </c>
      <c r="H76" s="195"/>
      <c r="I76" s="194" t="str">
        <f>IF(I74=0,"",ABS(IFERROR((I74/I73),0)-1))</f>
        <v/>
      </c>
      <c r="J76" s="195"/>
      <c r="K76" s="194" t="str">
        <f>IF(K74=0,"",ABS(IFERROR((K74/K73),0)-1))</f>
        <v/>
      </c>
      <c r="L76" s="195"/>
      <c r="M76" s="194" t="str">
        <f>IF(M74=0,"",ABS(IFERROR((M74/M73),0)-1))</f>
        <v/>
      </c>
      <c r="N76" s="195"/>
      <c r="O76" s="194" t="str">
        <f>IF(O74=0,"",ABS(IFERROR((O74/O73),0)-1))</f>
        <v/>
      </c>
      <c r="P76" s="195"/>
      <c r="Q76" s="194" t="str">
        <f>IF(Q74=0,"",ABS(IFERROR((Q74/Q73),0)-1))</f>
        <v/>
      </c>
      <c r="R76" s="195"/>
      <c r="S76" s="194" t="str">
        <f>IF(S74=0,"",ABS(IFERROR((S74/S73),0)-1))</f>
        <v/>
      </c>
      <c r="T76" s="195"/>
      <c r="U76" s="194" t="str">
        <f>IF(U74=0,"",ABS(IFERROR((U74/U73),0)-1))</f>
        <v/>
      </c>
      <c r="V76" s="195"/>
      <c r="W76" s="194" t="str">
        <f>IF(W74=0,"",ABS(IFERROR((W74/W73),0)-1))</f>
        <v/>
      </c>
      <c r="X76" s="195"/>
      <c r="Y76" s="194" t="str">
        <f>IF(Y74=0,"",ABS(IFERROR((Y74/Y73),0)-1))</f>
        <v/>
      </c>
      <c r="Z76" s="195"/>
      <c r="AA76" s="194" t="str">
        <f>IF(AA74=0,"",ABS(IFERROR((AA74/AA73),0)-1))</f>
        <v/>
      </c>
      <c r="AB76" s="195"/>
      <c r="AC76" s="194" t="str">
        <f>IF(AC74=0,"",ABS(IFERROR((AC74/AC73),0)-1))</f>
        <v/>
      </c>
      <c r="AD76" s="195"/>
      <c r="AE76" s="194" t="str">
        <f>IF(AE74=0,"",ABS(IFERROR((AE74/AE73),0)-1))</f>
        <v/>
      </c>
      <c r="AF76" s="195"/>
      <c r="AG76" s="194" t="str">
        <f>IF(AG74=0,"",ABS(IFERROR((AG74/AG73),0)-1))</f>
        <v/>
      </c>
      <c r="AH76" s="195"/>
      <c r="AI76" s="194" t="str">
        <f>IF(AI74=0,"",ABS(IFERROR((AI74/AI73),0)-1))</f>
        <v/>
      </c>
      <c r="AJ76" s="195"/>
      <c r="AK76" s="194" t="str">
        <f>IF(AK74=0,"",ABS(IFERROR((AK74/AK73),0)-1))</f>
        <v/>
      </c>
      <c r="AL76" s="195"/>
      <c r="AM76" s="194" t="str">
        <f>IF(AM74=0,"",ABS(IFERROR((AM74/AM73),0)-1))</f>
        <v/>
      </c>
      <c r="AN76" s="195"/>
      <c r="AO76" s="194" t="str">
        <f>IF(AO74=0,"",ABS(IFERROR((AO74/AO73),0)-1))</f>
        <v/>
      </c>
      <c r="AP76" s="195"/>
      <c r="AQ76" s="194" t="str">
        <f>IF(AQ74=0,"",ABS(IFERROR((AQ74/AQ73),0)-1))</f>
        <v/>
      </c>
      <c r="AR76" s="195"/>
      <c r="AS76" s="194" t="str">
        <f>IF(AS74=0,"",ABS(IFERROR((AS74/AS73),0)-1))</f>
        <v/>
      </c>
      <c r="AT76" s="195"/>
      <c r="AU76" s="194" t="str">
        <f>IF(AU74=0,"",ABS(IFERROR((AU74/AU73),0)-1))</f>
        <v/>
      </c>
      <c r="AV76" s="195"/>
      <c r="AW76" s="194" t="str">
        <f>IF(AW74=0,"",ABS(IFERROR((AW74/AW73),0)-1))</f>
        <v/>
      </c>
      <c r="AX76" s="195"/>
      <c r="AY76" s="194" t="str">
        <f>IF(AY74=0,"",ABS(IFERROR((AY74/AY73),0)-1))</f>
        <v/>
      </c>
      <c r="AZ76" s="195"/>
      <c r="BA76" s="194" t="str">
        <f>IF(BA74=0,"",ABS(IFERROR((BA74/BA73),0)-1))</f>
        <v/>
      </c>
      <c r="BB76" s="195"/>
      <c r="BC76" s="194" t="str">
        <f>IF(BC74=0,"",ABS(IFERROR((BC74/BC73),0)-1))</f>
        <v/>
      </c>
      <c r="BD76" s="195"/>
      <c r="BE76" s="194" t="str">
        <f>IF(BE74=0,"",ABS(IFERROR((BE74/BE73),0)-1))</f>
        <v/>
      </c>
      <c r="BF76" s="195"/>
      <c r="BG76" s="194" t="str">
        <f>IF(BG74=0,"",ABS(IFERROR((BG74/BG73),0)-1))</f>
        <v/>
      </c>
      <c r="BH76" s="195"/>
      <c r="BI76" s="194" t="str">
        <f>IF(BI74=0,"",ABS(IFERROR((BI74/BI73),0)-1))</f>
        <v/>
      </c>
      <c r="BJ76" s="195"/>
      <c r="BK76" s="194" t="str">
        <f>IF(BK74=0,"",ABS(IFERROR((BK74/BK73),0)-1))</f>
        <v/>
      </c>
      <c r="BL76" s="195"/>
      <c r="BM76" s="194" t="str">
        <f>IF(BM74=0,"",ABS(IFERROR((BM74/BM73),0)-1))</f>
        <v/>
      </c>
      <c r="BN76" s="195"/>
      <c r="BO76" s="194" t="str">
        <f>IF(BO74=0,"",ABS(IFERROR((BO74/BO73),0)-1))</f>
        <v/>
      </c>
      <c r="BP76" s="195"/>
      <c r="BQ76" s="194" t="str">
        <f>IF(BQ74=0,"",ABS(IFERROR((BQ74/BQ73),0)-1))</f>
        <v/>
      </c>
      <c r="BR76" s="195"/>
      <c r="BS76" s="194" t="str">
        <f>IF(BS74=0,"",ABS(IFERROR((BS74/BS73),0)-1))</f>
        <v/>
      </c>
      <c r="BT76" s="195"/>
      <c r="BU76" s="26" t="e">
        <f>ABS(IFERROR((BU74/BU73),"")-1)</f>
        <v>#VALUE!</v>
      </c>
      <c r="BV76" s="15"/>
      <c r="BW76" s="21"/>
      <c r="BX76" s="3"/>
      <c r="BY76" s="3"/>
      <c r="BZ76" s="3"/>
    </row>
    <row r="77" spans="1:78" ht="15" thickBot="1" x14ac:dyDescent="0.35">
      <c r="A77" s="181"/>
      <c r="B77" s="22" t="s">
        <v>177</v>
      </c>
      <c r="C77" s="196" t="str">
        <f>IF(C76="","", IF(C76&lt;89%,"OVER STANDART",IF(C76=89%,"GOOD","UNDER STANDART")))</f>
        <v/>
      </c>
      <c r="D77" s="197"/>
      <c r="E77" s="196" t="str">
        <f>IF(E76="","", IF(E76&lt;89%,"OVER STANDART",IF(E76=89%,"GOOD","UNDER STANDART")))</f>
        <v/>
      </c>
      <c r="F77" s="197"/>
      <c r="G77" s="196" t="str">
        <f>IF(G76="","", IF(G76&lt;89%,"OVER STANDART",IF(G76=89%,"GOOD","UNDER STANDART")))</f>
        <v/>
      </c>
      <c r="H77" s="197"/>
      <c r="I77" s="196" t="str">
        <f>IF(I76="","", IF(I76&lt;89%,"OVER STANDART",IF(I76=89%,"GOOD","UNDER STANDART")))</f>
        <v/>
      </c>
      <c r="J77" s="197"/>
      <c r="K77" s="196" t="str">
        <f>IF(K76="","", IF(K76&lt;89%,"OVER STANDART",IF(K76=89%,"GOOD","UNDER STANDART")))</f>
        <v/>
      </c>
      <c r="L77" s="197"/>
      <c r="M77" s="196" t="str">
        <f>IF(M76="","", IF(M76&lt;89%,"OVER STANDART",IF(M76=89%,"GOOD","UNDER STANDART")))</f>
        <v/>
      </c>
      <c r="N77" s="197"/>
      <c r="O77" s="196" t="str">
        <f>IF(O76="","", IF(O76&lt;89%,"OVER STANDART",IF(O76=89%,"GOOD","UNDER STANDART")))</f>
        <v/>
      </c>
      <c r="P77" s="197"/>
      <c r="Q77" s="196" t="str">
        <f>IF(Q76="","", IF(Q76&lt;89%,"OVER STANDART",IF(Q76=89%,"GOOD","UNDER STANDART")))</f>
        <v/>
      </c>
      <c r="R77" s="197"/>
      <c r="S77" s="196" t="str">
        <f>IF(S76="","", IF(S76&lt;89%,"OVER STANDART",IF(S76=89%,"GOOD","UNDER STANDART")))</f>
        <v/>
      </c>
      <c r="T77" s="197"/>
      <c r="U77" s="196" t="str">
        <f>IF(U76="","", IF(U76&lt;89%,"OVER STANDART",IF(U76=89%,"GOOD","UNDER STANDART")))</f>
        <v/>
      </c>
      <c r="V77" s="197"/>
      <c r="W77" s="196" t="str">
        <f>IF(W76="","", IF(W76&lt;89%,"OVER STANDART",IF(W76=89%,"GOOD","UNDER STANDART")))</f>
        <v/>
      </c>
      <c r="X77" s="197"/>
      <c r="Y77" s="196" t="str">
        <f>IF(Y76="","", IF(Y76&lt;89%,"OVER STANDART",IF(Y76=89%,"GOOD","UNDER STANDART")))</f>
        <v/>
      </c>
      <c r="Z77" s="197"/>
      <c r="AA77" s="196" t="str">
        <f>IF(AA76="","", IF(AA76&lt;89%,"OVER STANDART",IF(AA76=89%,"GOOD","UNDER STANDART")))</f>
        <v/>
      </c>
      <c r="AB77" s="197"/>
      <c r="AC77" s="196" t="str">
        <f>IF(AC76="","", IF(AC76&lt;89%,"OVER STANDART",IF(AC76=89%,"GOOD","UNDER STANDART")))</f>
        <v/>
      </c>
      <c r="AD77" s="197"/>
      <c r="AE77" s="196" t="str">
        <f>IF(AE76="","", IF(AE76&lt;89%,"OVER STANDART",IF(AE76=89%,"GOOD","UNDER STANDART")))</f>
        <v/>
      </c>
      <c r="AF77" s="197"/>
      <c r="AG77" s="196" t="str">
        <f>IF(AG76="","", IF(AG76&lt;89%,"OVER STANDART",IF(AG76=89%,"GOOD","UNDER STANDART")))</f>
        <v/>
      </c>
      <c r="AH77" s="197"/>
      <c r="AI77" s="196" t="str">
        <f>IF(AI76="","", IF(AI76&lt;89%,"OVER STANDART",IF(AI76=89%,"GOOD","UNDER STANDART")))</f>
        <v/>
      </c>
      <c r="AJ77" s="197"/>
      <c r="AK77" s="196" t="str">
        <f>IF(AK76="","", IF(AK76&lt;89%,"OVER STANDART",IF(AK76=89%,"GOOD","UNDER STANDART")))</f>
        <v/>
      </c>
      <c r="AL77" s="197"/>
      <c r="AM77" s="196" t="str">
        <f>IF(AM76="","", IF(AM76&lt;89%,"OVER STANDART",IF(AM76=89%,"GOOD","UNDER STANDART")))</f>
        <v/>
      </c>
      <c r="AN77" s="197"/>
      <c r="AO77" s="196" t="str">
        <f>IF(AO76="","", IF(AO76&lt;89%,"OVER STANDART",IF(AO76=89%,"GOOD","UNDER STANDART")))</f>
        <v/>
      </c>
      <c r="AP77" s="197"/>
      <c r="AQ77" s="196" t="str">
        <f>IF(AQ76="","", IF(AQ76&lt;89%,"OVER STANDART",IF(AQ76=89%,"GOOD","UNDER STANDART")))</f>
        <v/>
      </c>
      <c r="AR77" s="197"/>
      <c r="AS77" s="196" t="str">
        <f>IF(AS76="","", IF(AS76&lt;89%,"OVER STANDART",IF(AS76=89%,"GOOD","UNDER STANDART")))</f>
        <v/>
      </c>
      <c r="AT77" s="197"/>
      <c r="AU77" s="196" t="str">
        <f>IF(AU76="","", IF(AU76&lt;89%,"OVER STANDART",IF(AU76=89%,"GOOD","UNDER STANDART")))</f>
        <v/>
      </c>
      <c r="AV77" s="197"/>
      <c r="AW77" s="196" t="str">
        <f>IF(AW76="","", IF(AW76&lt;89%,"OVER STANDART",IF(AW76=89%,"GOOD","UNDER STANDART")))</f>
        <v/>
      </c>
      <c r="AX77" s="197"/>
      <c r="AY77" s="196" t="str">
        <f>IF(AY76="","", IF(AY76&lt;89%,"OVER STANDART",IF(AY76=89%,"GOOD","UNDER STANDART")))</f>
        <v/>
      </c>
      <c r="AZ77" s="197"/>
      <c r="BA77" s="196" t="str">
        <f>IF(BA76="","", IF(BA76&lt;89%,"OVER STANDART",IF(BA76=89%,"GOOD","UNDER STANDART")))</f>
        <v/>
      </c>
      <c r="BB77" s="197"/>
      <c r="BC77" s="196" t="str">
        <f>IF(BC76="","", IF(BC76&lt;89%,"OVER STANDART",IF(BC76=89%,"GOOD","UNDER STANDART")))</f>
        <v/>
      </c>
      <c r="BD77" s="197"/>
      <c r="BE77" s="196" t="str">
        <f>IF(BE76="","", IF(BE76&lt;89%,"OVER STANDART",IF(BE76=89%,"GOOD","UNDER STANDART")))</f>
        <v/>
      </c>
      <c r="BF77" s="197"/>
      <c r="BG77" s="196" t="str">
        <f>IF(BG76="","", IF(BG76&lt;89%,"OVER STANDART",IF(BG76=89%,"GOOD","UNDER STANDART")))</f>
        <v/>
      </c>
      <c r="BH77" s="197"/>
      <c r="BI77" s="196" t="str">
        <f>IF(BI76="","", IF(BI76&lt;89%,"OVER STANDART",IF(BI76=89%,"GOOD","UNDER STANDART")))</f>
        <v/>
      </c>
      <c r="BJ77" s="197"/>
      <c r="BK77" s="196" t="str">
        <f>IF(BK76="","", IF(BK76&lt;89%,"OVER STANDART",IF(BK76=89%,"GOOD","UNDER STANDART")))</f>
        <v/>
      </c>
      <c r="BL77" s="197"/>
      <c r="BM77" s="196" t="str">
        <f>IF(BM76="","", IF(BM76&lt;89%,"OVER STANDART",IF(BM76=89%,"GOOD","UNDER STANDART")))</f>
        <v/>
      </c>
      <c r="BN77" s="197"/>
      <c r="BO77" s="196" t="str">
        <f>IF(BO76="","", IF(BO76&lt;89%,"OVER STANDART",IF(BO76=89%,"GOOD","UNDER STANDART")))</f>
        <v/>
      </c>
      <c r="BP77" s="197"/>
      <c r="BQ77" s="196" t="str">
        <f>IF(BQ76="","", IF(BQ76&lt;89%,"OVER STANDART",IF(BQ76=89%,"GOOD","UNDER STANDART")))</f>
        <v/>
      </c>
      <c r="BR77" s="197"/>
      <c r="BS77" s="196" t="str">
        <f>IF(BS76="","", IF(BS76&lt;89%,"OVER STANDART",IF(BS76=89%,"GOOD","UNDER STANDART")))</f>
        <v/>
      </c>
      <c r="BT77" s="197"/>
      <c r="BU77" s="24" t="e">
        <f>IF(BU76="","", IF(BU76&lt;89%,"OVER STANDART",IF(BU76=89%,"GOOD","UNDER STANDART")))</f>
        <v>#VALUE!</v>
      </c>
      <c r="BV77" s="23"/>
      <c r="BW77" s="25"/>
      <c r="BX77" s="3"/>
      <c r="BY77" s="3"/>
      <c r="BZ77" s="3"/>
    </row>
    <row r="78" spans="1:78" ht="14.5" x14ac:dyDescent="0.3">
      <c r="A78" s="198">
        <f>A73+1</f>
        <v>16</v>
      </c>
      <c r="B78" s="7" t="s">
        <v>278</v>
      </c>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9" t="str">
        <f>IF(SUMIF($C$2:$BT$2,"FRESH",C78:BT78)=0,"",SUMIF($C$2:$BT$2,"FRESH",C78:BT78))</f>
        <v/>
      </c>
      <c r="BV78" s="10" t="str">
        <f>IF(SUMIF($C$2:$BT$2,"GILING",C78:BT78)=0,"",SUMIF($C$2:$BT$2,"GILING",C78:BT78))</f>
        <v/>
      </c>
      <c r="BW78" s="11"/>
      <c r="BX78" s="3"/>
      <c r="BY78" s="3"/>
      <c r="BZ78" s="3"/>
    </row>
    <row r="79" spans="1:78" x14ac:dyDescent="0.3">
      <c r="A79" s="199"/>
      <c r="B79" s="12" t="s">
        <v>279</v>
      </c>
      <c r="C79" s="188">
        <f>IF(AND(C78="",D78=""),0,C78-D78)</f>
        <v>0</v>
      </c>
      <c r="D79" s="189"/>
      <c r="E79" s="188">
        <f>IF(AND(E78="",F78=""),0,E78-F78)</f>
        <v>0</v>
      </c>
      <c r="F79" s="189"/>
      <c r="G79" s="188">
        <f>IF(AND(G78="",H78=""),0,G78-H78)</f>
        <v>0</v>
      </c>
      <c r="H79" s="189"/>
      <c r="I79" s="188">
        <f>IF(AND(I78="",J78=""),0,I78-J78)</f>
        <v>0</v>
      </c>
      <c r="J79" s="189"/>
      <c r="K79" s="188">
        <f>IF(AND(K78="",L78=""),0,K78-L78)</f>
        <v>0</v>
      </c>
      <c r="L79" s="189"/>
      <c r="M79" s="188">
        <f>IF(AND(M78="",N78=""),0,M78-N78)</f>
        <v>0</v>
      </c>
      <c r="N79" s="189"/>
      <c r="O79" s="188">
        <f>IF(AND(O78="",P78=""),0,O78-P78)</f>
        <v>0</v>
      </c>
      <c r="P79" s="189"/>
      <c r="Q79" s="188">
        <f>IF(AND(Q78="",R78=""),0,Q78-R78)</f>
        <v>0</v>
      </c>
      <c r="R79" s="189"/>
      <c r="S79" s="188">
        <f>IF(AND(S78="",T78=""),0,S78-T78)</f>
        <v>0</v>
      </c>
      <c r="T79" s="189"/>
      <c r="U79" s="188">
        <f>IF(AND(U78="",V78=""),0,U78-V78)</f>
        <v>0</v>
      </c>
      <c r="V79" s="189"/>
      <c r="W79" s="188">
        <f>IF(AND(W78="",X78=""),0,W78-X78)</f>
        <v>0</v>
      </c>
      <c r="X79" s="189"/>
      <c r="Y79" s="188">
        <f>IF(AND(Y78="",Z78=""),0,Y78-Z78)</f>
        <v>0</v>
      </c>
      <c r="Z79" s="189"/>
      <c r="AA79" s="188">
        <f>IF(AND(AA78="",AB78=""),0,AA78-AB78)</f>
        <v>0</v>
      </c>
      <c r="AB79" s="189"/>
      <c r="AC79" s="188">
        <f>IF(AND(AC78="",AD78=""),0,AC78-AD78)</f>
        <v>0</v>
      </c>
      <c r="AD79" s="189"/>
      <c r="AE79" s="188">
        <f>IF(AND(AE78="",AF78=""),0,AE78-AF78)</f>
        <v>0</v>
      </c>
      <c r="AF79" s="189"/>
      <c r="AG79" s="188">
        <f>IF(AND(AG78="",AH78=""),0,AG78-AH78)</f>
        <v>0</v>
      </c>
      <c r="AH79" s="189"/>
      <c r="AI79" s="188">
        <f>IF(AND(AI78="",AJ78=""),0,AI78-AJ78)</f>
        <v>0</v>
      </c>
      <c r="AJ79" s="189"/>
      <c r="AK79" s="188">
        <f>IF(AND(AK78="",AL78=""),0,AK78-AL78)</f>
        <v>0</v>
      </c>
      <c r="AL79" s="189"/>
      <c r="AM79" s="188">
        <f>IF(AND(AM78="",AN78=""),0,AM78-AN78)</f>
        <v>0</v>
      </c>
      <c r="AN79" s="189"/>
      <c r="AO79" s="188">
        <f>IF(AND(AO78="",AP78=""),0,AO78-AP78)</f>
        <v>0</v>
      </c>
      <c r="AP79" s="189"/>
      <c r="AQ79" s="188">
        <f>IF(AND(AQ78="",AR78=""),0,AQ78-AR78)</f>
        <v>0</v>
      </c>
      <c r="AR79" s="189"/>
      <c r="AS79" s="188">
        <f>IF(AND(AS78="",AT78=""),0,AS78-AT78)</f>
        <v>0</v>
      </c>
      <c r="AT79" s="189"/>
      <c r="AU79" s="188">
        <f>IF(AND(AU78="",AV78=""),0,AU78-AV78)</f>
        <v>0</v>
      </c>
      <c r="AV79" s="189"/>
      <c r="AW79" s="188">
        <f>IF(AND(AW78="",AX78=""),0,AW78-AX78)</f>
        <v>0</v>
      </c>
      <c r="AX79" s="189"/>
      <c r="AY79" s="188">
        <f>IF(AND(AY78="",AZ78=""),0,AY78-AZ78)</f>
        <v>0</v>
      </c>
      <c r="AZ79" s="189"/>
      <c r="BA79" s="188">
        <f>IF(AND(BA78="",BB78=""),0,BA78-BB78)</f>
        <v>0</v>
      </c>
      <c r="BB79" s="189"/>
      <c r="BC79" s="188">
        <f>IF(AND(BC78="",BD78=""),0,BC78-BD78)</f>
        <v>0</v>
      </c>
      <c r="BD79" s="189"/>
      <c r="BE79" s="188">
        <f>IF(AND(BE78="",BF78=""),0,BE78-BF78)</f>
        <v>0</v>
      </c>
      <c r="BF79" s="189"/>
      <c r="BG79" s="188">
        <f>IF(AND(BG78="",BH78=""),0,BG78-BH78)</f>
        <v>0</v>
      </c>
      <c r="BH79" s="189"/>
      <c r="BI79" s="188">
        <f>IF(AND(BI78="",BJ78=""),0,BI78-BJ78)</f>
        <v>0</v>
      </c>
      <c r="BJ79" s="189"/>
      <c r="BK79" s="188">
        <f>IF(AND(BK78="",BL78=""),0,BK78-BL78)</f>
        <v>0</v>
      </c>
      <c r="BL79" s="189"/>
      <c r="BM79" s="188">
        <f>IF(AND(BM78="",BN78=""),0,BM78-BN78)</f>
        <v>0</v>
      </c>
      <c r="BN79" s="189"/>
      <c r="BO79" s="188">
        <f>IF(AND(BO78="",BP78=""),0,BO78-BP78)</f>
        <v>0</v>
      </c>
      <c r="BP79" s="189"/>
      <c r="BQ79" s="188">
        <f>IF(AND(BQ78="",BR78=""),0,BQ78-BR78)</f>
        <v>0</v>
      </c>
      <c r="BR79" s="189"/>
      <c r="BS79" s="188">
        <f>IF(AND(BS78="",BT78=""),0,BS78-BT78)</f>
        <v>0</v>
      </c>
      <c r="BT79" s="189"/>
      <c r="BU79" s="14" t="str">
        <f>IF(AND(BU78="",BV78=""),"",BU78-BV78)</f>
        <v/>
      </c>
      <c r="BV79" s="13"/>
      <c r="BW79" s="16" t="str">
        <f>IF(COUNTIF(D79:BT79,"&gt;0")=0,"",COUNTIF(D79:BT79,"&gt;0"))</f>
        <v/>
      </c>
      <c r="BX79" s="3"/>
      <c r="BY79" s="3"/>
      <c r="BZ79" s="3"/>
    </row>
    <row r="80" spans="1:78" ht="14.5" x14ac:dyDescent="0.3">
      <c r="A80" s="199"/>
      <c r="B80" s="12" t="s">
        <v>280</v>
      </c>
      <c r="C80" s="186">
        <f>IF(C79="",0,(D78/89%)-(C78))</f>
        <v>0</v>
      </c>
      <c r="D80" s="187"/>
      <c r="E80" s="186">
        <f>IF(E79="",0,(F78/89%)-(E78))</f>
        <v>0</v>
      </c>
      <c r="F80" s="187"/>
      <c r="G80" s="186">
        <f>IF(G79="",0,(H78/89%)-(G78))</f>
        <v>0</v>
      </c>
      <c r="H80" s="187"/>
      <c r="I80" s="186">
        <f>IF(I79="",0,(J78/89%)-(I78))</f>
        <v>0</v>
      </c>
      <c r="J80" s="187"/>
      <c r="K80" s="186">
        <f>IF(K79="",0,(L78/89%)-(K78))</f>
        <v>0</v>
      </c>
      <c r="L80" s="187"/>
      <c r="M80" s="186">
        <f>IF(M79="",0,(N78/89%)-(M78))</f>
        <v>0</v>
      </c>
      <c r="N80" s="187"/>
      <c r="O80" s="186">
        <f>IF(O79="",0,(P78/89%)-(O78))</f>
        <v>0</v>
      </c>
      <c r="P80" s="187"/>
      <c r="Q80" s="186">
        <f>IF(Q79="",0,(R78/89%)-(Q78))</f>
        <v>0</v>
      </c>
      <c r="R80" s="187"/>
      <c r="S80" s="186">
        <f>IF(S79="",0,(T78/89%)-(S78))</f>
        <v>0</v>
      </c>
      <c r="T80" s="187"/>
      <c r="U80" s="186">
        <f>IF(U79="",0,(V78/89%)-(U78))</f>
        <v>0</v>
      </c>
      <c r="V80" s="187"/>
      <c r="W80" s="186">
        <f>IF(W79="",0,(X78/89%)-(W78))</f>
        <v>0</v>
      </c>
      <c r="X80" s="187"/>
      <c r="Y80" s="186">
        <f>IF(Y79="",0,(Z78/89%)-(Y78))</f>
        <v>0</v>
      </c>
      <c r="Z80" s="187"/>
      <c r="AA80" s="186">
        <f>IF(AA79="",0,(AB78/89%)-(AA78))</f>
        <v>0</v>
      </c>
      <c r="AB80" s="187"/>
      <c r="AC80" s="186">
        <f>IF(AC79="",0,(AD78/89%)-(AC78))</f>
        <v>0</v>
      </c>
      <c r="AD80" s="187"/>
      <c r="AE80" s="186">
        <f>IF(AE79="",0,(AF78/89%)-(AE78))</f>
        <v>0</v>
      </c>
      <c r="AF80" s="187"/>
      <c r="AG80" s="186">
        <f>IF(AG79="",0,(AH78/89%)-(AG78))</f>
        <v>0</v>
      </c>
      <c r="AH80" s="187"/>
      <c r="AI80" s="186">
        <f>IF(AI79="",0,(AJ78/89%)-(AI78))</f>
        <v>0</v>
      </c>
      <c r="AJ80" s="187"/>
      <c r="AK80" s="186">
        <f>IF(AK79="",0,(AL78/89%)-(AK78))</f>
        <v>0</v>
      </c>
      <c r="AL80" s="187"/>
      <c r="AM80" s="186">
        <f>IF(AM79="",0,(AN78/89%)-(AM78))</f>
        <v>0</v>
      </c>
      <c r="AN80" s="187"/>
      <c r="AO80" s="186">
        <f>IF(AO79="",0,(AP78/89%)-(AO78))</f>
        <v>0</v>
      </c>
      <c r="AP80" s="187"/>
      <c r="AQ80" s="186">
        <f>IF(AQ79="",0,(AR78/89%)-(AQ78))</f>
        <v>0</v>
      </c>
      <c r="AR80" s="187"/>
      <c r="AS80" s="186">
        <f>IF(AS79="",0,(AT78/89%)-(AS78))</f>
        <v>0</v>
      </c>
      <c r="AT80" s="187"/>
      <c r="AU80" s="186">
        <f>IF(AU79="",0,(AV78/89%)-(AU78))</f>
        <v>0</v>
      </c>
      <c r="AV80" s="187"/>
      <c r="AW80" s="186">
        <f>IF(AW79="",0,(AX78/89%)-(AW78))</f>
        <v>0</v>
      </c>
      <c r="AX80" s="187"/>
      <c r="AY80" s="186">
        <f>IF(AY79="",0,(AZ78/89%)-(AY78))</f>
        <v>0</v>
      </c>
      <c r="AZ80" s="187"/>
      <c r="BA80" s="186">
        <f>IF(BA79="",0,(BB78/89%)-(BA78))</f>
        <v>0</v>
      </c>
      <c r="BB80" s="187"/>
      <c r="BC80" s="186">
        <f>IF(BC79="",0,(BD78/89%)-(BC78))</f>
        <v>0</v>
      </c>
      <c r="BD80" s="187"/>
      <c r="BE80" s="186">
        <f>IF(BE79="",0,(BF78/89%)-(BE78))</f>
        <v>0</v>
      </c>
      <c r="BF80" s="187"/>
      <c r="BG80" s="186">
        <f>IF(BG79="",0,(BH78/89%)-(BG78))</f>
        <v>0</v>
      </c>
      <c r="BH80" s="187"/>
      <c r="BI80" s="186">
        <f>IF(BI79="",0,(BJ78/89%)-(BI78))</f>
        <v>0</v>
      </c>
      <c r="BJ80" s="187"/>
      <c r="BK80" s="186">
        <f>IF(BK79="",0,(BL78/89%)-(BK78))</f>
        <v>0</v>
      </c>
      <c r="BL80" s="187"/>
      <c r="BM80" s="186">
        <f>IF(BM79="",0,(BN78/89%)-(BM78))</f>
        <v>0</v>
      </c>
      <c r="BN80" s="187"/>
      <c r="BO80" s="186">
        <f>IF(BO79="",0,(BP78/89%)-(BO78))</f>
        <v>0</v>
      </c>
      <c r="BP80" s="187"/>
      <c r="BQ80" s="186">
        <f>IF(BQ79="",0,(BR78/89%)-(BQ78))</f>
        <v>0</v>
      </c>
      <c r="BR80" s="187"/>
      <c r="BS80" s="186">
        <f>IF(BS79="",0,(BT78/89%)-(BS78))</f>
        <v>0</v>
      </c>
      <c r="BT80" s="187"/>
      <c r="BU80" s="17" t="str">
        <f>IF(BU79="","",(BV78/89%)-(BU78))</f>
        <v/>
      </c>
      <c r="BV80" s="13"/>
      <c r="BW80" s="18" t="str">
        <f>IF(AND(BU78="",BV78=""),"",(BU78-BV78)-BU79)</f>
        <v/>
      </c>
      <c r="BX80" s="3"/>
      <c r="BY80" s="3"/>
      <c r="BZ80" s="3"/>
    </row>
    <row r="81" spans="1:78" ht="14.5" x14ac:dyDescent="0.3">
      <c r="A81" s="199"/>
      <c r="B81" s="19" t="s">
        <v>281</v>
      </c>
      <c r="C81" s="194" t="str">
        <f>IF(C79=0,"",ABS(IFERROR((C79/C78),0)-1))</f>
        <v/>
      </c>
      <c r="D81" s="195"/>
      <c r="E81" s="194" t="str">
        <f>IF(E79=0,"",ABS(IFERROR((E79/E78),0)-1))</f>
        <v/>
      </c>
      <c r="F81" s="195"/>
      <c r="G81" s="194" t="str">
        <f>IF(G79=0,"",ABS(IFERROR((G79/G78),0)-1))</f>
        <v/>
      </c>
      <c r="H81" s="195"/>
      <c r="I81" s="194" t="str">
        <f>IF(I79=0,"",ABS(IFERROR((I79/I78),0)-1))</f>
        <v/>
      </c>
      <c r="J81" s="195"/>
      <c r="K81" s="194" t="str">
        <f>IF(K79=0,"",ABS(IFERROR((K79/K78),0)-1))</f>
        <v/>
      </c>
      <c r="L81" s="195"/>
      <c r="M81" s="194" t="str">
        <f>IF(M79=0,"",ABS(IFERROR((M79/M78),0)-1))</f>
        <v/>
      </c>
      <c r="N81" s="195"/>
      <c r="O81" s="194" t="str">
        <f>IF(O79=0,"",ABS(IFERROR((O79/O78),0)-1))</f>
        <v/>
      </c>
      <c r="P81" s="195"/>
      <c r="Q81" s="194" t="str">
        <f>IF(Q79=0,"",ABS(IFERROR((Q79/Q78),0)-1))</f>
        <v/>
      </c>
      <c r="R81" s="195"/>
      <c r="S81" s="194" t="str">
        <f>IF(S79=0,"",ABS(IFERROR((S79/S78),0)-1))</f>
        <v/>
      </c>
      <c r="T81" s="195"/>
      <c r="U81" s="194" t="str">
        <f>IF(U79=0,"",ABS(IFERROR((U79/U78),0)-1))</f>
        <v/>
      </c>
      <c r="V81" s="195"/>
      <c r="W81" s="194" t="str">
        <f>IF(W79=0,"",ABS(IFERROR((W79/W78),0)-1))</f>
        <v/>
      </c>
      <c r="X81" s="195"/>
      <c r="Y81" s="194" t="str">
        <f>IF(Y79=0,"",ABS(IFERROR((Y79/Y78),0)-1))</f>
        <v/>
      </c>
      <c r="Z81" s="195"/>
      <c r="AA81" s="194" t="str">
        <f>IF(AA79=0,"",ABS(IFERROR((AA79/AA78),0)-1))</f>
        <v/>
      </c>
      <c r="AB81" s="195"/>
      <c r="AC81" s="194" t="str">
        <f>IF(AC79=0,"",ABS(IFERROR((AC79/AC78),0)-1))</f>
        <v/>
      </c>
      <c r="AD81" s="195"/>
      <c r="AE81" s="194" t="str">
        <f>IF(AE79=0,"",ABS(IFERROR((AE79/AE78),0)-1))</f>
        <v/>
      </c>
      <c r="AF81" s="195"/>
      <c r="AG81" s="194" t="str">
        <f>IF(AG79=0,"",ABS(IFERROR((AG79/AG78),0)-1))</f>
        <v/>
      </c>
      <c r="AH81" s="195"/>
      <c r="AI81" s="194" t="str">
        <f>IF(AI79=0,"",ABS(IFERROR((AI79/AI78),0)-1))</f>
        <v/>
      </c>
      <c r="AJ81" s="195"/>
      <c r="AK81" s="194" t="str">
        <f>IF(AK79=0,"",ABS(IFERROR((AK79/AK78),0)-1))</f>
        <v/>
      </c>
      <c r="AL81" s="195"/>
      <c r="AM81" s="194" t="str">
        <f>IF(AM79=0,"",ABS(IFERROR((AM79/AM78),0)-1))</f>
        <v/>
      </c>
      <c r="AN81" s="195"/>
      <c r="AO81" s="194" t="str">
        <f>IF(AO79=0,"",ABS(IFERROR((AO79/AO78),0)-1))</f>
        <v/>
      </c>
      <c r="AP81" s="195"/>
      <c r="AQ81" s="194" t="str">
        <f>IF(AQ79=0,"",ABS(IFERROR((AQ79/AQ78),0)-1))</f>
        <v/>
      </c>
      <c r="AR81" s="195"/>
      <c r="AS81" s="194" t="str">
        <f>IF(AS79=0,"",ABS(IFERROR((AS79/AS78),0)-1))</f>
        <v/>
      </c>
      <c r="AT81" s="195"/>
      <c r="AU81" s="194" t="str">
        <f>IF(AU79=0,"",ABS(IFERROR((AU79/AU78),0)-1))</f>
        <v/>
      </c>
      <c r="AV81" s="195"/>
      <c r="AW81" s="194" t="str">
        <f>IF(AW79=0,"",ABS(IFERROR((AW79/AW78),0)-1))</f>
        <v/>
      </c>
      <c r="AX81" s="195"/>
      <c r="AY81" s="194" t="str">
        <f>IF(AY79=0,"",ABS(IFERROR((AY79/AY78),0)-1))</f>
        <v/>
      </c>
      <c r="AZ81" s="195"/>
      <c r="BA81" s="194" t="str">
        <f>IF(BA79=0,"",ABS(IFERROR((BA79/BA78),0)-1))</f>
        <v/>
      </c>
      <c r="BB81" s="195"/>
      <c r="BC81" s="194" t="str">
        <f>IF(BC79=0,"",ABS(IFERROR((BC79/BC78),0)-1))</f>
        <v/>
      </c>
      <c r="BD81" s="195"/>
      <c r="BE81" s="194" t="str">
        <f>IF(BE79=0,"",ABS(IFERROR((BE79/BE78),0)-1))</f>
        <v/>
      </c>
      <c r="BF81" s="195"/>
      <c r="BG81" s="194" t="str">
        <f>IF(BG79=0,"",ABS(IFERROR((BG79/BG78),0)-1))</f>
        <v/>
      </c>
      <c r="BH81" s="195"/>
      <c r="BI81" s="194" t="str">
        <f>IF(BI79=0,"",ABS(IFERROR((BI79/BI78),0)-1))</f>
        <v/>
      </c>
      <c r="BJ81" s="195"/>
      <c r="BK81" s="194" t="str">
        <f>IF(BK79=0,"",ABS(IFERROR((BK79/BK78),0)-1))</f>
        <v/>
      </c>
      <c r="BL81" s="195"/>
      <c r="BM81" s="194" t="str">
        <f>IF(BM79=0,"",ABS(IFERROR((BM79/BM78),0)-1))</f>
        <v/>
      </c>
      <c r="BN81" s="195"/>
      <c r="BO81" s="194" t="str">
        <f>IF(BO79=0,"",ABS(IFERROR((BO79/BO78),0)-1))</f>
        <v/>
      </c>
      <c r="BP81" s="195"/>
      <c r="BQ81" s="194" t="str">
        <f>IF(BQ79=0,"",ABS(IFERROR((BQ79/BQ78),0)-1))</f>
        <v/>
      </c>
      <c r="BR81" s="195"/>
      <c r="BS81" s="194" t="str">
        <f>IF(BS79=0,"",ABS(IFERROR((BS79/BS78),0)-1))</f>
        <v/>
      </c>
      <c r="BT81" s="195"/>
      <c r="BU81" s="26" t="e">
        <f>ABS(IFERROR((BU79/BU78),"")-1)</f>
        <v>#VALUE!</v>
      </c>
      <c r="BV81" s="15"/>
      <c r="BW81" s="21"/>
      <c r="BX81" s="3"/>
      <c r="BY81" s="3"/>
      <c r="BZ81" s="3"/>
    </row>
    <row r="82" spans="1:78" ht="15" thickBot="1" x14ac:dyDescent="0.35">
      <c r="A82" s="181"/>
      <c r="B82" s="22" t="s">
        <v>177</v>
      </c>
      <c r="C82" s="196" t="str">
        <f>IF(C81="","", IF(C81&lt;89%,"OVER STANDART",IF(C81=89%,"GOOD","UNDER STANDART")))</f>
        <v/>
      </c>
      <c r="D82" s="197"/>
      <c r="E82" s="196" t="str">
        <f>IF(E81="","", IF(E81&lt;89%,"OVER STANDART",IF(E81=89%,"GOOD","UNDER STANDART")))</f>
        <v/>
      </c>
      <c r="F82" s="197"/>
      <c r="G82" s="196" t="str">
        <f>IF(G81="","", IF(G81&lt;89%,"OVER STANDART",IF(G81=89%,"GOOD","UNDER STANDART")))</f>
        <v/>
      </c>
      <c r="H82" s="197"/>
      <c r="I82" s="196" t="str">
        <f>IF(I81="","", IF(I81&lt;89%,"OVER STANDART",IF(I81=89%,"GOOD","UNDER STANDART")))</f>
        <v/>
      </c>
      <c r="J82" s="197"/>
      <c r="K82" s="196" t="str">
        <f>IF(K81="","", IF(K81&lt;89%,"OVER STANDART",IF(K81=89%,"GOOD","UNDER STANDART")))</f>
        <v/>
      </c>
      <c r="L82" s="197"/>
      <c r="M82" s="196" t="str">
        <f>IF(M81="","", IF(M81&lt;89%,"OVER STANDART",IF(M81=89%,"GOOD","UNDER STANDART")))</f>
        <v/>
      </c>
      <c r="N82" s="197"/>
      <c r="O82" s="196" t="str">
        <f>IF(O81="","", IF(O81&lt;89%,"OVER STANDART",IF(O81=89%,"GOOD","UNDER STANDART")))</f>
        <v/>
      </c>
      <c r="P82" s="197"/>
      <c r="Q82" s="196" t="str">
        <f>IF(Q81="","", IF(Q81&lt;89%,"OVER STANDART",IF(Q81=89%,"GOOD","UNDER STANDART")))</f>
        <v/>
      </c>
      <c r="R82" s="197"/>
      <c r="S82" s="196" t="str">
        <f>IF(S81="","", IF(S81&lt;89%,"OVER STANDART",IF(S81=89%,"GOOD","UNDER STANDART")))</f>
        <v/>
      </c>
      <c r="T82" s="197"/>
      <c r="U82" s="196" t="str">
        <f>IF(U81="","", IF(U81&lt;89%,"OVER STANDART",IF(U81=89%,"GOOD","UNDER STANDART")))</f>
        <v/>
      </c>
      <c r="V82" s="197"/>
      <c r="W82" s="196" t="str">
        <f>IF(W81="","", IF(W81&lt;89%,"OVER STANDART",IF(W81=89%,"GOOD","UNDER STANDART")))</f>
        <v/>
      </c>
      <c r="X82" s="197"/>
      <c r="Y82" s="196" t="str">
        <f>IF(Y81="","", IF(Y81&lt;89%,"OVER STANDART",IF(Y81=89%,"GOOD","UNDER STANDART")))</f>
        <v/>
      </c>
      <c r="Z82" s="197"/>
      <c r="AA82" s="196" t="str">
        <f>IF(AA81="","", IF(AA81&lt;89%,"OVER STANDART",IF(AA81=89%,"GOOD","UNDER STANDART")))</f>
        <v/>
      </c>
      <c r="AB82" s="197"/>
      <c r="AC82" s="196" t="str">
        <f>IF(AC81="","", IF(AC81&lt;89%,"OVER STANDART",IF(AC81=89%,"GOOD","UNDER STANDART")))</f>
        <v/>
      </c>
      <c r="AD82" s="197"/>
      <c r="AE82" s="196" t="str">
        <f>IF(AE81="","", IF(AE81&lt;89%,"OVER STANDART",IF(AE81=89%,"GOOD","UNDER STANDART")))</f>
        <v/>
      </c>
      <c r="AF82" s="197"/>
      <c r="AG82" s="196" t="str">
        <f>IF(AG81="","", IF(AG81&lt;89%,"OVER STANDART",IF(AG81=89%,"GOOD","UNDER STANDART")))</f>
        <v/>
      </c>
      <c r="AH82" s="197"/>
      <c r="AI82" s="196" t="str">
        <f>IF(AI81="","", IF(AI81&lt;89%,"OVER STANDART",IF(AI81=89%,"GOOD","UNDER STANDART")))</f>
        <v/>
      </c>
      <c r="AJ82" s="197"/>
      <c r="AK82" s="196" t="str">
        <f>IF(AK81="","", IF(AK81&lt;89%,"OVER STANDART",IF(AK81=89%,"GOOD","UNDER STANDART")))</f>
        <v/>
      </c>
      <c r="AL82" s="197"/>
      <c r="AM82" s="196" t="str">
        <f>IF(AM81="","", IF(AM81&lt;89%,"OVER STANDART",IF(AM81=89%,"GOOD","UNDER STANDART")))</f>
        <v/>
      </c>
      <c r="AN82" s="197"/>
      <c r="AO82" s="196" t="str">
        <f>IF(AO81="","", IF(AO81&lt;89%,"OVER STANDART",IF(AO81=89%,"GOOD","UNDER STANDART")))</f>
        <v/>
      </c>
      <c r="AP82" s="197"/>
      <c r="AQ82" s="196" t="str">
        <f>IF(AQ81="","", IF(AQ81&lt;89%,"OVER STANDART",IF(AQ81=89%,"GOOD","UNDER STANDART")))</f>
        <v/>
      </c>
      <c r="AR82" s="197"/>
      <c r="AS82" s="196" t="str">
        <f>IF(AS81="","", IF(AS81&lt;89%,"OVER STANDART",IF(AS81=89%,"GOOD","UNDER STANDART")))</f>
        <v/>
      </c>
      <c r="AT82" s="197"/>
      <c r="AU82" s="196" t="str">
        <f>IF(AU81="","", IF(AU81&lt;89%,"OVER STANDART",IF(AU81=89%,"GOOD","UNDER STANDART")))</f>
        <v/>
      </c>
      <c r="AV82" s="197"/>
      <c r="AW82" s="196" t="str">
        <f>IF(AW81="","", IF(AW81&lt;89%,"OVER STANDART",IF(AW81=89%,"GOOD","UNDER STANDART")))</f>
        <v/>
      </c>
      <c r="AX82" s="197"/>
      <c r="AY82" s="196" t="str">
        <f>IF(AY81="","", IF(AY81&lt;89%,"OVER STANDART",IF(AY81=89%,"GOOD","UNDER STANDART")))</f>
        <v/>
      </c>
      <c r="AZ82" s="197"/>
      <c r="BA82" s="196" t="str">
        <f>IF(BA81="","", IF(BA81&lt;89%,"OVER STANDART",IF(BA81=89%,"GOOD","UNDER STANDART")))</f>
        <v/>
      </c>
      <c r="BB82" s="197"/>
      <c r="BC82" s="196" t="str">
        <f>IF(BC81="","", IF(BC81&lt;89%,"OVER STANDART",IF(BC81=89%,"GOOD","UNDER STANDART")))</f>
        <v/>
      </c>
      <c r="BD82" s="197"/>
      <c r="BE82" s="196" t="str">
        <f>IF(BE81="","", IF(BE81&lt;89%,"OVER STANDART",IF(BE81=89%,"GOOD","UNDER STANDART")))</f>
        <v/>
      </c>
      <c r="BF82" s="197"/>
      <c r="BG82" s="196" t="str">
        <f>IF(BG81="","", IF(BG81&lt;89%,"OVER STANDART",IF(BG81=89%,"GOOD","UNDER STANDART")))</f>
        <v/>
      </c>
      <c r="BH82" s="197"/>
      <c r="BI82" s="196" t="str">
        <f>IF(BI81="","", IF(BI81&lt;89%,"OVER STANDART",IF(BI81=89%,"GOOD","UNDER STANDART")))</f>
        <v/>
      </c>
      <c r="BJ82" s="197"/>
      <c r="BK82" s="196" t="str">
        <f>IF(BK81="","", IF(BK81&lt;89%,"OVER STANDART",IF(BK81=89%,"GOOD","UNDER STANDART")))</f>
        <v/>
      </c>
      <c r="BL82" s="197"/>
      <c r="BM82" s="196" t="str">
        <f>IF(BM81="","", IF(BM81&lt;89%,"OVER STANDART",IF(BM81=89%,"GOOD","UNDER STANDART")))</f>
        <v/>
      </c>
      <c r="BN82" s="197"/>
      <c r="BO82" s="196" t="str">
        <f>IF(BO81="","", IF(BO81&lt;89%,"OVER STANDART",IF(BO81=89%,"GOOD","UNDER STANDART")))</f>
        <v/>
      </c>
      <c r="BP82" s="197"/>
      <c r="BQ82" s="196" t="str">
        <f>IF(BQ81="","", IF(BQ81&lt;89%,"OVER STANDART",IF(BQ81=89%,"GOOD","UNDER STANDART")))</f>
        <v/>
      </c>
      <c r="BR82" s="197"/>
      <c r="BS82" s="196" t="str">
        <f>IF(BS81="","", IF(BS81&lt;89%,"OVER STANDART",IF(BS81=89%,"GOOD","UNDER STANDART")))</f>
        <v/>
      </c>
      <c r="BT82" s="197"/>
      <c r="BU82" s="24" t="e">
        <f>IF(BU81="","", IF(BU81&lt;89%,"OVER STANDART",IF(BU81=89%,"GOOD","UNDER STANDART")))</f>
        <v>#VALUE!</v>
      </c>
      <c r="BV82" s="23"/>
      <c r="BW82" s="25"/>
      <c r="BX82" s="3"/>
      <c r="BY82" s="3"/>
      <c r="BZ82" s="3"/>
    </row>
    <row r="83" spans="1:78" ht="14.5" x14ac:dyDescent="0.3">
      <c r="A83" s="198">
        <f>A78+1</f>
        <v>17</v>
      </c>
      <c r="B83" s="7" t="s">
        <v>278</v>
      </c>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9" t="str">
        <f>IF(SUMIF($C$2:$BT$2,"FRESH",C83:BT83)=0,"",SUMIF($C$2:$BT$2,"FRESH",C83:BT83))</f>
        <v/>
      </c>
      <c r="BV83" s="10" t="str">
        <f>IF(SUMIF($C$2:$BT$2,"GILING",C83:BT83)=0,"",SUMIF($C$2:$BT$2,"GILING",C83:BT83))</f>
        <v/>
      </c>
      <c r="BW83" s="11"/>
      <c r="BX83" s="3"/>
      <c r="BY83" s="3"/>
      <c r="BZ83" s="3"/>
    </row>
    <row r="84" spans="1:78" x14ac:dyDescent="0.3">
      <c r="A84" s="199"/>
      <c r="B84" s="12" t="s">
        <v>279</v>
      </c>
      <c r="C84" s="188">
        <f>IF(AND(C83="",D83=""),0,C83-D83)</f>
        <v>0</v>
      </c>
      <c r="D84" s="189"/>
      <c r="E84" s="188">
        <f>IF(AND(E83="",F83=""),0,E83-F83)</f>
        <v>0</v>
      </c>
      <c r="F84" s="189"/>
      <c r="G84" s="188">
        <f>IF(AND(G83="",H83=""),0,G83-H83)</f>
        <v>0</v>
      </c>
      <c r="H84" s="189"/>
      <c r="I84" s="188">
        <f>IF(AND(I83="",J83=""),0,I83-J83)</f>
        <v>0</v>
      </c>
      <c r="J84" s="189"/>
      <c r="K84" s="188">
        <f>IF(AND(K83="",L83=""),0,K83-L83)</f>
        <v>0</v>
      </c>
      <c r="L84" s="189"/>
      <c r="M84" s="188">
        <f>IF(AND(M83="",N83=""),0,M83-N83)</f>
        <v>0</v>
      </c>
      <c r="N84" s="189"/>
      <c r="O84" s="188">
        <f>IF(AND(O83="",P83=""),0,O83-P83)</f>
        <v>0</v>
      </c>
      <c r="P84" s="189"/>
      <c r="Q84" s="188">
        <f>IF(AND(Q83="",R83=""),0,Q83-R83)</f>
        <v>0</v>
      </c>
      <c r="R84" s="189"/>
      <c r="S84" s="188">
        <f>IF(AND(S83="",T83=""),0,S83-T83)</f>
        <v>0</v>
      </c>
      <c r="T84" s="189"/>
      <c r="U84" s="188">
        <f>IF(AND(U83="",V83=""),0,U83-V83)</f>
        <v>0</v>
      </c>
      <c r="V84" s="189"/>
      <c r="W84" s="188">
        <f>IF(AND(W83="",X83=""),0,W83-X83)</f>
        <v>0</v>
      </c>
      <c r="X84" s="189"/>
      <c r="Y84" s="188">
        <f>IF(AND(Y83="",Z83=""),0,Y83-Z83)</f>
        <v>0</v>
      </c>
      <c r="Z84" s="189"/>
      <c r="AA84" s="188">
        <f>IF(AND(AA83="",AB83=""),0,AA83-AB83)</f>
        <v>0</v>
      </c>
      <c r="AB84" s="189"/>
      <c r="AC84" s="188">
        <f>IF(AND(AC83="",AD83=""),0,AC83-AD83)</f>
        <v>0</v>
      </c>
      <c r="AD84" s="189"/>
      <c r="AE84" s="188">
        <f>IF(AND(AE83="",AF83=""),0,AE83-AF83)</f>
        <v>0</v>
      </c>
      <c r="AF84" s="189"/>
      <c r="AG84" s="188">
        <f>IF(AND(AG83="",AH83=""),0,AG83-AH83)</f>
        <v>0</v>
      </c>
      <c r="AH84" s="189"/>
      <c r="AI84" s="188">
        <f>IF(AND(AI83="",AJ83=""),0,AI83-AJ83)</f>
        <v>0</v>
      </c>
      <c r="AJ84" s="189"/>
      <c r="AK84" s="188">
        <f>IF(AND(AK83="",AL83=""),0,AK83-AL83)</f>
        <v>0</v>
      </c>
      <c r="AL84" s="189"/>
      <c r="AM84" s="188">
        <f>IF(AND(AM83="",AN83=""),0,AM83-AN83)</f>
        <v>0</v>
      </c>
      <c r="AN84" s="189"/>
      <c r="AO84" s="188">
        <f>IF(AND(AO83="",AP83=""),0,AO83-AP83)</f>
        <v>0</v>
      </c>
      <c r="AP84" s="189"/>
      <c r="AQ84" s="188">
        <f>IF(AND(AQ83="",AR83=""),0,AQ83-AR83)</f>
        <v>0</v>
      </c>
      <c r="AR84" s="189"/>
      <c r="AS84" s="188">
        <f>IF(AND(AS83="",AT83=""),0,AS83-AT83)</f>
        <v>0</v>
      </c>
      <c r="AT84" s="189"/>
      <c r="AU84" s="188">
        <f>IF(AND(AU83="",AV83=""),0,AU83-AV83)</f>
        <v>0</v>
      </c>
      <c r="AV84" s="189"/>
      <c r="AW84" s="188">
        <f>IF(AND(AW83="",AX83=""),0,AW83-AX83)</f>
        <v>0</v>
      </c>
      <c r="AX84" s="189"/>
      <c r="AY84" s="188">
        <f>IF(AND(AY83="",AZ83=""),0,AY83-AZ83)</f>
        <v>0</v>
      </c>
      <c r="AZ84" s="189"/>
      <c r="BA84" s="188">
        <f>IF(AND(BA83="",BB83=""),0,BA83-BB83)</f>
        <v>0</v>
      </c>
      <c r="BB84" s="189"/>
      <c r="BC84" s="188">
        <f>IF(AND(BC83="",BD83=""),0,BC83-BD83)</f>
        <v>0</v>
      </c>
      <c r="BD84" s="189"/>
      <c r="BE84" s="188">
        <f>IF(AND(BE83="",BF83=""),0,BE83-BF83)</f>
        <v>0</v>
      </c>
      <c r="BF84" s="189"/>
      <c r="BG84" s="188">
        <f>IF(AND(BG83="",BH83=""),0,BG83-BH83)</f>
        <v>0</v>
      </c>
      <c r="BH84" s="189"/>
      <c r="BI84" s="188">
        <f>IF(AND(BI83="",BJ83=""),0,BI83-BJ83)</f>
        <v>0</v>
      </c>
      <c r="BJ84" s="189"/>
      <c r="BK84" s="188">
        <f>IF(AND(BK83="",BL83=""),0,BK83-BL83)</f>
        <v>0</v>
      </c>
      <c r="BL84" s="189"/>
      <c r="BM84" s="188">
        <f>IF(AND(BM83="",BN83=""),0,BM83-BN83)</f>
        <v>0</v>
      </c>
      <c r="BN84" s="189"/>
      <c r="BO84" s="188">
        <f>IF(AND(BO83="",BP83=""),0,BO83-BP83)</f>
        <v>0</v>
      </c>
      <c r="BP84" s="189"/>
      <c r="BQ84" s="188">
        <f>IF(AND(BQ83="",BR83=""),0,BQ83-BR83)</f>
        <v>0</v>
      </c>
      <c r="BR84" s="189"/>
      <c r="BS84" s="188">
        <f>IF(AND(BS83="",BT83=""),0,BS83-BT83)</f>
        <v>0</v>
      </c>
      <c r="BT84" s="189"/>
      <c r="BU84" s="14" t="str">
        <f>IF(AND(BU83="",BV83=""),"",BU83-BV83)</f>
        <v/>
      </c>
      <c r="BV84" s="13"/>
      <c r="BW84" s="16" t="str">
        <f>IF(COUNTIF(D84:BT84,"&gt;0")=0,"",COUNTIF(D84:BT84,"&gt;0"))</f>
        <v/>
      </c>
      <c r="BX84" s="3"/>
      <c r="BY84" s="3"/>
      <c r="BZ84" s="3"/>
    </row>
    <row r="85" spans="1:78" ht="14.5" x14ac:dyDescent="0.3">
      <c r="A85" s="199"/>
      <c r="B85" s="12" t="s">
        <v>280</v>
      </c>
      <c r="C85" s="186">
        <f>IF(C84="",0,(D83/89%)-(C83))</f>
        <v>0</v>
      </c>
      <c r="D85" s="187"/>
      <c r="E85" s="186">
        <f>IF(E84="",0,(F83/89%)-(E83))</f>
        <v>0</v>
      </c>
      <c r="F85" s="187"/>
      <c r="G85" s="186">
        <f>IF(G84="",0,(H83/89%)-(G83))</f>
        <v>0</v>
      </c>
      <c r="H85" s="187"/>
      <c r="I85" s="186">
        <f>IF(I84="",0,(J83/89%)-(I83))</f>
        <v>0</v>
      </c>
      <c r="J85" s="187"/>
      <c r="K85" s="186">
        <f>IF(K84="",0,(L83/89%)-(K83))</f>
        <v>0</v>
      </c>
      <c r="L85" s="187"/>
      <c r="M85" s="186">
        <f>IF(M84="",0,(N83/89%)-(M83))</f>
        <v>0</v>
      </c>
      <c r="N85" s="187"/>
      <c r="O85" s="186">
        <f>IF(O84="",0,(P83/89%)-(O83))</f>
        <v>0</v>
      </c>
      <c r="P85" s="187"/>
      <c r="Q85" s="186">
        <f>IF(Q84="",0,(R83/89%)-(Q83))</f>
        <v>0</v>
      </c>
      <c r="R85" s="187"/>
      <c r="S85" s="186">
        <f>IF(S84="",0,(T83/89%)-(S83))</f>
        <v>0</v>
      </c>
      <c r="T85" s="187"/>
      <c r="U85" s="186">
        <f>IF(U84="",0,(V83/89%)-(U83))</f>
        <v>0</v>
      </c>
      <c r="V85" s="187"/>
      <c r="W85" s="186">
        <f>IF(W84="",0,(X83/89%)-(W83))</f>
        <v>0</v>
      </c>
      <c r="X85" s="187"/>
      <c r="Y85" s="186">
        <f>IF(Y84="",0,(Z83/89%)-(Y83))</f>
        <v>0</v>
      </c>
      <c r="Z85" s="187"/>
      <c r="AA85" s="186">
        <f>IF(AA84="",0,(AB83/89%)-(AA83))</f>
        <v>0</v>
      </c>
      <c r="AB85" s="187"/>
      <c r="AC85" s="186">
        <f>IF(AC84="",0,(AD83/89%)-(AC83))</f>
        <v>0</v>
      </c>
      <c r="AD85" s="187"/>
      <c r="AE85" s="186">
        <f>IF(AE84="",0,(AF83/89%)-(AE83))</f>
        <v>0</v>
      </c>
      <c r="AF85" s="187"/>
      <c r="AG85" s="186">
        <f>IF(AG84="",0,(AH83/89%)-(AG83))</f>
        <v>0</v>
      </c>
      <c r="AH85" s="187"/>
      <c r="AI85" s="186">
        <f>IF(AI84="",0,(AJ83/89%)-(AI83))</f>
        <v>0</v>
      </c>
      <c r="AJ85" s="187"/>
      <c r="AK85" s="186">
        <f>IF(AK84="",0,(AL83/89%)-(AK83))</f>
        <v>0</v>
      </c>
      <c r="AL85" s="187"/>
      <c r="AM85" s="186">
        <f>IF(AM84="",0,(AN83/89%)-(AM83))</f>
        <v>0</v>
      </c>
      <c r="AN85" s="187"/>
      <c r="AO85" s="186">
        <f>IF(AO84="",0,(AP83/89%)-(AO83))</f>
        <v>0</v>
      </c>
      <c r="AP85" s="187"/>
      <c r="AQ85" s="186">
        <f>IF(AQ84="",0,(AR83/89%)-(AQ83))</f>
        <v>0</v>
      </c>
      <c r="AR85" s="187"/>
      <c r="AS85" s="186">
        <f>IF(AS84="",0,(AT83/89%)-(AS83))</f>
        <v>0</v>
      </c>
      <c r="AT85" s="187"/>
      <c r="AU85" s="186">
        <f>IF(AU84="",0,(AV83/89%)-(AU83))</f>
        <v>0</v>
      </c>
      <c r="AV85" s="187"/>
      <c r="AW85" s="186">
        <f>IF(AW84="",0,(AX83/89%)-(AW83))</f>
        <v>0</v>
      </c>
      <c r="AX85" s="187"/>
      <c r="AY85" s="186">
        <f>IF(AY84="",0,(AZ83/89%)-(AY83))</f>
        <v>0</v>
      </c>
      <c r="AZ85" s="187"/>
      <c r="BA85" s="186">
        <f>IF(BA84="",0,(BB83/89%)-(BA83))</f>
        <v>0</v>
      </c>
      <c r="BB85" s="187"/>
      <c r="BC85" s="186">
        <f>IF(BC84="",0,(BD83/89%)-(BC83))</f>
        <v>0</v>
      </c>
      <c r="BD85" s="187"/>
      <c r="BE85" s="186">
        <f>IF(BE84="",0,(BF83/89%)-(BE83))</f>
        <v>0</v>
      </c>
      <c r="BF85" s="187"/>
      <c r="BG85" s="186">
        <f>IF(BG84="",0,(BH83/89%)-(BG83))</f>
        <v>0</v>
      </c>
      <c r="BH85" s="187"/>
      <c r="BI85" s="186">
        <f>IF(BI84="",0,(BJ83/89%)-(BI83))</f>
        <v>0</v>
      </c>
      <c r="BJ85" s="187"/>
      <c r="BK85" s="186">
        <f>IF(BK84="",0,(BL83/89%)-(BK83))</f>
        <v>0</v>
      </c>
      <c r="BL85" s="187"/>
      <c r="BM85" s="186">
        <f>IF(BM84="",0,(BN83/89%)-(BM83))</f>
        <v>0</v>
      </c>
      <c r="BN85" s="187"/>
      <c r="BO85" s="186">
        <f>IF(BO84="",0,(BP83/89%)-(BO83))</f>
        <v>0</v>
      </c>
      <c r="BP85" s="187"/>
      <c r="BQ85" s="186">
        <f>IF(BQ84="",0,(BR83/89%)-(BQ83))</f>
        <v>0</v>
      </c>
      <c r="BR85" s="187"/>
      <c r="BS85" s="186">
        <f>IF(BS84="",0,(BT83/89%)-(BS83))</f>
        <v>0</v>
      </c>
      <c r="BT85" s="187"/>
      <c r="BU85" s="17" t="str">
        <f>IF(BU84="","",(BV83/89%)-(BU83))</f>
        <v/>
      </c>
      <c r="BV85" s="13"/>
      <c r="BW85" s="18" t="str">
        <f>IF(AND(BU83="",BV83=""),"",(BU83-BV83)-BU84)</f>
        <v/>
      </c>
      <c r="BX85" s="3"/>
      <c r="BY85" s="3"/>
      <c r="BZ85" s="3"/>
    </row>
    <row r="86" spans="1:78" ht="14.5" x14ac:dyDescent="0.3">
      <c r="A86" s="199"/>
      <c r="B86" s="19" t="s">
        <v>281</v>
      </c>
      <c r="C86" s="194" t="str">
        <f>IF(C84=0,"",ABS(IFERROR((C84/C83),0)-1))</f>
        <v/>
      </c>
      <c r="D86" s="195"/>
      <c r="E86" s="194" t="str">
        <f>IF(E84=0,"",ABS(IFERROR((E84/E83),0)-1))</f>
        <v/>
      </c>
      <c r="F86" s="195"/>
      <c r="G86" s="194" t="str">
        <f>IF(G84=0,"",ABS(IFERROR((G84/G83),0)-1))</f>
        <v/>
      </c>
      <c r="H86" s="195"/>
      <c r="I86" s="194" t="str">
        <f>IF(I84=0,"",ABS(IFERROR((I84/I83),0)-1))</f>
        <v/>
      </c>
      <c r="J86" s="195"/>
      <c r="K86" s="194" t="str">
        <f>IF(K84=0,"",ABS(IFERROR((K84/K83),0)-1))</f>
        <v/>
      </c>
      <c r="L86" s="195"/>
      <c r="M86" s="194" t="str">
        <f>IF(M84=0,"",ABS(IFERROR((M84/M83),0)-1))</f>
        <v/>
      </c>
      <c r="N86" s="195"/>
      <c r="O86" s="194" t="str">
        <f>IF(O84=0,"",ABS(IFERROR((O84/O83),0)-1))</f>
        <v/>
      </c>
      <c r="P86" s="195"/>
      <c r="Q86" s="194" t="str">
        <f>IF(Q84=0,"",ABS(IFERROR((Q84/Q83),0)-1))</f>
        <v/>
      </c>
      <c r="R86" s="195"/>
      <c r="S86" s="194" t="str">
        <f>IF(S84=0,"",ABS(IFERROR((S84/S83),0)-1))</f>
        <v/>
      </c>
      <c r="T86" s="195"/>
      <c r="U86" s="194" t="str">
        <f>IF(U84=0,"",ABS(IFERROR((U84/U83),0)-1))</f>
        <v/>
      </c>
      <c r="V86" s="195"/>
      <c r="W86" s="194" t="str">
        <f>IF(W84=0,"",ABS(IFERROR((W84/W83),0)-1))</f>
        <v/>
      </c>
      <c r="X86" s="195"/>
      <c r="Y86" s="194" t="str">
        <f>IF(Y84=0,"",ABS(IFERROR((Y84/Y83),0)-1))</f>
        <v/>
      </c>
      <c r="Z86" s="195"/>
      <c r="AA86" s="194" t="str">
        <f>IF(AA84=0,"",ABS(IFERROR((AA84/AA83),0)-1))</f>
        <v/>
      </c>
      <c r="AB86" s="195"/>
      <c r="AC86" s="194" t="str">
        <f>IF(AC84=0,"",ABS(IFERROR((AC84/AC83),0)-1))</f>
        <v/>
      </c>
      <c r="AD86" s="195"/>
      <c r="AE86" s="194" t="str">
        <f>IF(AE84=0,"",ABS(IFERROR((AE84/AE83),0)-1))</f>
        <v/>
      </c>
      <c r="AF86" s="195"/>
      <c r="AG86" s="194" t="str">
        <f>IF(AG84=0,"",ABS(IFERROR((AG84/AG83),0)-1))</f>
        <v/>
      </c>
      <c r="AH86" s="195"/>
      <c r="AI86" s="194" t="str">
        <f>IF(AI84=0,"",ABS(IFERROR((AI84/AI83),0)-1))</f>
        <v/>
      </c>
      <c r="AJ86" s="195"/>
      <c r="AK86" s="194" t="str">
        <f>IF(AK84=0,"",ABS(IFERROR((AK84/AK83),0)-1))</f>
        <v/>
      </c>
      <c r="AL86" s="195"/>
      <c r="AM86" s="194" t="str">
        <f>IF(AM84=0,"",ABS(IFERROR((AM84/AM83),0)-1))</f>
        <v/>
      </c>
      <c r="AN86" s="195"/>
      <c r="AO86" s="194" t="str">
        <f>IF(AO84=0,"",ABS(IFERROR((AO84/AO83),0)-1))</f>
        <v/>
      </c>
      <c r="AP86" s="195"/>
      <c r="AQ86" s="194" t="str">
        <f>IF(AQ84=0,"",ABS(IFERROR((AQ84/AQ83),0)-1))</f>
        <v/>
      </c>
      <c r="AR86" s="195"/>
      <c r="AS86" s="194" t="str">
        <f>IF(AS84=0,"",ABS(IFERROR((AS84/AS83),0)-1))</f>
        <v/>
      </c>
      <c r="AT86" s="195"/>
      <c r="AU86" s="194" t="str">
        <f>IF(AU84=0,"",ABS(IFERROR((AU84/AU83),0)-1))</f>
        <v/>
      </c>
      <c r="AV86" s="195"/>
      <c r="AW86" s="194" t="str">
        <f>IF(AW84=0,"",ABS(IFERROR((AW84/AW83),0)-1))</f>
        <v/>
      </c>
      <c r="AX86" s="195"/>
      <c r="AY86" s="194" t="str">
        <f>IF(AY84=0,"",ABS(IFERROR((AY84/AY83),0)-1))</f>
        <v/>
      </c>
      <c r="AZ86" s="195"/>
      <c r="BA86" s="194" t="str">
        <f>IF(BA84=0,"",ABS(IFERROR((BA84/BA83),0)-1))</f>
        <v/>
      </c>
      <c r="BB86" s="195"/>
      <c r="BC86" s="194" t="str">
        <f>IF(BC84=0,"",ABS(IFERROR((BC84/BC83),0)-1))</f>
        <v/>
      </c>
      <c r="BD86" s="195"/>
      <c r="BE86" s="194" t="str">
        <f>IF(BE84=0,"",ABS(IFERROR((BE84/BE83),0)-1))</f>
        <v/>
      </c>
      <c r="BF86" s="195"/>
      <c r="BG86" s="194" t="str">
        <f>IF(BG84=0,"",ABS(IFERROR((BG84/BG83),0)-1))</f>
        <v/>
      </c>
      <c r="BH86" s="195"/>
      <c r="BI86" s="194" t="str">
        <f>IF(BI84=0,"",ABS(IFERROR((BI84/BI83),0)-1))</f>
        <v/>
      </c>
      <c r="BJ86" s="195"/>
      <c r="BK86" s="194" t="str">
        <f>IF(BK84=0,"",ABS(IFERROR((BK84/BK83),0)-1))</f>
        <v/>
      </c>
      <c r="BL86" s="195"/>
      <c r="BM86" s="194" t="str">
        <f>IF(BM84=0,"",ABS(IFERROR((BM84/BM83),0)-1))</f>
        <v/>
      </c>
      <c r="BN86" s="195"/>
      <c r="BO86" s="194" t="str">
        <f>IF(BO84=0,"",ABS(IFERROR((BO84/BO83),0)-1))</f>
        <v/>
      </c>
      <c r="BP86" s="195"/>
      <c r="BQ86" s="194" t="str">
        <f>IF(BQ84=0,"",ABS(IFERROR((BQ84/BQ83),0)-1))</f>
        <v/>
      </c>
      <c r="BR86" s="195"/>
      <c r="BS86" s="194" t="str">
        <f>IF(BS84=0,"",ABS(IFERROR((BS84/BS83),0)-1))</f>
        <v/>
      </c>
      <c r="BT86" s="195"/>
      <c r="BU86" s="26" t="e">
        <f>ABS(IFERROR((BU84/BU83),"")-1)</f>
        <v>#VALUE!</v>
      </c>
      <c r="BV86" s="15"/>
      <c r="BW86" s="21"/>
      <c r="BX86" s="3"/>
      <c r="BY86" s="3"/>
      <c r="BZ86" s="3"/>
    </row>
    <row r="87" spans="1:78" ht="15" thickBot="1" x14ac:dyDescent="0.35">
      <c r="A87" s="181"/>
      <c r="B87" s="22" t="s">
        <v>177</v>
      </c>
      <c r="C87" s="196" t="str">
        <f>IF(C86="","", IF(C86&lt;89%,"OVER STANDART",IF(C86=89%,"GOOD","UNDER STANDART")))</f>
        <v/>
      </c>
      <c r="D87" s="197"/>
      <c r="E87" s="196" t="str">
        <f>IF(E86="","", IF(E86&lt;89%,"OVER STANDART",IF(E86=89%,"GOOD","UNDER STANDART")))</f>
        <v/>
      </c>
      <c r="F87" s="197"/>
      <c r="G87" s="196" t="str">
        <f>IF(G86="","", IF(G86&lt;89%,"OVER STANDART",IF(G86=89%,"GOOD","UNDER STANDART")))</f>
        <v/>
      </c>
      <c r="H87" s="197"/>
      <c r="I87" s="196" t="str">
        <f>IF(I86="","", IF(I86&lt;89%,"OVER STANDART",IF(I86=89%,"GOOD","UNDER STANDART")))</f>
        <v/>
      </c>
      <c r="J87" s="197"/>
      <c r="K87" s="196" t="str">
        <f>IF(K86="","", IF(K86&lt;89%,"OVER STANDART",IF(K86=89%,"GOOD","UNDER STANDART")))</f>
        <v/>
      </c>
      <c r="L87" s="197"/>
      <c r="M87" s="196" t="str">
        <f>IF(M86="","", IF(M86&lt;89%,"OVER STANDART",IF(M86=89%,"GOOD","UNDER STANDART")))</f>
        <v/>
      </c>
      <c r="N87" s="197"/>
      <c r="O87" s="196" t="str">
        <f>IF(O86="","", IF(O86&lt;89%,"OVER STANDART",IF(O86=89%,"GOOD","UNDER STANDART")))</f>
        <v/>
      </c>
      <c r="P87" s="197"/>
      <c r="Q87" s="196" t="str">
        <f>IF(Q86="","", IF(Q86&lt;89%,"OVER STANDART",IF(Q86=89%,"GOOD","UNDER STANDART")))</f>
        <v/>
      </c>
      <c r="R87" s="197"/>
      <c r="S87" s="196" t="str">
        <f>IF(S86="","", IF(S86&lt;89%,"OVER STANDART",IF(S86=89%,"GOOD","UNDER STANDART")))</f>
        <v/>
      </c>
      <c r="T87" s="197"/>
      <c r="U87" s="196" t="str">
        <f>IF(U86="","", IF(U86&lt;89%,"OVER STANDART",IF(U86=89%,"GOOD","UNDER STANDART")))</f>
        <v/>
      </c>
      <c r="V87" s="197"/>
      <c r="W87" s="196" t="str">
        <f>IF(W86="","", IF(W86&lt;89%,"OVER STANDART",IF(W86=89%,"GOOD","UNDER STANDART")))</f>
        <v/>
      </c>
      <c r="X87" s="197"/>
      <c r="Y87" s="196" t="str">
        <f>IF(Y86="","", IF(Y86&lt;89%,"OVER STANDART",IF(Y86=89%,"GOOD","UNDER STANDART")))</f>
        <v/>
      </c>
      <c r="Z87" s="197"/>
      <c r="AA87" s="196" t="str">
        <f>IF(AA86="","", IF(AA86&lt;89%,"OVER STANDART",IF(AA86=89%,"GOOD","UNDER STANDART")))</f>
        <v/>
      </c>
      <c r="AB87" s="197"/>
      <c r="AC87" s="196" t="str">
        <f>IF(AC86="","", IF(AC86&lt;89%,"OVER STANDART",IF(AC86=89%,"GOOD","UNDER STANDART")))</f>
        <v/>
      </c>
      <c r="AD87" s="197"/>
      <c r="AE87" s="196" t="str">
        <f>IF(AE86="","", IF(AE86&lt;89%,"OVER STANDART",IF(AE86=89%,"GOOD","UNDER STANDART")))</f>
        <v/>
      </c>
      <c r="AF87" s="197"/>
      <c r="AG87" s="196" t="str">
        <f>IF(AG86="","", IF(AG86&lt;89%,"OVER STANDART",IF(AG86=89%,"GOOD","UNDER STANDART")))</f>
        <v/>
      </c>
      <c r="AH87" s="197"/>
      <c r="AI87" s="196" t="str">
        <f>IF(AI86="","", IF(AI86&lt;89%,"OVER STANDART",IF(AI86=89%,"GOOD","UNDER STANDART")))</f>
        <v/>
      </c>
      <c r="AJ87" s="197"/>
      <c r="AK87" s="196" t="str">
        <f>IF(AK86="","", IF(AK86&lt;89%,"OVER STANDART",IF(AK86=89%,"GOOD","UNDER STANDART")))</f>
        <v/>
      </c>
      <c r="AL87" s="197"/>
      <c r="AM87" s="196" t="str">
        <f>IF(AM86="","", IF(AM86&lt;89%,"OVER STANDART",IF(AM86=89%,"GOOD","UNDER STANDART")))</f>
        <v/>
      </c>
      <c r="AN87" s="197"/>
      <c r="AO87" s="196" t="str">
        <f>IF(AO86="","", IF(AO86&lt;89%,"OVER STANDART",IF(AO86=89%,"GOOD","UNDER STANDART")))</f>
        <v/>
      </c>
      <c r="AP87" s="197"/>
      <c r="AQ87" s="196" t="str">
        <f>IF(AQ86="","", IF(AQ86&lt;89%,"OVER STANDART",IF(AQ86=89%,"GOOD","UNDER STANDART")))</f>
        <v/>
      </c>
      <c r="AR87" s="197"/>
      <c r="AS87" s="196" t="str">
        <f>IF(AS86="","", IF(AS86&lt;89%,"OVER STANDART",IF(AS86=89%,"GOOD","UNDER STANDART")))</f>
        <v/>
      </c>
      <c r="AT87" s="197"/>
      <c r="AU87" s="196" t="str">
        <f>IF(AU86="","", IF(AU86&lt;89%,"OVER STANDART",IF(AU86=89%,"GOOD","UNDER STANDART")))</f>
        <v/>
      </c>
      <c r="AV87" s="197"/>
      <c r="AW87" s="196" t="str">
        <f>IF(AW86="","", IF(AW86&lt;89%,"OVER STANDART",IF(AW86=89%,"GOOD","UNDER STANDART")))</f>
        <v/>
      </c>
      <c r="AX87" s="197"/>
      <c r="AY87" s="196" t="str">
        <f>IF(AY86="","", IF(AY86&lt;89%,"OVER STANDART",IF(AY86=89%,"GOOD","UNDER STANDART")))</f>
        <v/>
      </c>
      <c r="AZ87" s="197"/>
      <c r="BA87" s="196" t="str">
        <f>IF(BA86="","", IF(BA86&lt;89%,"OVER STANDART",IF(BA86=89%,"GOOD","UNDER STANDART")))</f>
        <v/>
      </c>
      <c r="BB87" s="197"/>
      <c r="BC87" s="196" t="str">
        <f>IF(BC86="","", IF(BC86&lt;89%,"OVER STANDART",IF(BC86=89%,"GOOD","UNDER STANDART")))</f>
        <v/>
      </c>
      <c r="BD87" s="197"/>
      <c r="BE87" s="196" t="str">
        <f>IF(BE86="","", IF(BE86&lt;89%,"OVER STANDART",IF(BE86=89%,"GOOD","UNDER STANDART")))</f>
        <v/>
      </c>
      <c r="BF87" s="197"/>
      <c r="BG87" s="196" t="str">
        <f>IF(BG86="","", IF(BG86&lt;89%,"OVER STANDART",IF(BG86=89%,"GOOD","UNDER STANDART")))</f>
        <v/>
      </c>
      <c r="BH87" s="197"/>
      <c r="BI87" s="196" t="str">
        <f>IF(BI86="","", IF(BI86&lt;89%,"OVER STANDART",IF(BI86=89%,"GOOD","UNDER STANDART")))</f>
        <v/>
      </c>
      <c r="BJ87" s="197"/>
      <c r="BK87" s="196" t="str">
        <f>IF(BK86="","", IF(BK86&lt;89%,"OVER STANDART",IF(BK86=89%,"GOOD","UNDER STANDART")))</f>
        <v/>
      </c>
      <c r="BL87" s="197"/>
      <c r="BM87" s="196" t="str">
        <f>IF(BM86="","", IF(BM86&lt;89%,"OVER STANDART",IF(BM86=89%,"GOOD","UNDER STANDART")))</f>
        <v/>
      </c>
      <c r="BN87" s="197"/>
      <c r="BO87" s="196" t="str">
        <f>IF(BO86="","", IF(BO86&lt;89%,"OVER STANDART",IF(BO86=89%,"GOOD","UNDER STANDART")))</f>
        <v/>
      </c>
      <c r="BP87" s="197"/>
      <c r="BQ87" s="196" t="str">
        <f>IF(BQ86="","", IF(BQ86&lt;89%,"OVER STANDART",IF(BQ86=89%,"GOOD","UNDER STANDART")))</f>
        <v/>
      </c>
      <c r="BR87" s="197"/>
      <c r="BS87" s="196" t="str">
        <f>IF(BS86="","", IF(BS86&lt;89%,"OVER STANDART",IF(BS86=89%,"GOOD","UNDER STANDART")))</f>
        <v/>
      </c>
      <c r="BT87" s="197"/>
      <c r="BU87" s="24" t="e">
        <f>IF(BU86="","", IF(BU86&lt;89%,"OVER STANDART",IF(BU86=89%,"GOOD","UNDER STANDART")))</f>
        <v>#VALUE!</v>
      </c>
      <c r="BV87" s="23"/>
      <c r="BW87" s="25"/>
      <c r="BX87" s="3"/>
      <c r="BY87" s="3"/>
      <c r="BZ87" s="3"/>
    </row>
    <row r="88" spans="1:78" ht="14.5" x14ac:dyDescent="0.3">
      <c r="A88" s="198">
        <f>A83+1</f>
        <v>18</v>
      </c>
      <c r="B88" s="7" t="s">
        <v>278</v>
      </c>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9" t="str">
        <f>IF(SUMIF($C$2:$BT$2,"FRESH",C88:BT88)=0,"",SUMIF($C$2:$BT$2,"FRESH",C88:BT88))</f>
        <v/>
      </c>
      <c r="BV88" s="10" t="str">
        <f>IF(SUMIF($C$2:$BT$2,"GILING",C88:BT88)=0,"",SUMIF($C$2:$BT$2,"GILING",C88:BT88))</f>
        <v/>
      </c>
      <c r="BW88" s="11"/>
      <c r="BX88" s="3"/>
      <c r="BY88" s="3"/>
      <c r="BZ88" s="3"/>
    </row>
    <row r="89" spans="1:78" x14ac:dyDescent="0.3">
      <c r="A89" s="199"/>
      <c r="B89" s="12" t="s">
        <v>279</v>
      </c>
      <c r="C89" s="188">
        <f>IF(AND(C88="",D88=""),0,C88-D88)</f>
        <v>0</v>
      </c>
      <c r="D89" s="189"/>
      <c r="E89" s="188">
        <f>IF(AND(E88="",F88=""),0,E88-F88)</f>
        <v>0</v>
      </c>
      <c r="F89" s="189"/>
      <c r="G89" s="188">
        <f>IF(AND(G88="",H88=""),0,G88-H88)</f>
        <v>0</v>
      </c>
      <c r="H89" s="189"/>
      <c r="I89" s="188">
        <f>IF(AND(I88="",J88=""),0,I88-J88)</f>
        <v>0</v>
      </c>
      <c r="J89" s="189"/>
      <c r="K89" s="188">
        <f>IF(AND(K88="",L88=""),0,K88-L88)</f>
        <v>0</v>
      </c>
      <c r="L89" s="189"/>
      <c r="M89" s="188">
        <f>IF(AND(M88="",N88=""),0,M88-N88)</f>
        <v>0</v>
      </c>
      <c r="N89" s="189"/>
      <c r="O89" s="188">
        <f>IF(AND(O88="",P88=""),0,O88-P88)</f>
        <v>0</v>
      </c>
      <c r="P89" s="189"/>
      <c r="Q89" s="188">
        <f>IF(AND(Q88="",R88=""),0,Q88-R88)</f>
        <v>0</v>
      </c>
      <c r="R89" s="189"/>
      <c r="S89" s="188">
        <f>IF(AND(S88="",T88=""),0,S88-T88)</f>
        <v>0</v>
      </c>
      <c r="T89" s="189"/>
      <c r="U89" s="188">
        <f>IF(AND(U88="",V88=""),0,U88-V88)</f>
        <v>0</v>
      </c>
      <c r="V89" s="189"/>
      <c r="W89" s="188">
        <f>IF(AND(W88="",X88=""),0,W88-X88)</f>
        <v>0</v>
      </c>
      <c r="X89" s="189"/>
      <c r="Y89" s="188">
        <f>IF(AND(Y88="",Z88=""),0,Y88-Z88)</f>
        <v>0</v>
      </c>
      <c r="Z89" s="189"/>
      <c r="AA89" s="188">
        <f>IF(AND(AA88="",AB88=""),0,AA88-AB88)</f>
        <v>0</v>
      </c>
      <c r="AB89" s="189"/>
      <c r="AC89" s="188">
        <f>IF(AND(AC88="",AD88=""),0,AC88-AD88)</f>
        <v>0</v>
      </c>
      <c r="AD89" s="189"/>
      <c r="AE89" s="188">
        <f>IF(AND(AE88="",AF88=""),0,AE88-AF88)</f>
        <v>0</v>
      </c>
      <c r="AF89" s="189"/>
      <c r="AG89" s="188">
        <f>IF(AND(AG88="",AH88=""),0,AG88-AH88)</f>
        <v>0</v>
      </c>
      <c r="AH89" s="189"/>
      <c r="AI89" s="188">
        <f>IF(AND(AI88="",AJ88=""),0,AI88-AJ88)</f>
        <v>0</v>
      </c>
      <c r="AJ89" s="189"/>
      <c r="AK89" s="188">
        <f>IF(AND(AK88="",AL88=""),0,AK88-AL88)</f>
        <v>0</v>
      </c>
      <c r="AL89" s="189"/>
      <c r="AM89" s="188">
        <f>IF(AND(AM88="",AN88=""),0,AM88-AN88)</f>
        <v>0</v>
      </c>
      <c r="AN89" s="189"/>
      <c r="AO89" s="188">
        <f>IF(AND(AO88="",AP88=""),0,AO88-AP88)</f>
        <v>0</v>
      </c>
      <c r="AP89" s="189"/>
      <c r="AQ89" s="188">
        <f>IF(AND(AQ88="",AR88=""),0,AQ88-AR88)</f>
        <v>0</v>
      </c>
      <c r="AR89" s="189"/>
      <c r="AS89" s="188">
        <f>IF(AND(AS88="",AT88=""),0,AS88-AT88)</f>
        <v>0</v>
      </c>
      <c r="AT89" s="189"/>
      <c r="AU89" s="188">
        <f>IF(AND(AU88="",AV88=""),0,AU88-AV88)</f>
        <v>0</v>
      </c>
      <c r="AV89" s="189"/>
      <c r="AW89" s="188">
        <f>IF(AND(AW88="",AX88=""),0,AW88-AX88)</f>
        <v>0</v>
      </c>
      <c r="AX89" s="189"/>
      <c r="AY89" s="188">
        <f>IF(AND(AY88="",AZ88=""),0,AY88-AZ88)</f>
        <v>0</v>
      </c>
      <c r="AZ89" s="189"/>
      <c r="BA89" s="188">
        <f>IF(AND(BA88="",BB88=""),0,BA88-BB88)</f>
        <v>0</v>
      </c>
      <c r="BB89" s="189"/>
      <c r="BC89" s="188">
        <f>IF(AND(BC88="",BD88=""),0,BC88-BD88)</f>
        <v>0</v>
      </c>
      <c r="BD89" s="189"/>
      <c r="BE89" s="188">
        <f>IF(AND(BE88="",BF88=""),0,BE88-BF88)</f>
        <v>0</v>
      </c>
      <c r="BF89" s="189"/>
      <c r="BG89" s="188">
        <f>IF(AND(BG88="",BH88=""),0,BG88-BH88)</f>
        <v>0</v>
      </c>
      <c r="BH89" s="189"/>
      <c r="BI89" s="188">
        <f>IF(AND(BI88="",BJ88=""),0,BI88-BJ88)</f>
        <v>0</v>
      </c>
      <c r="BJ89" s="189"/>
      <c r="BK89" s="188">
        <f>IF(AND(BK88="",BL88=""),0,BK88-BL88)</f>
        <v>0</v>
      </c>
      <c r="BL89" s="189"/>
      <c r="BM89" s="188">
        <f>IF(AND(BM88="",BN88=""),0,BM88-BN88)</f>
        <v>0</v>
      </c>
      <c r="BN89" s="189"/>
      <c r="BO89" s="188">
        <f>IF(AND(BO88="",BP88=""),0,BO88-BP88)</f>
        <v>0</v>
      </c>
      <c r="BP89" s="189"/>
      <c r="BQ89" s="188">
        <f>IF(AND(BQ88="",BR88=""),0,BQ88-BR88)</f>
        <v>0</v>
      </c>
      <c r="BR89" s="189"/>
      <c r="BS89" s="188">
        <f>IF(AND(BS88="",BT88=""),0,BS88-BT88)</f>
        <v>0</v>
      </c>
      <c r="BT89" s="189"/>
      <c r="BU89" s="14" t="str">
        <f>IF(AND(BU88="",BV88=""),"",BU88-BV88)</f>
        <v/>
      </c>
      <c r="BV89" s="13"/>
      <c r="BW89" s="16" t="str">
        <f>IF(COUNTIF(D89:BT89,"&gt;0")=0,"",COUNTIF(D89:BT89,"&gt;0"))</f>
        <v/>
      </c>
      <c r="BX89" s="3"/>
      <c r="BY89" s="3"/>
      <c r="BZ89" s="3"/>
    </row>
    <row r="90" spans="1:78" ht="14.5" x14ac:dyDescent="0.3">
      <c r="A90" s="199"/>
      <c r="B90" s="12" t="s">
        <v>280</v>
      </c>
      <c r="C90" s="186">
        <f>IF(C89="",0,(D88/89%)-(C88))</f>
        <v>0</v>
      </c>
      <c r="D90" s="187"/>
      <c r="E90" s="186">
        <f>IF(E89="",0,(F88/89%)-(E88))</f>
        <v>0</v>
      </c>
      <c r="F90" s="187"/>
      <c r="G90" s="186">
        <f>IF(G89="",0,(H88/89%)-(G88))</f>
        <v>0</v>
      </c>
      <c r="H90" s="187"/>
      <c r="I90" s="186">
        <f>IF(I89="",0,(J88/89%)-(I88))</f>
        <v>0</v>
      </c>
      <c r="J90" s="187"/>
      <c r="K90" s="186">
        <f>IF(K89="",0,(L88/89%)-(K88))</f>
        <v>0</v>
      </c>
      <c r="L90" s="187"/>
      <c r="M90" s="186">
        <f>IF(M89="",0,(N88/89%)-(M88))</f>
        <v>0</v>
      </c>
      <c r="N90" s="187"/>
      <c r="O90" s="186">
        <f>IF(O89="",0,(P88/89%)-(O88))</f>
        <v>0</v>
      </c>
      <c r="P90" s="187"/>
      <c r="Q90" s="186">
        <f>IF(Q89="",0,(R88/89%)-(Q88))</f>
        <v>0</v>
      </c>
      <c r="R90" s="187"/>
      <c r="S90" s="186">
        <f>IF(S89="",0,(T88/89%)-(S88))</f>
        <v>0</v>
      </c>
      <c r="T90" s="187"/>
      <c r="U90" s="186">
        <f>IF(U89="",0,(V88/89%)-(U88))</f>
        <v>0</v>
      </c>
      <c r="V90" s="187"/>
      <c r="W90" s="186">
        <f>IF(W89="",0,(X88/89%)-(W88))</f>
        <v>0</v>
      </c>
      <c r="X90" s="187"/>
      <c r="Y90" s="186">
        <f>IF(Y89="",0,(Z88/89%)-(Y88))</f>
        <v>0</v>
      </c>
      <c r="Z90" s="187"/>
      <c r="AA90" s="186">
        <f>IF(AA89="",0,(AB88/89%)-(AA88))</f>
        <v>0</v>
      </c>
      <c r="AB90" s="187"/>
      <c r="AC90" s="186">
        <f>IF(AC89="",0,(AD88/89%)-(AC88))</f>
        <v>0</v>
      </c>
      <c r="AD90" s="187"/>
      <c r="AE90" s="186">
        <f>IF(AE89="",0,(AF88/89%)-(AE88))</f>
        <v>0</v>
      </c>
      <c r="AF90" s="187"/>
      <c r="AG90" s="186">
        <f>IF(AG89="",0,(AH88/89%)-(AG88))</f>
        <v>0</v>
      </c>
      <c r="AH90" s="187"/>
      <c r="AI90" s="186">
        <f>IF(AI89="",0,(AJ88/89%)-(AI88))</f>
        <v>0</v>
      </c>
      <c r="AJ90" s="187"/>
      <c r="AK90" s="186">
        <f>IF(AK89="",0,(AL88/89%)-(AK88))</f>
        <v>0</v>
      </c>
      <c r="AL90" s="187"/>
      <c r="AM90" s="186">
        <f>IF(AM89="",0,(AN88/89%)-(AM88))</f>
        <v>0</v>
      </c>
      <c r="AN90" s="187"/>
      <c r="AO90" s="186">
        <f>IF(AO89="",0,(AP88/89%)-(AO88))</f>
        <v>0</v>
      </c>
      <c r="AP90" s="187"/>
      <c r="AQ90" s="186">
        <f>IF(AQ89="",0,(AR88/89%)-(AQ88))</f>
        <v>0</v>
      </c>
      <c r="AR90" s="187"/>
      <c r="AS90" s="186">
        <f>IF(AS89="",0,(AT88/89%)-(AS88))</f>
        <v>0</v>
      </c>
      <c r="AT90" s="187"/>
      <c r="AU90" s="186">
        <f>IF(AU89="",0,(AV88/89%)-(AU88))</f>
        <v>0</v>
      </c>
      <c r="AV90" s="187"/>
      <c r="AW90" s="186">
        <f>IF(AW89="",0,(AX88/89%)-(AW88))</f>
        <v>0</v>
      </c>
      <c r="AX90" s="187"/>
      <c r="AY90" s="186">
        <f>IF(AY89="",0,(AZ88/89%)-(AY88))</f>
        <v>0</v>
      </c>
      <c r="AZ90" s="187"/>
      <c r="BA90" s="186">
        <f>IF(BA89="",0,(BB88/89%)-(BA88))</f>
        <v>0</v>
      </c>
      <c r="BB90" s="187"/>
      <c r="BC90" s="186">
        <f>IF(BC89="",0,(BD88/89%)-(BC88))</f>
        <v>0</v>
      </c>
      <c r="BD90" s="187"/>
      <c r="BE90" s="186">
        <f>IF(BE89="",0,(BF88/89%)-(BE88))</f>
        <v>0</v>
      </c>
      <c r="BF90" s="187"/>
      <c r="BG90" s="186">
        <f>IF(BG89="",0,(BH88/89%)-(BG88))</f>
        <v>0</v>
      </c>
      <c r="BH90" s="187"/>
      <c r="BI90" s="186">
        <f>IF(BI89="",0,(BJ88/89%)-(BI88))</f>
        <v>0</v>
      </c>
      <c r="BJ90" s="187"/>
      <c r="BK90" s="186">
        <f>IF(BK89="",0,(BL88/89%)-(BK88))</f>
        <v>0</v>
      </c>
      <c r="BL90" s="187"/>
      <c r="BM90" s="186">
        <f>IF(BM89="",0,(BN88/89%)-(BM88))</f>
        <v>0</v>
      </c>
      <c r="BN90" s="187"/>
      <c r="BO90" s="186">
        <f>IF(BO89="",0,(BP88/89%)-(BO88))</f>
        <v>0</v>
      </c>
      <c r="BP90" s="187"/>
      <c r="BQ90" s="186">
        <f>IF(BQ89="",0,(BR88/89%)-(BQ88))</f>
        <v>0</v>
      </c>
      <c r="BR90" s="187"/>
      <c r="BS90" s="186">
        <f>IF(BS89="",0,(BT88/89%)-(BS88))</f>
        <v>0</v>
      </c>
      <c r="BT90" s="187"/>
      <c r="BU90" s="17" t="str">
        <f>IF(BU89="","",(BV88/89%)-(BU88))</f>
        <v/>
      </c>
      <c r="BV90" s="13"/>
      <c r="BW90" s="18" t="str">
        <f>IF(AND(BU88="",BV88=""),"",(BU88-BV88)-BU89)</f>
        <v/>
      </c>
      <c r="BX90" s="3"/>
      <c r="BY90" s="3"/>
      <c r="BZ90" s="3"/>
    </row>
    <row r="91" spans="1:78" ht="14.5" x14ac:dyDescent="0.3">
      <c r="A91" s="199"/>
      <c r="B91" s="19" t="s">
        <v>281</v>
      </c>
      <c r="C91" s="194" t="str">
        <f>IF(C89=0,"",ABS(IFERROR((C89/C88),0)-1))</f>
        <v/>
      </c>
      <c r="D91" s="195"/>
      <c r="E91" s="194" t="str">
        <f>IF(E89=0,"",ABS(IFERROR((E89/E88),0)-1))</f>
        <v/>
      </c>
      <c r="F91" s="195"/>
      <c r="G91" s="194" t="str">
        <f>IF(G89=0,"",ABS(IFERROR((G89/G88),0)-1))</f>
        <v/>
      </c>
      <c r="H91" s="195"/>
      <c r="I91" s="194" t="str">
        <f>IF(I89=0,"",ABS(IFERROR((I89/I88),0)-1))</f>
        <v/>
      </c>
      <c r="J91" s="195"/>
      <c r="K91" s="194" t="str">
        <f>IF(K89=0,"",ABS(IFERROR((K89/K88),0)-1))</f>
        <v/>
      </c>
      <c r="L91" s="195"/>
      <c r="M91" s="194" t="str">
        <f>IF(M89=0,"",ABS(IFERROR((M89/M88),0)-1))</f>
        <v/>
      </c>
      <c r="N91" s="195"/>
      <c r="O91" s="194" t="str">
        <f>IF(O89=0,"",ABS(IFERROR((O89/O88),0)-1))</f>
        <v/>
      </c>
      <c r="P91" s="195"/>
      <c r="Q91" s="194" t="str">
        <f>IF(Q89=0,"",ABS(IFERROR((Q89/Q88),0)-1))</f>
        <v/>
      </c>
      <c r="R91" s="195"/>
      <c r="S91" s="194" t="str">
        <f>IF(S89=0,"",ABS(IFERROR((S89/S88),0)-1))</f>
        <v/>
      </c>
      <c r="T91" s="195"/>
      <c r="U91" s="194" t="str">
        <f>IF(U89=0,"",ABS(IFERROR((U89/U88),0)-1))</f>
        <v/>
      </c>
      <c r="V91" s="195"/>
      <c r="W91" s="194" t="str">
        <f>IF(W89=0,"",ABS(IFERROR((W89/W88),0)-1))</f>
        <v/>
      </c>
      <c r="X91" s="195"/>
      <c r="Y91" s="194" t="str">
        <f>IF(Y89=0,"",ABS(IFERROR((Y89/Y88),0)-1))</f>
        <v/>
      </c>
      <c r="Z91" s="195"/>
      <c r="AA91" s="194" t="str">
        <f>IF(AA89=0,"",ABS(IFERROR((AA89/AA88),0)-1))</f>
        <v/>
      </c>
      <c r="AB91" s="195"/>
      <c r="AC91" s="194" t="str">
        <f>IF(AC89=0,"",ABS(IFERROR((AC89/AC88),0)-1))</f>
        <v/>
      </c>
      <c r="AD91" s="195"/>
      <c r="AE91" s="194" t="str">
        <f>IF(AE89=0,"",ABS(IFERROR((AE89/AE88),0)-1))</f>
        <v/>
      </c>
      <c r="AF91" s="195"/>
      <c r="AG91" s="194" t="str">
        <f>IF(AG89=0,"",ABS(IFERROR((AG89/AG88),0)-1))</f>
        <v/>
      </c>
      <c r="AH91" s="195"/>
      <c r="AI91" s="194" t="str">
        <f>IF(AI89=0,"",ABS(IFERROR((AI89/AI88),0)-1))</f>
        <v/>
      </c>
      <c r="AJ91" s="195"/>
      <c r="AK91" s="194" t="str">
        <f>IF(AK89=0,"",ABS(IFERROR((AK89/AK88),0)-1))</f>
        <v/>
      </c>
      <c r="AL91" s="195"/>
      <c r="AM91" s="194" t="str">
        <f>IF(AM89=0,"",ABS(IFERROR((AM89/AM88),0)-1))</f>
        <v/>
      </c>
      <c r="AN91" s="195"/>
      <c r="AO91" s="194" t="str">
        <f>IF(AO89=0,"",ABS(IFERROR((AO89/AO88),0)-1))</f>
        <v/>
      </c>
      <c r="AP91" s="195"/>
      <c r="AQ91" s="194" t="str">
        <f>IF(AQ89=0,"",ABS(IFERROR((AQ89/AQ88),0)-1))</f>
        <v/>
      </c>
      <c r="AR91" s="195"/>
      <c r="AS91" s="194" t="str">
        <f>IF(AS89=0,"",ABS(IFERROR((AS89/AS88),0)-1))</f>
        <v/>
      </c>
      <c r="AT91" s="195"/>
      <c r="AU91" s="194" t="str">
        <f>IF(AU89=0,"",ABS(IFERROR((AU89/AU88),0)-1))</f>
        <v/>
      </c>
      <c r="AV91" s="195"/>
      <c r="AW91" s="194" t="str">
        <f>IF(AW89=0,"",ABS(IFERROR((AW89/AW88),0)-1))</f>
        <v/>
      </c>
      <c r="AX91" s="195"/>
      <c r="AY91" s="194" t="str">
        <f>IF(AY89=0,"",ABS(IFERROR((AY89/AY88),0)-1))</f>
        <v/>
      </c>
      <c r="AZ91" s="195"/>
      <c r="BA91" s="194" t="str">
        <f>IF(BA89=0,"",ABS(IFERROR((BA89/BA88),0)-1))</f>
        <v/>
      </c>
      <c r="BB91" s="195"/>
      <c r="BC91" s="194" t="str">
        <f>IF(BC89=0,"",ABS(IFERROR((BC89/BC88),0)-1))</f>
        <v/>
      </c>
      <c r="BD91" s="195"/>
      <c r="BE91" s="194" t="str">
        <f>IF(BE89=0,"",ABS(IFERROR((BE89/BE88),0)-1))</f>
        <v/>
      </c>
      <c r="BF91" s="195"/>
      <c r="BG91" s="194" t="str">
        <f>IF(BG89=0,"",ABS(IFERROR((BG89/BG88),0)-1))</f>
        <v/>
      </c>
      <c r="BH91" s="195"/>
      <c r="BI91" s="194" t="str">
        <f>IF(BI89=0,"",ABS(IFERROR((BI89/BI88),0)-1))</f>
        <v/>
      </c>
      <c r="BJ91" s="195"/>
      <c r="BK91" s="194" t="str">
        <f>IF(BK89=0,"",ABS(IFERROR((BK89/BK88),0)-1))</f>
        <v/>
      </c>
      <c r="BL91" s="195"/>
      <c r="BM91" s="194" t="str">
        <f>IF(BM89=0,"",ABS(IFERROR((BM89/BM88),0)-1))</f>
        <v/>
      </c>
      <c r="BN91" s="195"/>
      <c r="BO91" s="194" t="str">
        <f>IF(BO89=0,"",ABS(IFERROR((BO89/BO88),0)-1))</f>
        <v/>
      </c>
      <c r="BP91" s="195"/>
      <c r="BQ91" s="194" t="str">
        <f>IF(BQ89=0,"",ABS(IFERROR((BQ89/BQ88),0)-1))</f>
        <v/>
      </c>
      <c r="BR91" s="195"/>
      <c r="BS91" s="194" t="str">
        <f>IF(BS89=0,"",ABS(IFERROR((BS89/BS88),0)-1))</f>
        <v/>
      </c>
      <c r="BT91" s="195"/>
      <c r="BU91" s="26" t="e">
        <f>ABS(IFERROR((BU89/BU88),"")-1)</f>
        <v>#VALUE!</v>
      </c>
      <c r="BV91" s="15"/>
      <c r="BW91" s="21"/>
      <c r="BX91" s="3"/>
      <c r="BY91" s="3"/>
      <c r="BZ91" s="3"/>
    </row>
    <row r="92" spans="1:78" ht="15" thickBot="1" x14ac:dyDescent="0.35">
      <c r="A92" s="181"/>
      <c r="B92" s="22" t="s">
        <v>177</v>
      </c>
      <c r="C92" s="196" t="str">
        <f>IF(C91="","", IF(C91&lt;89%,"OVER STANDART",IF(C91=89%,"GOOD","UNDER STANDART")))</f>
        <v/>
      </c>
      <c r="D92" s="197"/>
      <c r="E92" s="196" t="str">
        <f>IF(E91="","", IF(E91&lt;89%,"OVER STANDART",IF(E91=89%,"GOOD","UNDER STANDART")))</f>
        <v/>
      </c>
      <c r="F92" s="197"/>
      <c r="G92" s="196" t="str">
        <f>IF(G91="","", IF(G91&lt;89%,"OVER STANDART",IF(G91=89%,"GOOD","UNDER STANDART")))</f>
        <v/>
      </c>
      <c r="H92" s="197"/>
      <c r="I92" s="196" t="str">
        <f>IF(I91="","", IF(I91&lt;89%,"OVER STANDART",IF(I91=89%,"GOOD","UNDER STANDART")))</f>
        <v/>
      </c>
      <c r="J92" s="197"/>
      <c r="K92" s="196" t="str">
        <f>IF(K91="","", IF(K91&lt;89%,"OVER STANDART",IF(K91=89%,"GOOD","UNDER STANDART")))</f>
        <v/>
      </c>
      <c r="L92" s="197"/>
      <c r="M92" s="196" t="str">
        <f>IF(M91="","", IF(M91&lt;89%,"OVER STANDART",IF(M91=89%,"GOOD","UNDER STANDART")))</f>
        <v/>
      </c>
      <c r="N92" s="197"/>
      <c r="O92" s="196" t="str">
        <f>IF(O91="","", IF(O91&lt;89%,"OVER STANDART",IF(O91=89%,"GOOD","UNDER STANDART")))</f>
        <v/>
      </c>
      <c r="P92" s="197"/>
      <c r="Q92" s="196" t="str">
        <f>IF(Q91="","", IF(Q91&lt;89%,"OVER STANDART",IF(Q91=89%,"GOOD","UNDER STANDART")))</f>
        <v/>
      </c>
      <c r="R92" s="197"/>
      <c r="S92" s="196" t="str">
        <f>IF(S91="","", IF(S91&lt;89%,"OVER STANDART",IF(S91=89%,"GOOD","UNDER STANDART")))</f>
        <v/>
      </c>
      <c r="T92" s="197"/>
      <c r="U92" s="196" t="str">
        <f>IF(U91="","", IF(U91&lt;89%,"OVER STANDART",IF(U91=89%,"GOOD","UNDER STANDART")))</f>
        <v/>
      </c>
      <c r="V92" s="197"/>
      <c r="W92" s="196" t="str">
        <f>IF(W91="","", IF(W91&lt;89%,"OVER STANDART",IF(W91=89%,"GOOD","UNDER STANDART")))</f>
        <v/>
      </c>
      <c r="X92" s="197"/>
      <c r="Y92" s="196" t="str">
        <f>IF(Y91="","", IF(Y91&lt;89%,"OVER STANDART",IF(Y91=89%,"GOOD","UNDER STANDART")))</f>
        <v/>
      </c>
      <c r="Z92" s="197"/>
      <c r="AA92" s="196" t="str">
        <f>IF(AA91="","", IF(AA91&lt;89%,"OVER STANDART",IF(AA91=89%,"GOOD","UNDER STANDART")))</f>
        <v/>
      </c>
      <c r="AB92" s="197"/>
      <c r="AC92" s="196" t="str">
        <f>IF(AC91="","", IF(AC91&lt;89%,"OVER STANDART",IF(AC91=89%,"GOOD","UNDER STANDART")))</f>
        <v/>
      </c>
      <c r="AD92" s="197"/>
      <c r="AE92" s="196" t="str">
        <f>IF(AE91="","", IF(AE91&lt;89%,"OVER STANDART",IF(AE91=89%,"GOOD","UNDER STANDART")))</f>
        <v/>
      </c>
      <c r="AF92" s="197"/>
      <c r="AG92" s="196" t="str">
        <f>IF(AG91="","", IF(AG91&lt;89%,"OVER STANDART",IF(AG91=89%,"GOOD","UNDER STANDART")))</f>
        <v/>
      </c>
      <c r="AH92" s="197"/>
      <c r="AI92" s="196" t="str">
        <f>IF(AI91="","", IF(AI91&lt;89%,"OVER STANDART",IF(AI91=89%,"GOOD","UNDER STANDART")))</f>
        <v/>
      </c>
      <c r="AJ92" s="197"/>
      <c r="AK92" s="196" t="str">
        <f>IF(AK91="","", IF(AK91&lt;89%,"OVER STANDART",IF(AK91=89%,"GOOD","UNDER STANDART")))</f>
        <v/>
      </c>
      <c r="AL92" s="197"/>
      <c r="AM92" s="196" t="str">
        <f>IF(AM91="","", IF(AM91&lt;89%,"OVER STANDART",IF(AM91=89%,"GOOD","UNDER STANDART")))</f>
        <v/>
      </c>
      <c r="AN92" s="197"/>
      <c r="AO92" s="196" t="str">
        <f>IF(AO91="","", IF(AO91&lt;89%,"OVER STANDART",IF(AO91=89%,"GOOD","UNDER STANDART")))</f>
        <v/>
      </c>
      <c r="AP92" s="197"/>
      <c r="AQ92" s="196" t="str">
        <f>IF(AQ91="","", IF(AQ91&lt;89%,"OVER STANDART",IF(AQ91=89%,"GOOD","UNDER STANDART")))</f>
        <v/>
      </c>
      <c r="AR92" s="197"/>
      <c r="AS92" s="196" t="str">
        <f>IF(AS91="","", IF(AS91&lt;89%,"OVER STANDART",IF(AS91=89%,"GOOD","UNDER STANDART")))</f>
        <v/>
      </c>
      <c r="AT92" s="197"/>
      <c r="AU92" s="196" t="str">
        <f>IF(AU91="","", IF(AU91&lt;89%,"OVER STANDART",IF(AU91=89%,"GOOD","UNDER STANDART")))</f>
        <v/>
      </c>
      <c r="AV92" s="197"/>
      <c r="AW92" s="196" t="str">
        <f>IF(AW91="","", IF(AW91&lt;89%,"OVER STANDART",IF(AW91=89%,"GOOD","UNDER STANDART")))</f>
        <v/>
      </c>
      <c r="AX92" s="197"/>
      <c r="AY92" s="196" t="str">
        <f>IF(AY91="","", IF(AY91&lt;89%,"OVER STANDART",IF(AY91=89%,"GOOD","UNDER STANDART")))</f>
        <v/>
      </c>
      <c r="AZ92" s="197"/>
      <c r="BA92" s="196" t="str">
        <f>IF(BA91="","", IF(BA91&lt;89%,"OVER STANDART",IF(BA91=89%,"GOOD","UNDER STANDART")))</f>
        <v/>
      </c>
      <c r="BB92" s="197"/>
      <c r="BC92" s="196" t="str">
        <f>IF(BC91="","", IF(BC91&lt;89%,"OVER STANDART",IF(BC91=89%,"GOOD","UNDER STANDART")))</f>
        <v/>
      </c>
      <c r="BD92" s="197"/>
      <c r="BE92" s="196" t="str">
        <f>IF(BE91="","", IF(BE91&lt;89%,"OVER STANDART",IF(BE91=89%,"GOOD","UNDER STANDART")))</f>
        <v/>
      </c>
      <c r="BF92" s="197"/>
      <c r="BG92" s="196" t="str">
        <f>IF(BG91="","", IF(BG91&lt;89%,"OVER STANDART",IF(BG91=89%,"GOOD","UNDER STANDART")))</f>
        <v/>
      </c>
      <c r="BH92" s="197"/>
      <c r="BI92" s="196" t="str">
        <f>IF(BI91="","", IF(BI91&lt;89%,"OVER STANDART",IF(BI91=89%,"GOOD","UNDER STANDART")))</f>
        <v/>
      </c>
      <c r="BJ92" s="197"/>
      <c r="BK92" s="196" t="str">
        <f>IF(BK91="","", IF(BK91&lt;89%,"OVER STANDART",IF(BK91=89%,"GOOD","UNDER STANDART")))</f>
        <v/>
      </c>
      <c r="BL92" s="197"/>
      <c r="BM92" s="196" t="str">
        <f>IF(BM91="","", IF(BM91&lt;89%,"OVER STANDART",IF(BM91=89%,"GOOD","UNDER STANDART")))</f>
        <v/>
      </c>
      <c r="BN92" s="197"/>
      <c r="BO92" s="196" t="str">
        <f>IF(BO91="","", IF(BO91&lt;89%,"OVER STANDART",IF(BO91=89%,"GOOD","UNDER STANDART")))</f>
        <v/>
      </c>
      <c r="BP92" s="197"/>
      <c r="BQ92" s="196" t="str">
        <f>IF(BQ91="","", IF(BQ91&lt;89%,"OVER STANDART",IF(BQ91=89%,"GOOD","UNDER STANDART")))</f>
        <v/>
      </c>
      <c r="BR92" s="197"/>
      <c r="BS92" s="196" t="str">
        <f>IF(BS91="","", IF(BS91&lt;89%,"OVER STANDART",IF(BS91=89%,"GOOD","UNDER STANDART")))</f>
        <v/>
      </c>
      <c r="BT92" s="197"/>
      <c r="BU92" s="24" t="e">
        <f>IF(BU91="","", IF(BU91&lt;89%,"OVER STANDART",IF(BU91=89%,"GOOD","UNDER STANDART")))</f>
        <v>#VALUE!</v>
      </c>
      <c r="BV92" s="23"/>
      <c r="BW92" s="25"/>
      <c r="BX92" s="3"/>
      <c r="BY92" s="3"/>
      <c r="BZ92" s="3"/>
    </row>
    <row r="93" spans="1:78" ht="14.5" x14ac:dyDescent="0.3">
      <c r="A93" s="198">
        <f>A88+1</f>
        <v>19</v>
      </c>
      <c r="B93" s="7" t="s">
        <v>278</v>
      </c>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9" t="str">
        <f>IF(SUMIF($C$2:$BT$2,"FRESH",C93:BT93)=0,"",SUMIF($C$2:$BT$2,"FRESH",C93:BT93))</f>
        <v/>
      </c>
      <c r="BV93" s="10" t="str">
        <f>IF(SUMIF($C$2:$BT$2,"GILING",C93:BT93)=0,"",SUMIF($C$2:$BT$2,"GILING",C93:BT93))</f>
        <v/>
      </c>
      <c r="BW93" s="11"/>
      <c r="BX93" s="3"/>
      <c r="BY93" s="3"/>
      <c r="BZ93" s="3"/>
    </row>
    <row r="94" spans="1:78" x14ac:dyDescent="0.3">
      <c r="A94" s="199"/>
      <c r="B94" s="12" t="s">
        <v>279</v>
      </c>
      <c r="C94" s="188">
        <f>IF(AND(C93="",D93=""),0,C93-D93)</f>
        <v>0</v>
      </c>
      <c r="D94" s="189"/>
      <c r="E94" s="188">
        <f>IF(AND(E93="",F93=""),0,E93-F93)</f>
        <v>0</v>
      </c>
      <c r="F94" s="189"/>
      <c r="G94" s="188">
        <f>IF(AND(G93="",H93=""),0,G93-H93)</f>
        <v>0</v>
      </c>
      <c r="H94" s="189"/>
      <c r="I94" s="188">
        <f>IF(AND(I93="",J93=""),0,I93-J93)</f>
        <v>0</v>
      </c>
      <c r="J94" s="189"/>
      <c r="K94" s="188">
        <f>IF(AND(K93="",L93=""),0,K93-L93)</f>
        <v>0</v>
      </c>
      <c r="L94" s="189"/>
      <c r="M94" s="188">
        <f>IF(AND(M93="",N93=""),0,M93-N93)</f>
        <v>0</v>
      </c>
      <c r="N94" s="189"/>
      <c r="O94" s="188">
        <f>IF(AND(O93="",P93=""),0,O93-P93)</f>
        <v>0</v>
      </c>
      <c r="P94" s="189"/>
      <c r="Q94" s="188">
        <f>IF(AND(Q93="",R93=""),0,Q93-R93)</f>
        <v>0</v>
      </c>
      <c r="R94" s="189"/>
      <c r="S94" s="188">
        <f>IF(AND(S93="",T93=""),0,S93-T93)</f>
        <v>0</v>
      </c>
      <c r="T94" s="189"/>
      <c r="U94" s="188">
        <f>IF(AND(U93="",V93=""),0,U93-V93)</f>
        <v>0</v>
      </c>
      <c r="V94" s="189"/>
      <c r="W94" s="188">
        <f>IF(AND(W93="",X93=""),0,W93-X93)</f>
        <v>0</v>
      </c>
      <c r="X94" s="189"/>
      <c r="Y94" s="188">
        <f>IF(AND(Y93="",Z93=""),0,Y93-Z93)</f>
        <v>0</v>
      </c>
      <c r="Z94" s="189"/>
      <c r="AA94" s="188">
        <f>IF(AND(AA93="",AB93=""),0,AA93-AB93)</f>
        <v>0</v>
      </c>
      <c r="AB94" s="189"/>
      <c r="AC94" s="188">
        <f>IF(AND(AC93="",AD93=""),0,AC93-AD93)</f>
        <v>0</v>
      </c>
      <c r="AD94" s="189"/>
      <c r="AE94" s="188">
        <f>IF(AND(AE93="",AF93=""),0,AE93-AF93)</f>
        <v>0</v>
      </c>
      <c r="AF94" s="189"/>
      <c r="AG94" s="188">
        <f>IF(AND(AG93="",AH93=""),0,AG93-AH93)</f>
        <v>0</v>
      </c>
      <c r="AH94" s="189"/>
      <c r="AI94" s="188">
        <f>IF(AND(AI93="",AJ93=""),0,AI93-AJ93)</f>
        <v>0</v>
      </c>
      <c r="AJ94" s="189"/>
      <c r="AK94" s="188">
        <f>IF(AND(AK93="",AL93=""),0,AK93-AL93)</f>
        <v>0</v>
      </c>
      <c r="AL94" s="189"/>
      <c r="AM94" s="188">
        <f>IF(AND(AM93="",AN93=""),0,AM93-AN93)</f>
        <v>0</v>
      </c>
      <c r="AN94" s="189"/>
      <c r="AO94" s="188">
        <f>IF(AND(AO93="",AP93=""),0,AO93-AP93)</f>
        <v>0</v>
      </c>
      <c r="AP94" s="189"/>
      <c r="AQ94" s="188">
        <f>IF(AND(AQ93="",AR93=""),0,AQ93-AR93)</f>
        <v>0</v>
      </c>
      <c r="AR94" s="189"/>
      <c r="AS94" s="188">
        <f>IF(AND(AS93="",AT93=""),0,AS93-AT93)</f>
        <v>0</v>
      </c>
      <c r="AT94" s="189"/>
      <c r="AU94" s="188">
        <f>IF(AND(AU93="",AV93=""),0,AU93-AV93)</f>
        <v>0</v>
      </c>
      <c r="AV94" s="189"/>
      <c r="AW94" s="188">
        <f>IF(AND(AW93="",AX93=""),0,AW93-AX93)</f>
        <v>0</v>
      </c>
      <c r="AX94" s="189"/>
      <c r="AY94" s="188">
        <f>IF(AND(AY93="",AZ93=""),0,AY93-AZ93)</f>
        <v>0</v>
      </c>
      <c r="AZ94" s="189"/>
      <c r="BA94" s="188">
        <f>IF(AND(BA93="",BB93=""),0,BA93-BB93)</f>
        <v>0</v>
      </c>
      <c r="BB94" s="189"/>
      <c r="BC94" s="188">
        <f>IF(AND(BC93="",BD93=""),0,BC93-BD93)</f>
        <v>0</v>
      </c>
      <c r="BD94" s="189"/>
      <c r="BE94" s="188">
        <f>IF(AND(BE93="",BF93=""),0,BE93-BF93)</f>
        <v>0</v>
      </c>
      <c r="BF94" s="189"/>
      <c r="BG94" s="188">
        <f>IF(AND(BG93="",BH93=""),0,BG93-BH93)</f>
        <v>0</v>
      </c>
      <c r="BH94" s="189"/>
      <c r="BI94" s="188">
        <f>IF(AND(BI93="",BJ93=""),0,BI93-BJ93)</f>
        <v>0</v>
      </c>
      <c r="BJ94" s="189"/>
      <c r="BK94" s="188">
        <f>IF(AND(BK93="",BL93=""),0,BK93-BL93)</f>
        <v>0</v>
      </c>
      <c r="BL94" s="189"/>
      <c r="BM94" s="188">
        <f>IF(AND(BM93="",BN93=""),0,BM93-BN93)</f>
        <v>0</v>
      </c>
      <c r="BN94" s="189"/>
      <c r="BO94" s="188">
        <f>IF(AND(BO93="",BP93=""),0,BO93-BP93)</f>
        <v>0</v>
      </c>
      <c r="BP94" s="189"/>
      <c r="BQ94" s="188">
        <f>IF(AND(BQ93="",BR93=""),0,BQ93-BR93)</f>
        <v>0</v>
      </c>
      <c r="BR94" s="189"/>
      <c r="BS94" s="188">
        <f>IF(AND(BS93="",BT93=""),0,BS93-BT93)</f>
        <v>0</v>
      </c>
      <c r="BT94" s="189"/>
      <c r="BU94" s="14" t="str">
        <f>IF(AND(BU93="",BV93=""),"",BU93-BV93)</f>
        <v/>
      </c>
      <c r="BV94" s="13"/>
      <c r="BW94" s="16" t="str">
        <f>IF(COUNTIF(D94:BT94,"&gt;0")=0,"",COUNTIF(D94:BT94,"&gt;0"))</f>
        <v/>
      </c>
      <c r="BX94" s="3"/>
      <c r="BY94" s="3"/>
      <c r="BZ94" s="3"/>
    </row>
    <row r="95" spans="1:78" ht="14.5" x14ac:dyDescent="0.3">
      <c r="A95" s="199"/>
      <c r="B95" s="12" t="s">
        <v>280</v>
      </c>
      <c r="C95" s="186">
        <f>IF(C94="",0,(D93/89%)-(C93))</f>
        <v>0</v>
      </c>
      <c r="D95" s="187"/>
      <c r="E95" s="186">
        <f>IF(E94="",0,(F93/89%)-(E93))</f>
        <v>0</v>
      </c>
      <c r="F95" s="187"/>
      <c r="G95" s="186">
        <f>IF(G94="",0,(H93/89%)-(G93))</f>
        <v>0</v>
      </c>
      <c r="H95" s="187"/>
      <c r="I95" s="186">
        <f>IF(I94="",0,(J93/89%)-(I93))</f>
        <v>0</v>
      </c>
      <c r="J95" s="187"/>
      <c r="K95" s="186">
        <f>IF(K94="",0,(L93/89%)-(K93))</f>
        <v>0</v>
      </c>
      <c r="L95" s="187"/>
      <c r="M95" s="186">
        <f>IF(M94="",0,(N93/89%)-(M93))</f>
        <v>0</v>
      </c>
      <c r="N95" s="187"/>
      <c r="O95" s="186">
        <f>IF(O94="",0,(P93/89%)-(O93))</f>
        <v>0</v>
      </c>
      <c r="P95" s="187"/>
      <c r="Q95" s="186">
        <f>IF(Q94="",0,(R93/89%)-(Q93))</f>
        <v>0</v>
      </c>
      <c r="R95" s="187"/>
      <c r="S95" s="186">
        <f>IF(S94="",0,(T93/89%)-(S93))</f>
        <v>0</v>
      </c>
      <c r="T95" s="187"/>
      <c r="U95" s="186">
        <f>IF(U94="",0,(V93/89%)-(U93))</f>
        <v>0</v>
      </c>
      <c r="V95" s="187"/>
      <c r="W95" s="186">
        <f>IF(W94="",0,(X93/89%)-(W93))</f>
        <v>0</v>
      </c>
      <c r="X95" s="187"/>
      <c r="Y95" s="186">
        <f>IF(Y94="",0,(Z93/89%)-(Y93))</f>
        <v>0</v>
      </c>
      <c r="Z95" s="187"/>
      <c r="AA95" s="186">
        <f>IF(AA94="",0,(AB93/89%)-(AA93))</f>
        <v>0</v>
      </c>
      <c r="AB95" s="187"/>
      <c r="AC95" s="186">
        <f>IF(AC94="",0,(AD93/89%)-(AC93))</f>
        <v>0</v>
      </c>
      <c r="AD95" s="187"/>
      <c r="AE95" s="186">
        <f>IF(AE94="",0,(AF93/89%)-(AE93))</f>
        <v>0</v>
      </c>
      <c r="AF95" s="187"/>
      <c r="AG95" s="186">
        <f>IF(AG94="",0,(AH93/89%)-(AG93))</f>
        <v>0</v>
      </c>
      <c r="AH95" s="187"/>
      <c r="AI95" s="186">
        <f>IF(AI94="",0,(AJ93/89%)-(AI93))</f>
        <v>0</v>
      </c>
      <c r="AJ95" s="187"/>
      <c r="AK95" s="186">
        <f>IF(AK94="",0,(AL93/89%)-(AK93))</f>
        <v>0</v>
      </c>
      <c r="AL95" s="187"/>
      <c r="AM95" s="186">
        <f>IF(AM94="",0,(AN93/89%)-(AM93))</f>
        <v>0</v>
      </c>
      <c r="AN95" s="187"/>
      <c r="AO95" s="186">
        <f>IF(AO94="",0,(AP93/89%)-(AO93))</f>
        <v>0</v>
      </c>
      <c r="AP95" s="187"/>
      <c r="AQ95" s="186">
        <f>IF(AQ94="",0,(AR93/89%)-(AQ93))</f>
        <v>0</v>
      </c>
      <c r="AR95" s="187"/>
      <c r="AS95" s="186">
        <f>IF(AS94="",0,(AT93/89%)-(AS93))</f>
        <v>0</v>
      </c>
      <c r="AT95" s="187"/>
      <c r="AU95" s="186">
        <f>IF(AU94="",0,(AV93/89%)-(AU93))</f>
        <v>0</v>
      </c>
      <c r="AV95" s="187"/>
      <c r="AW95" s="186">
        <f>IF(AW94="",0,(AX93/89%)-(AW93))</f>
        <v>0</v>
      </c>
      <c r="AX95" s="187"/>
      <c r="AY95" s="186">
        <f>IF(AY94="",0,(AZ93/89%)-(AY93))</f>
        <v>0</v>
      </c>
      <c r="AZ95" s="187"/>
      <c r="BA95" s="186">
        <f>IF(BA94="",0,(BB93/89%)-(BA93))</f>
        <v>0</v>
      </c>
      <c r="BB95" s="187"/>
      <c r="BC95" s="186">
        <f>IF(BC94="",0,(BD93/89%)-(BC93))</f>
        <v>0</v>
      </c>
      <c r="BD95" s="187"/>
      <c r="BE95" s="186">
        <f>IF(BE94="",0,(BF93/89%)-(BE93))</f>
        <v>0</v>
      </c>
      <c r="BF95" s="187"/>
      <c r="BG95" s="186">
        <f>IF(BG94="",0,(BH93/89%)-(BG93))</f>
        <v>0</v>
      </c>
      <c r="BH95" s="187"/>
      <c r="BI95" s="186">
        <f>IF(BI94="",0,(BJ93/89%)-(BI93))</f>
        <v>0</v>
      </c>
      <c r="BJ95" s="187"/>
      <c r="BK95" s="186">
        <f>IF(BK94="",0,(BL93/89%)-(BK93))</f>
        <v>0</v>
      </c>
      <c r="BL95" s="187"/>
      <c r="BM95" s="186">
        <f>IF(BM94="",0,(BN93/89%)-(BM93))</f>
        <v>0</v>
      </c>
      <c r="BN95" s="187"/>
      <c r="BO95" s="186">
        <f>IF(BO94="",0,(BP93/89%)-(BO93))</f>
        <v>0</v>
      </c>
      <c r="BP95" s="187"/>
      <c r="BQ95" s="186">
        <f>IF(BQ94="",0,(BR93/89%)-(BQ93))</f>
        <v>0</v>
      </c>
      <c r="BR95" s="187"/>
      <c r="BS95" s="186">
        <f>IF(BS94="",0,(BT93/89%)-(BS93))</f>
        <v>0</v>
      </c>
      <c r="BT95" s="187"/>
      <c r="BU95" s="17" t="str">
        <f>IF(BU94="","",(BV93/89%)-(BU93))</f>
        <v/>
      </c>
      <c r="BV95" s="13"/>
      <c r="BW95" s="18" t="str">
        <f>IF(AND(BU93="",BV93=""),"",(BU93-BV93)-BU94)</f>
        <v/>
      </c>
      <c r="BX95" s="3"/>
      <c r="BY95" s="3"/>
      <c r="BZ95" s="3"/>
    </row>
    <row r="96" spans="1:78" ht="14.5" x14ac:dyDescent="0.3">
      <c r="A96" s="199"/>
      <c r="B96" s="19" t="s">
        <v>281</v>
      </c>
      <c r="C96" s="194" t="str">
        <f>IF(C94=0,"",ABS(IFERROR((C94/C93),0)-1))</f>
        <v/>
      </c>
      <c r="D96" s="195"/>
      <c r="E96" s="194" t="str">
        <f>IF(E94=0,"",ABS(IFERROR((E94/E93),0)-1))</f>
        <v/>
      </c>
      <c r="F96" s="195"/>
      <c r="G96" s="194" t="str">
        <f>IF(G94=0,"",ABS(IFERROR((G94/G93),0)-1))</f>
        <v/>
      </c>
      <c r="H96" s="195"/>
      <c r="I96" s="194" t="str">
        <f>IF(I94=0,"",ABS(IFERROR((I94/I93),0)-1))</f>
        <v/>
      </c>
      <c r="J96" s="195"/>
      <c r="K96" s="194" t="str">
        <f>IF(K94=0,"",ABS(IFERROR((K94/K93),0)-1))</f>
        <v/>
      </c>
      <c r="L96" s="195"/>
      <c r="M96" s="194" t="str">
        <f>IF(M94=0,"",ABS(IFERROR((M94/M93),0)-1))</f>
        <v/>
      </c>
      <c r="N96" s="195"/>
      <c r="O96" s="194" t="str">
        <f>IF(O94=0,"",ABS(IFERROR((O94/O93),0)-1))</f>
        <v/>
      </c>
      <c r="P96" s="195"/>
      <c r="Q96" s="194" t="str">
        <f>IF(Q94=0,"",ABS(IFERROR((Q94/Q93),0)-1))</f>
        <v/>
      </c>
      <c r="R96" s="195"/>
      <c r="S96" s="194" t="str">
        <f>IF(S94=0,"",ABS(IFERROR((S94/S93),0)-1))</f>
        <v/>
      </c>
      <c r="T96" s="195"/>
      <c r="U96" s="194" t="str">
        <f>IF(U94=0,"",ABS(IFERROR((U94/U93),0)-1))</f>
        <v/>
      </c>
      <c r="V96" s="195"/>
      <c r="W96" s="194" t="str">
        <f>IF(W94=0,"",ABS(IFERROR((W94/W93),0)-1))</f>
        <v/>
      </c>
      <c r="X96" s="195"/>
      <c r="Y96" s="194" t="str">
        <f>IF(Y94=0,"",ABS(IFERROR((Y94/Y93),0)-1))</f>
        <v/>
      </c>
      <c r="Z96" s="195"/>
      <c r="AA96" s="194" t="str">
        <f>IF(AA94=0,"",ABS(IFERROR((AA94/AA93),0)-1))</f>
        <v/>
      </c>
      <c r="AB96" s="195"/>
      <c r="AC96" s="194" t="str">
        <f>IF(AC94=0,"",ABS(IFERROR((AC94/AC93),0)-1))</f>
        <v/>
      </c>
      <c r="AD96" s="195"/>
      <c r="AE96" s="194" t="str">
        <f>IF(AE94=0,"",ABS(IFERROR((AE94/AE93),0)-1))</f>
        <v/>
      </c>
      <c r="AF96" s="195"/>
      <c r="AG96" s="194" t="str">
        <f>IF(AG94=0,"",ABS(IFERROR((AG94/AG93),0)-1))</f>
        <v/>
      </c>
      <c r="AH96" s="195"/>
      <c r="AI96" s="194" t="str">
        <f>IF(AI94=0,"",ABS(IFERROR((AI94/AI93),0)-1))</f>
        <v/>
      </c>
      <c r="AJ96" s="195"/>
      <c r="AK96" s="194" t="str">
        <f>IF(AK94=0,"",ABS(IFERROR((AK94/AK93),0)-1))</f>
        <v/>
      </c>
      <c r="AL96" s="195"/>
      <c r="AM96" s="194" t="str">
        <f>IF(AM94=0,"",ABS(IFERROR((AM94/AM93),0)-1))</f>
        <v/>
      </c>
      <c r="AN96" s="195"/>
      <c r="AO96" s="194" t="str">
        <f>IF(AO94=0,"",ABS(IFERROR((AO94/AO93),0)-1))</f>
        <v/>
      </c>
      <c r="AP96" s="195"/>
      <c r="AQ96" s="194" t="str">
        <f>IF(AQ94=0,"",ABS(IFERROR((AQ94/AQ93),0)-1))</f>
        <v/>
      </c>
      <c r="AR96" s="195"/>
      <c r="AS96" s="194" t="str">
        <f>IF(AS94=0,"",ABS(IFERROR((AS94/AS93),0)-1))</f>
        <v/>
      </c>
      <c r="AT96" s="195"/>
      <c r="AU96" s="194" t="str">
        <f>IF(AU94=0,"",ABS(IFERROR((AU94/AU93),0)-1))</f>
        <v/>
      </c>
      <c r="AV96" s="195"/>
      <c r="AW96" s="194" t="str">
        <f>IF(AW94=0,"",ABS(IFERROR((AW94/AW93),0)-1))</f>
        <v/>
      </c>
      <c r="AX96" s="195"/>
      <c r="AY96" s="194" t="str">
        <f>IF(AY94=0,"",ABS(IFERROR((AY94/AY93),0)-1))</f>
        <v/>
      </c>
      <c r="AZ96" s="195"/>
      <c r="BA96" s="194" t="str">
        <f>IF(BA94=0,"",ABS(IFERROR((BA94/BA93),0)-1))</f>
        <v/>
      </c>
      <c r="BB96" s="195"/>
      <c r="BC96" s="194" t="str">
        <f>IF(BC94=0,"",ABS(IFERROR((BC94/BC93),0)-1))</f>
        <v/>
      </c>
      <c r="BD96" s="195"/>
      <c r="BE96" s="194" t="str">
        <f>IF(BE94=0,"",ABS(IFERROR((BE94/BE93),0)-1))</f>
        <v/>
      </c>
      <c r="BF96" s="195"/>
      <c r="BG96" s="194" t="str">
        <f>IF(BG94=0,"",ABS(IFERROR((BG94/BG93),0)-1))</f>
        <v/>
      </c>
      <c r="BH96" s="195"/>
      <c r="BI96" s="194" t="str">
        <f>IF(BI94=0,"",ABS(IFERROR((BI94/BI93),0)-1))</f>
        <v/>
      </c>
      <c r="BJ96" s="195"/>
      <c r="BK96" s="194" t="str">
        <f>IF(BK94=0,"",ABS(IFERROR((BK94/BK93),0)-1))</f>
        <v/>
      </c>
      <c r="BL96" s="195"/>
      <c r="BM96" s="194" t="str">
        <f>IF(BM94=0,"",ABS(IFERROR((BM94/BM93),0)-1))</f>
        <v/>
      </c>
      <c r="BN96" s="195"/>
      <c r="BO96" s="194" t="str">
        <f>IF(BO94=0,"",ABS(IFERROR((BO94/BO93),0)-1))</f>
        <v/>
      </c>
      <c r="BP96" s="195"/>
      <c r="BQ96" s="194" t="str">
        <f>IF(BQ94=0,"",ABS(IFERROR((BQ94/BQ93),0)-1))</f>
        <v/>
      </c>
      <c r="BR96" s="195"/>
      <c r="BS96" s="194" t="str">
        <f>IF(BS94=0,"",ABS(IFERROR((BS94/BS93),0)-1))</f>
        <v/>
      </c>
      <c r="BT96" s="195"/>
      <c r="BU96" s="26" t="e">
        <f>ABS(IFERROR((BU94/BU93),"")-1)</f>
        <v>#VALUE!</v>
      </c>
      <c r="BV96" s="15"/>
      <c r="BW96" s="21"/>
      <c r="BX96" s="3"/>
      <c r="BY96" s="3"/>
      <c r="BZ96" s="3"/>
    </row>
    <row r="97" spans="1:78" ht="15" thickBot="1" x14ac:dyDescent="0.35">
      <c r="A97" s="181"/>
      <c r="B97" s="22" t="s">
        <v>177</v>
      </c>
      <c r="C97" s="196" t="str">
        <f>IF(C96="","", IF(C96&lt;89%,"OVER STANDART",IF(C96=89%,"GOOD","UNDER STANDART")))</f>
        <v/>
      </c>
      <c r="D97" s="197"/>
      <c r="E97" s="196" t="str">
        <f>IF(E96="","", IF(E96&lt;89%,"OVER STANDART",IF(E96=89%,"GOOD","UNDER STANDART")))</f>
        <v/>
      </c>
      <c r="F97" s="197"/>
      <c r="G97" s="196" t="str">
        <f>IF(G96="","", IF(G96&lt;89%,"OVER STANDART",IF(G96=89%,"GOOD","UNDER STANDART")))</f>
        <v/>
      </c>
      <c r="H97" s="197"/>
      <c r="I97" s="196" t="str">
        <f>IF(I96="","", IF(I96&lt;89%,"OVER STANDART",IF(I96=89%,"GOOD","UNDER STANDART")))</f>
        <v/>
      </c>
      <c r="J97" s="197"/>
      <c r="K97" s="196" t="str">
        <f>IF(K96="","", IF(K96&lt;89%,"OVER STANDART",IF(K96=89%,"GOOD","UNDER STANDART")))</f>
        <v/>
      </c>
      <c r="L97" s="197"/>
      <c r="M97" s="196" t="str">
        <f>IF(M96="","", IF(M96&lt;89%,"OVER STANDART",IF(M96=89%,"GOOD","UNDER STANDART")))</f>
        <v/>
      </c>
      <c r="N97" s="197"/>
      <c r="O97" s="196" t="str">
        <f>IF(O96="","", IF(O96&lt;89%,"OVER STANDART",IF(O96=89%,"GOOD","UNDER STANDART")))</f>
        <v/>
      </c>
      <c r="P97" s="197"/>
      <c r="Q97" s="196" t="str">
        <f>IF(Q96="","", IF(Q96&lt;89%,"OVER STANDART",IF(Q96=89%,"GOOD","UNDER STANDART")))</f>
        <v/>
      </c>
      <c r="R97" s="197"/>
      <c r="S97" s="196" t="str">
        <f>IF(S96="","", IF(S96&lt;89%,"OVER STANDART",IF(S96=89%,"GOOD","UNDER STANDART")))</f>
        <v/>
      </c>
      <c r="T97" s="197"/>
      <c r="U97" s="196" t="str">
        <f>IF(U96="","", IF(U96&lt;89%,"OVER STANDART",IF(U96=89%,"GOOD","UNDER STANDART")))</f>
        <v/>
      </c>
      <c r="V97" s="197"/>
      <c r="W97" s="196" t="str">
        <f>IF(W96="","", IF(W96&lt;89%,"OVER STANDART",IF(W96=89%,"GOOD","UNDER STANDART")))</f>
        <v/>
      </c>
      <c r="X97" s="197"/>
      <c r="Y97" s="196" t="str">
        <f>IF(Y96="","", IF(Y96&lt;89%,"OVER STANDART",IF(Y96=89%,"GOOD","UNDER STANDART")))</f>
        <v/>
      </c>
      <c r="Z97" s="197"/>
      <c r="AA97" s="196" t="str">
        <f>IF(AA96="","", IF(AA96&lt;89%,"OVER STANDART",IF(AA96=89%,"GOOD","UNDER STANDART")))</f>
        <v/>
      </c>
      <c r="AB97" s="197"/>
      <c r="AC97" s="196" t="str">
        <f>IF(AC96="","", IF(AC96&lt;89%,"OVER STANDART",IF(AC96=89%,"GOOD","UNDER STANDART")))</f>
        <v/>
      </c>
      <c r="AD97" s="197"/>
      <c r="AE97" s="196" t="str">
        <f>IF(AE96="","", IF(AE96&lt;89%,"OVER STANDART",IF(AE96=89%,"GOOD","UNDER STANDART")))</f>
        <v/>
      </c>
      <c r="AF97" s="197"/>
      <c r="AG97" s="196" t="str">
        <f>IF(AG96="","", IF(AG96&lt;89%,"OVER STANDART",IF(AG96=89%,"GOOD","UNDER STANDART")))</f>
        <v/>
      </c>
      <c r="AH97" s="197"/>
      <c r="AI97" s="196" t="str">
        <f>IF(AI96="","", IF(AI96&lt;89%,"OVER STANDART",IF(AI96=89%,"GOOD","UNDER STANDART")))</f>
        <v/>
      </c>
      <c r="AJ97" s="197"/>
      <c r="AK97" s="196" t="str">
        <f>IF(AK96="","", IF(AK96&lt;89%,"OVER STANDART",IF(AK96=89%,"GOOD","UNDER STANDART")))</f>
        <v/>
      </c>
      <c r="AL97" s="197"/>
      <c r="AM97" s="196" t="str">
        <f>IF(AM96="","", IF(AM96&lt;89%,"OVER STANDART",IF(AM96=89%,"GOOD","UNDER STANDART")))</f>
        <v/>
      </c>
      <c r="AN97" s="197"/>
      <c r="AO97" s="196" t="str">
        <f>IF(AO96="","", IF(AO96&lt;89%,"OVER STANDART",IF(AO96=89%,"GOOD","UNDER STANDART")))</f>
        <v/>
      </c>
      <c r="AP97" s="197"/>
      <c r="AQ97" s="196" t="str">
        <f>IF(AQ96="","", IF(AQ96&lt;89%,"OVER STANDART",IF(AQ96=89%,"GOOD","UNDER STANDART")))</f>
        <v/>
      </c>
      <c r="AR97" s="197"/>
      <c r="AS97" s="196" t="str">
        <f>IF(AS96="","", IF(AS96&lt;89%,"OVER STANDART",IF(AS96=89%,"GOOD","UNDER STANDART")))</f>
        <v/>
      </c>
      <c r="AT97" s="197"/>
      <c r="AU97" s="196" t="str">
        <f>IF(AU96="","", IF(AU96&lt;89%,"OVER STANDART",IF(AU96=89%,"GOOD","UNDER STANDART")))</f>
        <v/>
      </c>
      <c r="AV97" s="197"/>
      <c r="AW97" s="196" t="str">
        <f>IF(AW96="","", IF(AW96&lt;89%,"OVER STANDART",IF(AW96=89%,"GOOD","UNDER STANDART")))</f>
        <v/>
      </c>
      <c r="AX97" s="197"/>
      <c r="AY97" s="196" t="str">
        <f>IF(AY96="","", IF(AY96&lt;89%,"OVER STANDART",IF(AY96=89%,"GOOD","UNDER STANDART")))</f>
        <v/>
      </c>
      <c r="AZ97" s="197"/>
      <c r="BA97" s="196" t="str">
        <f>IF(BA96="","", IF(BA96&lt;89%,"OVER STANDART",IF(BA96=89%,"GOOD","UNDER STANDART")))</f>
        <v/>
      </c>
      <c r="BB97" s="197"/>
      <c r="BC97" s="196" t="str">
        <f>IF(BC96="","", IF(BC96&lt;89%,"OVER STANDART",IF(BC96=89%,"GOOD","UNDER STANDART")))</f>
        <v/>
      </c>
      <c r="BD97" s="197"/>
      <c r="BE97" s="196" t="str">
        <f>IF(BE96="","", IF(BE96&lt;89%,"OVER STANDART",IF(BE96=89%,"GOOD","UNDER STANDART")))</f>
        <v/>
      </c>
      <c r="BF97" s="197"/>
      <c r="BG97" s="196" t="str">
        <f>IF(BG96="","", IF(BG96&lt;89%,"OVER STANDART",IF(BG96=89%,"GOOD","UNDER STANDART")))</f>
        <v/>
      </c>
      <c r="BH97" s="197"/>
      <c r="BI97" s="196" t="str">
        <f>IF(BI96="","", IF(BI96&lt;89%,"OVER STANDART",IF(BI96=89%,"GOOD","UNDER STANDART")))</f>
        <v/>
      </c>
      <c r="BJ97" s="197"/>
      <c r="BK97" s="196" t="str">
        <f>IF(BK96="","", IF(BK96&lt;89%,"OVER STANDART",IF(BK96=89%,"GOOD","UNDER STANDART")))</f>
        <v/>
      </c>
      <c r="BL97" s="197"/>
      <c r="BM97" s="196" t="str">
        <f>IF(BM96="","", IF(BM96&lt;89%,"OVER STANDART",IF(BM96=89%,"GOOD","UNDER STANDART")))</f>
        <v/>
      </c>
      <c r="BN97" s="197"/>
      <c r="BO97" s="196" t="str">
        <f>IF(BO96="","", IF(BO96&lt;89%,"OVER STANDART",IF(BO96=89%,"GOOD","UNDER STANDART")))</f>
        <v/>
      </c>
      <c r="BP97" s="197"/>
      <c r="BQ97" s="196" t="str">
        <f>IF(BQ96="","", IF(BQ96&lt;89%,"OVER STANDART",IF(BQ96=89%,"GOOD","UNDER STANDART")))</f>
        <v/>
      </c>
      <c r="BR97" s="197"/>
      <c r="BS97" s="196" t="str">
        <f>IF(BS96="","", IF(BS96&lt;89%,"OVER STANDART",IF(BS96=89%,"GOOD","UNDER STANDART")))</f>
        <v/>
      </c>
      <c r="BT97" s="197"/>
      <c r="BU97" s="24" t="e">
        <f>IF(BU96="","", IF(BU96&lt;89%,"OVER STANDART",IF(BU96=89%,"GOOD","UNDER STANDART")))</f>
        <v>#VALUE!</v>
      </c>
      <c r="BV97" s="23"/>
      <c r="BW97" s="25"/>
      <c r="BX97" s="3"/>
      <c r="BY97" s="3"/>
      <c r="BZ97" s="3"/>
    </row>
    <row r="98" spans="1:78" ht="14.5" x14ac:dyDescent="0.3">
      <c r="A98" s="198">
        <f>A93+1</f>
        <v>20</v>
      </c>
      <c r="B98" s="7" t="s">
        <v>278</v>
      </c>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9" t="str">
        <f>IF(SUMIF($C$2:$BT$2,"FRESH",C98:BT98)=0,"",SUMIF($C$2:$BT$2,"FRESH",C98:BT98))</f>
        <v/>
      </c>
      <c r="BV98" s="10" t="str">
        <f>IF(SUMIF($C$2:$BT$2,"GILING",C98:BT98)=0,"",SUMIF($C$2:$BT$2,"GILING",C98:BT98))</f>
        <v/>
      </c>
      <c r="BW98" s="11"/>
      <c r="BX98" s="3"/>
      <c r="BY98" s="3"/>
      <c r="BZ98" s="3"/>
    </row>
    <row r="99" spans="1:78" x14ac:dyDescent="0.3">
      <c r="A99" s="199"/>
      <c r="B99" s="12" t="s">
        <v>279</v>
      </c>
      <c r="C99" s="188">
        <f>IF(AND(C98="",D98=""),0,C98-D98)</f>
        <v>0</v>
      </c>
      <c r="D99" s="189"/>
      <c r="E99" s="188">
        <f>IF(AND(E98="",F98=""),0,E98-F98)</f>
        <v>0</v>
      </c>
      <c r="F99" s="189"/>
      <c r="G99" s="188">
        <f>IF(AND(G98="",H98=""),0,G98-H98)</f>
        <v>0</v>
      </c>
      <c r="H99" s="189"/>
      <c r="I99" s="188">
        <f>IF(AND(I98="",J98=""),0,I98-J98)</f>
        <v>0</v>
      </c>
      <c r="J99" s="189"/>
      <c r="K99" s="188">
        <f>IF(AND(K98="",L98=""),0,K98-L98)</f>
        <v>0</v>
      </c>
      <c r="L99" s="189"/>
      <c r="M99" s="188">
        <f>IF(AND(M98="",N98=""),0,M98-N98)</f>
        <v>0</v>
      </c>
      <c r="N99" s="189"/>
      <c r="O99" s="188">
        <f>IF(AND(O98="",P98=""),0,O98-P98)</f>
        <v>0</v>
      </c>
      <c r="P99" s="189"/>
      <c r="Q99" s="188">
        <f>IF(AND(Q98="",R98=""),0,Q98-R98)</f>
        <v>0</v>
      </c>
      <c r="R99" s="189"/>
      <c r="S99" s="188">
        <f>IF(AND(S98="",T98=""),0,S98-T98)</f>
        <v>0</v>
      </c>
      <c r="T99" s="189"/>
      <c r="U99" s="188">
        <f>IF(AND(U98="",V98=""),0,U98-V98)</f>
        <v>0</v>
      </c>
      <c r="V99" s="189"/>
      <c r="W99" s="188">
        <f>IF(AND(W98="",X98=""),0,W98-X98)</f>
        <v>0</v>
      </c>
      <c r="X99" s="189"/>
      <c r="Y99" s="188">
        <f>IF(AND(Y98="",Z98=""),0,Y98-Z98)</f>
        <v>0</v>
      </c>
      <c r="Z99" s="189"/>
      <c r="AA99" s="188">
        <f>IF(AND(AA98="",AB98=""),0,AA98-AB98)</f>
        <v>0</v>
      </c>
      <c r="AB99" s="189"/>
      <c r="AC99" s="188">
        <f>IF(AND(AC98="",AD98=""),0,AC98-AD98)</f>
        <v>0</v>
      </c>
      <c r="AD99" s="189"/>
      <c r="AE99" s="188">
        <f>IF(AND(AE98="",AF98=""),0,AE98-AF98)</f>
        <v>0</v>
      </c>
      <c r="AF99" s="189"/>
      <c r="AG99" s="188">
        <f>IF(AND(AG98="",AH98=""),0,AG98-AH98)</f>
        <v>0</v>
      </c>
      <c r="AH99" s="189"/>
      <c r="AI99" s="188">
        <f>IF(AND(AI98="",AJ98=""),0,AI98-AJ98)</f>
        <v>0</v>
      </c>
      <c r="AJ99" s="189"/>
      <c r="AK99" s="188">
        <f>IF(AND(AK98="",AL98=""),0,AK98-AL98)</f>
        <v>0</v>
      </c>
      <c r="AL99" s="189"/>
      <c r="AM99" s="188">
        <f>IF(AND(AM98="",AN98=""),0,AM98-AN98)</f>
        <v>0</v>
      </c>
      <c r="AN99" s="189"/>
      <c r="AO99" s="188">
        <f>IF(AND(AO98="",AP98=""),0,AO98-AP98)</f>
        <v>0</v>
      </c>
      <c r="AP99" s="189"/>
      <c r="AQ99" s="188">
        <f>IF(AND(AQ98="",AR98=""),0,AQ98-AR98)</f>
        <v>0</v>
      </c>
      <c r="AR99" s="189"/>
      <c r="AS99" s="188">
        <f>IF(AND(AS98="",AT98=""),0,AS98-AT98)</f>
        <v>0</v>
      </c>
      <c r="AT99" s="189"/>
      <c r="AU99" s="188">
        <f>IF(AND(AU98="",AV98=""),0,AU98-AV98)</f>
        <v>0</v>
      </c>
      <c r="AV99" s="189"/>
      <c r="AW99" s="188">
        <f>IF(AND(AW98="",AX98=""),0,AW98-AX98)</f>
        <v>0</v>
      </c>
      <c r="AX99" s="189"/>
      <c r="AY99" s="188">
        <f>IF(AND(AY98="",AZ98=""),0,AY98-AZ98)</f>
        <v>0</v>
      </c>
      <c r="AZ99" s="189"/>
      <c r="BA99" s="188">
        <f>IF(AND(BA98="",BB98=""),0,BA98-BB98)</f>
        <v>0</v>
      </c>
      <c r="BB99" s="189"/>
      <c r="BC99" s="188">
        <f>IF(AND(BC98="",BD98=""),0,BC98-BD98)</f>
        <v>0</v>
      </c>
      <c r="BD99" s="189"/>
      <c r="BE99" s="188">
        <f>IF(AND(BE98="",BF98=""),0,BE98-BF98)</f>
        <v>0</v>
      </c>
      <c r="BF99" s="189"/>
      <c r="BG99" s="188">
        <f>IF(AND(BG98="",BH98=""),0,BG98-BH98)</f>
        <v>0</v>
      </c>
      <c r="BH99" s="189"/>
      <c r="BI99" s="188">
        <f>IF(AND(BI98="",BJ98=""),0,BI98-BJ98)</f>
        <v>0</v>
      </c>
      <c r="BJ99" s="189"/>
      <c r="BK99" s="188">
        <f>IF(AND(BK98="",BL98=""),0,BK98-BL98)</f>
        <v>0</v>
      </c>
      <c r="BL99" s="189"/>
      <c r="BM99" s="188">
        <f>IF(AND(BM98="",BN98=""),0,BM98-BN98)</f>
        <v>0</v>
      </c>
      <c r="BN99" s="189"/>
      <c r="BO99" s="188">
        <f>IF(AND(BO98="",BP98=""),0,BO98-BP98)</f>
        <v>0</v>
      </c>
      <c r="BP99" s="189"/>
      <c r="BQ99" s="188">
        <f>IF(AND(BQ98="",BR98=""),0,BQ98-BR98)</f>
        <v>0</v>
      </c>
      <c r="BR99" s="189"/>
      <c r="BS99" s="188">
        <f>IF(AND(BS98="",BT98=""),0,BS98-BT98)</f>
        <v>0</v>
      </c>
      <c r="BT99" s="189"/>
      <c r="BU99" s="14" t="str">
        <f>IF(AND(BU98="",BV98=""),"",BU98-BV98)</f>
        <v/>
      </c>
      <c r="BV99" s="13"/>
      <c r="BW99" s="16" t="str">
        <f>IF(COUNTIF(D99:BT99,"&gt;0")=0,"",COUNTIF(D99:BT99,"&gt;0"))</f>
        <v/>
      </c>
      <c r="BX99" s="3"/>
      <c r="BY99" s="3"/>
      <c r="BZ99" s="3"/>
    </row>
    <row r="100" spans="1:78" ht="14.5" x14ac:dyDescent="0.3">
      <c r="A100" s="199"/>
      <c r="B100" s="12" t="s">
        <v>280</v>
      </c>
      <c r="C100" s="186">
        <f>IF(C99="",0,(D98/89%)-(C98))</f>
        <v>0</v>
      </c>
      <c r="D100" s="187"/>
      <c r="E100" s="186">
        <f>IF(E99="",0,(F98/89%)-(E98))</f>
        <v>0</v>
      </c>
      <c r="F100" s="187"/>
      <c r="G100" s="186">
        <f>IF(G99="",0,(H98/89%)-(G98))</f>
        <v>0</v>
      </c>
      <c r="H100" s="187"/>
      <c r="I100" s="186">
        <f>IF(I99="",0,(J98/89%)-(I98))</f>
        <v>0</v>
      </c>
      <c r="J100" s="187"/>
      <c r="K100" s="186">
        <f>IF(K99="",0,(L98/89%)-(K98))</f>
        <v>0</v>
      </c>
      <c r="L100" s="187"/>
      <c r="M100" s="186">
        <f>IF(M99="",0,(N98/89%)-(M98))</f>
        <v>0</v>
      </c>
      <c r="N100" s="187"/>
      <c r="O100" s="186">
        <f>IF(O99="",0,(P98/89%)-(O98))</f>
        <v>0</v>
      </c>
      <c r="P100" s="187"/>
      <c r="Q100" s="186">
        <f>IF(Q99="",0,(R98/89%)-(Q98))</f>
        <v>0</v>
      </c>
      <c r="R100" s="187"/>
      <c r="S100" s="186">
        <f>IF(S99="",0,(T98/89%)-(S98))</f>
        <v>0</v>
      </c>
      <c r="T100" s="187"/>
      <c r="U100" s="186">
        <f>IF(U99="",0,(V98/89%)-(U98))</f>
        <v>0</v>
      </c>
      <c r="V100" s="187"/>
      <c r="W100" s="186">
        <f>IF(W99="",0,(X98/89%)-(W98))</f>
        <v>0</v>
      </c>
      <c r="X100" s="187"/>
      <c r="Y100" s="186">
        <f>IF(Y99="",0,(Z98/89%)-(Y98))</f>
        <v>0</v>
      </c>
      <c r="Z100" s="187"/>
      <c r="AA100" s="186">
        <f>IF(AA99="",0,(AB98/89%)-(AA98))</f>
        <v>0</v>
      </c>
      <c r="AB100" s="187"/>
      <c r="AC100" s="186">
        <f>IF(AC99="",0,(AD98/89%)-(AC98))</f>
        <v>0</v>
      </c>
      <c r="AD100" s="187"/>
      <c r="AE100" s="186">
        <f>IF(AE99="",0,(AF98/89%)-(AE98))</f>
        <v>0</v>
      </c>
      <c r="AF100" s="187"/>
      <c r="AG100" s="186">
        <f>IF(AG99="",0,(AH98/89%)-(AG98))</f>
        <v>0</v>
      </c>
      <c r="AH100" s="187"/>
      <c r="AI100" s="186">
        <f>IF(AI99="",0,(AJ98/89%)-(AI98))</f>
        <v>0</v>
      </c>
      <c r="AJ100" s="187"/>
      <c r="AK100" s="186">
        <f>IF(AK99="",0,(AL98/89%)-(AK98))</f>
        <v>0</v>
      </c>
      <c r="AL100" s="187"/>
      <c r="AM100" s="186">
        <f>IF(AM99="",0,(AN98/89%)-(AM98))</f>
        <v>0</v>
      </c>
      <c r="AN100" s="187"/>
      <c r="AO100" s="186">
        <f>IF(AO99="",0,(AP98/89%)-(AO98))</f>
        <v>0</v>
      </c>
      <c r="AP100" s="187"/>
      <c r="AQ100" s="186">
        <f>IF(AQ99="",0,(AR98/89%)-(AQ98))</f>
        <v>0</v>
      </c>
      <c r="AR100" s="187"/>
      <c r="AS100" s="186">
        <f>IF(AS99="",0,(AT98/89%)-(AS98))</f>
        <v>0</v>
      </c>
      <c r="AT100" s="187"/>
      <c r="AU100" s="186">
        <f>IF(AU99="",0,(AV98/89%)-(AU98))</f>
        <v>0</v>
      </c>
      <c r="AV100" s="187"/>
      <c r="AW100" s="186">
        <f>IF(AW99="",0,(AX98/89%)-(AW98))</f>
        <v>0</v>
      </c>
      <c r="AX100" s="187"/>
      <c r="AY100" s="186">
        <f>IF(AY99="",0,(AZ98/89%)-(AY98))</f>
        <v>0</v>
      </c>
      <c r="AZ100" s="187"/>
      <c r="BA100" s="186">
        <f>IF(BA99="",0,(BB98/89%)-(BA98))</f>
        <v>0</v>
      </c>
      <c r="BB100" s="187"/>
      <c r="BC100" s="186">
        <f>IF(BC99="",0,(BD98/89%)-(BC98))</f>
        <v>0</v>
      </c>
      <c r="BD100" s="187"/>
      <c r="BE100" s="186">
        <f>IF(BE99="",0,(BF98/89%)-(BE98))</f>
        <v>0</v>
      </c>
      <c r="BF100" s="187"/>
      <c r="BG100" s="186">
        <f>IF(BG99="",0,(BH98/89%)-(BG98))</f>
        <v>0</v>
      </c>
      <c r="BH100" s="187"/>
      <c r="BI100" s="186">
        <f>IF(BI99="",0,(BJ98/89%)-(BI98))</f>
        <v>0</v>
      </c>
      <c r="BJ100" s="187"/>
      <c r="BK100" s="186">
        <f>IF(BK99="",0,(BL98/89%)-(BK98))</f>
        <v>0</v>
      </c>
      <c r="BL100" s="187"/>
      <c r="BM100" s="186">
        <f>IF(BM99="",0,(BN98/89%)-(BM98))</f>
        <v>0</v>
      </c>
      <c r="BN100" s="187"/>
      <c r="BO100" s="186">
        <f>IF(BO99="",0,(BP98/89%)-(BO98))</f>
        <v>0</v>
      </c>
      <c r="BP100" s="187"/>
      <c r="BQ100" s="186">
        <f>IF(BQ99="",0,(BR98/89%)-(BQ98))</f>
        <v>0</v>
      </c>
      <c r="BR100" s="187"/>
      <c r="BS100" s="186">
        <f>IF(BS99="",0,(BT98/89%)-(BS98))</f>
        <v>0</v>
      </c>
      <c r="BT100" s="187"/>
      <c r="BU100" s="17" t="str">
        <f>IF(BU99="","",(BV98/89%)-(BU98))</f>
        <v/>
      </c>
      <c r="BV100" s="13"/>
      <c r="BW100" s="18" t="str">
        <f>IF(AND(BU98="",BV98=""),"",(BU98-BV98)-BU99)</f>
        <v/>
      </c>
      <c r="BX100" s="3"/>
      <c r="BY100" s="3"/>
      <c r="BZ100" s="3"/>
    </row>
    <row r="101" spans="1:78" ht="14.5" x14ac:dyDescent="0.3">
      <c r="A101" s="199"/>
      <c r="B101" s="19" t="s">
        <v>281</v>
      </c>
      <c r="C101" s="194" t="str">
        <f>IF(C99=0,"",ABS(IFERROR((C99/C98),0)-1))</f>
        <v/>
      </c>
      <c r="D101" s="195"/>
      <c r="E101" s="194" t="str">
        <f>IF(E99=0,"",ABS(IFERROR((E99/E98),0)-1))</f>
        <v/>
      </c>
      <c r="F101" s="195"/>
      <c r="G101" s="194" t="str">
        <f>IF(G99=0,"",ABS(IFERROR((G99/G98),0)-1))</f>
        <v/>
      </c>
      <c r="H101" s="195"/>
      <c r="I101" s="194" t="str">
        <f>IF(I99=0,"",ABS(IFERROR((I99/I98),0)-1))</f>
        <v/>
      </c>
      <c r="J101" s="195"/>
      <c r="K101" s="194" t="str">
        <f>IF(K99=0,"",ABS(IFERROR((K99/K98),0)-1))</f>
        <v/>
      </c>
      <c r="L101" s="195"/>
      <c r="M101" s="194" t="str">
        <f>IF(M99=0,"",ABS(IFERROR((M99/M98),0)-1))</f>
        <v/>
      </c>
      <c r="N101" s="195"/>
      <c r="O101" s="194" t="str">
        <f>IF(O99=0,"",ABS(IFERROR((O99/O98),0)-1))</f>
        <v/>
      </c>
      <c r="P101" s="195"/>
      <c r="Q101" s="194" t="str">
        <f>IF(Q99=0,"",ABS(IFERROR((Q99/Q98),0)-1))</f>
        <v/>
      </c>
      <c r="R101" s="195"/>
      <c r="S101" s="194" t="str">
        <f>IF(S99=0,"",ABS(IFERROR((S99/S98),0)-1))</f>
        <v/>
      </c>
      <c r="T101" s="195"/>
      <c r="U101" s="194" t="str">
        <f>IF(U99=0,"",ABS(IFERROR((U99/U98),0)-1))</f>
        <v/>
      </c>
      <c r="V101" s="195"/>
      <c r="W101" s="194" t="str">
        <f>IF(W99=0,"",ABS(IFERROR((W99/W98),0)-1))</f>
        <v/>
      </c>
      <c r="X101" s="195"/>
      <c r="Y101" s="194" t="str">
        <f>IF(Y99=0,"",ABS(IFERROR((Y99/Y98),0)-1))</f>
        <v/>
      </c>
      <c r="Z101" s="195"/>
      <c r="AA101" s="194" t="str">
        <f>IF(AA99=0,"",ABS(IFERROR((AA99/AA98),0)-1))</f>
        <v/>
      </c>
      <c r="AB101" s="195"/>
      <c r="AC101" s="194" t="str">
        <f>IF(AC99=0,"",ABS(IFERROR((AC99/AC98),0)-1))</f>
        <v/>
      </c>
      <c r="AD101" s="195"/>
      <c r="AE101" s="194" t="str">
        <f>IF(AE99=0,"",ABS(IFERROR((AE99/AE98),0)-1))</f>
        <v/>
      </c>
      <c r="AF101" s="195"/>
      <c r="AG101" s="194" t="str">
        <f>IF(AG99=0,"",ABS(IFERROR((AG99/AG98),0)-1))</f>
        <v/>
      </c>
      <c r="AH101" s="195"/>
      <c r="AI101" s="194" t="str">
        <f>IF(AI99=0,"",ABS(IFERROR((AI99/AI98),0)-1))</f>
        <v/>
      </c>
      <c r="AJ101" s="195"/>
      <c r="AK101" s="194" t="str">
        <f>IF(AK99=0,"",ABS(IFERROR((AK99/AK98),0)-1))</f>
        <v/>
      </c>
      <c r="AL101" s="195"/>
      <c r="AM101" s="194" t="str">
        <f>IF(AM99=0,"",ABS(IFERROR((AM99/AM98),0)-1))</f>
        <v/>
      </c>
      <c r="AN101" s="195"/>
      <c r="AO101" s="194" t="str">
        <f>IF(AO99=0,"",ABS(IFERROR((AO99/AO98),0)-1))</f>
        <v/>
      </c>
      <c r="AP101" s="195"/>
      <c r="AQ101" s="194" t="str">
        <f>IF(AQ99=0,"",ABS(IFERROR((AQ99/AQ98),0)-1))</f>
        <v/>
      </c>
      <c r="AR101" s="195"/>
      <c r="AS101" s="194" t="str">
        <f>IF(AS99=0,"",ABS(IFERROR((AS99/AS98),0)-1))</f>
        <v/>
      </c>
      <c r="AT101" s="195"/>
      <c r="AU101" s="194" t="str">
        <f>IF(AU99=0,"",ABS(IFERROR((AU99/AU98),0)-1))</f>
        <v/>
      </c>
      <c r="AV101" s="195"/>
      <c r="AW101" s="194" t="str">
        <f>IF(AW99=0,"",ABS(IFERROR((AW99/AW98),0)-1))</f>
        <v/>
      </c>
      <c r="AX101" s="195"/>
      <c r="AY101" s="194" t="str">
        <f>IF(AY99=0,"",ABS(IFERROR((AY99/AY98),0)-1))</f>
        <v/>
      </c>
      <c r="AZ101" s="195"/>
      <c r="BA101" s="194" t="str">
        <f>IF(BA99=0,"",ABS(IFERROR((BA99/BA98),0)-1))</f>
        <v/>
      </c>
      <c r="BB101" s="195"/>
      <c r="BC101" s="194" t="str">
        <f>IF(BC99=0,"",ABS(IFERROR((BC99/BC98),0)-1))</f>
        <v/>
      </c>
      <c r="BD101" s="195"/>
      <c r="BE101" s="194" t="str">
        <f>IF(BE99=0,"",ABS(IFERROR((BE99/BE98),0)-1))</f>
        <v/>
      </c>
      <c r="BF101" s="195"/>
      <c r="BG101" s="194" t="str">
        <f>IF(BG99=0,"",ABS(IFERROR((BG99/BG98),0)-1))</f>
        <v/>
      </c>
      <c r="BH101" s="195"/>
      <c r="BI101" s="194" t="str">
        <f>IF(BI99=0,"",ABS(IFERROR((BI99/BI98),0)-1))</f>
        <v/>
      </c>
      <c r="BJ101" s="195"/>
      <c r="BK101" s="194" t="str">
        <f>IF(BK99=0,"",ABS(IFERROR((BK99/BK98),0)-1))</f>
        <v/>
      </c>
      <c r="BL101" s="195"/>
      <c r="BM101" s="194" t="str">
        <f>IF(BM99=0,"",ABS(IFERROR((BM99/BM98),0)-1))</f>
        <v/>
      </c>
      <c r="BN101" s="195"/>
      <c r="BO101" s="194" t="str">
        <f>IF(BO99=0,"",ABS(IFERROR((BO99/BO98),0)-1))</f>
        <v/>
      </c>
      <c r="BP101" s="195"/>
      <c r="BQ101" s="194" t="str">
        <f>IF(BQ99=0,"",ABS(IFERROR((BQ99/BQ98),0)-1))</f>
        <v/>
      </c>
      <c r="BR101" s="195"/>
      <c r="BS101" s="194" t="str">
        <f>IF(BS99=0,"",ABS(IFERROR((BS99/BS98),0)-1))</f>
        <v/>
      </c>
      <c r="BT101" s="195"/>
      <c r="BU101" s="26" t="e">
        <f>ABS(IFERROR((BU99/BU98),"")-1)</f>
        <v>#VALUE!</v>
      </c>
      <c r="BV101" s="15"/>
      <c r="BW101" s="21"/>
      <c r="BX101" s="3"/>
      <c r="BY101" s="3"/>
      <c r="BZ101" s="3"/>
    </row>
    <row r="102" spans="1:78" ht="15" thickBot="1" x14ac:dyDescent="0.35">
      <c r="A102" s="181"/>
      <c r="B102" s="22" t="s">
        <v>177</v>
      </c>
      <c r="C102" s="196" t="str">
        <f>IF(C101="","", IF(C101&lt;89%,"OVER STANDART",IF(C101=89%,"GOOD","UNDER STANDART")))</f>
        <v/>
      </c>
      <c r="D102" s="197"/>
      <c r="E102" s="196" t="str">
        <f>IF(E101="","", IF(E101&lt;89%,"OVER STANDART",IF(E101=89%,"GOOD","UNDER STANDART")))</f>
        <v/>
      </c>
      <c r="F102" s="197"/>
      <c r="G102" s="196" t="str">
        <f>IF(G101="","", IF(G101&lt;89%,"OVER STANDART",IF(G101=89%,"GOOD","UNDER STANDART")))</f>
        <v/>
      </c>
      <c r="H102" s="197"/>
      <c r="I102" s="196" t="str">
        <f>IF(I101="","", IF(I101&lt;89%,"OVER STANDART",IF(I101=89%,"GOOD","UNDER STANDART")))</f>
        <v/>
      </c>
      <c r="J102" s="197"/>
      <c r="K102" s="196" t="str">
        <f>IF(K101="","", IF(K101&lt;89%,"OVER STANDART",IF(K101=89%,"GOOD","UNDER STANDART")))</f>
        <v/>
      </c>
      <c r="L102" s="197"/>
      <c r="M102" s="196" t="str">
        <f>IF(M101="","", IF(M101&lt;89%,"OVER STANDART",IF(M101=89%,"GOOD","UNDER STANDART")))</f>
        <v/>
      </c>
      <c r="N102" s="197"/>
      <c r="O102" s="196" t="str">
        <f>IF(O101="","", IF(O101&lt;89%,"OVER STANDART",IF(O101=89%,"GOOD","UNDER STANDART")))</f>
        <v/>
      </c>
      <c r="P102" s="197"/>
      <c r="Q102" s="196" t="str">
        <f>IF(Q101="","", IF(Q101&lt;89%,"OVER STANDART",IF(Q101=89%,"GOOD","UNDER STANDART")))</f>
        <v/>
      </c>
      <c r="R102" s="197"/>
      <c r="S102" s="196" t="str">
        <f>IF(S101="","", IF(S101&lt;89%,"OVER STANDART",IF(S101=89%,"GOOD","UNDER STANDART")))</f>
        <v/>
      </c>
      <c r="T102" s="197"/>
      <c r="U102" s="196" t="str">
        <f>IF(U101="","", IF(U101&lt;89%,"OVER STANDART",IF(U101=89%,"GOOD","UNDER STANDART")))</f>
        <v/>
      </c>
      <c r="V102" s="197"/>
      <c r="W102" s="196" t="str">
        <f>IF(W101="","", IF(W101&lt;89%,"OVER STANDART",IF(W101=89%,"GOOD","UNDER STANDART")))</f>
        <v/>
      </c>
      <c r="X102" s="197"/>
      <c r="Y102" s="196" t="str">
        <f>IF(Y101="","", IF(Y101&lt;89%,"OVER STANDART",IF(Y101=89%,"GOOD","UNDER STANDART")))</f>
        <v/>
      </c>
      <c r="Z102" s="197"/>
      <c r="AA102" s="196" t="str">
        <f>IF(AA101="","", IF(AA101&lt;89%,"OVER STANDART",IF(AA101=89%,"GOOD","UNDER STANDART")))</f>
        <v/>
      </c>
      <c r="AB102" s="197"/>
      <c r="AC102" s="196" t="str">
        <f>IF(AC101="","", IF(AC101&lt;89%,"OVER STANDART",IF(AC101=89%,"GOOD","UNDER STANDART")))</f>
        <v/>
      </c>
      <c r="AD102" s="197"/>
      <c r="AE102" s="196" t="str">
        <f>IF(AE101="","", IF(AE101&lt;89%,"OVER STANDART",IF(AE101=89%,"GOOD","UNDER STANDART")))</f>
        <v/>
      </c>
      <c r="AF102" s="197"/>
      <c r="AG102" s="196" t="str">
        <f>IF(AG101="","", IF(AG101&lt;89%,"OVER STANDART",IF(AG101=89%,"GOOD","UNDER STANDART")))</f>
        <v/>
      </c>
      <c r="AH102" s="197"/>
      <c r="AI102" s="196" t="str">
        <f>IF(AI101="","", IF(AI101&lt;89%,"OVER STANDART",IF(AI101=89%,"GOOD","UNDER STANDART")))</f>
        <v/>
      </c>
      <c r="AJ102" s="197"/>
      <c r="AK102" s="196" t="str">
        <f>IF(AK101="","", IF(AK101&lt;89%,"OVER STANDART",IF(AK101=89%,"GOOD","UNDER STANDART")))</f>
        <v/>
      </c>
      <c r="AL102" s="197"/>
      <c r="AM102" s="196" t="str">
        <f>IF(AM101="","", IF(AM101&lt;89%,"OVER STANDART",IF(AM101=89%,"GOOD","UNDER STANDART")))</f>
        <v/>
      </c>
      <c r="AN102" s="197"/>
      <c r="AO102" s="196" t="str">
        <f>IF(AO101="","", IF(AO101&lt;89%,"OVER STANDART",IF(AO101=89%,"GOOD","UNDER STANDART")))</f>
        <v/>
      </c>
      <c r="AP102" s="197"/>
      <c r="AQ102" s="196" t="str">
        <f>IF(AQ101="","", IF(AQ101&lt;89%,"OVER STANDART",IF(AQ101=89%,"GOOD","UNDER STANDART")))</f>
        <v/>
      </c>
      <c r="AR102" s="197"/>
      <c r="AS102" s="196" t="str">
        <f>IF(AS101="","", IF(AS101&lt;89%,"OVER STANDART",IF(AS101=89%,"GOOD","UNDER STANDART")))</f>
        <v/>
      </c>
      <c r="AT102" s="197"/>
      <c r="AU102" s="196" t="str">
        <f>IF(AU101="","", IF(AU101&lt;89%,"OVER STANDART",IF(AU101=89%,"GOOD","UNDER STANDART")))</f>
        <v/>
      </c>
      <c r="AV102" s="197"/>
      <c r="AW102" s="196" t="str">
        <f>IF(AW101="","", IF(AW101&lt;89%,"OVER STANDART",IF(AW101=89%,"GOOD","UNDER STANDART")))</f>
        <v/>
      </c>
      <c r="AX102" s="197"/>
      <c r="AY102" s="196" t="str">
        <f>IF(AY101="","", IF(AY101&lt;89%,"OVER STANDART",IF(AY101=89%,"GOOD","UNDER STANDART")))</f>
        <v/>
      </c>
      <c r="AZ102" s="197"/>
      <c r="BA102" s="196" t="str">
        <f>IF(BA101="","", IF(BA101&lt;89%,"OVER STANDART",IF(BA101=89%,"GOOD","UNDER STANDART")))</f>
        <v/>
      </c>
      <c r="BB102" s="197"/>
      <c r="BC102" s="196" t="str">
        <f>IF(BC101="","", IF(BC101&lt;89%,"OVER STANDART",IF(BC101=89%,"GOOD","UNDER STANDART")))</f>
        <v/>
      </c>
      <c r="BD102" s="197"/>
      <c r="BE102" s="196" t="str">
        <f>IF(BE101="","", IF(BE101&lt;89%,"OVER STANDART",IF(BE101=89%,"GOOD","UNDER STANDART")))</f>
        <v/>
      </c>
      <c r="BF102" s="197"/>
      <c r="BG102" s="196" t="str">
        <f>IF(BG101="","", IF(BG101&lt;89%,"OVER STANDART",IF(BG101=89%,"GOOD","UNDER STANDART")))</f>
        <v/>
      </c>
      <c r="BH102" s="197"/>
      <c r="BI102" s="196" t="str">
        <f>IF(BI101="","", IF(BI101&lt;89%,"OVER STANDART",IF(BI101=89%,"GOOD","UNDER STANDART")))</f>
        <v/>
      </c>
      <c r="BJ102" s="197"/>
      <c r="BK102" s="196" t="str">
        <f>IF(BK101="","", IF(BK101&lt;89%,"OVER STANDART",IF(BK101=89%,"GOOD","UNDER STANDART")))</f>
        <v/>
      </c>
      <c r="BL102" s="197"/>
      <c r="BM102" s="196" t="str">
        <f>IF(BM101="","", IF(BM101&lt;89%,"OVER STANDART",IF(BM101=89%,"GOOD","UNDER STANDART")))</f>
        <v/>
      </c>
      <c r="BN102" s="197"/>
      <c r="BO102" s="196" t="str">
        <f>IF(BO101="","", IF(BO101&lt;89%,"OVER STANDART",IF(BO101=89%,"GOOD","UNDER STANDART")))</f>
        <v/>
      </c>
      <c r="BP102" s="197"/>
      <c r="BQ102" s="196" t="str">
        <f>IF(BQ101="","", IF(BQ101&lt;89%,"OVER STANDART",IF(BQ101=89%,"GOOD","UNDER STANDART")))</f>
        <v/>
      </c>
      <c r="BR102" s="197"/>
      <c r="BS102" s="196" t="str">
        <f>IF(BS101="","", IF(BS101&lt;89%,"OVER STANDART",IF(BS101=89%,"GOOD","UNDER STANDART")))</f>
        <v/>
      </c>
      <c r="BT102" s="197"/>
      <c r="BU102" s="24" t="e">
        <f>IF(BU101="","", IF(BU101&lt;89%,"OVER STANDART",IF(BU101=89%,"GOOD","UNDER STANDART")))</f>
        <v>#VALUE!</v>
      </c>
      <c r="BV102" s="23"/>
      <c r="BW102" s="25"/>
      <c r="BX102" s="3"/>
      <c r="BY102" s="3"/>
      <c r="BZ102" s="3"/>
    </row>
    <row r="103" spans="1:78" ht="14.5" x14ac:dyDescent="0.3">
      <c r="A103" s="198">
        <f>A98+1</f>
        <v>21</v>
      </c>
      <c r="B103" s="7" t="s">
        <v>278</v>
      </c>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9" t="str">
        <f>IF(SUMIF($C$2:$BT$2,"FRESH",C103:BT103)=0,"",SUMIF($C$2:$BT$2,"FRESH",C103:BT103))</f>
        <v/>
      </c>
      <c r="BV103" s="10" t="str">
        <f>IF(SUMIF($C$2:$BT$2,"GILING",C103:BT103)=0,"",SUMIF($C$2:$BT$2,"GILING",C103:BT103))</f>
        <v/>
      </c>
      <c r="BW103" s="11"/>
      <c r="BX103" s="3"/>
      <c r="BY103" s="3"/>
      <c r="BZ103" s="3"/>
    </row>
    <row r="104" spans="1:78" x14ac:dyDescent="0.3">
      <c r="A104" s="199"/>
      <c r="B104" s="12" t="s">
        <v>279</v>
      </c>
      <c r="C104" s="188">
        <f>IF(AND(C103="",D103=""),0,C103-D103)</f>
        <v>0</v>
      </c>
      <c r="D104" s="189"/>
      <c r="E104" s="188">
        <f>IF(AND(E103="",F103=""),0,E103-F103)</f>
        <v>0</v>
      </c>
      <c r="F104" s="189"/>
      <c r="G104" s="188">
        <f>IF(AND(G103="",H103=""),0,G103-H103)</f>
        <v>0</v>
      </c>
      <c r="H104" s="189"/>
      <c r="I104" s="188">
        <f>IF(AND(I103="",J103=""),0,I103-J103)</f>
        <v>0</v>
      </c>
      <c r="J104" s="189"/>
      <c r="K104" s="188">
        <f>IF(AND(K103="",L103=""),0,K103-L103)</f>
        <v>0</v>
      </c>
      <c r="L104" s="189"/>
      <c r="M104" s="188">
        <f>IF(AND(M103="",N103=""),0,M103-N103)</f>
        <v>0</v>
      </c>
      <c r="N104" s="189"/>
      <c r="O104" s="188">
        <f>IF(AND(O103="",P103=""),0,O103-P103)</f>
        <v>0</v>
      </c>
      <c r="P104" s="189"/>
      <c r="Q104" s="188">
        <f>IF(AND(Q103="",R103=""),0,Q103-R103)</f>
        <v>0</v>
      </c>
      <c r="R104" s="189"/>
      <c r="S104" s="188">
        <f>IF(AND(S103="",T103=""),0,S103-T103)</f>
        <v>0</v>
      </c>
      <c r="T104" s="189"/>
      <c r="U104" s="188">
        <f>IF(AND(U103="",V103=""),0,U103-V103)</f>
        <v>0</v>
      </c>
      <c r="V104" s="189"/>
      <c r="W104" s="188">
        <f>IF(AND(W103="",X103=""),0,W103-X103)</f>
        <v>0</v>
      </c>
      <c r="X104" s="189"/>
      <c r="Y104" s="188">
        <f>IF(AND(Y103="",Z103=""),0,Y103-Z103)</f>
        <v>0</v>
      </c>
      <c r="Z104" s="189"/>
      <c r="AA104" s="188">
        <f>IF(AND(AA103="",AB103=""),0,AA103-AB103)</f>
        <v>0</v>
      </c>
      <c r="AB104" s="189"/>
      <c r="AC104" s="188">
        <f>IF(AND(AC103="",AD103=""),0,AC103-AD103)</f>
        <v>0</v>
      </c>
      <c r="AD104" s="189"/>
      <c r="AE104" s="188">
        <f>IF(AND(AE103="",AF103=""),0,AE103-AF103)</f>
        <v>0</v>
      </c>
      <c r="AF104" s="189"/>
      <c r="AG104" s="188">
        <f>IF(AND(AG103="",AH103=""),0,AG103-AH103)</f>
        <v>0</v>
      </c>
      <c r="AH104" s="189"/>
      <c r="AI104" s="188">
        <f>IF(AND(AI103="",AJ103=""),0,AI103-AJ103)</f>
        <v>0</v>
      </c>
      <c r="AJ104" s="189"/>
      <c r="AK104" s="188">
        <f>IF(AND(AK103="",AL103=""),0,AK103-AL103)</f>
        <v>0</v>
      </c>
      <c r="AL104" s="189"/>
      <c r="AM104" s="188">
        <f>IF(AND(AM103="",AN103=""),0,AM103-AN103)</f>
        <v>0</v>
      </c>
      <c r="AN104" s="189"/>
      <c r="AO104" s="188">
        <f>IF(AND(AO103="",AP103=""),0,AO103-AP103)</f>
        <v>0</v>
      </c>
      <c r="AP104" s="189"/>
      <c r="AQ104" s="188">
        <f>IF(AND(AQ103="",AR103=""),0,AQ103-AR103)</f>
        <v>0</v>
      </c>
      <c r="AR104" s="189"/>
      <c r="AS104" s="188">
        <f>IF(AND(AS103="",AT103=""),0,AS103-AT103)</f>
        <v>0</v>
      </c>
      <c r="AT104" s="189"/>
      <c r="AU104" s="188">
        <f>IF(AND(AU103="",AV103=""),0,AU103-AV103)</f>
        <v>0</v>
      </c>
      <c r="AV104" s="189"/>
      <c r="AW104" s="188">
        <f>IF(AND(AW103="",AX103=""),0,AW103-AX103)</f>
        <v>0</v>
      </c>
      <c r="AX104" s="189"/>
      <c r="AY104" s="188">
        <f>IF(AND(AY103="",AZ103=""),0,AY103-AZ103)</f>
        <v>0</v>
      </c>
      <c r="AZ104" s="189"/>
      <c r="BA104" s="188">
        <f>IF(AND(BA103="",BB103=""),0,BA103-BB103)</f>
        <v>0</v>
      </c>
      <c r="BB104" s="189"/>
      <c r="BC104" s="188">
        <f>IF(AND(BC103="",BD103=""),0,BC103-BD103)</f>
        <v>0</v>
      </c>
      <c r="BD104" s="189"/>
      <c r="BE104" s="188">
        <f>IF(AND(BE103="",BF103=""),0,BE103-BF103)</f>
        <v>0</v>
      </c>
      <c r="BF104" s="189"/>
      <c r="BG104" s="188">
        <f>IF(AND(BG103="",BH103=""),0,BG103-BH103)</f>
        <v>0</v>
      </c>
      <c r="BH104" s="189"/>
      <c r="BI104" s="188">
        <f>IF(AND(BI103="",BJ103=""),0,BI103-BJ103)</f>
        <v>0</v>
      </c>
      <c r="BJ104" s="189"/>
      <c r="BK104" s="188">
        <f>IF(AND(BK103="",BL103=""),0,BK103-BL103)</f>
        <v>0</v>
      </c>
      <c r="BL104" s="189"/>
      <c r="BM104" s="188">
        <f>IF(AND(BM103="",BN103=""),0,BM103-BN103)</f>
        <v>0</v>
      </c>
      <c r="BN104" s="189"/>
      <c r="BO104" s="188">
        <f>IF(AND(BO103="",BP103=""),0,BO103-BP103)</f>
        <v>0</v>
      </c>
      <c r="BP104" s="189"/>
      <c r="BQ104" s="188">
        <f>IF(AND(BQ103="",BR103=""),0,BQ103-BR103)</f>
        <v>0</v>
      </c>
      <c r="BR104" s="189"/>
      <c r="BS104" s="188">
        <f>IF(AND(BS103="",BT103=""),0,BS103-BT103)</f>
        <v>0</v>
      </c>
      <c r="BT104" s="189"/>
      <c r="BU104" s="14" t="str">
        <f>IF(AND(BU103="",BV103=""),"",BU103-BV103)</f>
        <v/>
      </c>
      <c r="BV104" s="13"/>
      <c r="BW104" s="16" t="str">
        <f>IF(COUNTIF(D104:BT104,"&gt;0")=0,"",COUNTIF(D104:BT104,"&gt;0"))</f>
        <v/>
      </c>
      <c r="BX104" s="3"/>
      <c r="BY104" s="3"/>
      <c r="BZ104" s="3"/>
    </row>
    <row r="105" spans="1:78" ht="14.5" x14ac:dyDescent="0.3">
      <c r="A105" s="199"/>
      <c r="B105" s="12" t="s">
        <v>280</v>
      </c>
      <c r="C105" s="186">
        <f>IF(C104="",0,(D103/89%)-(C103))</f>
        <v>0</v>
      </c>
      <c r="D105" s="187"/>
      <c r="E105" s="186">
        <f>IF(E104="",0,(F103/89%)-(E103))</f>
        <v>0</v>
      </c>
      <c r="F105" s="187"/>
      <c r="G105" s="186">
        <f>IF(G104="",0,(H103/89%)-(G103))</f>
        <v>0</v>
      </c>
      <c r="H105" s="187"/>
      <c r="I105" s="186">
        <f>IF(I104="",0,(J103/89%)-(I103))</f>
        <v>0</v>
      </c>
      <c r="J105" s="187"/>
      <c r="K105" s="186">
        <f>IF(K104="",0,(L103/89%)-(K103))</f>
        <v>0</v>
      </c>
      <c r="L105" s="187"/>
      <c r="M105" s="186">
        <f>IF(M104="",0,(N103/89%)-(M103))</f>
        <v>0</v>
      </c>
      <c r="N105" s="187"/>
      <c r="O105" s="186">
        <f>IF(O104="",0,(P103/89%)-(O103))</f>
        <v>0</v>
      </c>
      <c r="P105" s="187"/>
      <c r="Q105" s="186">
        <f>IF(Q104="",0,(R103/89%)-(Q103))</f>
        <v>0</v>
      </c>
      <c r="R105" s="187"/>
      <c r="S105" s="186">
        <f>IF(S104="",0,(T103/89%)-(S103))</f>
        <v>0</v>
      </c>
      <c r="T105" s="187"/>
      <c r="U105" s="186">
        <f>IF(U104="",0,(V103/89%)-(U103))</f>
        <v>0</v>
      </c>
      <c r="V105" s="187"/>
      <c r="W105" s="186">
        <f>IF(W104="",0,(X103/89%)-(W103))</f>
        <v>0</v>
      </c>
      <c r="X105" s="187"/>
      <c r="Y105" s="186">
        <f>IF(Y104="",0,(Z103/89%)-(Y103))</f>
        <v>0</v>
      </c>
      <c r="Z105" s="187"/>
      <c r="AA105" s="186">
        <f>IF(AA104="",0,(AB103/89%)-(AA103))</f>
        <v>0</v>
      </c>
      <c r="AB105" s="187"/>
      <c r="AC105" s="186">
        <f>IF(AC104="",0,(AD103/89%)-(AC103))</f>
        <v>0</v>
      </c>
      <c r="AD105" s="187"/>
      <c r="AE105" s="186">
        <f>IF(AE104="",0,(AF103/89%)-(AE103))</f>
        <v>0</v>
      </c>
      <c r="AF105" s="187"/>
      <c r="AG105" s="186">
        <f>IF(AG104="",0,(AH103/89%)-(AG103))</f>
        <v>0</v>
      </c>
      <c r="AH105" s="187"/>
      <c r="AI105" s="186">
        <f>IF(AI104="",0,(AJ103/89%)-(AI103))</f>
        <v>0</v>
      </c>
      <c r="AJ105" s="187"/>
      <c r="AK105" s="186">
        <f>IF(AK104="",0,(AL103/89%)-(AK103))</f>
        <v>0</v>
      </c>
      <c r="AL105" s="187"/>
      <c r="AM105" s="186">
        <f>IF(AM104="",0,(AN103/89%)-(AM103))</f>
        <v>0</v>
      </c>
      <c r="AN105" s="187"/>
      <c r="AO105" s="186">
        <f>IF(AO104="",0,(AP103/89%)-(AO103))</f>
        <v>0</v>
      </c>
      <c r="AP105" s="187"/>
      <c r="AQ105" s="186">
        <f>IF(AQ104="",0,(AR103/89%)-(AQ103))</f>
        <v>0</v>
      </c>
      <c r="AR105" s="187"/>
      <c r="AS105" s="186">
        <f>IF(AS104="",0,(AT103/89%)-(AS103))</f>
        <v>0</v>
      </c>
      <c r="AT105" s="187"/>
      <c r="AU105" s="186">
        <f>IF(AU104="",0,(AV103/89%)-(AU103))</f>
        <v>0</v>
      </c>
      <c r="AV105" s="187"/>
      <c r="AW105" s="186">
        <f>IF(AW104="",0,(AX103/89%)-(AW103))</f>
        <v>0</v>
      </c>
      <c r="AX105" s="187"/>
      <c r="AY105" s="186">
        <f>IF(AY104="",0,(AZ103/89%)-(AY103))</f>
        <v>0</v>
      </c>
      <c r="AZ105" s="187"/>
      <c r="BA105" s="186">
        <f>IF(BA104="",0,(BB103/89%)-(BA103))</f>
        <v>0</v>
      </c>
      <c r="BB105" s="187"/>
      <c r="BC105" s="186">
        <f>IF(BC104="",0,(BD103/89%)-(BC103))</f>
        <v>0</v>
      </c>
      <c r="BD105" s="187"/>
      <c r="BE105" s="186">
        <f>IF(BE104="",0,(BF103/89%)-(BE103))</f>
        <v>0</v>
      </c>
      <c r="BF105" s="187"/>
      <c r="BG105" s="186">
        <f>IF(BG104="",0,(BH103/89%)-(BG103))</f>
        <v>0</v>
      </c>
      <c r="BH105" s="187"/>
      <c r="BI105" s="186">
        <f>IF(BI104="",0,(BJ103/89%)-(BI103))</f>
        <v>0</v>
      </c>
      <c r="BJ105" s="187"/>
      <c r="BK105" s="186">
        <f>IF(BK104="",0,(BL103/89%)-(BK103))</f>
        <v>0</v>
      </c>
      <c r="BL105" s="187"/>
      <c r="BM105" s="186">
        <f>IF(BM104="",0,(BN103/89%)-(BM103))</f>
        <v>0</v>
      </c>
      <c r="BN105" s="187"/>
      <c r="BO105" s="186">
        <f>IF(BO104="",0,(BP103/89%)-(BO103))</f>
        <v>0</v>
      </c>
      <c r="BP105" s="187"/>
      <c r="BQ105" s="186">
        <f>IF(BQ104="",0,(BR103/89%)-(BQ103))</f>
        <v>0</v>
      </c>
      <c r="BR105" s="187"/>
      <c r="BS105" s="186">
        <f>IF(BS104="",0,(BT103/89%)-(BS103))</f>
        <v>0</v>
      </c>
      <c r="BT105" s="187"/>
      <c r="BU105" s="17" t="str">
        <f>IF(BU104="","",(BV103/89%)-(BU103))</f>
        <v/>
      </c>
      <c r="BV105" s="13"/>
      <c r="BW105" s="18" t="str">
        <f>IF(AND(BU103="",BV103=""),"",(BU103-BV103)-BU104)</f>
        <v/>
      </c>
      <c r="BX105" s="3"/>
      <c r="BY105" s="3"/>
      <c r="BZ105" s="3"/>
    </row>
    <row r="106" spans="1:78" ht="14.5" x14ac:dyDescent="0.3">
      <c r="A106" s="199"/>
      <c r="B106" s="19" t="s">
        <v>281</v>
      </c>
      <c r="C106" s="194" t="str">
        <f>IF(C104=0,"",ABS(IFERROR((C104/C103),0)-1))</f>
        <v/>
      </c>
      <c r="D106" s="195"/>
      <c r="E106" s="194" t="str">
        <f>IF(E104=0,"",ABS(IFERROR((E104/E103),0)-1))</f>
        <v/>
      </c>
      <c r="F106" s="195"/>
      <c r="G106" s="194" t="str">
        <f>IF(G104=0,"",ABS(IFERROR((G104/G103),0)-1))</f>
        <v/>
      </c>
      <c r="H106" s="195"/>
      <c r="I106" s="194" t="str">
        <f>IF(I104=0,"",ABS(IFERROR((I104/I103),0)-1))</f>
        <v/>
      </c>
      <c r="J106" s="195"/>
      <c r="K106" s="194" t="str">
        <f>IF(K104=0,"",ABS(IFERROR((K104/K103),0)-1))</f>
        <v/>
      </c>
      <c r="L106" s="195"/>
      <c r="M106" s="194" t="str">
        <f>IF(M104=0,"",ABS(IFERROR((M104/M103),0)-1))</f>
        <v/>
      </c>
      <c r="N106" s="195"/>
      <c r="O106" s="194" t="str">
        <f>IF(O104=0,"",ABS(IFERROR((O104/O103),0)-1))</f>
        <v/>
      </c>
      <c r="P106" s="195"/>
      <c r="Q106" s="194" t="str">
        <f>IF(Q104=0,"",ABS(IFERROR((Q104/Q103),0)-1))</f>
        <v/>
      </c>
      <c r="R106" s="195"/>
      <c r="S106" s="194" t="str">
        <f>IF(S104=0,"",ABS(IFERROR((S104/S103),0)-1))</f>
        <v/>
      </c>
      <c r="T106" s="195"/>
      <c r="U106" s="194" t="str">
        <f>IF(U104=0,"",ABS(IFERROR((U104/U103),0)-1))</f>
        <v/>
      </c>
      <c r="V106" s="195"/>
      <c r="W106" s="194" t="str">
        <f>IF(W104=0,"",ABS(IFERROR((W104/W103),0)-1))</f>
        <v/>
      </c>
      <c r="X106" s="195"/>
      <c r="Y106" s="194" t="str">
        <f>IF(Y104=0,"",ABS(IFERROR((Y104/Y103),0)-1))</f>
        <v/>
      </c>
      <c r="Z106" s="195"/>
      <c r="AA106" s="194" t="str">
        <f>IF(AA104=0,"",ABS(IFERROR((AA104/AA103),0)-1))</f>
        <v/>
      </c>
      <c r="AB106" s="195"/>
      <c r="AC106" s="194" t="str">
        <f>IF(AC104=0,"",ABS(IFERROR((AC104/AC103),0)-1))</f>
        <v/>
      </c>
      <c r="AD106" s="195"/>
      <c r="AE106" s="194" t="str">
        <f>IF(AE104=0,"",ABS(IFERROR((AE104/AE103),0)-1))</f>
        <v/>
      </c>
      <c r="AF106" s="195"/>
      <c r="AG106" s="194" t="str">
        <f>IF(AG104=0,"",ABS(IFERROR((AG104/AG103),0)-1))</f>
        <v/>
      </c>
      <c r="AH106" s="195"/>
      <c r="AI106" s="194" t="str">
        <f>IF(AI104=0,"",ABS(IFERROR((AI104/AI103),0)-1))</f>
        <v/>
      </c>
      <c r="AJ106" s="195"/>
      <c r="AK106" s="194" t="str">
        <f>IF(AK104=0,"",ABS(IFERROR((AK104/AK103),0)-1))</f>
        <v/>
      </c>
      <c r="AL106" s="195"/>
      <c r="AM106" s="194" t="str">
        <f>IF(AM104=0,"",ABS(IFERROR((AM104/AM103),0)-1))</f>
        <v/>
      </c>
      <c r="AN106" s="195"/>
      <c r="AO106" s="194" t="str">
        <f>IF(AO104=0,"",ABS(IFERROR((AO104/AO103),0)-1))</f>
        <v/>
      </c>
      <c r="AP106" s="195"/>
      <c r="AQ106" s="194" t="str">
        <f>IF(AQ104=0,"",ABS(IFERROR((AQ104/AQ103),0)-1))</f>
        <v/>
      </c>
      <c r="AR106" s="195"/>
      <c r="AS106" s="194" t="str">
        <f>IF(AS104=0,"",ABS(IFERROR((AS104/AS103),0)-1))</f>
        <v/>
      </c>
      <c r="AT106" s="195"/>
      <c r="AU106" s="194" t="str">
        <f>IF(AU104=0,"",ABS(IFERROR((AU104/AU103),0)-1))</f>
        <v/>
      </c>
      <c r="AV106" s="195"/>
      <c r="AW106" s="194" t="str">
        <f>IF(AW104=0,"",ABS(IFERROR((AW104/AW103),0)-1))</f>
        <v/>
      </c>
      <c r="AX106" s="195"/>
      <c r="AY106" s="194" t="str">
        <f>IF(AY104=0,"",ABS(IFERROR((AY104/AY103),0)-1))</f>
        <v/>
      </c>
      <c r="AZ106" s="195"/>
      <c r="BA106" s="194" t="str">
        <f>IF(BA104=0,"",ABS(IFERROR((BA104/BA103),0)-1))</f>
        <v/>
      </c>
      <c r="BB106" s="195"/>
      <c r="BC106" s="194" t="str">
        <f>IF(BC104=0,"",ABS(IFERROR((BC104/BC103),0)-1))</f>
        <v/>
      </c>
      <c r="BD106" s="195"/>
      <c r="BE106" s="194" t="str">
        <f>IF(BE104=0,"",ABS(IFERROR((BE104/BE103),0)-1))</f>
        <v/>
      </c>
      <c r="BF106" s="195"/>
      <c r="BG106" s="194" t="str">
        <f>IF(BG104=0,"",ABS(IFERROR((BG104/BG103),0)-1))</f>
        <v/>
      </c>
      <c r="BH106" s="195"/>
      <c r="BI106" s="194" t="str">
        <f>IF(BI104=0,"",ABS(IFERROR((BI104/BI103),0)-1))</f>
        <v/>
      </c>
      <c r="BJ106" s="195"/>
      <c r="BK106" s="194" t="str">
        <f>IF(BK104=0,"",ABS(IFERROR((BK104/BK103),0)-1))</f>
        <v/>
      </c>
      <c r="BL106" s="195"/>
      <c r="BM106" s="194" t="str">
        <f>IF(BM104=0,"",ABS(IFERROR((BM104/BM103),0)-1))</f>
        <v/>
      </c>
      <c r="BN106" s="195"/>
      <c r="BO106" s="194" t="str">
        <f>IF(BO104=0,"",ABS(IFERROR((BO104/BO103),0)-1))</f>
        <v/>
      </c>
      <c r="BP106" s="195"/>
      <c r="BQ106" s="194" t="str">
        <f>IF(BQ104=0,"",ABS(IFERROR((BQ104/BQ103),0)-1))</f>
        <v/>
      </c>
      <c r="BR106" s="195"/>
      <c r="BS106" s="194" t="str">
        <f>IF(BS104=0,"",ABS(IFERROR((BS104/BS103),0)-1))</f>
        <v/>
      </c>
      <c r="BT106" s="195"/>
      <c r="BU106" s="26" t="e">
        <f>ABS(IFERROR((BU104/BU103),"")-1)</f>
        <v>#VALUE!</v>
      </c>
      <c r="BV106" s="15"/>
      <c r="BW106" s="21"/>
      <c r="BX106" s="3"/>
      <c r="BY106" s="3"/>
      <c r="BZ106" s="3"/>
    </row>
    <row r="107" spans="1:78" ht="15" thickBot="1" x14ac:dyDescent="0.35">
      <c r="A107" s="181"/>
      <c r="B107" s="22" t="s">
        <v>177</v>
      </c>
      <c r="C107" s="196" t="str">
        <f>IF(C106="","", IF(C106&lt;89%,"OVER STANDART",IF(C106=89%,"GOOD","UNDER STANDART")))</f>
        <v/>
      </c>
      <c r="D107" s="197"/>
      <c r="E107" s="196" t="str">
        <f>IF(E106="","", IF(E106&lt;89%,"OVER STANDART",IF(E106=89%,"GOOD","UNDER STANDART")))</f>
        <v/>
      </c>
      <c r="F107" s="197"/>
      <c r="G107" s="196" t="str">
        <f>IF(G106="","", IF(G106&lt;89%,"OVER STANDART",IF(G106=89%,"GOOD","UNDER STANDART")))</f>
        <v/>
      </c>
      <c r="H107" s="197"/>
      <c r="I107" s="196" t="str">
        <f>IF(I106="","", IF(I106&lt;89%,"OVER STANDART",IF(I106=89%,"GOOD","UNDER STANDART")))</f>
        <v/>
      </c>
      <c r="J107" s="197"/>
      <c r="K107" s="196" t="str">
        <f>IF(K106="","", IF(K106&lt;89%,"OVER STANDART",IF(K106=89%,"GOOD","UNDER STANDART")))</f>
        <v/>
      </c>
      <c r="L107" s="197"/>
      <c r="M107" s="196" t="str">
        <f>IF(M106="","", IF(M106&lt;89%,"OVER STANDART",IF(M106=89%,"GOOD","UNDER STANDART")))</f>
        <v/>
      </c>
      <c r="N107" s="197"/>
      <c r="O107" s="196" t="str">
        <f>IF(O106="","", IF(O106&lt;89%,"OVER STANDART",IF(O106=89%,"GOOD","UNDER STANDART")))</f>
        <v/>
      </c>
      <c r="P107" s="197"/>
      <c r="Q107" s="196" t="str">
        <f>IF(Q106="","", IF(Q106&lt;89%,"OVER STANDART",IF(Q106=89%,"GOOD","UNDER STANDART")))</f>
        <v/>
      </c>
      <c r="R107" s="197"/>
      <c r="S107" s="196" t="str">
        <f>IF(S106="","", IF(S106&lt;89%,"OVER STANDART",IF(S106=89%,"GOOD","UNDER STANDART")))</f>
        <v/>
      </c>
      <c r="T107" s="197"/>
      <c r="U107" s="196" t="str">
        <f>IF(U106="","", IF(U106&lt;89%,"OVER STANDART",IF(U106=89%,"GOOD","UNDER STANDART")))</f>
        <v/>
      </c>
      <c r="V107" s="197"/>
      <c r="W107" s="196" t="str">
        <f>IF(W106="","", IF(W106&lt;89%,"OVER STANDART",IF(W106=89%,"GOOD","UNDER STANDART")))</f>
        <v/>
      </c>
      <c r="X107" s="197"/>
      <c r="Y107" s="196" t="str">
        <f>IF(Y106="","", IF(Y106&lt;89%,"OVER STANDART",IF(Y106=89%,"GOOD","UNDER STANDART")))</f>
        <v/>
      </c>
      <c r="Z107" s="197"/>
      <c r="AA107" s="196" t="str">
        <f>IF(AA106="","", IF(AA106&lt;89%,"OVER STANDART",IF(AA106=89%,"GOOD","UNDER STANDART")))</f>
        <v/>
      </c>
      <c r="AB107" s="197"/>
      <c r="AC107" s="196" t="str">
        <f>IF(AC106="","", IF(AC106&lt;89%,"OVER STANDART",IF(AC106=89%,"GOOD","UNDER STANDART")))</f>
        <v/>
      </c>
      <c r="AD107" s="197"/>
      <c r="AE107" s="196" t="str">
        <f>IF(AE106="","", IF(AE106&lt;89%,"OVER STANDART",IF(AE106=89%,"GOOD","UNDER STANDART")))</f>
        <v/>
      </c>
      <c r="AF107" s="197"/>
      <c r="AG107" s="196" t="str">
        <f>IF(AG106="","", IF(AG106&lt;89%,"OVER STANDART",IF(AG106=89%,"GOOD","UNDER STANDART")))</f>
        <v/>
      </c>
      <c r="AH107" s="197"/>
      <c r="AI107" s="196" t="str">
        <f>IF(AI106="","", IF(AI106&lt;89%,"OVER STANDART",IF(AI106=89%,"GOOD","UNDER STANDART")))</f>
        <v/>
      </c>
      <c r="AJ107" s="197"/>
      <c r="AK107" s="196" t="str">
        <f>IF(AK106="","", IF(AK106&lt;89%,"OVER STANDART",IF(AK106=89%,"GOOD","UNDER STANDART")))</f>
        <v/>
      </c>
      <c r="AL107" s="197"/>
      <c r="AM107" s="196" t="str">
        <f>IF(AM106="","", IF(AM106&lt;89%,"OVER STANDART",IF(AM106=89%,"GOOD","UNDER STANDART")))</f>
        <v/>
      </c>
      <c r="AN107" s="197"/>
      <c r="AO107" s="196" t="str">
        <f>IF(AO106="","", IF(AO106&lt;89%,"OVER STANDART",IF(AO106=89%,"GOOD","UNDER STANDART")))</f>
        <v/>
      </c>
      <c r="AP107" s="197"/>
      <c r="AQ107" s="196" t="str">
        <f>IF(AQ106="","", IF(AQ106&lt;89%,"OVER STANDART",IF(AQ106=89%,"GOOD","UNDER STANDART")))</f>
        <v/>
      </c>
      <c r="AR107" s="197"/>
      <c r="AS107" s="196" t="str">
        <f>IF(AS106="","", IF(AS106&lt;89%,"OVER STANDART",IF(AS106=89%,"GOOD","UNDER STANDART")))</f>
        <v/>
      </c>
      <c r="AT107" s="197"/>
      <c r="AU107" s="196" t="str">
        <f>IF(AU106="","", IF(AU106&lt;89%,"OVER STANDART",IF(AU106=89%,"GOOD","UNDER STANDART")))</f>
        <v/>
      </c>
      <c r="AV107" s="197"/>
      <c r="AW107" s="196" t="str">
        <f>IF(AW106="","", IF(AW106&lt;89%,"OVER STANDART",IF(AW106=89%,"GOOD","UNDER STANDART")))</f>
        <v/>
      </c>
      <c r="AX107" s="197"/>
      <c r="AY107" s="196" t="str">
        <f>IF(AY106="","", IF(AY106&lt;89%,"OVER STANDART",IF(AY106=89%,"GOOD","UNDER STANDART")))</f>
        <v/>
      </c>
      <c r="AZ107" s="197"/>
      <c r="BA107" s="196" t="str">
        <f>IF(BA106="","", IF(BA106&lt;89%,"OVER STANDART",IF(BA106=89%,"GOOD","UNDER STANDART")))</f>
        <v/>
      </c>
      <c r="BB107" s="197"/>
      <c r="BC107" s="196" t="str">
        <f>IF(BC106="","", IF(BC106&lt;89%,"OVER STANDART",IF(BC106=89%,"GOOD","UNDER STANDART")))</f>
        <v/>
      </c>
      <c r="BD107" s="197"/>
      <c r="BE107" s="196" t="str">
        <f>IF(BE106="","", IF(BE106&lt;89%,"OVER STANDART",IF(BE106=89%,"GOOD","UNDER STANDART")))</f>
        <v/>
      </c>
      <c r="BF107" s="197"/>
      <c r="BG107" s="196" t="str">
        <f>IF(BG106="","", IF(BG106&lt;89%,"OVER STANDART",IF(BG106=89%,"GOOD","UNDER STANDART")))</f>
        <v/>
      </c>
      <c r="BH107" s="197"/>
      <c r="BI107" s="196" t="str">
        <f>IF(BI106="","", IF(BI106&lt;89%,"OVER STANDART",IF(BI106=89%,"GOOD","UNDER STANDART")))</f>
        <v/>
      </c>
      <c r="BJ107" s="197"/>
      <c r="BK107" s="196" t="str">
        <f>IF(BK106="","", IF(BK106&lt;89%,"OVER STANDART",IF(BK106=89%,"GOOD","UNDER STANDART")))</f>
        <v/>
      </c>
      <c r="BL107" s="197"/>
      <c r="BM107" s="196" t="str">
        <f>IF(BM106="","", IF(BM106&lt;89%,"OVER STANDART",IF(BM106=89%,"GOOD","UNDER STANDART")))</f>
        <v/>
      </c>
      <c r="BN107" s="197"/>
      <c r="BO107" s="196" t="str">
        <f>IF(BO106="","", IF(BO106&lt;89%,"OVER STANDART",IF(BO106=89%,"GOOD","UNDER STANDART")))</f>
        <v/>
      </c>
      <c r="BP107" s="197"/>
      <c r="BQ107" s="196" t="str">
        <f>IF(BQ106="","", IF(BQ106&lt;89%,"OVER STANDART",IF(BQ106=89%,"GOOD","UNDER STANDART")))</f>
        <v/>
      </c>
      <c r="BR107" s="197"/>
      <c r="BS107" s="196" t="str">
        <f>IF(BS106="","", IF(BS106&lt;89%,"OVER STANDART",IF(BS106=89%,"GOOD","UNDER STANDART")))</f>
        <v/>
      </c>
      <c r="BT107" s="197"/>
      <c r="BU107" s="24" t="e">
        <f>IF(BU106="","", IF(BU106&lt;89%,"OVER STANDART",IF(BU106=89%,"GOOD","UNDER STANDART")))</f>
        <v>#VALUE!</v>
      </c>
      <c r="BV107" s="23"/>
      <c r="BW107" s="25"/>
      <c r="BX107" s="3"/>
      <c r="BY107" s="3"/>
      <c r="BZ107" s="3"/>
    </row>
    <row r="108" spans="1:78" ht="14.5" x14ac:dyDescent="0.3">
      <c r="A108" s="198">
        <f>A103+1</f>
        <v>22</v>
      </c>
      <c r="B108" s="7" t="s">
        <v>278</v>
      </c>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9" t="str">
        <f>IF(SUMIF($C$2:$BT$2,"FRESH",C108:BT108)=0,"",SUMIF($C$2:$BT$2,"FRESH",C108:BT108))</f>
        <v/>
      </c>
      <c r="BV108" s="10" t="str">
        <f>IF(SUMIF($C$2:$BT$2,"GILING",C108:BT108)=0,"",SUMIF($C$2:$BT$2,"GILING",C108:BT108))</f>
        <v/>
      </c>
      <c r="BW108" s="11"/>
      <c r="BX108" s="3"/>
      <c r="BY108" s="3"/>
      <c r="BZ108" s="3"/>
    </row>
    <row r="109" spans="1:78" x14ac:dyDescent="0.3">
      <c r="A109" s="199"/>
      <c r="B109" s="12" t="s">
        <v>279</v>
      </c>
      <c r="C109" s="188">
        <f>IF(AND(C108="",D108=""),0,C108-D108)</f>
        <v>0</v>
      </c>
      <c r="D109" s="189"/>
      <c r="E109" s="188">
        <f>IF(AND(E108="",F108=""),0,E108-F108)</f>
        <v>0</v>
      </c>
      <c r="F109" s="189"/>
      <c r="G109" s="188">
        <f>IF(AND(G108="",H108=""),0,G108-H108)</f>
        <v>0</v>
      </c>
      <c r="H109" s="189"/>
      <c r="I109" s="188">
        <f>IF(AND(I108="",J108=""),0,I108-J108)</f>
        <v>0</v>
      </c>
      <c r="J109" s="189"/>
      <c r="K109" s="188">
        <f>IF(AND(K108="",L108=""),0,K108-L108)</f>
        <v>0</v>
      </c>
      <c r="L109" s="189"/>
      <c r="M109" s="188">
        <f>IF(AND(M108="",N108=""),0,M108-N108)</f>
        <v>0</v>
      </c>
      <c r="N109" s="189"/>
      <c r="O109" s="188">
        <f>IF(AND(O108="",P108=""),0,O108-P108)</f>
        <v>0</v>
      </c>
      <c r="P109" s="189"/>
      <c r="Q109" s="188">
        <f>IF(AND(Q108="",R108=""),0,Q108-R108)</f>
        <v>0</v>
      </c>
      <c r="R109" s="189"/>
      <c r="S109" s="188">
        <f>IF(AND(S108="",T108=""),0,S108-T108)</f>
        <v>0</v>
      </c>
      <c r="T109" s="189"/>
      <c r="U109" s="188">
        <f>IF(AND(U108="",V108=""),0,U108-V108)</f>
        <v>0</v>
      </c>
      <c r="V109" s="189"/>
      <c r="W109" s="188">
        <f>IF(AND(W108="",X108=""),0,W108-X108)</f>
        <v>0</v>
      </c>
      <c r="X109" s="189"/>
      <c r="Y109" s="188">
        <f>IF(AND(Y108="",Z108=""),0,Y108-Z108)</f>
        <v>0</v>
      </c>
      <c r="Z109" s="189"/>
      <c r="AA109" s="188">
        <f>IF(AND(AA108="",AB108=""),0,AA108-AB108)</f>
        <v>0</v>
      </c>
      <c r="AB109" s="189"/>
      <c r="AC109" s="188">
        <f>IF(AND(AC108="",AD108=""),0,AC108-AD108)</f>
        <v>0</v>
      </c>
      <c r="AD109" s="189"/>
      <c r="AE109" s="188">
        <f>IF(AND(AE108="",AF108=""),0,AE108-AF108)</f>
        <v>0</v>
      </c>
      <c r="AF109" s="189"/>
      <c r="AG109" s="188">
        <f>IF(AND(AG108="",AH108=""),0,AG108-AH108)</f>
        <v>0</v>
      </c>
      <c r="AH109" s="189"/>
      <c r="AI109" s="188">
        <f>IF(AND(AI108="",AJ108=""),0,AI108-AJ108)</f>
        <v>0</v>
      </c>
      <c r="AJ109" s="189"/>
      <c r="AK109" s="188">
        <f>IF(AND(AK108="",AL108=""),0,AK108-AL108)</f>
        <v>0</v>
      </c>
      <c r="AL109" s="189"/>
      <c r="AM109" s="188">
        <f>IF(AND(AM108="",AN108=""),0,AM108-AN108)</f>
        <v>0</v>
      </c>
      <c r="AN109" s="189"/>
      <c r="AO109" s="188">
        <f>IF(AND(AO108="",AP108=""),0,AO108-AP108)</f>
        <v>0</v>
      </c>
      <c r="AP109" s="189"/>
      <c r="AQ109" s="188">
        <f>IF(AND(AQ108="",AR108=""),0,AQ108-AR108)</f>
        <v>0</v>
      </c>
      <c r="AR109" s="189"/>
      <c r="AS109" s="188">
        <f>IF(AND(AS108="",AT108=""),0,AS108-AT108)</f>
        <v>0</v>
      </c>
      <c r="AT109" s="189"/>
      <c r="AU109" s="188">
        <f>IF(AND(AU108="",AV108=""),0,AU108-AV108)</f>
        <v>0</v>
      </c>
      <c r="AV109" s="189"/>
      <c r="AW109" s="188">
        <f>IF(AND(AW108="",AX108=""),0,AW108-AX108)</f>
        <v>0</v>
      </c>
      <c r="AX109" s="189"/>
      <c r="AY109" s="188">
        <f>IF(AND(AY108="",AZ108=""),0,AY108-AZ108)</f>
        <v>0</v>
      </c>
      <c r="AZ109" s="189"/>
      <c r="BA109" s="188">
        <f>IF(AND(BA108="",BB108=""),0,BA108-BB108)</f>
        <v>0</v>
      </c>
      <c r="BB109" s="189"/>
      <c r="BC109" s="188">
        <f>IF(AND(BC108="",BD108=""),0,BC108-BD108)</f>
        <v>0</v>
      </c>
      <c r="BD109" s="189"/>
      <c r="BE109" s="188">
        <f>IF(AND(BE108="",BF108=""),0,BE108-BF108)</f>
        <v>0</v>
      </c>
      <c r="BF109" s="189"/>
      <c r="BG109" s="188">
        <f>IF(AND(BG108="",BH108=""),0,BG108-BH108)</f>
        <v>0</v>
      </c>
      <c r="BH109" s="189"/>
      <c r="BI109" s="188">
        <f>IF(AND(BI108="",BJ108=""),0,BI108-BJ108)</f>
        <v>0</v>
      </c>
      <c r="BJ109" s="189"/>
      <c r="BK109" s="188">
        <f>IF(AND(BK108="",BL108=""),0,BK108-BL108)</f>
        <v>0</v>
      </c>
      <c r="BL109" s="189"/>
      <c r="BM109" s="188">
        <f>IF(AND(BM108="",BN108=""),0,BM108-BN108)</f>
        <v>0</v>
      </c>
      <c r="BN109" s="189"/>
      <c r="BO109" s="188">
        <f>IF(AND(BO108="",BP108=""),0,BO108-BP108)</f>
        <v>0</v>
      </c>
      <c r="BP109" s="189"/>
      <c r="BQ109" s="188">
        <f>IF(AND(BQ108="",BR108=""),0,BQ108-BR108)</f>
        <v>0</v>
      </c>
      <c r="BR109" s="189"/>
      <c r="BS109" s="188">
        <f>IF(AND(BS108="",BT108=""),0,BS108-BT108)</f>
        <v>0</v>
      </c>
      <c r="BT109" s="189"/>
      <c r="BU109" s="14" t="str">
        <f>IF(AND(BU108="",BV108=""),"",BU108-BV108)</f>
        <v/>
      </c>
      <c r="BV109" s="13"/>
      <c r="BW109" s="16" t="str">
        <f>IF(COUNTIF(D109:BT109,"&gt;0")=0,"",COUNTIF(D109:BT109,"&gt;0"))</f>
        <v/>
      </c>
      <c r="BX109" s="3"/>
      <c r="BY109" s="3"/>
      <c r="BZ109" s="3"/>
    </row>
    <row r="110" spans="1:78" ht="14.5" x14ac:dyDescent="0.3">
      <c r="A110" s="199"/>
      <c r="B110" s="12" t="s">
        <v>280</v>
      </c>
      <c r="C110" s="186">
        <f>IF(C109="",0,(D108/89%)-(C108))</f>
        <v>0</v>
      </c>
      <c r="D110" s="187"/>
      <c r="E110" s="186">
        <f>IF(E109="",0,(F108/89%)-(E108))</f>
        <v>0</v>
      </c>
      <c r="F110" s="187"/>
      <c r="G110" s="186">
        <f>IF(G109="",0,(H108/89%)-(G108))</f>
        <v>0</v>
      </c>
      <c r="H110" s="187"/>
      <c r="I110" s="186">
        <f>IF(I109="",0,(J108/89%)-(I108))</f>
        <v>0</v>
      </c>
      <c r="J110" s="187"/>
      <c r="K110" s="186">
        <f>IF(K109="",0,(L108/89%)-(K108))</f>
        <v>0</v>
      </c>
      <c r="L110" s="187"/>
      <c r="M110" s="186">
        <f>IF(M109="",0,(N108/89%)-(M108))</f>
        <v>0</v>
      </c>
      <c r="N110" s="187"/>
      <c r="O110" s="186">
        <f>IF(O109="",0,(P108/89%)-(O108))</f>
        <v>0</v>
      </c>
      <c r="P110" s="187"/>
      <c r="Q110" s="186">
        <f>IF(Q109="",0,(R108/89%)-(Q108))</f>
        <v>0</v>
      </c>
      <c r="R110" s="187"/>
      <c r="S110" s="186">
        <f>IF(S109="",0,(T108/89%)-(S108))</f>
        <v>0</v>
      </c>
      <c r="T110" s="187"/>
      <c r="U110" s="186">
        <f>IF(U109="",0,(V108/89%)-(U108))</f>
        <v>0</v>
      </c>
      <c r="V110" s="187"/>
      <c r="W110" s="186">
        <f>IF(W109="",0,(X108/89%)-(W108))</f>
        <v>0</v>
      </c>
      <c r="X110" s="187"/>
      <c r="Y110" s="186">
        <f>IF(Y109="",0,(Z108/89%)-(Y108))</f>
        <v>0</v>
      </c>
      <c r="Z110" s="187"/>
      <c r="AA110" s="186">
        <f>IF(AA109="",0,(AB108/89%)-(AA108))</f>
        <v>0</v>
      </c>
      <c r="AB110" s="187"/>
      <c r="AC110" s="186">
        <f>IF(AC109="",0,(AD108/89%)-(AC108))</f>
        <v>0</v>
      </c>
      <c r="AD110" s="187"/>
      <c r="AE110" s="186">
        <f>IF(AE109="",0,(AF108/89%)-(AE108))</f>
        <v>0</v>
      </c>
      <c r="AF110" s="187"/>
      <c r="AG110" s="186">
        <f>IF(AG109="",0,(AH108/89%)-(AG108))</f>
        <v>0</v>
      </c>
      <c r="AH110" s="187"/>
      <c r="AI110" s="186">
        <f>IF(AI109="",0,(AJ108/89%)-(AI108))</f>
        <v>0</v>
      </c>
      <c r="AJ110" s="187"/>
      <c r="AK110" s="186">
        <f>IF(AK109="",0,(AL108/89%)-(AK108))</f>
        <v>0</v>
      </c>
      <c r="AL110" s="187"/>
      <c r="AM110" s="186">
        <f>IF(AM109="",0,(AN108/89%)-(AM108))</f>
        <v>0</v>
      </c>
      <c r="AN110" s="187"/>
      <c r="AO110" s="186">
        <f>IF(AO109="",0,(AP108/89%)-(AO108))</f>
        <v>0</v>
      </c>
      <c r="AP110" s="187"/>
      <c r="AQ110" s="186">
        <f>IF(AQ109="",0,(AR108/89%)-(AQ108))</f>
        <v>0</v>
      </c>
      <c r="AR110" s="187"/>
      <c r="AS110" s="186">
        <f>IF(AS109="",0,(AT108/89%)-(AS108))</f>
        <v>0</v>
      </c>
      <c r="AT110" s="187"/>
      <c r="AU110" s="186">
        <f>IF(AU109="",0,(AV108/89%)-(AU108))</f>
        <v>0</v>
      </c>
      <c r="AV110" s="187"/>
      <c r="AW110" s="186">
        <f>IF(AW109="",0,(AX108/89%)-(AW108))</f>
        <v>0</v>
      </c>
      <c r="AX110" s="187"/>
      <c r="AY110" s="186">
        <f>IF(AY109="",0,(AZ108/89%)-(AY108))</f>
        <v>0</v>
      </c>
      <c r="AZ110" s="187"/>
      <c r="BA110" s="186">
        <f>IF(BA109="",0,(BB108/89%)-(BA108))</f>
        <v>0</v>
      </c>
      <c r="BB110" s="187"/>
      <c r="BC110" s="186">
        <f>IF(BC109="",0,(BD108/89%)-(BC108))</f>
        <v>0</v>
      </c>
      <c r="BD110" s="187"/>
      <c r="BE110" s="186">
        <f>IF(BE109="",0,(BF108/89%)-(BE108))</f>
        <v>0</v>
      </c>
      <c r="BF110" s="187"/>
      <c r="BG110" s="186">
        <f>IF(BG109="",0,(BH108/89%)-(BG108))</f>
        <v>0</v>
      </c>
      <c r="BH110" s="187"/>
      <c r="BI110" s="186">
        <f>IF(BI109="",0,(BJ108/89%)-(BI108))</f>
        <v>0</v>
      </c>
      <c r="BJ110" s="187"/>
      <c r="BK110" s="186">
        <f>IF(BK109="",0,(BL108/89%)-(BK108))</f>
        <v>0</v>
      </c>
      <c r="BL110" s="187"/>
      <c r="BM110" s="186">
        <f>IF(BM109="",0,(BN108/89%)-(BM108))</f>
        <v>0</v>
      </c>
      <c r="BN110" s="187"/>
      <c r="BO110" s="186">
        <f>IF(BO109="",0,(BP108/89%)-(BO108))</f>
        <v>0</v>
      </c>
      <c r="BP110" s="187"/>
      <c r="BQ110" s="186">
        <f>IF(BQ109="",0,(BR108/89%)-(BQ108))</f>
        <v>0</v>
      </c>
      <c r="BR110" s="187"/>
      <c r="BS110" s="186">
        <f>IF(BS109="",0,(BT108/89%)-(BS108))</f>
        <v>0</v>
      </c>
      <c r="BT110" s="187"/>
      <c r="BU110" s="17" t="str">
        <f>IF(BU109="","",(BV108/89%)-(BU108))</f>
        <v/>
      </c>
      <c r="BV110" s="13"/>
      <c r="BW110" s="18" t="str">
        <f>IF(AND(BU108="",BV108=""),"",(BU108-BV108)-BU109)</f>
        <v/>
      </c>
      <c r="BX110" s="3"/>
      <c r="BY110" s="3"/>
      <c r="BZ110" s="3"/>
    </row>
    <row r="111" spans="1:78" ht="14.5" x14ac:dyDescent="0.3">
      <c r="A111" s="199"/>
      <c r="B111" s="19" t="s">
        <v>281</v>
      </c>
      <c r="C111" s="194" t="str">
        <f>IF(C109=0,"",ABS(IFERROR((C109/C108),0)-1))</f>
        <v/>
      </c>
      <c r="D111" s="195"/>
      <c r="E111" s="194" t="str">
        <f>IF(E109=0,"",ABS(IFERROR((E109/E108),0)-1))</f>
        <v/>
      </c>
      <c r="F111" s="195"/>
      <c r="G111" s="194" t="str">
        <f>IF(G109=0,"",ABS(IFERROR((G109/G108),0)-1))</f>
        <v/>
      </c>
      <c r="H111" s="195"/>
      <c r="I111" s="194" t="str">
        <f>IF(I109=0,"",ABS(IFERROR((I109/I108),0)-1))</f>
        <v/>
      </c>
      <c r="J111" s="195"/>
      <c r="K111" s="194" t="str">
        <f>IF(K109=0,"",ABS(IFERROR((K109/K108),0)-1))</f>
        <v/>
      </c>
      <c r="L111" s="195"/>
      <c r="M111" s="194" t="str">
        <f>IF(M109=0,"",ABS(IFERROR((M109/M108),0)-1))</f>
        <v/>
      </c>
      <c r="N111" s="195"/>
      <c r="O111" s="194" t="str">
        <f>IF(O109=0,"",ABS(IFERROR((O109/O108),0)-1))</f>
        <v/>
      </c>
      <c r="P111" s="195"/>
      <c r="Q111" s="194" t="str">
        <f>IF(Q109=0,"",ABS(IFERROR((Q109/Q108),0)-1))</f>
        <v/>
      </c>
      <c r="R111" s="195"/>
      <c r="S111" s="194" t="str">
        <f>IF(S109=0,"",ABS(IFERROR((S109/S108),0)-1))</f>
        <v/>
      </c>
      <c r="T111" s="195"/>
      <c r="U111" s="194" t="str">
        <f>IF(U109=0,"",ABS(IFERROR((U109/U108),0)-1))</f>
        <v/>
      </c>
      <c r="V111" s="195"/>
      <c r="W111" s="194" t="str">
        <f>IF(W109=0,"",ABS(IFERROR((W109/W108),0)-1))</f>
        <v/>
      </c>
      <c r="X111" s="195"/>
      <c r="Y111" s="194" t="str">
        <f>IF(Y109=0,"",ABS(IFERROR((Y109/Y108),0)-1))</f>
        <v/>
      </c>
      <c r="Z111" s="195"/>
      <c r="AA111" s="194" t="str">
        <f>IF(AA109=0,"",ABS(IFERROR((AA109/AA108),0)-1))</f>
        <v/>
      </c>
      <c r="AB111" s="195"/>
      <c r="AC111" s="194" t="str">
        <f>IF(AC109=0,"",ABS(IFERROR((AC109/AC108),0)-1))</f>
        <v/>
      </c>
      <c r="AD111" s="195"/>
      <c r="AE111" s="194" t="str">
        <f>IF(AE109=0,"",ABS(IFERROR((AE109/AE108),0)-1))</f>
        <v/>
      </c>
      <c r="AF111" s="195"/>
      <c r="AG111" s="194" t="str">
        <f>IF(AG109=0,"",ABS(IFERROR((AG109/AG108),0)-1))</f>
        <v/>
      </c>
      <c r="AH111" s="195"/>
      <c r="AI111" s="194" t="str">
        <f>IF(AI109=0,"",ABS(IFERROR((AI109/AI108),0)-1))</f>
        <v/>
      </c>
      <c r="AJ111" s="195"/>
      <c r="AK111" s="194" t="str">
        <f>IF(AK109=0,"",ABS(IFERROR((AK109/AK108),0)-1))</f>
        <v/>
      </c>
      <c r="AL111" s="195"/>
      <c r="AM111" s="194" t="str">
        <f>IF(AM109=0,"",ABS(IFERROR((AM109/AM108),0)-1))</f>
        <v/>
      </c>
      <c r="AN111" s="195"/>
      <c r="AO111" s="194" t="str">
        <f>IF(AO109=0,"",ABS(IFERROR((AO109/AO108),0)-1))</f>
        <v/>
      </c>
      <c r="AP111" s="195"/>
      <c r="AQ111" s="194" t="str">
        <f>IF(AQ109=0,"",ABS(IFERROR((AQ109/AQ108),0)-1))</f>
        <v/>
      </c>
      <c r="AR111" s="195"/>
      <c r="AS111" s="194" t="str">
        <f>IF(AS109=0,"",ABS(IFERROR((AS109/AS108),0)-1))</f>
        <v/>
      </c>
      <c r="AT111" s="195"/>
      <c r="AU111" s="194" t="str">
        <f>IF(AU109=0,"",ABS(IFERROR((AU109/AU108),0)-1))</f>
        <v/>
      </c>
      <c r="AV111" s="195"/>
      <c r="AW111" s="194" t="str">
        <f>IF(AW109=0,"",ABS(IFERROR((AW109/AW108),0)-1))</f>
        <v/>
      </c>
      <c r="AX111" s="195"/>
      <c r="AY111" s="194" t="str">
        <f>IF(AY109=0,"",ABS(IFERROR((AY109/AY108),0)-1))</f>
        <v/>
      </c>
      <c r="AZ111" s="195"/>
      <c r="BA111" s="194" t="str">
        <f>IF(BA109=0,"",ABS(IFERROR((BA109/BA108),0)-1))</f>
        <v/>
      </c>
      <c r="BB111" s="195"/>
      <c r="BC111" s="194" t="str">
        <f>IF(BC109=0,"",ABS(IFERROR((BC109/BC108),0)-1))</f>
        <v/>
      </c>
      <c r="BD111" s="195"/>
      <c r="BE111" s="194" t="str">
        <f>IF(BE109=0,"",ABS(IFERROR((BE109/BE108),0)-1))</f>
        <v/>
      </c>
      <c r="BF111" s="195"/>
      <c r="BG111" s="194" t="str">
        <f>IF(BG109=0,"",ABS(IFERROR((BG109/BG108),0)-1))</f>
        <v/>
      </c>
      <c r="BH111" s="195"/>
      <c r="BI111" s="194" t="str">
        <f>IF(BI109=0,"",ABS(IFERROR((BI109/BI108),0)-1))</f>
        <v/>
      </c>
      <c r="BJ111" s="195"/>
      <c r="BK111" s="194" t="str">
        <f>IF(BK109=0,"",ABS(IFERROR((BK109/BK108),0)-1))</f>
        <v/>
      </c>
      <c r="BL111" s="195"/>
      <c r="BM111" s="194" t="str">
        <f>IF(BM109=0,"",ABS(IFERROR((BM109/BM108),0)-1))</f>
        <v/>
      </c>
      <c r="BN111" s="195"/>
      <c r="BO111" s="194" t="str">
        <f>IF(BO109=0,"",ABS(IFERROR((BO109/BO108),0)-1))</f>
        <v/>
      </c>
      <c r="BP111" s="195"/>
      <c r="BQ111" s="194" t="str">
        <f>IF(BQ109=0,"",ABS(IFERROR((BQ109/BQ108),0)-1))</f>
        <v/>
      </c>
      <c r="BR111" s="195"/>
      <c r="BS111" s="194" t="str">
        <f>IF(BS109=0,"",ABS(IFERROR((BS109/BS108),0)-1))</f>
        <v/>
      </c>
      <c r="BT111" s="195"/>
      <c r="BU111" s="26" t="e">
        <f>ABS(IFERROR((BU109/BU108),"")-1)</f>
        <v>#VALUE!</v>
      </c>
      <c r="BV111" s="15"/>
      <c r="BW111" s="21"/>
      <c r="BX111" s="3"/>
      <c r="BY111" s="3"/>
      <c r="BZ111" s="3"/>
    </row>
    <row r="112" spans="1:78" ht="15" thickBot="1" x14ac:dyDescent="0.35">
      <c r="A112" s="181"/>
      <c r="B112" s="22" t="s">
        <v>177</v>
      </c>
      <c r="C112" s="196" t="str">
        <f>IF(C111="","", IF(C111&lt;89%,"OVER STANDART",IF(C111=89%,"GOOD","UNDER STANDART")))</f>
        <v/>
      </c>
      <c r="D112" s="197"/>
      <c r="E112" s="196" t="str">
        <f>IF(E111="","", IF(E111&lt;89%,"OVER STANDART",IF(E111=89%,"GOOD","UNDER STANDART")))</f>
        <v/>
      </c>
      <c r="F112" s="197"/>
      <c r="G112" s="196" t="str">
        <f>IF(G111="","", IF(G111&lt;89%,"OVER STANDART",IF(G111=89%,"GOOD","UNDER STANDART")))</f>
        <v/>
      </c>
      <c r="H112" s="197"/>
      <c r="I112" s="196" t="str">
        <f>IF(I111="","", IF(I111&lt;89%,"OVER STANDART",IF(I111=89%,"GOOD","UNDER STANDART")))</f>
        <v/>
      </c>
      <c r="J112" s="197"/>
      <c r="K112" s="196" t="str">
        <f>IF(K111="","", IF(K111&lt;89%,"OVER STANDART",IF(K111=89%,"GOOD","UNDER STANDART")))</f>
        <v/>
      </c>
      <c r="L112" s="197"/>
      <c r="M112" s="196" t="str">
        <f>IF(M111="","", IF(M111&lt;89%,"OVER STANDART",IF(M111=89%,"GOOD","UNDER STANDART")))</f>
        <v/>
      </c>
      <c r="N112" s="197"/>
      <c r="O112" s="196" t="str">
        <f>IF(O111="","", IF(O111&lt;89%,"OVER STANDART",IF(O111=89%,"GOOD","UNDER STANDART")))</f>
        <v/>
      </c>
      <c r="P112" s="197"/>
      <c r="Q112" s="196" t="str">
        <f>IF(Q111="","", IF(Q111&lt;89%,"OVER STANDART",IF(Q111=89%,"GOOD","UNDER STANDART")))</f>
        <v/>
      </c>
      <c r="R112" s="197"/>
      <c r="S112" s="196" t="str">
        <f>IF(S111="","", IF(S111&lt;89%,"OVER STANDART",IF(S111=89%,"GOOD","UNDER STANDART")))</f>
        <v/>
      </c>
      <c r="T112" s="197"/>
      <c r="U112" s="196" t="str">
        <f>IF(U111="","", IF(U111&lt;89%,"OVER STANDART",IF(U111=89%,"GOOD","UNDER STANDART")))</f>
        <v/>
      </c>
      <c r="V112" s="197"/>
      <c r="W112" s="196" t="str">
        <f>IF(W111="","", IF(W111&lt;89%,"OVER STANDART",IF(W111=89%,"GOOD","UNDER STANDART")))</f>
        <v/>
      </c>
      <c r="X112" s="197"/>
      <c r="Y112" s="196" t="str">
        <f>IF(Y111="","", IF(Y111&lt;89%,"OVER STANDART",IF(Y111=89%,"GOOD","UNDER STANDART")))</f>
        <v/>
      </c>
      <c r="Z112" s="197"/>
      <c r="AA112" s="196" t="str">
        <f>IF(AA111="","", IF(AA111&lt;89%,"OVER STANDART",IF(AA111=89%,"GOOD","UNDER STANDART")))</f>
        <v/>
      </c>
      <c r="AB112" s="197"/>
      <c r="AC112" s="196" t="str">
        <f>IF(AC111="","", IF(AC111&lt;89%,"OVER STANDART",IF(AC111=89%,"GOOD","UNDER STANDART")))</f>
        <v/>
      </c>
      <c r="AD112" s="197"/>
      <c r="AE112" s="196" t="str">
        <f>IF(AE111="","", IF(AE111&lt;89%,"OVER STANDART",IF(AE111=89%,"GOOD","UNDER STANDART")))</f>
        <v/>
      </c>
      <c r="AF112" s="197"/>
      <c r="AG112" s="196" t="str">
        <f>IF(AG111="","", IF(AG111&lt;89%,"OVER STANDART",IF(AG111=89%,"GOOD","UNDER STANDART")))</f>
        <v/>
      </c>
      <c r="AH112" s="197"/>
      <c r="AI112" s="196" t="str">
        <f>IF(AI111="","", IF(AI111&lt;89%,"OVER STANDART",IF(AI111=89%,"GOOD","UNDER STANDART")))</f>
        <v/>
      </c>
      <c r="AJ112" s="197"/>
      <c r="AK112" s="196" t="str">
        <f>IF(AK111="","", IF(AK111&lt;89%,"OVER STANDART",IF(AK111=89%,"GOOD","UNDER STANDART")))</f>
        <v/>
      </c>
      <c r="AL112" s="197"/>
      <c r="AM112" s="196" t="str">
        <f>IF(AM111="","", IF(AM111&lt;89%,"OVER STANDART",IF(AM111=89%,"GOOD","UNDER STANDART")))</f>
        <v/>
      </c>
      <c r="AN112" s="197"/>
      <c r="AO112" s="196" t="str">
        <f>IF(AO111="","", IF(AO111&lt;89%,"OVER STANDART",IF(AO111=89%,"GOOD","UNDER STANDART")))</f>
        <v/>
      </c>
      <c r="AP112" s="197"/>
      <c r="AQ112" s="196" t="str">
        <f>IF(AQ111="","", IF(AQ111&lt;89%,"OVER STANDART",IF(AQ111=89%,"GOOD","UNDER STANDART")))</f>
        <v/>
      </c>
      <c r="AR112" s="197"/>
      <c r="AS112" s="196" t="str">
        <f>IF(AS111="","", IF(AS111&lt;89%,"OVER STANDART",IF(AS111=89%,"GOOD","UNDER STANDART")))</f>
        <v/>
      </c>
      <c r="AT112" s="197"/>
      <c r="AU112" s="196" t="str">
        <f>IF(AU111="","", IF(AU111&lt;89%,"OVER STANDART",IF(AU111=89%,"GOOD","UNDER STANDART")))</f>
        <v/>
      </c>
      <c r="AV112" s="197"/>
      <c r="AW112" s="196" t="str">
        <f>IF(AW111="","", IF(AW111&lt;89%,"OVER STANDART",IF(AW111=89%,"GOOD","UNDER STANDART")))</f>
        <v/>
      </c>
      <c r="AX112" s="197"/>
      <c r="AY112" s="196" t="str">
        <f>IF(AY111="","", IF(AY111&lt;89%,"OVER STANDART",IF(AY111=89%,"GOOD","UNDER STANDART")))</f>
        <v/>
      </c>
      <c r="AZ112" s="197"/>
      <c r="BA112" s="196" t="str">
        <f>IF(BA111="","", IF(BA111&lt;89%,"OVER STANDART",IF(BA111=89%,"GOOD","UNDER STANDART")))</f>
        <v/>
      </c>
      <c r="BB112" s="197"/>
      <c r="BC112" s="196" t="str">
        <f>IF(BC111="","", IF(BC111&lt;89%,"OVER STANDART",IF(BC111=89%,"GOOD","UNDER STANDART")))</f>
        <v/>
      </c>
      <c r="BD112" s="197"/>
      <c r="BE112" s="196" t="str">
        <f>IF(BE111="","", IF(BE111&lt;89%,"OVER STANDART",IF(BE111=89%,"GOOD","UNDER STANDART")))</f>
        <v/>
      </c>
      <c r="BF112" s="197"/>
      <c r="BG112" s="196" t="str">
        <f>IF(BG111="","", IF(BG111&lt;89%,"OVER STANDART",IF(BG111=89%,"GOOD","UNDER STANDART")))</f>
        <v/>
      </c>
      <c r="BH112" s="197"/>
      <c r="BI112" s="196" t="str">
        <f>IF(BI111="","", IF(BI111&lt;89%,"OVER STANDART",IF(BI111=89%,"GOOD","UNDER STANDART")))</f>
        <v/>
      </c>
      <c r="BJ112" s="197"/>
      <c r="BK112" s="196" t="str">
        <f>IF(BK111="","", IF(BK111&lt;89%,"OVER STANDART",IF(BK111=89%,"GOOD","UNDER STANDART")))</f>
        <v/>
      </c>
      <c r="BL112" s="197"/>
      <c r="BM112" s="196" t="str">
        <f>IF(BM111="","", IF(BM111&lt;89%,"OVER STANDART",IF(BM111=89%,"GOOD","UNDER STANDART")))</f>
        <v/>
      </c>
      <c r="BN112" s="197"/>
      <c r="BO112" s="196" t="str">
        <f>IF(BO111="","", IF(BO111&lt;89%,"OVER STANDART",IF(BO111=89%,"GOOD","UNDER STANDART")))</f>
        <v/>
      </c>
      <c r="BP112" s="197"/>
      <c r="BQ112" s="196" t="str">
        <f>IF(BQ111="","", IF(BQ111&lt;89%,"OVER STANDART",IF(BQ111=89%,"GOOD","UNDER STANDART")))</f>
        <v/>
      </c>
      <c r="BR112" s="197"/>
      <c r="BS112" s="196" t="str">
        <f>IF(BS111="","", IF(BS111&lt;89%,"OVER STANDART",IF(BS111=89%,"GOOD","UNDER STANDART")))</f>
        <v/>
      </c>
      <c r="BT112" s="197"/>
      <c r="BU112" s="24" t="e">
        <f>IF(BU111="","", IF(BU111&lt;89%,"OVER STANDART",IF(BU111=89%,"GOOD","UNDER STANDART")))</f>
        <v>#VALUE!</v>
      </c>
      <c r="BV112" s="23"/>
      <c r="BW112" s="25"/>
      <c r="BX112" s="3"/>
      <c r="BY112" s="3"/>
      <c r="BZ112" s="3"/>
    </row>
    <row r="113" spans="1:78" ht="14.5" x14ac:dyDescent="0.3">
      <c r="A113" s="198">
        <f>A108+1</f>
        <v>23</v>
      </c>
      <c r="B113" s="7" t="s">
        <v>278</v>
      </c>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9" t="str">
        <f>IF(SUMIF($C$2:$BT$2,"FRESH",C113:BT113)=0,"",SUMIF($C$2:$BT$2,"FRESH",C113:BT113))</f>
        <v/>
      </c>
      <c r="BV113" s="10" t="str">
        <f>IF(SUMIF($C$2:$BT$2,"GILING",C113:BT113)=0,"",SUMIF($C$2:$BT$2,"GILING",C113:BT113))</f>
        <v/>
      </c>
      <c r="BW113" s="11"/>
      <c r="BX113" s="3"/>
      <c r="BY113" s="3"/>
      <c r="BZ113" s="3"/>
    </row>
    <row r="114" spans="1:78" x14ac:dyDescent="0.3">
      <c r="A114" s="199"/>
      <c r="B114" s="12" t="s">
        <v>279</v>
      </c>
      <c r="C114" s="188">
        <f>IF(AND(C113="",D113=""),0,C113-D113)</f>
        <v>0</v>
      </c>
      <c r="D114" s="189"/>
      <c r="E114" s="188">
        <f>IF(AND(E113="",F113=""),0,E113-F113)</f>
        <v>0</v>
      </c>
      <c r="F114" s="189"/>
      <c r="G114" s="188">
        <f>IF(AND(G113="",H113=""),0,G113-H113)</f>
        <v>0</v>
      </c>
      <c r="H114" s="189"/>
      <c r="I114" s="188">
        <f>IF(AND(I113="",J113=""),0,I113-J113)</f>
        <v>0</v>
      </c>
      <c r="J114" s="189"/>
      <c r="K114" s="188">
        <f>IF(AND(K113="",L113=""),0,K113-L113)</f>
        <v>0</v>
      </c>
      <c r="L114" s="189"/>
      <c r="M114" s="188">
        <f>IF(AND(M113="",N113=""),0,M113-N113)</f>
        <v>0</v>
      </c>
      <c r="N114" s="189"/>
      <c r="O114" s="188">
        <f>IF(AND(O113="",P113=""),0,O113-P113)</f>
        <v>0</v>
      </c>
      <c r="P114" s="189"/>
      <c r="Q114" s="188">
        <f>IF(AND(Q113="",R113=""),0,Q113-R113)</f>
        <v>0</v>
      </c>
      <c r="R114" s="189"/>
      <c r="S114" s="188">
        <f>IF(AND(S113="",T113=""),0,S113-T113)</f>
        <v>0</v>
      </c>
      <c r="T114" s="189"/>
      <c r="U114" s="188">
        <f>IF(AND(U113="",V113=""),0,U113-V113)</f>
        <v>0</v>
      </c>
      <c r="V114" s="189"/>
      <c r="W114" s="188">
        <f>IF(AND(W113="",X113=""),0,W113-X113)</f>
        <v>0</v>
      </c>
      <c r="X114" s="189"/>
      <c r="Y114" s="188">
        <f>IF(AND(Y113="",Z113=""),0,Y113-Z113)</f>
        <v>0</v>
      </c>
      <c r="Z114" s="189"/>
      <c r="AA114" s="188">
        <f>IF(AND(AA113="",AB113=""),0,AA113-AB113)</f>
        <v>0</v>
      </c>
      <c r="AB114" s="189"/>
      <c r="AC114" s="188">
        <f>IF(AND(AC113="",AD113=""),0,AC113-AD113)</f>
        <v>0</v>
      </c>
      <c r="AD114" s="189"/>
      <c r="AE114" s="188">
        <f>IF(AND(AE113="",AF113=""),0,AE113-AF113)</f>
        <v>0</v>
      </c>
      <c r="AF114" s="189"/>
      <c r="AG114" s="188">
        <f>IF(AND(AG113="",AH113=""),0,AG113-AH113)</f>
        <v>0</v>
      </c>
      <c r="AH114" s="189"/>
      <c r="AI114" s="188">
        <f>IF(AND(AI113="",AJ113=""),0,AI113-AJ113)</f>
        <v>0</v>
      </c>
      <c r="AJ114" s="189"/>
      <c r="AK114" s="188">
        <f>IF(AND(AK113="",AL113=""),0,AK113-AL113)</f>
        <v>0</v>
      </c>
      <c r="AL114" s="189"/>
      <c r="AM114" s="188">
        <f>IF(AND(AM113="",AN113=""),0,AM113-AN113)</f>
        <v>0</v>
      </c>
      <c r="AN114" s="189"/>
      <c r="AO114" s="188">
        <f>IF(AND(AO113="",AP113=""),0,AO113-AP113)</f>
        <v>0</v>
      </c>
      <c r="AP114" s="189"/>
      <c r="AQ114" s="188">
        <f>IF(AND(AQ113="",AR113=""),0,AQ113-AR113)</f>
        <v>0</v>
      </c>
      <c r="AR114" s="189"/>
      <c r="AS114" s="188">
        <f>IF(AND(AS113="",AT113=""),0,AS113-AT113)</f>
        <v>0</v>
      </c>
      <c r="AT114" s="189"/>
      <c r="AU114" s="188">
        <f>IF(AND(AU113="",AV113=""),0,AU113-AV113)</f>
        <v>0</v>
      </c>
      <c r="AV114" s="189"/>
      <c r="AW114" s="188">
        <f>IF(AND(AW113="",AX113=""),0,AW113-AX113)</f>
        <v>0</v>
      </c>
      <c r="AX114" s="189"/>
      <c r="AY114" s="188">
        <f>IF(AND(AY113="",AZ113=""),0,AY113-AZ113)</f>
        <v>0</v>
      </c>
      <c r="AZ114" s="189"/>
      <c r="BA114" s="188">
        <f>IF(AND(BA113="",BB113=""),0,BA113-BB113)</f>
        <v>0</v>
      </c>
      <c r="BB114" s="189"/>
      <c r="BC114" s="188">
        <f>IF(AND(BC113="",BD113=""),0,BC113-BD113)</f>
        <v>0</v>
      </c>
      <c r="BD114" s="189"/>
      <c r="BE114" s="188">
        <f>IF(AND(BE113="",BF113=""),0,BE113-BF113)</f>
        <v>0</v>
      </c>
      <c r="BF114" s="189"/>
      <c r="BG114" s="188">
        <f>IF(AND(BG113="",BH113=""),0,BG113-BH113)</f>
        <v>0</v>
      </c>
      <c r="BH114" s="189"/>
      <c r="BI114" s="188">
        <f>IF(AND(BI113="",BJ113=""),0,BI113-BJ113)</f>
        <v>0</v>
      </c>
      <c r="BJ114" s="189"/>
      <c r="BK114" s="188">
        <f>IF(AND(BK113="",BL113=""),0,BK113-BL113)</f>
        <v>0</v>
      </c>
      <c r="BL114" s="189"/>
      <c r="BM114" s="188">
        <f>IF(AND(BM113="",BN113=""),0,BM113-BN113)</f>
        <v>0</v>
      </c>
      <c r="BN114" s="189"/>
      <c r="BO114" s="188">
        <f>IF(AND(BO113="",BP113=""),0,BO113-BP113)</f>
        <v>0</v>
      </c>
      <c r="BP114" s="189"/>
      <c r="BQ114" s="188">
        <f>IF(AND(BQ113="",BR113=""),0,BQ113-BR113)</f>
        <v>0</v>
      </c>
      <c r="BR114" s="189"/>
      <c r="BS114" s="188">
        <f>IF(AND(BS113="",BT113=""),0,BS113-BT113)</f>
        <v>0</v>
      </c>
      <c r="BT114" s="189"/>
      <c r="BU114" s="14" t="str">
        <f>IF(AND(BU113="",BV113=""),"",BU113-BV113)</f>
        <v/>
      </c>
      <c r="BV114" s="13"/>
      <c r="BW114" s="16" t="str">
        <f>IF(COUNTIF(D114:BT114,"&gt;0")=0,"",COUNTIF(D114:BT114,"&gt;0"))</f>
        <v/>
      </c>
      <c r="BX114" s="3"/>
      <c r="BY114" s="3"/>
      <c r="BZ114" s="3"/>
    </row>
    <row r="115" spans="1:78" ht="14.5" x14ac:dyDescent="0.3">
      <c r="A115" s="199"/>
      <c r="B115" s="12" t="s">
        <v>280</v>
      </c>
      <c r="C115" s="186">
        <f>IF(C114="",0,(D113/89%)-(C113))</f>
        <v>0</v>
      </c>
      <c r="D115" s="187"/>
      <c r="E115" s="186">
        <f>IF(E114="",0,(F113/89%)-(E113))</f>
        <v>0</v>
      </c>
      <c r="F115" s="187"/>
      <c r="G115" s="186">
        <f>IF(G114="",0,(H113/89%)-(G113))</f>
        <v>0</v>
      </c>
      <c r="H115" s="187"/>
      <c r="I115" s="186">
        <f>IF(I114="",0,(J113/89%)-(I113))</f>
        <v>0</v>
      </c>
      <c r="J115" s="187"/>
      <c r="K115" s="186">
        <f>IF(K114="",0,(L113/89%)-(K113))</f>
        <v>0</v>
      </c>
      <c r="L115" s="187"/>
      <c r="M115" s="186">
        <f>IF(M114="",0,(N113/89%)-(M113))</f>
        <v>0</v>
      </c>
      <c r="N115" s="187"/>
      <c r="O115" s="186">
        <f>IF(O114="",0,(P113/89%)-(O113))</f>
        <v>0</v>
      </c>
      <c r="P115" s="187"/>
      <c r="Q115" s="186">
        <f>IF(Q114="",0,(R113/89%)-(Q113))</f>
        <v>0</v>
      </c>
      <c r="R115" s="187"/>
      <c r="S115" s="186">
        <f>IF(S114="",0,(T113/89%)-(S113))</f>
        <v>0</v>
      </c>
      <c r="T115" s="187"/>
      <c r="U115" s="186">
        <f>IF(U114="",0,(V113/89%)-(U113))</f>
        <v>0</v>
      </c>
      <c r="V115" s="187"/>
      <c r="W115" s="186">
        <f>IF(W114="",0,(X113/89%)-(W113))</f>
        <v>0</v>
      </c>
      <c r="X115" s="187"/>
      <c r="Y115" s="186">
        <f>IF(Y114="",0,(Z113/89%)-(Y113))</f>
        <v>0</v>
      </c>
      <c r="Z115" s="187"/>
      <c r="AA115" s="186">
        <f>IF(AA114="",0,(AB113/89%)-(AA113))</f>
        <v>0</v>
      </c>
      <c r="AB115" s="187"/>
      <c r="AC115" s="186">
        <f>IF(AC114="",0,(AD113/89%)-(AC113))</f>
        <v>0</v>
      </c>
      <c r="AD115" s="187"/>
      <c r="AE115" s="186">
        <f>IF(AE114="",0,(AF113/89%)-(AE113))</f>
        <v>0</v>
      </c>
      <c r="AF115" s="187"/>
      <c r="AG115" s="186">
        <f>IF(AG114="",0,(AH113/89%)-(AG113))</f>
        <v>0</v>
      </c>
      <c r="AH115" s="187"/>
      <c r="AI115" s="186">
        <f>IF(AI114="",0,(AJ113/89%)-(AI113))</f>
        <v>0</v>
      </c>
      <c r="AJ115" s="187"/>
      <c r="AK115" s="186">
        <f>IF(AK114="",0,(AL113/89%)-(AK113))</f>
        <v>0</v>
      </c>
      <c r="AL115" s="187"/>
      <c r="AM115" s="186">
        <f>IF(AM114="",0,(AN113/89%)-(AM113))</f>
        <v>0</v>
      </c>
      <c r="AN115" s="187"/>
      <c r="AO115" s="186">
        <f>IF(AO114="",0,(AP113/89%)-(AO113))</f>
        <v>0</v>
      </c>
      <c r="AP115" s="187"/>
      <c r="AQ115" s="186">
        <f>IF(AQ114="",0,(AR113/89%)-(AQ113))</f>
        <v>0</v>
      </c>
      <c r="AR115" s="187"/>
      <c r="AS115" s="186">
        <f>IF(AS114="",0,(AT113/89%)-(AS113))</f>
        <v>0</v>
      </c>
      <c r="AT115" s="187"/>
      <c r="AU115" s="186">
        <f>IF(AU114="",0,(AV113/89%)-(AU113))</f>
        <v>0</v>
      </c>
      <c r="AV115" s="187"/>
      <c r="AW115" s="186">
        <f>IF(AW114="",0,(AX113/89%)-(AW113))</f>
        <v>0</v>
      </c>
      <c r="AX115" s="187"/>
      <c r="AY115" s="186">
        <f>IF(AY114="",0,(AZ113/89%)-(AY113))</f>
        <v>0</v>
      </c>
      <c r="AZ115" s="187"/>
      <c r="BA115" s="186">
        <f>IF(BA114="",0,(BB113/89%)-(BA113))</f>
        <v>0</v>
      </c>
      <c r="BB115" s="187"/>
      <c r="BC115" s="186">
        <f>IF(BC114="",0,(BD113/89%)-(BC113))</f>
        <v>0</v>
      </c>
      <c r="BD115" s="187"/>
      <c r="BE115" s="186">
        <f>IF(BE114="",0,(BF113/89%)-(BE113))</f>
        <v>0</v>
      </c>
      <c r="BF115" s="187"/>
      <c r="BG115" s="186">
        <f>IF(BG114="",0,(BH113/89%)-(BG113))</f>
        <v>0</v>
      </c>
      <c r="BH115" s="187"/>
      <c r="BI115" s="186">
        <f>IF(BI114="",0,(BJ113/89%)-(BI113))</f>
        <v>0</v>
      </c>
      <c r="BJ115" s="187"/>
      <c r="BK115" s="186">
        <f>IF(BK114="",0,(BL113/89%)-(BK113))</f>
        <v>0</v>
      </c>
      <c r="BL115" s="187"/>
      <c r="BM115" s="186">
        <f>IF(BM114="",0,(BN113/89%)-(BM113))</f>
        <v>0</v>
      </c>
      <c r="BN115" s="187"/>
      <c r="BO115" s="186">
        <f>IF(BO114="",0,(BP113/89%)-(BO113))</f>
        <v>0</v>
      </c>
      <c r="BP115" s="187"/>
      <c r="BQ115" s="186">
        <f>IF(BQ114="",0,(BR113/89%)-(BQ113))</f>
        <v>0</v>
      </c>
      <c r="BR115" s="187"/>
      <c r="BS115" s="186">
        <f>IF(BS114="",0,(BT113/89%)-(BS113))</f>
        <v>0</v>
      </c>
      <c r="BT115" s="187"/>
      <c r="BU115" s="17" t="str">
        <f>IF(BU114="","",(BV113/89%)-(BU113))</f>
        <v/>
      </c>
      <c r="BV115" s="13"/>
      <c r="BW115" s="18" t="str">
        <f>IF(AND(BU113="",BV113=""),"",(BU113-BV113)-BU114)</f>
        <v/>
      </c>
      <c r="BX115" s="3"/>
      <c r="BY115" s="3"/>
      <c r="BZ115" s="3"/>
    </row>
    <row r="116" spans="1:78" ht="14.5" x14ac:dyDescent="0.3">
      <c r="A116" s="199"/>
      <c r="B116" s="19" t="s">
        <v>281</v>
      </c>
      <c r="C116" s="194" t="str">
        <f>IF(C114=0,"",ABS(IFERROR((C114/C113),0)-1))</f>
        <v/>
      </c>
      <c r="D116" s="195"/>
      <c r="E116" s="194" t="str">
        <f>IF(E114=0,"",ABS(IFERROR((E114/E113),0)-1))</f>
        <v/>
      </c>
      <c r="F116" s="195"/>
      <c r="G116" s="194" t="str">
        <f>IF(G114=0,"",ABS(IFERROR((G114/G113),0)-1))</f>
        <v/>
      </c>
      <c r="H116" s="195"/>
      <c r="I116" s="194" t="str">
        <f>IF(I114=0,"",ABS(IFERROR((I114/I113),0)-1))</f>
        <v/>
      </c>
      <c r="J116" s="195"/>
      <c r="K116" s="194" t="str">
        <f>IF(K114=0,"",ABS(IFERROR((K114/K113),0)-1))</f>
        <v/>
      </c>
      <c r="L116" s="195"/>
      <c r="M116" s="194" t="str">
        <f>IF(M114=0,"",ABS(IFERROR((M114/M113),0)-1))</f>
        <v/>
      </c>
      <c r="N116" s="195"/>
      <c r="O116" s="194" t="str">
        <f>IF(O114=0,"",ABS(IFERROR((O114/O113),0)-1))</f>
        <v/>
      </c>
      <c r="P116" s="195"/>
      <c r="Q116" s="194" t="str">
        <f>IF(Q114=0,"",ABS(IFERROR((Q114/Q113),0)-1))</f>
        <v/>
      </c>
      <c r="R116" s="195"/>
      <c r="S116" s="194" t="str">
        <f>IF(S114=0,"",ABS(IFERROR((S114/S113),0)-1))</f>
        <v/>
      </c>
      <c r="T116" s="195"/>
      <c r="U116" s="194" t="str">
        <f>IF(U114=0,"",ABS(IFERROR((U114/U113),0)-1))</f>
        <v/>
      </c>
      <c r="V116" s="195"/>
      <c r="W116" s="194" t="str">
        <f>IF(W114=0,"",ABS(IFERROR((W114/W113),0)-1))</f>
        <v/>
      </c>
      <c r="X116" s="195"/>
      <c r="Y116" s="194" t="str">
        <f>IF(Y114=0,"",ABS(IFERROR((Y114/Y113),0)-1))</f>
        <v/>
      </c>
      <c r="Z116" s="195"/>
      <c r="AA116" s="194" t="str">
        <f>IF(AA114=0,"",ABS(IFERROR((AA114/AA113),0)-1))</f>
        <v/>
      </c>
      <c r="AB116" s="195"/>
      <c r="AC116" s="194" t="str">
        <f>IF(AC114=0,"",ABS(IFERROR((AC114/AC113),0)-1))</f>
        <v/>
      </c>
      <c r="AD116" s="195"/>
      <c r="AE116" s="194" t="str">
        <f>IF(AE114=0,"",ABS(IFERROR((AE114/AE113),0)-1))</f>
        <v/>
      </c>
      <c r="AF116" s="195"/>
      <c r="AG116" s="194" t="str">
        <f>IF(AG114=0,"",ABS(IFERROR((AG114/AG113),0)-1))</f>
        <v/>
      </c>
      <c r="AH116" s="195"/>
      <c r="AI116" s="194" t="str">
        <f>IF(AI114=0,"",ABS(IFERROR((AI114/AI113),0)-1))</f>
        <v/>
      </c>
      <c r="AJ116" s="195"/>
      <c r="AK116" s="194" t="str">
        <f>IF(AK114=0,"",ABS(IFERROR((AK114/AK113),0)-1))</f>
        <v/>
      </c>
      <c r="AL116" s="195"/>
      <c r="AM116" s="194" t="str">
        <f>IF(AM114=0,"",ABS(IFERROR((AM114/AM113),0)-1))</f>
        <v/>
      </c>
      <c r="AN116" s="195"/>
      <c r="AO116" s="194" t="str">
        <f>IF(AO114=0,"",ABS(IFERROR((AO114/AO113),0)-1))</f>
        <v/>
      </c>
      <c r="AP116" s="195"/>
      <c r="AQ116" s="194" t="str">
        <f>IF(AQ114=0,"",ABS(IFERROR((AQ114/AQ113),0)-1))</f>
        <v/>
      </c>
      <c r="AR116" s="195"/>
      <c r="AS116" s="194" t="str">
        <f>IF(AS114=0,"",ABS(IFERROR((AS114/AS113),0)-1))</f>
        <v/>
      </c>
      <c r="AT116" s="195"/>
      <c r="AU116" s="194" t="str">
        <f>IF(AU114=0,"",ABS(IFERROR((AU114/AU113),0)-1))</f>
        <v/>
      </c>
      <c r="AV116" s="195"/>
      <c r="AW116" s="194" t="str">
        <f>IF(AW114=0,"",ABS(IFERROR((AW114/AW113),0)-1))</f>
        <v/>
      </c>
      <c r="AX116" s="195"/>
      <c r="AY116" s="194" t="str">
        <f>IF(AY114=0,"",ABS(IFERROR((AY114/AY113),0)-1))</f>
        <v/>
      </c>
      <c r="AZ116" s="195"/>
      <c r="BA116" s="194" t="str">
        <f>IF(BA114=0,"",ABS(IFERROR((BA114/BA113),0)-1))</f>
        <v/>
      </c>
      <c r="BB116" s="195"/>
      <c r="BC116" s="194" t="str">
        <f>IF(BC114=0,"",ABS(IFERROR((BC114/BC113),0)-1))</f>
        <v/>
      </c>
      <c r="BD116" s="195"/>
      <c r="BE116" s="194" t="str">
        <f>IF(BE114=0,"",ABS(IFERROR((BE114/BE113),0)-1))</f>
        <v/>
      </c>
      <c r="BF116" s="195"/>
      <c r="BG116" s="194" t="str">
        <f>IF(BG114=0,"",ABS(IFERROR((BG114/BG113),0)-1))</f>
        <v/>
      </c>
      <c r="BH116" s="195"/>
      <c r="BI116" s="194" t="str">
        <f>IF(BI114=0,"",ABS(IFERROR((BI114/BI113),0)-1))</f>
        <v/>
      </c>
      <c r="BJ116" s="195"/>
      <c r="BK116" s="194" t="str">
        <f>IF(BK114=0,"",ABS(IFERROR((BK114/BK113),0)-1))</f>
        <v/>
      </c>
      <c r="BL116" s="195"/>
      <c r="BM116" s="194" t="str">
        <f>IF(BM114=0,"",ABS(IFERROR((BM114/BM113),0)-1))</f>
        <v/>
      </c>
      <c r="BN116" s="195"/>
      <c r="BO116" s="194" t="str">
        <f>IF(BO114=0,"",ABS(IFERROR((BO114/BO113),0)-1))</f>
        <v/>
      </c>
      <c r="BP116" s="195"/>
      <c r="BQ116" s="194" t="str">
        <f>IF(BQ114=0,"",ABS(IFERROR((BQ114/BQ113),0)-1))</f>
        <v/>
      </c>
      <c r="BR116" s="195"/>
      <c r="BS116" s="194" t="str">
        <f>IF(BS114=0,"",ABS(IFERROR((BS114/BS113),0)-1))</f>
        <v/>
      </c>
      <c r="BT116" s="195"/>
      <c r="BU116" s="26" t="e">
        <f>ABS(IFERROR((BU114/BU113),"")-1)</f>
        <v>#VALUE!</v>
      </c>
      <c r="BV116" s="15"/>
      <c r="BW116" s="21"/>
      <c r="BX116" s="3"/>
      <c r="BY116" s="3"/>
      <c r="BZ116" s="3"/>
    </row>
    <row r="117" spans="1:78" ht="15" thickBot="1" x14ac:dyDescent="0.35">
      <c r="A117" s="181"/>
      <c r="B117" s="22" t="s">
        <v>177</v>
      </c>
      <c r="C117" s="196" t="str">
        <f>IF(C116="","", IF(C116&lt;89%,"OVER STANDART",IF(C116=89%,"GOOD","UNDER STANDART")))</f>
        <v/>
      </c>
      <c r="D117" s="197"/>
      <c r="E117" s="196" t="str">
        <f>IF(E116="","", IF(E116&lt;89%,"OVER STANDART",IF(E116=89%,"GOOD","UNDER STANDART")))</f>
        <v/>
      </c>
      <c r="F117" s="197"/>
      <c r="G117" s="196" t="str">
        <f>IF(G116="","", IF(G116&lt;89%,"OVER STANDART",IF(G116=89%,"GOOD","UNDER STANDART")))</f>
        <v/>
      </c>
      <c r="H117" s="197"/>
      <c r="I117" s="196" t="str">
        <f>IF(I116="","", IF(I116&lt;89%,"OVER STANDART",IF(I116=89%,"GOOD","UNDER STANDART")))</f>
        <v/>
      </c>
      <c r="J117" s="197"/>
      <c r="K117" s="196" t="str">
        <f>IF(K116="","", IF(K116&lt;89%,"OVER STANDART",IF(K116=89%,"GOOD","UNDER STANDART")))</f>
        <v/>
      </c>
      <c r="L117" s="197"/>
      <c r="M117" s="196" t="str">
        <f>IF(M116="","", IF(M116&lt;89%,"OVER STANDART",IF(M116=89%,"GOOD","UNDER STANDART")))</f>
        <v/>
      </c>
      <c r="N117" s="197"/>
      <c r="O117" s="196" t="str">
        <f>IF(O116="","", IF(O116&lt;89%,"OVER STANDART",IF(O116=89%,"GOOD","UNDER STANDART")))</f>
        <v/>
      </c>
      <c r="P117" s="197"/>
      <c r="Q117" s="196" t="str">
        <f>IF(Q116="","", IF(Q116&lt;89%,"OVER STANDART",IF(Q116=89%,"GOOD","UNDER STANDART")))</f>
        <v/>
      </c>
      <c r="R117" s="197"/>
      <c r="S117" s="196" t="str">
        <f>IF(S116="","", IF(S116&lt;89%,"OVER STANDART",IF(S116=89%,"GOOD","UNDER STANDART")))</f>
        <v/>
      </c>
      <c r="T117" s="197"/>
      <c r="U117" s="196" t="str">
        <f>IF(U116="","", IF(U116&lt;89%,"OVER STANDART",IF(U116=89%,"GOOD","UNDER STANDART")))</f>
        <v/>
      </c>
      <c r="V117" s="197"/>
      <c r="W117" s="196" t="str">
        <f>IF(W116="","", IF(W116&lt;89%,"OVER STANDART",IF(W116=89%,"GOOD","UNDER STANDART")))</f>
        <v/>
      </c>
      <c r="X117" s="197"/>
      <c r="Y117" s="196" t="str">
        <f>IF(Y116="","", IF(Y116&lt;89%,"OVER STANDART",IF(Y116=89%,"GOOD","UNDER STANDART")))</f>
        <v/>
      </c>
      <c r="Z117" s="197"/>
      <c r="AA117" s="196" t="str">
        <f>IF(AA116="","", IF(AA116&lt;89%,"OVER STANDART",IF(AA116=89%,"GOOD","UNDER STANDART")))</f>
        <v/>
      </c>
      <c r="AB117" s="197"/>
      <c r="AC117" s="196" t="str">
        <f>IF(AC116="","", IF(AC116&lt;89%,"OVER STANDART",IF(AC116=89%,"GOOD","UNDER STANDART")))</f>
        <v/>
      </c>
      <c r="AD117" s="197"/>
      <c r="AE117" s="196" t="str">
        <f>IF(AE116="","", IF(AE116&lt;89%,"OVER STANDART",IF(AE116=89%,"GOOD","UNDER STANDART")))</f>
        <v/>
      </c>
      <c r="AF117" s="197"/>
      <c r="AG117" s="196" t="str">
        <f>IF(AG116="","", IF(AG116&lt;89%,"OVER STANDART",IF(AG116=89%,"GOOD","UNDER STANDART")))</f>
        <v/>
      </c>
      <c r="AH117" s="197"/>
      <c r="AI117" s="196" t="str">
        <f>IF(AI116="","", IF(AI116&lt;89%,"OVER STANDART",IF(AI116=89%,"GOOD","UNDER STANDART")))</f>
        <v/>
      </c>
      <c r="AJ117" s="197"/>
      <c r="AK117" s="196" t="str">
        <f>IF(AK116="","", IF(AK116&lt;89%,"OVER STANDART",IF(AK116=89%,"GOOD","UNDER STANDART")))</f>
        <v/>
      </c>
      <c r="AL117" s="197"/>
      <c r="AM117" s="196" t="str">
        <f>IF(AM116="","", IF(AM116&lt;89%,"OVER STANDART",IF(AM116=89%,"GOOD","UNDER STANDART")))</f>
        <v/>
      </c>
      <c r="AN117" s="197"/>
      <c r="AO117" s="196" t="str">
        <f>IF(AO116="","", IF(AO116&lt;89%,"OVER STANDART",IF(AO116=89%,"GOOD","UNDER STANDART")))</f>
        <v/>
      </c>
      <c r="AP117" s="197"/>
      <c r="AQ117" s="196" t="str">
        <f>IF(AQ116="","", IF(AQ116&lt;89%,"OVER STANDART",IF(AQ116=89%,"GOOD","UNDER STANDART")))</f>
        <v/>
      </c>
      <c r="AR117" s="197"/>
      <c r="AS117" s="196" t="str">
        <f>IF(AS116="","", IF(AS116&lt;89%,"OVER STANDART",IF(AS116=89%,"GOOD","UNDER STANDART")))</f>
        <v/>
      </c>
      <c r="AT117" s="197"/>
      <c r="AU117" s="196" t="str">
        <f>IF(AU116="","", IF(AU116&lt;89%,"OVER STANDART",IF(AU116=89%,"GOOD","UNDER STANDART")))</f>
        <v/>
      </c>
      <c r="AV117" s="197"/>
      <c r="AW117" s="196" t="str">
        <f>IF(AW116="","", IF(AW116&lt;89%,"OVER STANDART",IF(AW116=89%,"GOOD","UNDER STANDART")))</f>
        <v/>
      </c>
      <c r="AX117" s="197"/>
      <c r="AY117" s="196" t="str">
        <f>IF(AY116="","", IF(AY116&lt;89%,"OVER STANDART",IF(AY116=89%,"GOOD","UNDER STANDART")))</f>
        <v/>
      </c>
      <c r="AZ117" s="197"/>
      <c r="BA117" s="196" t="str">
        <f>IF(BA116="","", IF(BA116&lt;89%,"OVER STANDART",IF(BA116=89%,"GOOD","UNDER STANDART")))</f>
        <v/>
      </c>
      <c r="BB117" s="197"/>
      <c r="BC117" s="196" t="str">
        <f>IF(BC116="","", IF(BC116&lt;89%,"OVER STANDART",IF(BC116=89%,"GOOD","UNDER STANDART")))</f>
        <v/>
      </c>
      <c r="BD117" s="197"/>
      <c r="BE117" s="196" t="str">
        <f>IF(BE116="","", IF(BE116&lt;89%,"OVER STANDART",IF(BE116=89%,"GOOD","UNDER STANDART")))</f>
        <v/>
      </c>
      <c r="BF117" s="197"/>
      <c r="BG117" s="196" t="str">
        <f>IF(BG116="","", IF(BG116&lt;89%,"OVER STANDART",IF(BG116=89%,"GOOD","UNDER STANDART")))</f>
        <v/>
      </c>
      <c r="BH117" s="197"/>
      <c r="BI117" s="196" t="str">
        <f>IF(BI116="","", IF(BI116&lt;89%,"OVER STANDART",IF(BI116=89%,"GOOD","UNDER STANDART")))</f>
        <v/>
      </c>
      <c r="BJ117" s="197"/>
      <c r="BK117" s="196" t="str">
        <f>IF(BK116="","", IF(BK116&lt;89%,"OVER STANDART",IF(BK116=89%,"GOOD","UNDER STANDART")))</f>
        <v/>
      </c>
      <c r="BL117" s="197"/>
      <c r="BM117" s="196" t="str">
        <f>IF(BM116="","", IF(BM116&lt;89%,"OVER STANDART",IF(BM116=89%,"GOOD","UNDER STANDART")))</f>
        <v/>
      </c>
      <c r="BN117" s="197"/>
      <c r="BO117" s="196" t="str">
        <f>IF(BO116="","", IF(BO116&lt;89%,"OVER STANDART",IF(BO116=89%,"GOOD","UNDER STANDART")))</f>
        <v/>
      </c>
      <c r="BP117" s="197"/>
      <c r="BQ117" s="196" t="str">
        <f>IF(BQ116="","", IF(BQ116&lt;89%,"OVER STANDART",IF(BQ116=89%,"GOOD","UNDER STANDART")))</f>
        <v/>
      </c>
      <c r="BR117" s="197"/>
      <c r="BS117" s="196" t="str">
        <f>IF(BS116="","", IF(BS116&lt;89%,"OVER STANDART",IF(BS116=89%,"GOOD","UNDER STANDART")))</f>
        <v/>
      </c>
      <c r="BT117" s="197"/>
      <c r="BU117" s="24" t="e">
        <f>IF(BU116="","", IF(BU116&lt;89%,"OVER STANDART",IF(BU116=89%,"GOOD","UNDER STANDART")))</f>
        <v>#VALUE!</v>
      </c>
      <c r="BV117" s="23"/>
      <c r="BW117" s="25"/>
      <c r="BX117" s="3"/>
      <c r="BY117" s="3"/>
      <c r="BZ117" s="3"/>
    </row>
    <row r="118" spans="1:78" ht="14.5" x14ac:dyDescent="0.3">
      <c r="A118" s="198">
        <f>A113+1</f>
        <v>24</v>
      </c>
      <c r="B118" s="7" t="s">
        <v>278</v>
      </c>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9" t="str">
        <f>IF(SUMIF($C$2:$BT$2,"FRESH",C118:BT118)=0,"",SUMIF($C$2:$BT$2,"FRESH",C118:BT118))</f>
        <v/>
      </c>
      <c r="BV118" s="10" t="str">
        <f>IF(SUMIF($C$2:$BT$2,"GILING",C118:BT118)=0,"",SUMIF($C$2:$BT$2,"GILING",C118:BT118))</f>
        <v/>
      </c>
      <c r="BW118" s="11"/>
      <c r="BX118" s="3"/>
      <c r="BY118" s="3"/>
      <c r="BZ118" s="3"/>
    </row>
    <row r="119" spans="1:78" x14ac:dyDescent="0.3">
      <c r="A119" s="199"/>
      <c r="B119" s="12" t="s">
        <v>279</v>
      </c>
      <c r="C119" s="188">
        <f>IF(AND(C118="",D118=""),0,C118-D118)</f>
        <v>0</v>
      </c>
      <c r="D119" s="189"/>
      <c r="E119" s="188">
        <f>IF(AND(E118="",F118=""),0,E118-F118)</f>
        <v>0</v>
      </c>
      <c r="F119" s="189"/>
      <c r="G119" s="188">
        <f>IF(AND(G118="",H118=""),0,G118-H118)</f>
        <v>0</v>
      </c>
      <c r="H119" s="189"/>
      <c r="I119" s="188">
        <f>IF(AND(I118="",J118=""),0,I118-J118)</f>
        <v>0</v>
      </c>
      <c r="J119" s="189"/>
      <c r="K119" s="188">
        <f>IF(AND(K118="",L118=""),0,K118-L118)</f>
        <v>0</v>
      </c>
      <c r="L119" s="189"/>
      <c r="M119" s="188">
        <f>IF(AND(M118="",N118=""),0,M118-N118)</f>
        <v>0</v>
      </c>
      <c r="N119" s="189"/>
      <c r="O119" s="188">
        <f>IF(AND(O118="",P118=""),0,O118-P118)</f>
        <v>0</v>
      </c>
      <c r="P119" s="189"/>
      <c r="Q119" s="188">
        <f>IF(AND(Q118="",R118=""),0,Q118-R118)</f>
        <v>0</v>
      </c>
      <c r="R119" s="189"/>
      <c r="S119" s="188">
        <f>IF(AND(S118="",T118=""),0,S118-T118)</f>
        <v>0</v>
      </c>
      <c r="T119" s="189"/>
      <c r="U119" s="188">
        <f>IF(AND(U118="",V118=""),0,U118-V118)</f>
        <v>0</v>
      </c>
      <c r="V119" s="189"/>
      <c r="W119" s="188">
        <f>IF(AND(W118="",X118=""),0,W118-X118)</f>
        <v>0</v>
      </c>
      <c r="X119" s="189"/>
      <c r="Y119" s="188">
        <f>IF(AND(Y118="",Z118=""),0,Y118-Z118)</f>
        <v>0</v>
      </c>
      <c r="Z119" s="189"/>
      <c r="AA119" s="188">
        <f>IF(AND(AA118="",AB118=""),0,AA118-AB118)</f>
        <v>0</v>
      </c>
      <c r="AB119" s="189"/>
      <c r="AC119" s="188">
        <f>IF(AND(AC118="",AD118=""),0,AC118-AD118)</f>
        <v>0</v>
      </c>
      <c r="AD119" s="189"/>
      <c r="AE119" s="188">
        <f>IF(AND(AE118="",AF118=""),0,AE118-AF118)</f>
        <v>0</v>
      </c>
      <c r="AF119" s="189"/>
      <c r="AG119" s="188">
        <f>IF(AND(AG118="",AH118=""),0,AG118-AH118)</f>
        <v>0</v>
      </c>
      <c r="AH119" s="189"/>
      <c r="AI119" s="188">
        <f>IF(AND(AI118="",AJ118=""),0,AI118-AJ118)</f>
        <v>0</v>
      </c>
      <c r="AJ119" s="189"/>
      <c r="AK119" s="188">
        <f>IF(AND(AK118="",AL118=""),0,AK118-AL118)</f>
        <v>0</v>
      </c>
      <c r="AL119" s="189"/>
      <c r="AM119" s="188">
        <f>IF(AND(AM118="",AN118=""),0,AM118-AN118)</f>
        <v>0</v>
      </c>
      <c r="AN119" s="189"/>
      <c r="AO119" s="188">
        <f>IF(AND(AO118="",AP118=""),0,AO118-AP118)</f>
        <v>0</v>
      </c>
      <c r="AP119" s="189"/>
      <c r="AQ119" s="188">
        <f>IF(AND(AQ118="",AR118=""),0,AQ118-AR118)</f>
        <v>0</v>
      </c>
      <c r="AR119" s="189"/>
      <c r="AS119" s="188">
        <f>IF(AND(AS118="",AT118=""),0,AS118-AT118)</f>
        <v>0</v>
      </c>
      <c r="AT119" s="189"/>
      <c r="AU119" s="188">
        <f>IF(AND(AU118="",AV118=""),0,AU118-AV118)</f>
        <v>0</v>
      </c>
      <c r="AV119" s="189"/>
      <c r="AW119" s="188">
        <f>IF(AND(AW118="",AX118=""),0,AW118-AX118)</f>
        <v>0</v>
      </c>
      <c r="AX119" s="189"/>
      <c r="AY119" s="188">
        <f>IF(AND(AY118="",AZ118=""),0,AY118-AZ118)</f>
        <v>0</v>
      </c>
      <c r="AZ119" s="189"/>
      <c r="BA119" s="188">
        <f>IF(AND(BA118="",BB118=""),0,BA118-BB118)</f>
        <v>0</v>
      </c>
      <c r="BB119" s="189"/>
      <c r="BC119" s="188">
        <f>IF(AND(BC118="",BD118=""),0,BC118-BD118)</f>
        <v>0</v>
      </c>
      <c r="BD119" s="189"/>
      <c r="BE119" s="188">
        <f>IF(AND(BE118="",BF118=""),0,BE118-BF118)</f>
        <v>0</v>
      </c>
      <c r="BF119" s="189"/>
      <c r="BG119" s="188">
        <f>IF(AND(BG118="",BH118=""),0,BG118-BH118)</f>
        <v>0</v>
      </c>
      <c r="BH119" s="189"/>
      <c r="BI119" s="188">
        <f>IF(AND(BI118="",BJ118=""),0,BI118-BJ118)</f>
        <v>0</v>
      </c>
      <c r="BJ119" s="189"/>
      <c r="BK119" s="188">
        <f>IF(AND(BK118="",BL118=""),0,BK118-BL118)</f>
        <v>0</v>
      </c>
      <c r="BL119" s="189"/>
      <c r="BM119" s="188">
        <f>IF(AND(BM118="",BN118=""),0,BM118-BN118)</f>
        <v>0</v>
      </c>
      <c r="BN119" s="189"/>
      <c r="BO119" s="188">
        <f>IF(AND(BO118="",BP118=""),0,BO118-BP118)</f>
        <v>0</v>
      </c>
      <c r="BP119" s="189"/>
      <c r="BQ119" s="188">
        <f>IF(AND(BQ118="",BR118=""),0,BQ118-BR118)</f>
        <v>0</v>
      </c>
      <c r="BR119" s="189"/>
      <c r="BS119" s="188">
        <f>IF(AND(BS118="",BT118=""),0,BS118-BT118)</f>
        <v>0</v>
      </c>
      <c r="BT119" s="189"/>
      <c r="BU119" s="14" t="str">
        <f>IF(AND(BU118="",BV118=""),"",BU118-BV118)</f>
        <v/>
      </c>
      <c r="BV119" s="13"/>
      <c r="BW119" s="16" t="str">
        <f>IF(COUNTIF(D119:BT119,"&gt;0")=0,"",COUNTIF(D119:BT119,"&gt;0"))</f>
        <v/>
      </c>
      <c r="BX119" s="3"/>
      <c r="BY119" s="3"/>
      <c r="BZ119" s="3"/>
    </row>
    <row r="120" spans="1:78" ht="14.5" x14ac:dyDescent="0.3">
      <c r="A120" s="199"/>
      <c r="B120" s="12" t="s">
        <v>280</v>
      </c>
      <c r="C120" s="186">
        <f>IF(C119="",0,(D118/89%)-(C118))</f>
        <v>0</v>
      </c>
      <c r="D120" s="187"/>
      <c r="E120" s="186">
        <f>IF(E119="",0,(F118/89%)-(E118))</f>
        <v>0</v>
      </c>
      <c r="F120" s="187"/>
      <c r="G120" s="186">
        <f>IF(G119="",0,(H118/89%)-(G118))</f>
        <v>0</v>
      </c>
      <c r="H120" s="187"/>
      <c r="I120" s="186">
        <f>IF(I119="",0,(J118/89%)-(I118))</f>
        <v>0</v>
      </c>
      <c r="J120" s="187"/>
      <c r="K120" s="186">
        <f>IF(K119="",0,(L118/89%)-(K118))</f>
        <v>0</v>
      </c>
      <c r="L120" s="187"/>
      <c r="M120" s="186">
        <f>IF(M119="",0,(N118/89%)-(M118))</f>
        <v>0</v>
      </c>
      <c r="N120" s="187"/>
      <c r="O120" s="186">
        <f>IF(O119="",0,(P118/89%)-(O118))</f>
        <v>0</v>
      </c>
      <c r="P120" s="187"/>
      <c r="Q120" s="186">
        <f>IF(Q119="",0,(R118/89%)-(Q118))</f>
        <v>0</v>
      </c>
      <c r="R120" s="187"/>
      <c r="S120" s="186">
        <f>IF(S119="",0,(T118/89%)-(S118))</f>
        <v>0</v>
      </c>
      <c r="T120" s="187"/>
      <c r="U120" s="186">
        <f>IF(U119="",0,(V118/89%)-(U118))</f>
        <v>0</v>
      </c>
      <c r="V120" s="187"/>
      <c r="W120" s="186">
        <f>IF(W119="",0,(X118/89%)-(W118))</f>
        <v>0</v>
      </c>
      <c r="X120" s="187"/>
      <c r="Y120" s="186">
        <f>IF(Y119="",0,(Z118/89%)-(Y118))</f>
        <v>0</v>
      </c>
      <c r="Z120" s="187"/>
      <c r="AA120" s="186">
        <f>IF(AA119="",0,(AB118/89%)-(AA118))</f>
        <v>0</v>
      </c>
      <c r="AB120" s="187"/>
      <c r="AC120" s="186">
        <f>IF(AC119="",0,(AD118/89%)-(AC118))</f>
        <v>0</v>
      </c>
      <c r="AD120" s="187"/>
      <c r="AE120" s="186">
        <f>IF(AE119="",0,(AF118/89%)-(AE118))</f>
        <v>0</v>
      </c>
      <c r="AF120" s="187"/>
      <c r="AG120" s="186">
        <f>IF(AG119="",0,(AH118/89%)-(AG118))</f>
        <v>0</v>
      </c>
      <c r="AH120" s="187"/>
      <c r="AI120" s="186">
        <f>IF(AI119="",0,(AJ118/89%)-(AI118))</f>
        <v>0</v>
      </c>
      <c r="AJ120" s="187"/>
      <c r="AK120" s="186">
        <f>IF(AK119="",0,(AL118/89%)-(AK118))</f>
        <v>0</v>
      </c>
      <c r="AL120" s="187"/>
      <c r="AM120" s="186">
        <f>IF(AM119="",0,(AN118/89%)-(AM118))</f>
        <v>0</v>
      </c>
      <c r="AN120" s="187"/>
      <c r="AO120" s="186">
        <f>IF(AO119="",0,(AP118/89%)-(AO118))</f>
        <v>0</v>
      </c>
      <c r="AP120" s="187"/>
      <c r="AQ120" s="186">
        <f>IF(AQ119="",0,(AR118/89%)-(AQ118))</f>
        <v>0</v>
      </c>
      <c r="AR120" s="187"/>
      <c r="AS120" s="186">
        <f>IF(AS119="",0,(AT118/89%)-(AS118))</f>
        <v>0</v>
      </c>
      <c r="AT120" s="187"/>
      <c r="AU120" s="186">
        <f>IF(AU119="",0,(AV118/89%)-(AU118))</f>
        <v>0</v>
      </c>
      <c r="AV120" s="187"/>
      <c r="AW120" s="186">
        <f>IF(AW119="",0,(AX118/89%)-(AW118))</f>
        <v>0</v>
      </c>
      <c r="AX120" s="187"/>
      <c r="AY120" s="186">
        <f>IF(AY119="",0,(AZ118/89%)-(AY118))</f>
        <v>0</v>
      </c>
      <c r="AZ120" s="187"/>
      <c r="BA120" s="186">
        <f>IF(BA119="",0,(BB118/89%)-(BA118))</f>
        <v>0</v>
      </c>
      <c r="BB120" s="187"/>
      <c r="BC120" s="186">
        <f>IF(BC119="",0,(BD118/89%)-(BC118))</f>
        <v>0</v>
      </c>
      <c r="BD120" s="187"/>
      <c r="BE120" s="186">
        <f>IF(BE119="",0,(BF118/89%)-(BE118))</f>
        <v>0</v>
      </c>
      <c r="BF120" s="187"/>
      <c r="BG120" s="186">
        <f>IF(BG119="",0,(BH118/89%)-(BG118))</f>
        <v>0</v>
      </c>
      <c r="BH120" s="187"/>
      <c r="BI120" s="186">
        <f>IF(BI119="",0,(BJ118/89%)-(BI118))</f>
        <v>0</v>
      </c>
      <c r="BJ120" s="187"/>
      <c r="BK120" s="186">
        <f>IF(BK119="",0,(BL118/89%)-(BK118))</f>
        <v>0</v>
      </c>
      <c r="BL120" s="187"/>
      <c r="BM120" s="186">
        <f>IF(BM119="",0,(BN118/89%)-(BM118))</f>
        <v>0</v>
      </c>
      <c r="BN120" s="187"/>
      <c r="BO120" s="186">
        <f>IF(BO119="",0,(BP118/89%)-(BO118))</f>
        <v>0</v>
      </c>
      <c r="BP120" s="187"/>
      <c r="BQ120" s="186">
        <f>IF(BQ119="",0,(BR118/89%)-(BQ118))</f>
        <v>0</v>
      </c>
      <c r="BR120" s="187"/>
      <c r="BS120" s="186">
        <f>IF(BS119="",0,(BT118/89%)-(BS118))</f>
        <v>0</v>
      </c>
      <c r="BT120" s="187"/>
      <c r="BU120" s="17" t="str">
        <f>IF(BU119="","",(BV118/89%)-(BU118))</f>
        <v/>
      </c>
      <c r="BV120" s="13"/>
      <c r="BW120" s="18" t="str">
        <f>IF(AND(BU118="",BV118=""),"",(BU118-BV118)-BU119)</f>
        <v/>
      </c>
      <c r="BX120" s="3"/>
      <c r="BY120" s="3"/>
      <c r="BZ120" s="3"/>
    </row>
    <row r="121" spans="1:78" ht="14.5" x14ac:dyDescent="0.3">
      <c r="A121" s="199"/>
      <c r="B121" s="19" t="s">
        <v>281</v>
      </c>
      <c r="C121" s="194" t="str">
        <f>IF(C119=0,"",ABS(IFERROR((C119/C118),0)-1))</f>
        <v/>
      </c>
      <c r="D121" s="195"/>
      <c r="E121" s="194" t="str">
        <f>IF(E119=0,"",ABS(IFERROR((E119/E118),0)-1))</f>
        <v/>
      </c>
      <c r="F121" s="195"/>
      <c r="G121" s="194" t="str">
        <f>IF(G119=0,"",ABS(IFERROR((G119/G118),0)-1))</f>
        <v/>
      </c>
      <c r="H121" s="195"/>
      <c r="I121" s="194" t="str">
        <f>IF(I119=0,"",ABS(IFERROR((I119/I118),0)-1))</f>
        <v/>
      </c>
      <c r="J121" s="195"/>
      <c r="K121" s="194" t="str">
        <f>IF(K119=0,"",ABS(IFERROR((K119/K118),0)-1))</f>
        <v/>
      </c>
      <c r="L121" s="195"/>
      <c r="M121" s="194" t="str">
        <f>IF(M119=0,"",ABS(IFERROR((M119/M118),0)-1))</f>
        <v/>
      </c>
      <c r="N121" s="195"/>
      <c r="O121" s="194" t="str">
        <f>IF(O119=0,"",ABS(IFERROR((O119/O118),0)-1))</f>
        <v/>
      </c>
      <c r="P121" s="195"/>
      <c r="Q121" s="194" t="str">
        <f>IF(Q119=0,"",ABS(IFERROR((Q119/Q118),0)-1))</f>
        <v/>
      </c>
      <c r="R121" s="195"/>
      <c r="S121" s="194" t="str">
        <f>IF(S119=0,"",ABS(IFERROR((S119/S118),0)-1))</f>
        <v/>
      </c>
      <c r="T121" s="195"/>
      <c r="U121" s="194" t="str">
        <f>IF(U119=0,"",ABS(IFERROR((U119/U118),0)-1))</f>
        <v/>
      </c>
      <c r="V121" s="195"/>
      <c r="W121" s="194" t="str">
        <f>IF(W119=0,"",ABS(IFERROR((W119/W118),0)-1))</f>
        <v/>
      </c>
      <c r="X121" s="195"/>
      <c r="Y121" s="194" t="str">
        <f>IF(Y119=0,"",ABS(IFERROR((Y119/Y118),0)-1))</f>
        <v/>
      </c>
      <c r="Z121" s="195"/>
      <c r="AA121" s="194" t="str">
        <f>IF(AA119=0,"",ABS(IFERROR((AA119/AA118),0)-1))</f>
        <v/>
      </c>
      <c r="AB121" s="195"/>
      <c r="AC121" s="194" t="str">
        <f>IF(AC119=0,"",ABS(IFERROR((AC119/AC118),0)-1))</f>
        <v/>
      </c>
      <c r="AD121" s="195"/>
      <c r="AE121" s="194" t="str">
        <f>IF(AE119=0,"",ABS(IFERROR((AE119/AE118),0)-1))</f>
        <v/>
      </c>
      <c r="AF121" s="195"/>
      <c r="AG121" s="194" t="str">
        <f>IF(AG119=0,"",ABS(IFERROR((AG119/AG118),0)-1))</f>
        <v/>
      </c>
      <c r="AH121" s="195"/>
      <c r="AI121" s="194" t="str">
        <f>IF(AI119=0,"",ABS(IFERROR((AI119/AI118),0)-1))</f>
        <v/>
      </c>
      <c r="AJ121" s="195"/>
      <c r="AK121" s="194" t="str">
        <f>IF(AK119=0,"",ABS(IFERROR((AK119/AK118),0)-1))</f>
        <v/>
      </c>
      <c r="AL121" s="195"/>
      <c r="AM121" s="194" t="str">
        <f>IF(AM119=0,"",ABS(IFERROR((AM119/AM118),0)-1))</f>
        <v/>
      </c>
      <c r="AN121" s="195"/>
      <c r="AO121" s="194" t="str">
        <f>IF(AO119=0,"",ABS(IFERROR((AO119/AO118),0)-1))</f>
        <v/>
      </c>
      <c r="AP121" s="195"/>
      <c r="AQ121" s="194" t="str">
        <f>IF(AQ119=0,"",ABS(IFERROR((AQ119/AQ118),0)-1))</f>
        <v/>
      </c>
      <c r="AR121" s="195"/>
      <c r="AS121" s="194" t="str">
        <f>IF(AS119=0,"",ABS(IFERROR((AS119/AS118),0)-1))</f>
        <v/>
      </c>
      <c r="AT121" s="195"/>
      <c r="AU121" s="194" t="str">
        <f>IF(AU119=0,"",ABS(IFERROR((AU119/AU118),0)-1))</f>
        <v/>
      </c>
      <c r="AV121" s="195"/>
      <c r="AW121" s="194" t="str">
        <f>IF(AW119=0,"",ABS(IFERROR((AW119/AW118),0)-1))</f>
        <v/>
      </c>
      <c r="AX121" s="195"/>
      <c r="AY121" s="194" t="str">
        <f>IF(AY119=0,"",ABS(IFERROR((AY119/AY118),0)-1))</f>
        <v/>
      </c>
      <c r="AZ121" s="195"/>
      <c r="BA121" s="194" t="str">
        <f>IF(BA119=0,"",ABS(IFERROR((BA119/BA118),0)-1))</f>
        <v/>
      </c>
      <c r="BB121" s="195"/>
      <c r="BC121" s="194" t="str">
        <f>IF(BC119=0,"",ABS(IFERROR((BC119/BC118),0)-1))</f>
        <v/>
      </c>
      <c r="BD121" s="195"/>
      <c r="BE121" s="194" t="str">
        <f>IF(BE119=0,"",ABS(IFERROR((BE119/BE118),0)-1))</f>
        <v/>
      </c>
      <c r="BF121" s="195"/>
      <c r="BG121" s="194" t="str">
        <f>IF(BG119=0,"",ABS(IFERROR((BG119/BG118),0)-1))</f>
        <v/>
      </c>
      <c r="BH121" s="195"/>
      <c r="BI121" s="194" t="str">
        <f>IF(BI119=0,"",ABS(IFERROR((BI119/BI118),0)-1))</f>
        <v/>
      </c>
      <c r="BJ121" s="195"/>
      <c r="BK121" s="194" t="str">
        <f>IF(BK119=0,"",ABS(IFERROR((BK119/BK118),0)-1))</f>
        <v/>
      </c>
      <c r="BL121" s="195"/>
      <c r="BM121" s="194" t="str">
        <f>IF(BM119=0,"",ABS(IFERROR((BM119/BM118),0)-1))</f>
        <v/>
      </c>
      <c r="BN121" s="195"/>
      <c r="BO121" s="194" t="str">
        <f>IF(BO119=0,"",ABS(IFERROR((BO119/BO118),0)-1))</f>
        <v/>
      </c>
      <c r="BP121" s="195"/>
      <c r="BQ121" s="194" t="str">
        <f>IF(BQ119=0,"",ABS(IFERROR((BQ119/BQ118),0)-1))</f>
        <v/>
      </c>
      <c r="BR121" s="195"/>
      <c r="BS121" s="194" t="str">
        <f>IF(BS119=0,"",ABS(IFERROR((BS119/BS118),0)-1))</f>
        <v/>
      </c>
      <c r="BT121" s="195"/>
      <c r="BU121" s="26" t="e">
        <f>ABS(IFERROR((BU119/BU118),"")-1)</f>
        <v>#VALUE!</v>
      </c>
      <c r="BV121" s="15"/>
      <c r="BW121" s="21"/>
      <c r="BX121" s="3"/>
      <c r="BY121" s="3"/>
      <c r="BZ121" s="3"/>
    </row>
    <row r="122" spans="1:78" ht="15" thickBot="1" x14ac:dyDescent="0.35">
      <c r="A122" s="181"/>
      <c r="B122" s="22" t="s">
        <v>177</v>
      </c>
      <c r="C122" s="196" t="str">
        <f>IF(C121="","", IF(C121&lt;89%,"OVER STANDART",IF(C121=89%,"GOOD","UNDER STANDART")))</f>
        <v/>
      </c>
      <c r="D122" s="197"/>
      <c r="E122" s="196" t="str">
        <f>IF(E121="","", IF(E121&lt;89%,"OVER STANDART",IF(E121=89%,"GOOD","UNDER STANDART")))</f>
        <v/>
      </c>
      <c r="F122" s="197"/>
      <c r="G122" s="196" t="str">
        <f>IF(G121="","", IF(G121&lt;89%,"OVER STANDART",IF(G121=89%,"GOOD","UNDER STANDART")))</f>
        <v/>
      </c>
      <c r="H122" s="197"/>
      <c r="I122" s="196" t="str">
        <f>IF(I121="","", IF(I121&lt;89%,"OVER STANDART",IF(I121=89%,"GOOD","UNDER STANDART")))</f>
        <v/>
      </c>
      <c r="J122" s="197"/>
      <c r="K122" s="196" t="str">
        <f>IF(K121="","", IF(K121&lt;89%,"OVER STANDART",IF(K121=89%,"GOOD","UNDER STANDART")))</f>
        <v/>
      </c>
      <c r="L122" s="197"/>
      <c r="M122" s="196" t="str">
        <f>IF(M121="","", IF(M121&lt;89%,"OVER STANDART",IF(M121=89%,"GOOD","UNDER STANDART")))</f>
        <v/>
      </c>
      <c r="N122" s="197"/>
      <c r="O122" s="196" t="str">
        <f>IF(O121="","", IF(O121&lt;89%,"OVER STANDART",IF(O121=89%,"GOOD","UNDER STANDART")))</f>
        <v/>
      </c>
      <c r="P122" s="197"/>
      <c r="Q122" s="196" t="str">
        <f>IF(Q121="","", IF(Q121&lt;89%,"OVER STANDART",IF(Q121=89%,"GOOD","UNDER STANDART")))</f>
        <v/>
      </c>
      <c r="R122" s="197"/>
      <c r="S122" s="196" t="str">
        <f>IF(S121="","", IF(S121&lt;89%,"OVER STANDART",IF(S121=89%,"GOOD","UNDER STANDART")))</f>
        <v/>
      </c>
      <c r="T122" s="197"/>
      <c r="U122" s="196" t="str">
        <f>IF(U121="","", IF(U121&lt;89%,"OVER STANDART",IF(U121=89%,"GOOD","UNDER STANDART")))</f>
        <v/>
      </c>
      <c r="V122" s="197"/>
      <c r="W122" s="196" t="str">
        <f>IF(W121="","", IF(W121&lt;89%,"OVER STANDART",IF(W121=89%,"GOOD","UNDER STANDART")))</f>
        <v/>
      </c>
      <c r="X122" s="197"/>
      <c r="Y122" s="196" t="str">
        <f>IF(Y121="","", IF(Y121&lt;89%,"OVER STANDART",IF(Y121=89%,"GOOD","UNDER STANDART")))</f>
        <v/>
      </c>
      <c r="Z122" s="197"/>
      <c r="AA122" s="196" t="str">
        <f>IF(AA121="","", IF(AA121&lt;89%,"OVER STANDART",IF(AA121=89%,"GOOD","UNDER STANDART")))</f>
        <v/>
      </c>
      <c r="AB122" s="197"/>
      <c r="AC122" s="196" t="str">
        <f>IF(AC121="","", IF(AC121&lt;89%,"OVER STANDART",IF(AC121=89%,"GOOD","UNDER STANDART")))</f>
        <v/>
      </c>
      <c r="AD122" s="197"/>
      <c r="AE122" s="196" t="str">
        <f>IF(AE121="","", IF(AE121&lt;89%,"OVER STANDART",IF(AE121=89%,"GOOD","UNDER STANDART")))</f>
        <v/>
      </c>
      <c r="AF122" s="197"/>
      <c r="AG122" s="196" t="str">
        <f>IF(AG121="","", IF(AG121&lt;89%,"OVER STANDART",IF(AG121=89%,"GOOD","UNDER STANDART")))</f>
        <v/>
      </c>
      <c r="AH122" s="197"/>
      <c r="AI122" s="196" t="str">
        <f>IF(AI121="","", IF(AI121&lt;89%,"OVER STANDART",IF(AI121=89%,"GOOD","UNDER STANDART")))</f>
        <v/>
      </c>
      <c r="AJ122" s="197"/>
      <c r="AK122" s="196" t="str">
        <f>IF(AK121="","", IF(AK121&lt;89%,"OVER STANDART",IF(AK121=89%,"GOOD","UNDER STANDART")))</f>
        <v/>
      </c>
      <c r="AL122" s="197"/>
      <c r="AM122" s="196" t="str">
        <f>IF(AM121="","", IF(AM121&lt;89%,"OVER STANDART",IF(AM121=89%,"GOOD","UNDER STANDART")))</f>
        <v/>
      </c>
      <c r="AN122" s="197"/>
      <c r="AO122" s="196" t="str">
        <f>IF(AO121="","", IF(AO121&lt;89%,"OVER STANDART",IF(AO121=89%,"GOOD","UNDER STANDART")))</f>
        <v/>
      </c>
      <c r="AP122" s="197"/>
      <c r="AQ122" s="196" t="str">
        <f>IF(AQ121="","", IF(AQ121&lt;89%,"OVER STANDART",IF(AQ121=89%,"GOOD","UNDER STANDART")))</f>
        <v/>
      </c>
      <c r="AR122" s="197"/>
      <c r="AS122" s="196" t="str">
        <f>IF(AS121="","", IF(AS121&lt;89%,"OVER STANDART",IF(AS121=89%,"GOOD","UNDER STANDART")))</f>
        <v/>
      </c>
      <c r="AT122" s="197"/>
      <c r="AU122" s="196" t="str">
        <f>IF(AU121="","", IF(AU121&lt;89%,"OVER STANDART",IF(AU121=89%,"GOOD","UNDER STANDART")))</f>
        <v/>
      </c>
      <c r="AV122" s="197"/>
      <c r="AW122" s="196" t="str">
        <f>IF(AW121="","", IF(AW121&lt;89%,"OVER STANDART",IF(AW121=89%,"GOOD","UNDER STANDART")))</f>
        <v/>
      </c>
      <c r="AX122" s="197"/>
      <c r="AY122" s="196" t="str">
        <f>IF(AY121="","", IF(AY121&lt;89%,"OVER STANDART",IF(AY121=89%,"GOOD","UNDER STANDART")))</f>
        <v/>
      </c>
      <c r="AZ122" s="197"/>
      <c r="BA122" s="196" t="str">
        <f>IF(BA121="","", IF(BA121&lt;89%,"OVER STANDART",IF(BA121=89%,"GOOD","UNDER STANDART")))</f>
        <v/>
      </c>
      <c r="BB122" s="197"/>
      <c r="BC122" s="196" t="str">
        <f>IF(BC121="","", IF(BC121&lt;89%,"OVER STANDART",IF(BC121=89%,"GOOD","UNDER STANDART")))</f>
        <v/>
      </c>
      <c r="BD122" s="197"/>
      <c r="BE122" s="196" t="str">
        <f>IF(BE121="","", IF(BE121&lt;89%,"OVER STANDART",IF(BE121=89%,"GOOD","UNDER STANDART")))</f>
        <v/>
      </c>
      <c r="BF122" s="197"/>
      <c r="BG122" s="196" t="str">
        <f>IF(BG121="","", IF(BG121&lt;89%,"OVER STANDART",IF(BG121=89%,"GOOD","UNDER STANDART")))</f>
        <v/>
      </c>
      <c r="BH122" s="197"/>
      <c r="BI122" s="196" t="str">
        <f>IF(BI121="","", IF(BI121&lt;89%,"OVER STANDART",IF(BI121=89%,"GOOD","UNDER STANDART")))</f>
        <v/>
      </c>
      <c r="BJ122" s="197"/>
      <c r="BK122" s="196" t="str">
        <f>IF(BK121="","", IF(BK121&lt;89%,"OVER STANDART",IF(BK121=89%,"GOOD","UNDER STANDART")))</f>
        <v/>
      </c>
      <c r="BL122" s="197"/>
      <c r="BM122" s="196" t="str">
        <f>IF(BM121="","", IF(BM121&lt;89%,"OVER STANDART",IF(BM121=89%,"GOOD","UNDER STANDART")))</f>
        <v/>
      </c>
      <c r="BN122" s="197"/>
      <c r="BO122" s="196" t="str">
        <f>IF(BO121="","", IF(BO121&lt;89%,"OVER STANDART",IF(BO121=89%,"GOOD","UNDER STANDART")))</f>
        <v/>
      </c>
      <c r="BP122" s="197"/>
      <c r="BQ122" s="196" t="str">
        <f>IF(BQ121="","", IF(BQ121&lt;89%,"OVER STANDART",IF(BQ121=89%,"GOOD","UNDER STANDART")))</f>
        <v/>
      </c>
      <c r="BR122" s="197"/>
      <c r="BS122" s="196" t="str">
        <f>IF(BS121="","", IF(BS121&lt;89%,"OVER STANDART",IF(BS121=89%,"GOOD","UNDER STANDART")))</f>
        <v/>
      </c>
      <c r="BT122" s="197"/>
      <c r="BU122" s="24" t="e">
        <f>IF(BU121="","", IF(BU121&lt;89%,"OVER STANDART",IF(BU121=89%,"GOOD","UNDER STANDART")))</f>
        <v>#VALUE!</v>
      </c>
      <c r="BV122" s="23"/>
      <c r="BW122" s="25"/>
      <c r="BX122" s="3"/>
      <c r="BY122" s="3"/>
      <c r="BZ122" s="3"/>
    </row>
    <row r="123" spans="1:78" ht="14.5" x14ac:dyDescent="0.3">
      <c r="A123" s="198">
        <f>A118+1</f>
        <v>25</v>
      </c>
      <c r="B123" s="7" t="s">
        <v>278</v>
      </c>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9" t="str">
        <f>IF(SUMIF($C$2:$BT$2,"FRESH",C123:BT123)=0,"",SUMIF($C$2:$BT$2,"FRESH",C123:BT123))</f>
        <v/>
      </c>
      <c r="BV123" s="10" t="str">
        <f>IF(SUMIF($C$2:$BT$2,"GILING",C123:BT123)=0,"",SUMIF($C$2:$BT$2,"GILING",C123:BT123))</f>
        <v/>
      </c>
      <c r="BW123" s="11"/>
      <c r="BX123" s="3"/>
      <c r="BY123" s="3"/>
      <c r="BZ123" s="3"/>
    </row>
    <row r="124" spans="1:78" x14ac:dyDescent="0.3">
      <c r="A124" s="199"/>
      <c r="B124" s="12" t="s">
        <v>279</v>
      </c>
      <c r="C124" s="188">
        <f>IF(AND(C123="",D123=""),0,C123-D123)</f>
        <v>0</v>
      </c>
      <c r="D124" s="189"/>
      <c r="E124" s="188">
        <f>IF(AND(E123="",F123=""),0,E123-F123)</f>
        <v>0</v>
      </c>
      <c r="F124" s="189"/>
      <c r="G124" s="188">
        <f>IF(AND(G123="",H123=""),0,G123-H123)</f>
        <v>0</v>
      </c>
      <c r="H124" s="189"/>
      <c r="I124" s="188">
        <f>IF(AND(I123="",J123=""),0,I123-J123)</f>
        <v>0</v>
      </c>
      <c r="J124" s="189"/>
      <c r="K124" s="188">
        <f>IF(AND(K123="",L123=""),0,K123-L123)</f>
        <v>0</v>
      </c>
      <c r="L124" s="189"/>
      <c r="M124" s="188">
        <f>IF(AND(M123="",N123=""),0,M123-N123)</f>
        <v>0</v>
      </c>
      <c r="N124" s="189"/>
      <c r="O124" s="188">
        <f>IF(AND(O123="",P123=""),0,O123-P123)</f>
        <v>0</v>
      </c>
      <c r="P124" s="189"/>
      <c r="Q124" s="188">
        <f>IF(AND(Q123="",R123=""),0,Q123-R123)</f>
        <v>0</v>
      </c>
      <c r="R124" s="189"/>
      <c r="S124" s="188">
        <f>IF(AND(S123="",T123=""),0,S123-T123)</f>
        <v>0</v>
      </c>
      <c r="T124" s="189"/>
      <c r="U124" s="188">
        <f>IF(AND(U123="",V123=""),0,U123-V123)</f>
        <v>0</v>
      </c>
      <c r="V124" s="189"/>
      <c r="W124" s="188">
        <f>IF(AND(W123="",X123=""),0,W123-X123)</f>
        <v>0</v>
      </c>
      <c r="X124" s="189"/>
      <c r="Y124" s="188">
        <f>IF(AND(Y123="",Z123=""),0,Y123-Z123)</f>
        <v>0</v>
      </c>
      <c r="Z124" s="189"/>
      <c r="AA124" s="188">
        <f>IF(AND(AA123="",AB123=""),0,AA123-AB123)</f>
        <v>0</v>
      </c>
      <c r="AB124" s="189"/>
      <c r="AC124" s="188">
        <f>IF(AND(AC123="",AD123=""),0,AC123-AD123)</f>
        <v>0</v>
      </c>
      <c r="AD124" s="189"/>
      <c r="AE124" s="188">
        <f>IF(AND(AE123="",AF123=""),0,AE123-AF123)</f>
        <v>0</v>
      </c>
      <c r="AF124" s="189"/>
      <c r="AG124" s="188">
        <f>IF(AND(AG123="",AH123=""),0,AG123-AH123)</f>
        <v>0</v>
      </c>
      <c r="AH124" s="189"/>
      <c r="AI124" s="188">
        <f>IF(AND(AI123="",AJ123=""),0,AI123-AJ123)</f>
        <v>0</v>
      </c>
      <c r="AJ124" s="189"/>
      <c r="AK124" s="188">
        <f>IF(AND(AK123="",AL123=""),0,AK123-AL123)</f>
        <v>0</v>
      </c>
      <c r="AL124" s="189"/>
      <c r="AM124" s="188">
        <f>IF(AND(AM123="",AN123=""),0,AM123-AN123)</f>
        <v>0</v>
      </c>
      <c r="AN124" s="189"/>
      <c r="AO124" s="188">
        <f>IF(AND(AO123="",AP123=""),0,AO123-AP123)</f>
        <v>0</v>
      </c>
      <c r="AP124" s="189"/>
      <c r="AQ124" s="188">
        <f>IF(AND(AQ123="",AR123=""),0,AQ123-AR123)</f>
        <v>0</v>
      </c>
      <c r="AR124" s="189"/>
      <c r="AS124" s="188">
        <f>IF(AND(AS123="",AT123=""),0,AS123-AT123)</f>
        <v>0</v>
      </c>
      <c r="AT124" s="189"/>
      <c r="AU124" s="188">
        <f>IF(AND(AU123="",AV123=""),0,AU123-AV123)</f>
        <v>0</v>
      </c>
      <c r="AV124" s="189"/>
      <c r="AW124" s="188">
        <f>IF(AND(AW123="",AX123=""),0,AW123-AX123)</f>
        <v>0</v>
      </c>
      <c r="AX124" s="189"/>
      <c r="AY124" s="188">
        <f>IF(AND(AY123="",AZ123=""),0,AY123-AZ123)</f>
        <v>0</v>
      </c>
      <c r="AZ124" s="189"/>
      <c r="BA124" s="188">
        <f>IF(AND(BA123="",BB123=""),0,BA123-BB123)</f>
        <v>0</v>
      </c>
      <c r="BB124" s="189"/>
      <c r="BC124" s="188">
        <f>IF(AND(BC123="",BD123=""),0,BC123-BD123)</f>
        <v>0</v>
      </c>
      <c r="BD124" s="189"/>
      <c r="BE124" s="188">
        <f>IF(AND(BE123="",BF123=""),0,BE123-BF123)</f>
        <v>0</v>
      </c>
      <c r="BF124" s="189"/>
      <c r="BG124" s="188">
        <f>IF(AND(BG123="",BH123=""),0,BG123-BH123)</f>
        <v>0</v>
      </c>
      <c r="BH124" s="189"/>
      <c r="BI124" s="188">
        <f>IF(AND(BI123="",BJ123=""),0,BI123-BJ123)</f>
        <v>0</v>
      </c>
      <c r="BJ124" s="189"/>
      <c r="BK124" s="188">
        <f>IF(AND(BK123="",BL123=""),0,BK123-BL123)</f>
        <v>0</v>
      </c>
      <c r="BL124" s="189"/>
      <c r="BM124" s="188">
        <f>IF(AND(BM123="",BN123=""),0,BM123-BN123)</f>
        <v>0</v>
      </c>
      <c r="BN124" s="189"/>
      <c r="BO124" s="188">
        <f>IF(AND(BO123="",BP123=""),0,BO123-BP123)</f>
        <v>0</v>
      </c>
      <c r="BP124" s="189"/>
      <c r="BQ124" s="188">
        <f>IF(AND(BQ123="",BR123=""),0,BQ123-BR123)</f>
        <v>0</v>
      </c>
      <c r="BR124" s="189"/>
      <c r="BS124" s="188">
        <f>IF(AND(BS123="",BT123=""),0,BS123-BT123)</f>
        <v>0</v>
      </c>
      <c r="BT124" s="189"/>
      <c r="BU124" s="14" t="str">
        <f>IF(AND(BU123="",BV123=""),"",BU123-BV123)</f>
        <v/>
      </c>
      <c r="BV124" s="13"/>
      <c r="BW124" s="16" t="str">
        <f>IF(COUNTIF(D124:BT124,"&gt;0")=0,"",COUNTIF(D124:BT124,"&gt;0"))</f>
        <v/>
      </c>
      <c r="BX124" s="3"/>
      <c r="BY124" s="3"/>
      <c r="BZ124" s="3"/>
    </row>
    <row r="125" spans="1:78" ht="14.5" x14ac:dyDescent="0.3">
      <c r="A125" s="199"/>
      <c r="B125" s="12" t="s">
        <v>280</v>
      </c>
      <c r="C125" s="186">
        <f>IF(C124="",0,(D123/89%)-(C123))</f>
        <v>0</v>
      </c>
      <c r="D125" s="187"/>
      <c r="E125" s="186">
        <f>IF(E124="",0,(F123/89%)-(E123))</f>
        <v>0</v>
      </c>
      <c r="F125" s="187"/>
      <c r="G125" s="186">
        <f>IF(G124="",0,(H123/89%)-(G123))</f>
        <v>0</v>
      </c>
      <c r="H125" s="187"/>
      <c r="I125" s="186">
        <f>IF(I124="",0,(J123/89%)-(I123))</f>
        <v>0</v>
      </c>
      <c r="J125" s="187"/>
      <c r="K125" s="186">
        <f>IF(K124="",0,(L123/89%)-(K123))</f>
        <v>0</v>
      </c>
      <c r="L125" s="187"/>
      <c r="M125" s="186">
        <f>IF(M124="",0,(N123/89%)-(M123))</f>
        <v>0</v>
      </c>
      <c r="N125" s="187"/>
      <c r="O125" s="186">
        <f>IF(O124="",0,(P123/89%)-(O123))</f>
        <v>0</v>
      </c>
      <c r="P125" s="187"/>
      <c r="Q125" s="186">
        <f>IF(Q124="",0,(R123/89%)-(Q123))</f>
        <v>0</v>
      </c>
      <c r="R125" s="187"/>
      <c r="S125" s="186">
        <f>IF(S124="",0,(T123/89%)-(S123))</f>
        <v>0</v>
      </c>
      <c r="T125" s="187"/>
      <c r="U125" s="186">
        <f>IF(U124="",0,(V123/89%)-(U123))</f>
        <v>0</v>
      </c>
      <c r="V125" s="187"/>
      <c r="W125" s="186">
        <f>IF(W124="",0,(X123/89%)-(W123))</f>
        <v>0</v>
      </c>
      <c r="X125" s="187"/>
      <c r="Y125" s="186">
        <f>IF(Y124="",0,(Z123/89%)-(Y123))</f>
        <v>0</v>
      </c>
      <c r="Z125" s="187"/>
      <c r="AA125" s="186">
        <f>IF(AA124="",0,(AB123/89%)-(AA123))</f>
        <v>0</v>
      </c>
      <c r="AB125" s="187"/>
      <c r="AC125" s="186">
        <f>IF(AC124="",0,(AD123/89%)-(AC123))</f>
        <v>0</v>
      </c>
      <c r="AD125" s="187"/>
      <c r="AE125" s="186">
        <f>IF(AE124="",0,(AF123/89%)-(AE123))</f>
        <v>0</v>
      </c>
      <c r="AF125" s="187"/>
      <c r="AG125" s="186">
        <f>IF(AG124="",0,(AH123/89%)-(AG123))</f>
        <v>0</v>
      </c>
      <c r="AH125" s="187"/>
      <c r="AI125" s="186">
        <f>IF(AI124="",0,(AJ123/89%)-(AI123))</f>
        <v>0</v>
      </c>
      <c r="AJ125" s="187"/>
      <c r="AK125" s="186">
        <f>IF(AK124="",0,(AL123/89%)-(AK123))</f>
        <v>0</v>
      </c>
      <c r="AL125" s="187"/>
      <c r="AM125" s="186">
        <f>IF(AM124="",0,(AN123/89%)-(AM123))</f>
        <v>0</v>
      </c>
      <c r="AN125" s="187"/>
      <c r="AO125" s="186">
        <f>IF(AO124="",0,(AP123/89%)-(AO123))</f>
        <v>0</v>
      </c>
      <c r="AP125" s="187"/>
      <c r="AQ125" s="186">
        <f>IF(AQ124="",0,(AR123/89%)-(AQ123))</f>
        <v>0</v>
      </c>
      <c r="AR125" s="187"/>
      <c r="AS125" s="186">
        <f>IF(AS124="",0,(AT123/89%)-(AS123))</f>
        <v>0</v>
      </c>
      <c r="AT125" s="187"/>
      <c r="AU125" s="186">
        <f>IF(AU124="",0,(AV123/89%)-(AU123))</f>
        <v>0</v>
      </c>
      <c r="AV125" s="187"/>
      <c r="AW125" s="186">
        <f>IF(AW124="",0,(AX123/89%)-(AW123))</f>
        <v>0</v>
      </c>
      <c r="AX125" s="187"/>
      <c r="AY125" s="186">
        <f>IF(AY124="",0,(AZ123/89%)-(AY123))</f>
        <v>0</v>
      </c>
      <c r="AZ125" s="187"/>
      <c r="BA125" s="186">
        <f>IF(BA124="",0,(BB123/89%)-(BA123))</f>
        <v>0</v>
      </c>
      <c r="BB125" s="187"/>
      <c r="BC125" s="186">
        <f>IF(BC124="",0,(BD123/89%)-(BC123))</f>
        <v>0</v>
      </c>
      <c r="BD125" s="187"/>
      <c r="BE125" s="186">
        <f>IF(BE124="",0,(BF123/89%)-(BE123))</f>
        <v>0</v>
      </c>
      <c r="BF125" s="187"/>
      <c r="BG125" s="186">
        <f>IF(BG124="",0,(BH123/89%)-(BG123))</f>
        <v>0</v>
      </c>
      <c r="BH125" s="187"/>
      <c r="BI125" s="186">
        <f>IF(BI124="",0,(BJ123/89%)-(BI123))</f>
        <v>0</v>
      </c>
      <c r="BJ125" s="187"/>
      <c r="BK125" s="186">
        <f>IF(BK124="",0,(BL123/89%)-(BK123))</f>
        <v>0</v>
      </c>
      <c r="BL125" s="187"/>
      <c r="BM125" s="186">
        <f>IF(BM124="",0,(BN123/89%)-(BM123))</f>
        <v>0</v>
      </c>
      <c r="BN125" s="187"/>
      <c r="BO125" s="186">
        <f>IF(BO124="",0,(BP123/89%)-(BO123))</f>
        <v>0</v>
      </c>
      <c r="BP125" s="187"/>
      <c r="BQ125" s="186">
        <f>IF(BQ124="",0,(BR123/89%)-(BQ123))</f>
        <v>0</v>
      </c>
      <c r="BR125" s="187"/>
      <c r="BS125" s="186">
        <f>IF(BS124="",0,(BT123/89%)-(BS123))</f>
        <v>0</v>
      </c>
      <c r="BT125" s="187"/>
      <c r="BU125" s="17" t="str">
        <f>IF(BU124="","",(BV123/89%)-(BU123))</f>
        <v/>
      </c>
      <c r="BV125" s="13"/>
      <c r="BW125" s="18" t="str">
        <f>IF(AND(BU123="",BV123=""),"",(BU123-BV123)-BU124)</f>
        <v/>
      </c>
      <c r="BX125" s="3"/>
      <c r="BY125" s="3"/>
      <c r="BZ125" s="3"/>
    </row>
    <row r="126" spans="1:78" ht="14.5" x14ac:dyDescent="0.3">
      <c r="A126" s="199"/>
      <c r="B126" s="19" t="s">
        <v>281</v>
      </c>
      <c r="C126" s="194" t="str">
        <f>IF(C124=0,"",ABS(IFERROR((C124/C123),0)-1))</f>
        <v/>
      </c>
      <c r="D126" s="195"/>
      <c r="E126" s="194" t="str">
        <f>IF(E124=0,"",ABS(IFERROR((E124/E123),0)-1))</f>
        <v/>
      </c>
      <c r="F126" s="195"/>
      <c r="G126" s="194" t="str">
        <f>IF(G124=0,"",ABS(IFERROR((G124/G123),0)-1))</f>
        <v/>
      </c>
      <c r="H126" s="195"/>
      <c r="I126" s="194" t="str">
        <f>IF(I124=0,"",ABS(IFERROR((I124/I123),0)-1))</f>
        <v/>
      </c>
      <c r="J126" s="195"/>
      <c r="K126" s="194" t="str">
        <f>IF(K124=0,"",ABS(IFERROR((K124/K123),0)-1))</f>
        <v/>
      </c>
      <c r="L126" s="195"/>
      <c r="M126" s="194" t="str">
        <f>IF(M124=0,"",ABS(IFERROR((M124/M123),0)-1))</f>
        <v/>
      </c>
      <c r="N126" s="195"/>
      <c r="O126" s="194" t="str">
        <f>IF(O124=0,"",ABS(IFERROR((O124/O123),0)-1))</f>
        <v/>
      </c>
      <c r="P126" s="195"/>
      <c r="Q126" s="194" t="str">
        <f>IF(Q124=0,"",ABS(IFERROR((Q124/Q123),0)-1))</f>
        <v/>
      </c>
      <c r="R126" s="195"/>
      <c r="S126" s="194" t="str">
        <f>IF(S124=0,"",ABS(IFERROR((S124/S123),0)-1))</f>
        <v/>
      </c>
      <c r="T126" s="195"/>
      <c r="U126" s="194" t="str">
        <f>IF(U124=0,"",ABS(IFERROR((U124/U123),0)-1))</f>
        <v/>
      </c>
      <c r="V126" s="195"/>
      <c r="W126" s="194" t="str">
        <f>IF(W124=0,"",ABS(IFERROR((W124/W123),0)-1))</f>
        <v/>
      </c>
      <c r="X126" s="195"/>
      <c r="Y126" s="194" t="str">
        <f>IF(Y124=0,"",ABS(IFERROR((Y124/Y123),0)-1))</f>
        <v/>
      </c>
      <c r="Z126" s="195"/>
      <c r="AA126" s="194" t="str">
        <f>IF(AA124=0,"",ABS(IFERROR((AA124/AA123),0)-1))</f>
        <v/>
      </c>
      <c r="AB126" s="195"/>
      <c r="AC126" s="194" t="str">
        <f>IF(AC124=0,"",ABS(IFERROR((AC124/AC123),0)-1))</f>
        <v/>
      </c>
      <c r="AD126" s="195"/>
      <c r="AE126" s="194" t="str">
        <f>IF(AE124=0,"",ABS(IFERROR((AE124/AE123),0)-1))</f>
        <v/>
      </c>
      <c r="AF126" s="195"/>
      <c r="AG126" s="194" t="str">
        <f>IF(AG124=0,"",ABS(IFERROR((AG124/AG123),0)-1))</f>
        <v/>
      </c>
      <c r="AH126" s="195"/>
      <c r="AI126" s="194" t="str">
        <f>IF(AI124=0,"",ABS(IFERROR((AI124/AI123),0)-1))</f>
        <v/>
      </c>
      <c r="AJ126" s="195"/>
      <c r="AK126" s="194" t="str">
        <f>IF(AK124=0,"",ABS(IFERROR((AK124/AK123),0)-1))</f>
        <v/>
      </c>
      <c r="AL126" s="195"/>
      <c r="AM126" s="194" t="str">
        <f>IF(AM124=0,"",ABS(IFERROR((AM124/AM123),0)-1))</f>
        <v/>
      </c>
      <c r="AN126" s="195"/>
      <c r="AO126" s="194" t="str">
        <f>IF(AO124=0,"",ABS(IFERROR((AO124/AO123),0)-1))</f>
        <v/>
      </c>
      <c r="AP126" s="195"/>
      <c r="AQ126" s="194" t="str">
        <f>IF(AQ124=0,"",ABS(IFERROR((AQ124/AQ123),0)-1))</f>
        <v/>
      </c>
      <c r="AR126" s="195"/>
      <c r="AS126" s="194" t="str">
        <f>IF(AS124=0,"",ABS(IFERROR((AS124/AS123),0)-1))</f>
        <v/>
      </c>
      <c r="AT126" s="195"/>
      <c r="AU126" s="194" t="str">
        <f>IF(AU124=0,"",ABS(IFERROR((AU124/AU123),0)-1))</f>
        <v/>
      </c>
      <c r="AV126" s="195"/>
      <c r="AW126" s="194" t="str">
        <f>IF(AW124=0,"",ABS(IFERROR((AW124/AW123),0)-1))</f>
        <v/>
      </c>
      <c r="AX126" s="195"/>
      <c r="AY126" s="194" t="str">
        <f>IF(AY124=0,"",ABS(IFERROR((AY124/AY123),0)-1))</f>
        <v/>
      </c>
      <c r="AZ126" s="195"/>
      <c r="BA126" s="194" t="str">
        <f>IF(BA124=0,"",ABS(IFERROR((BA124/BA123),0)-1))</f>
        <v/>
      </c>
      <c r="BB126" s="195"/>
      <c r="BC126" s="194" t="str">
        <f>IF(BC124=0,"",ABS(IFERROR((BC124/BC123),0)-1))</f>
        <v/>
      </c>
      <c r="BD126" s="195"/>
      <c r="BE126" s="194" t="str">
        <f>IF(BE124=0,"",ABS(IFERROR((BE124/BE123),0)-1))</f>
        <v/>
      </c>
      <c r="BF126" s="195"/>
      <c r="BG126" s="194" t="str">
        <f>IF(BG124=0,"",ABS(IFERROR((BG124/BG123),0)-1))</f>
        <v/>
      </c>
      <c r="BH126" s="195"/>
      <c r="BI126" s="194" t="str">
        <f>IF(BI124=0,"",ABS(IFERROR((BI124/BI123),0)-1))</f>
        <v/>
      </c>
      <c r="BJ126" s="195"/>
      <c r="BK126" s="194" t="str">
        <f>IF(BK124=0,"",ABS(IFERROR((BK124/BK123),0)-1))</f>
        <v/>
      </c>
      <c r="BL126" s="195"/>
      <c r="BM126" s="194" t="str">
        <f>IF(BM124=0,"",ABS(IFERROR((BM124/BM123),0)-1))</f>
        <v/>
      </c>
      <c r="BN126" s="195"/>
      <c r="BO126" s="194" t="str">
        <f>IF(BO124=0,"",ABS(IFERROR((BO124/BO123),0)-1))</f>
        <v/>
      </c>
      <c r="BP126" s="195"/>
      <c r="BQ126" s="194" t="str">
        <f>IF(BQ124=0,"",ABS(IFERROR((BQ124/BQ123),0)-1))</f>
        <v/>
      </c>
      <c r="BR126" s="195"/>
      <c r="BS126" s="194" t="str">
        <f>IF(BS124=0,"",ABS(IFERROR((BS124/BS123),0)-1))</f>
        <v/>
      </c>
      <c r="BT126" s="195"/>
      <c r="BU126" s="26" t="e">
        <f>ABS(IFERROR((BU124/BU123),"")-1)</f>
        <v>#VALUE!</v>
      </c>
      <c r="BV126" s="15"/>
      <c r="BW126" s="21"/>
      <c r="BX126" s="3"/>
      <c r="BY126" s="3"/>
      <c r="BZ126" s="3"/>
    </row>
    <row r="127" spans="1:78" ht="15" thickBot="1" x14ac:dyDescent="0.35">
      <c r="A127" s="181"/>
      <c r="B127" s="22" t="s">
        <v>177</v>
      </c>
      <c r="C127" s="196" t="str">
        <f>IF(C126="","", IF(C126&lt;89%,"OVER STANDART",IF(C126=89%,"GOOD","UNDER STANDART")))</f>
        <v/>
      </c>
      <c r="D127" s="197"/>
      <c r="E127" s="196" t="str">
        <f>IF(E126="","", IF(E126&lt;89%,"OVER STANDART",IF(E126=89%,"GOOD","UNDER STANDART")))</f>
        <v/>
      </c>
      <c r="F127" s="197"/>
      <c r="G127" s="196" t="str">
        <f>IF(G126="","", IF(G126&lt;89%,"OVER STANDART",IF(G126=89%,"GOOD","UNDER STANDART")))</f>
        <v/>
      </c>
      <c r="H127" s="197"/>
      <c r="I127" s="196" t="str">
        <f>IF(I126="","", IF(I126&lt;89%,"OVER STANDART",IF(I126=89%,"GOOD","UNDER STANDART")))</f>
        <v/>
      </c>
      <c r="J127" s="197"/>
      <c r="K127" s="196" t="str">
        <f>IF(K126="","", IF(K126&lt;89%,"OVER STANDART",IF(K126=89%,"GOOD","UNDER STANDART")))</f>
        <v/>
      </c>
      <c r="L127" s="197"/>
      <c r="M127" s="196" t="str">
        <f>IF(M126="","", IF(M126&lt;89%,"OVER STANDART",IF(M126=89%,"GOOD","UNDER STANDART")))</f>
        <v/>
      </c>
      <c r="N127" s="197"/>
      <c r="O127" s="196" t="str">
        <f>IF(O126="","", IF(O126&lt;89%,"OVER STANDART",IF(O126=89%,"GOOD","UNDER STANDART")))</f>
        <v/>
      </c>
      <c r="P127" s="197"/>
      <c r="Q127" s="196" t="str">
        <f>IF(Q126="","", IF(Q126&lt;89%,"OVER STANDART",IF(Q126=89%,"GOOD","UNDER STANDART")))</f>
        <v/>
      </c>
      <c r="R127" s="197"/>
      <c r="S127" s="196" t="str">
        <f>IF(S126="","", IF(S126&lt;89%,"OVER STANDART",IF(S126=89%,"GOOD","UNDER STANDART")))</f>
        <v/>
      </c>
      <c r="T127" s="197"/>
      <c r="U127" s="196" t="str">
        <f>IF(U126="","", IF(U126&lt;89%,"OVER STANDART",IF(U126=89%,"GOOD","UNDER STANDART")))</f>
        <v/>
      </c>
      <c r="V127" s="197"/>
      <c r="W127" s="196" t="str">
        <f>IF(W126="","", IF(W126&lt;89%,"OVER STANDART",IF(W126=89%,"GOOD","UNDER STANDART")))</f>
        <v/>
      </c>
      <c r="X127" s="197"/>
      <c r="Y127" s="196" t="str">
        <f>IF(Y126="","", IF(Y126&lt;89%,"OVER STANDART",IF(Y126=89%,"GOOD","UNDER STANDART")))</f>
        <v/>
      </c>
      <c r="Z127" s="197"/>
      <c r="AA127" s="196" t="str">
        <f>IF(AA126="","", IF(AA126&lt;89%,"OVER STANDART",IF(AA126=89%,"GOOD","UNDER STANDART")))</f>
        <v/>
      </c>
      <c r="AB127" s="197"/>
      <c r="AC127" s="196" t="str">
        <f>IF(AC126="","", IF(AC126&lt;89%,"OVER STANDART",IF(AC126=89%,"GOOD","UNDER STANDART")))</f>
        <v/>
      </c>
      <c r="AD127" s="197"/>
      <c r="AE127" s="196" t="str">
        <f>IF(AE126="","", IF(AE126&lt;89%,"OVER STANDART",IF(AE126=89%,"GOOD","UNDER STANDART")))</f>
        <v/>
      </c>
      <c r="AF127" s="197"/>
      <c r="AG127" s="196" t="str">
        <f>IF(AG126="","", IF(AG126&lt;89%,"OVER STANDART",IF(AG126=89%,"GOOD","UNDER STANDART")))</f>
        <v/>
      </c>
      <c r="AH127" s="197"/>
      <c r="AI127" s="196" t="str">
        <f>IF(AI126="","", IF(AI126&lt;89%,"OVER STANDART",IF(AI126=89%,"GOOD","UNDER STANDART")))</f>
        <v/>
      </c>
      <c r="AJ127" s="197"/>
      <c r="AK127" s="196" t="str">
        <f>IF(AK126="","", IF(AK126&lt;89%,"OVER STANDART",IF(AK126=89%,"GOOD","UNDER STANDART")))</f>
        <v/>
      </c>
      <c r="AL127" s="197"/>
      <c r="AM127" s="196" t="str">
        <f>IF(AM126="","", IF(AM126&lt;89%,"OVER STANDART",IF(AM126=89%,"GOOD","UNDER STANDART")))</f>
        <v/>
      </c>
      <c r="AN127" s="197"/>
      <c r="AO127" s="196" t="str">
        <f>IF(AO126="","", IF(AO126&lt;89%,"OVER STANDART",IF(AO126=89%,"GOOD","UNDER STANDART")))</f>
        <v/>
      </c>
      <c r="AP127" s="197"/>
      <c r="AQ127" s="196" t="str">
        <f>IF(AQ126="","", IF(AQ126&lt;89%,"OVER STANDART",IF(AQ126=89%,"GOOD","UNDER STANDART")))</f>
        <v/>
      </c>
      <c r="AR127" s="197"/>
      <c r="AS127" s="196" t="str">
        <f>IF(AS126="","", IF(AS126&lt;89%,"OVER STANDART",IF(AS126=89%,"GOOD","UNDER STANDART")))</f>
        <v/>
      </c>
      <c r="AT127" s="197"/>
      <c r="AU127" s="196" t="str">
        <f>IF(AU126="","", IF(AU126&lt;89%,"OVER STANDART",IF(AU126=89%,"GOOD","UNDER STANDART")))</f>
        <v/>
      </c>
      <c r="AV127" s="197"/>
      <c r="AW127" s="196" t="str">
        <f>IF(AW126="","", IF(AW126&lt;89%,"OVER STANDART",IF(AW126=89%,"GOOD","UNDER STANDART")))</f>
        <v/>
      </c>
      <c r="AX127" s="197"/>
      <c r="AY127" s="196" t="str">
        <f>IF(AY126="","", IF(AY126&lt;89%,"OVER STANDART",IF(AY126=89%,"GOOD","UNDER STANDART")))</f>
        <v/>
      </c>
      <c r="AZ127" s="197"/>
      <c r="BA127" s="196" t="str">
        <f>IF(BA126="","", IF(BA126&lt;89%,"OVER STANDART",IF(BA126=89%,"GOOD","UNDER STANDART")))</f>
        <v/>
      </c>
      <c r="BB127" s="197"/>
      <c r="BC127" s="196" t="str">
        <f>IF(BC126="","", IF(BC126&lt;89%,"OVER STANDART",IF(BC126=89%,"GOOD","UNDER STANDART")))</f>
        <v/>
      </c>
      <c r="BD127" s="197"/>
      <c r="BE127" s="196" t="str">
        <f>IF(BE126="","", IF(BE126&lt;89%,"OVER STANDART",IF(BE126=89%,"GOOD","UNDER STANDART")))</f>
        <v/>
      </c>
      <c r="BF127" s="197"/>
      <c r="BG127" s="196" t="str">
        <f>IF(BG126="","", IF(BG126&lt;89%,"OVER STANDART",IF(BG126=89%,"GOOD","UNDER STANDART")))</f>
        <v/>
      </c>
      <c r="BH127" s="197"/>
      <c r="BI127" s="196" t="str">
        <f>IF(BI126="","", IF(BI126&lt;89%,"OVER STANDART",IF(BI126=89%,"GOOD","UNDER STANDART")))</f>
        <v/>
      </c>
      <c r="BJ127" s="197"/>
      <c r="BK127" s="196" t="str">
        <f>IF(BK126="","", IF(BK126&lt;89%,"OVER STANDART",IF(BK126=89%,"GOOD","UNDER STANDART")))</f>
        <v/>
      </c>
      <c r="BL127" s="197"/>
      <c r="BM127" s="196" t="str">
        <f>IF(BM126="","", IF(BM126&lt;89%,"OVER STANDART",IF(BM126=89%,"GOOD","UNDER STANDART")))</f>
        <v/>
      </c>
      <c r="BN127" s="197"/>
      <c r="BO127" s="196" t="str">
        <f>IF(BO126="","", IF(BO126&lt;89%,"OVER STANDART",IF(BO126=89%,"GOOD","UNDER STANDART")))</f>
        <v/>
      </c>
      <c r="BP127" s="197"/>
      <c r="BQ127" s="196" t="str">
        <f>IF(BQ126="","", IF(BQ126&lt;89%,"OVER STANDART",IF(BQ126=89%,"GOOD","UNDER STANDART")))</f>
        <v/>
      </c>
      <c r="BR127" s="197"/>
      <c r="BS127" s="196" t="str">
        <f>IF(BS126="","", IF(BS126&lt;89%,"OVER STANDART",IF(BS126=89%,"GOOD","UNDER STANDART")))</f>
        <v/>
      </c>
      <c r="BT127" s="197"/>
      <c r="BU127" s="24" t="e">
        <f>IF(BU126="","", IF(BU126&lt;89%,"OVER STANDART",IF(BU126=89%,"GOOD","UNDER STANDART")))</f>
        <v>#VALUE!</v>
      </c>
      <c r="BV127" s="23"/>
      <c r="BW127" s="25"/>
      <c r="BX127" s="3"/>
      <c r="BY127" s="3"/>
      <c r="BZ127" s="3"/>
    </row>
    <row r="128" spans="1:78" ht="14.5" x14ac:dyDescent="0.3">
      <c r="A128" s="198">
        <f>A123+1</f>
        <v>26</v>
      </c>
      <c r="B128" s="7" t="s">
        <v>278</v>
      </c>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9" t="str">
        <f>IF(SUMIF($C$2:$BT$2,"FRESH",C128:BT128)=0,"",SUMIF($C$2:$BT$2,"FRESH",C128:BT128))</f>
        <v/>
      </c>
      <c r="BV128" s="10" t="str">
        <f>IF(SUMIF($C$2:$BT$2,"GILING",C128:BT128)=0,"",SUMIF($C$2:$BT$2,"GILING",C128:BT128))</f>
        <v/>
      </c>
      <c r="BW128" s="11"/>
      <c r="BX128" s="3"/>
      <c r="BY128" s="3"/>
      <c r="BZ128" s="3"/>
    </row>
    <row r="129" spans="1:78" x14ac:dyDescent="0.3">
      <c r="A129" s="199"/>
      <c r="B129" s="12" t="s">
        <v>279</v>
      </c>
      <c r="C129" s="188">
        <f>IF(AND(C128="",D128=""),0,C128-D128)</f>
        <v>0</v>
      </c>
      <c r="D129" s="189"/>
      <c r="E129" s="188">
        <f>IF(AND(E128="",F128=""),0,E128-F128)</f>
        <v>0</v>
      </c>
      <c r="F129" s="189"/>
      <c r="G129" s="188">
        <f>IF(AND(G128="",H128=""),0,G128-H128)</f>
        <v>0</v>
      </c>
      <c r="H129" s="189"/>
      <c r="I129" s="188">
        <f>IF(AND(I128="",J128=""),0,I128-J128)</f>
        <v>0</v>
      </c>
      <c r="J129" s="189"/>
      <c r="K129" s="188">
        <f>IF(AND(K128="",L128=""),0,K128-L128)</f>
        <v>0</v>
      </c>
      <c r="L129" s="189"/>
      <c r="M129" s="188">
        <f>IF(AND(M128="",N128=""),0,M128-N128)</f>
        <v>0</v>
      </c>
      <c r="N129" s="189"/>
      <c r="O129" s="188">
        <f>IF(AND(O128="",P128=""),0,O128-P128)</f>
        <v>0</v>
      </c>
      <c r="P129" s="189"/>
      <c r="Q129" s="188">
        <f>IF(AND(Q128="",R128=""),0,Q128-R128)</f>
        <v>0</v>
      </c>
      <c r="R129" s="189"/>
      <c r="S129" s="188">
        <f>IF(AND(S128="",T128=""),0,S128-T128)</f>
        <v>0</v>
      </c>
      <c r="T129" s="189"/>
      <c r="U129" s="188">
        <f>IF(AND(U128="",V128=""),0,U128-V128)</f>
        <v>0</v>
      </c>
      <c r="V129" s="189"/>
      <c r="W129" s="188">
        <f>IF(AND(W128="",X128=""),0,W128-X128)</f>
        <v>0</v>
      </c>
      <c r="X129" s="189"/>
      <c r="Y129" s="188">
        <f>IF(AND(Y128="",Z128=""),0,Y128-Z128)</f>
        <v>0</v>
      </c>
      <c r="Z129" s="189"/>
      <c r="AA129" s="188">
        <f>IF(AND(AA128="",AB128=""),0,AA128-AB128)</f>
        <v>0</v>
      </c>
      <c r="AB129" s="189"/>
      <c r="AC129" s="188">
        <f>IF(AND(AC128="",AD128=""),0,AC128-AD128)</f>
        <v>0</v>
      </c>
      <c r="AD129" s="189"/>
      <c r="AE129" s="188">
        <f>IF(AND(AE128="",AF128=""),0,AE128-AF128)</f>
        <v>0</v>
      </c>
      <c r="AF129" s="189"/>
      <c r="AG129" s="188">
        <f>IF(AND(AG128="",AH128=""),0,AG128-AH128)</f>
        <v>0</v>
      </c>
      <c r="AH129" s="189"/>
      <c r="AI129" s="188">
        <f>IF(AND(AI128="",AJ128=""),0,AI128-AJ128)</f>
        <v>0</v>
      </c>
      <c r="AJ129" s="189"/>
      <c r="AK129" s="188">
        <f>IF(AND(AK128="",AL128=""),0,AK128-AL128)</f>
        <v>0</v>
      </c>
      <c r="AL129" s="189"/>
      <c r="AM129" s="188">
        <f>IF(AND(AM128="",AN128=""),0,AM128-AN128)</f>
        <v>0</v>
      </c>
      <c r="AN129" s="189"/>
      <c r="AO129" s="188">
        <f>IF(AND(AO128="",AP128=""),0,AO128-AP128)</f>
        <v>0</v>
      </c>
      <c r="AP129" s="189"/>
      <c r="AQ129" s="188">
        <f>IF(AND(AQ128="",AR128=""),0,AQ128-AR128)</f>
        <v>0</v>
      </c>
      <c r="AR129" s="189"/>
      <c r="AS129" s="188">
        <f>IF(AND(AS128="",AT128=""),0,AS128-AT128)</f>
        <v>0</v>
      </c>
      <c r="AT129" s="189"/>
      <c r="AU129" s="188">
        <f>IF(AND(AU128="",AV128=""),0,AU128-AV128)</f>
        <v>0</v>
      </c>
      <c r="AV129" s="189"/>
      <c r="AW129" s="188">
        <f>IF(AND(AW128="",AX128=""),0,AW128-AX128)</f>
        <v>0</v>
      </c>
      <c r="AX129" s="189"/>
      <c r="AY129" s="188">
        <f>IF(AND(AY128="",AZ128=""),0,AY128-AZ128)</f>
        <v>0</v>
      </c>
      <c r="AZ129" s="189"/>
      <c r="BA129" s="188">
        <f>IF(AND(BA128="",BB128=""),0,BA128-BB128)</f>
        <v>0</v>
      </c>
      <c r="BB129" s="189"/>
      <c r="BC129" s="188">
        <f>IF(AND(BC128="",BD128=""),0,BC128-BD128)</f>
        <v>0</v>
      </c>
      <c r="BD129" s="189"/>
      <c r="BE129" s="188">
        <f>IF(AND(BE128="",BF128=""),0,BE128-BF128)</f>
        <v>0</v>
      </c>
      <c r="BF129" s="189"/>
      <c r="BG129" s="188">
        <f>IF(AND(BG128="",BH128=""),0,BG128-BH128)</f>
        <v>0</v>
      </c>
      <c r="BH129" s="189"/>
      <c r="BI129" s="188">
        <f>IF(AND(BI128="",BJ128=""),0,BI128-BJ128)</f>
        <v>0</v>
      </c>
      <c r="BJ129" s="189"/>
      <c r="BK129" s="188">
        <f>IF(AND(BK128="",BL128=""),0,BK128-BL128)</f>
        <v>0</v>
      </c>
      <c r="BL129" s="189"/>
      <c r="BM129" s="188">
        <f>IF(AND(BM128="",BN128=""),0,BM128-BN128)</f>
        <v>0</v>
      </c>
      <c r="BN129" s="189"/>
      <c r="BO129" s="188">
        <f>IF(AND(BO128="",BP128=""),0,BO128-BP128)</f>
        <v>0</v>
      </c>
      <c r="BP129" s="189"/>
      <c r="BQ129" s="188">
        <f>IF(AND(BQ128="",BR128=""),0,BQ128-BR128)</f>
        <v>0</v>
      </c>
      <c r="BR129" s="189"/>
      <c r="BS129" s="188">
        <f>IF(AND(BS128="",BT128=""),0,BS128-BT128)</f>
        <v>0</v>
      </c>
      <c r="BT129" s="189"/>
      <c r="BU129" s="14" t="str">
        <f>IF(AND(BU128="",BV128=""),"",BU128-BV128)</f>
        <v/>
      </c>
      <c r="BV129" s="13"/>
      <c r="BW129" s="16" t="str">
        <f>IF(COUNTIF(D129:BT129,"&gt;0")=0,"",COUNTIF(D129:BT129,"&gt;0"))</f>
        <v/>
      </c>
      <c r="BX129" s="3"/>
      <c r="BY129" s="3"/>
      <c r="BZ129" s="3"/>
    </row>
    <row r="130" spans="1:78" ht="14.5" x14ac:dyDescent="0.3">
      <c r="A130" s="199"/>
      <c r="B130" s="12" t="s">
        <v>280</v>
      </c>
      <c r="C130" s="186">
        <f>IF(C129="",0,(D128/89%)-(C128))</f>
        <v>0</v>
      </c>
      <c r="D130" s="187"/>
      <c r="E130" s="186">
        <f>IF(E129="",0,(F128/89%)-(E128))</f>
        <v>0</v>
      </c>
      <c r="F130" s="187"/>
      <c r="G130" s="186">
        <f>IF(G129="",0,(H128/89%)-(G128))</f>
        <v>0</v>
      </c>
      <c r="H130" s="187"/>
      <c r="I130" s="186">
        <f>IF(I129="",0,(J128/89%)-(I128))</f>
        <v>0</v>
      </c>
      <c r="J130" s="187"/>
      <c r="K130" s="186">
        <f>IF(K129="",0,(L128/89%)-(K128))</f>
        <v>0</v>
      </c>
      <c r="L130" s="187"/>
      <c r="M130" s="186">
        <f>IF(M129="",0,(N128/89%)-(M128))</f>
        <v>0</v>
      </c>
      <c r="N130" s="187"/>
      <c r="O130" s="186">
        <f>IF(O129="",0,(P128/89%)-(O128))</f>
        <v>0</v>
      </c>
      <c r="P130" s="187"/>
      <c r="Q130" s="186">
        <f>IF(Q129="",0,(R128/89%)-(Q128))</f>
        <v>0</v>
      </c>
      <c r="R130" s="187"/>
      <c r="S130" s="186">
        <f>IF(S129="",0,(T128/89%)-(S128))</f>
        <v>0</v>
      </c>
      <c r="T130" s="187"/>
      <c r="U130" s="186">
        <f>IF(U129="",0,(V128/89%)-(U128))</f>
        <v>0</v>
      </c>
      <c r="V130" s="187"/>
      <c r="W130" s="186">
        <f>IF(W129="",0,(X128/89%)-(W128))</f>
        <v>0</v>
      </c>
      <c r="X130" s="187"/>
      <c r="Y130" s="186">
        <f>IF(Y129="",0,(Z128/89%)-(Y128))</f>
        <v>0</v>
      </c>
      <c r="Z130" s="187"/>
      <c r="AA130" s="186">
        <f>IF(AA129="",0,(AB128/89%)-(AA128))</f>
        <v>0</v>
      </c>
      <c r="AB130" s="187"/>
      <c r="AC130" s="186">
        <f>IF(AC129="",0,(AD128/89%)-(AC128))</f>
        <v>0</v>
      </c>
      <c r="AD130" s="187"/>
      <c r="AE130" s="186">
        <f>IF(AE129="",0,(AF128/89%)-(AE128))</f>
        <v>0</v>
      </c>
      <c r="AF130" s="187"/>
      <c r="AG130" s="186">
        <f>IF(AG129="",0,(AH128/89%)-(AG128))</f>
        <v>0</v>
      </c>
      <c r="AH130" s="187"/>
      <c r="AI130" s="186">
        <f>IF(AI129="",0,(AJ128/89%)-(AI128))</f>
        <v>0</v>
      </c>
      <c r="AJ130" s="187"/>
      <c r="AK130" s="186">
        <f>IF(AK129="",0,(AL128/89%)-(AK128))</f>
        <v>0</v>
      </c>
      <c r="AL130" s="187"/>
      <c r="AM130" s="186">
        <f>IF(AM129="",0,(AN128/89%)-(AM128))</f>
        <v>0</v>
      </c>
      <c r="AN130" s="187"/>
      <c r="AO130" s="186">
        <f>IF(AO129="",0,(AP128/89%)-(AO128))</f>
        <v>0</v>
      </c>
      <c r="AP130" s="187"/>
      <c r="AQ130" s="186">
        <f>IF(AQ129="",0,(AR128/89%)-(AQ128))</f>
        <v>0</v>
      </c>
      <c r="AR130" s="187"/>
      <c r="AS130" s="186">
        <f>IF(AS129="",0,(AT128/89%)-(AS128))</f>
        <v>0</v>
      </c>
      <c r="AT130" s="187"/>
      <c r="AU130" s="186">
        <f>IF(AU129="",0,(AV128/89%)-(AU128))</f>
        <v>0</v>
      </c>
      <c r="AV130" s="187"/>
      <c r="AW130" s="186">
        <f>IF(AW129="",0,(AX128/89%)-(AW128))</f>
        <v>0</v>
      </c>
      <c r="AX130" s="187"/>
      <c r="AY130" s="186">
        <f>IF(AY129="",0,(AZ128/89%)-(AY128))</f>
        <v>0</v>
      </c>
      <c r="AZ130" s="187"/>
      <c r="BA130" s="186">
        <f>IF(BA129="",0,(BB128/89%)-(BA128))</f>
        <v>0</v>
      </c>
      <c r="BB130" s="187"/>
      <c r="BC130" s="186">
        <f>IF(BC129="",0,(BD128/89%)-(BC128))</f>
        <v>0</v>
      </c>
      <c r="BD130" s="187"/>
      <c r="BE130" s="186">
        <f>IF(BE129="",0,(BF128/89%)-(BE128))</f>
        <v>0</v>
      </c>
      <c r="BF130" s="187"/>
      <c r="BG130" s="186">
        <f>IF(BG129="",0,(BH128/89%)-(BG128))</f>
        <v>0</v>
      </c>
      <c r="BH130" s="187"/>
      <c r="BI130" s="186">
        <f>IF(BI129="",0,(BJ128/89%)-(BI128))</f>
        <v>0</v>
      </c>
      <c r="BJ130" s="187"/>
      <c r="BK130" s="186">
        <f>IF(BK129="",0,(BL128/89%)-(BK128))</f>
        <v>0</v>
      </c>
      <c r="BL130" s="187"/>
      <c r="BM130" s="186">
        <f>IF(BM129="",0,(BN128/89%)-(BM128))</f>
        <v>0</v>
      </c>
      <c r="BN130" s="187"/>
      <c r="BO130" s="186">
        <f>IF(BO129="",0,(BP128/89%)-(BO128))</f>
        <v>0</v>
      </c>
      <c r="BP130" s="187"/>
      <c r="BQ130" s="186">
        <f>IF(BQ129="",0,(BR128/89%)-(BQ128))</f>
        <v>0</v>
      </c>
      <c r="BR130" s="187"/>
      <c r="BS130" s="186">
        <f>IF(BS129="",0,(BT128/89%)-(BS128))</f>
        <v>0</v>
      </c>
      <c r="BT130" s="187"/>
      <c r="BU130" s="17" t="str">
        <f>IF(BU129="","",(BV128/89%)-(BU128))</f>
        <v/>
      </c>
      <c r="BV130" s="13"/>
      <c r="BW130" s="18" t="str">
        <f>IF(AND(BU128="",BV128=""),"",(BU128-BV128)-BU129)</f>
        <v/>
      </c>
      <c r="BX130" s="3"/>
      <c r="BY130" s="3"/>
      <c r="BZ130" s="3"/>
    </row>
    <row r="131" spans="1:78" ht="14.5" x14ac:dyDescent="0.3">
      <c r="A131" s="199"/>
      <c r="B131" s="19" t="s">
        <v>281</v>
      </c>
      <c r="C131" s="194" t="str">
        <f>IF(C129=0,"",ABS(IFERROR((C129/C128),0)-1))</f>
        <v/>
      </c>
      <c r="D131" s="195"/>
      <c r="E131" s="194" t="str">
        <f>IF(E129=0,"",ABS(IFERROR((E129/E128),0)-1))</f>
        <v/>
      </c>
      <c r="F131" s="195"/>
      <c r="G131" s="194" t="str">
        <f>IF(G129=0,"",ABS(IFERROR((G129/G128),0)-1))</f>
        <v/>
      </c>
      <c r="H131" s="195"/>
      <c r="I131" s="194" t="str">
        <f>IF(I129=0,"",ABS(IFERROR((I129/I128),0)-1))</f>
        <v/>
      </c>
      <c r="J131" s="195"/>
      <c r="K131" s="194" t="str">
        <f>IF(K129=0,"",ABS(IFERROR((K129/K128),0)-1))</f>
        <v/>
      </c>
      <c r="L131" s="195"/>
      <c r="M131" s="194" t="str">
        <f>IF(M129=0,"",ABS(IFERROR((M129/M128),0)-1))</f>
        <v/>
      </c>
      <c r="N131" s="195"/>
      <c r="O131" s="194" t="str">
        <f>IF(O129=0,"",ABS(IFERROR((O129/O128),0)-1))</f>
        <v/>
      </c>
      <c r="P131" s="195"/>
      <c r="Q131" s="194" t="str">
        <f>IF(Q129=0,"",ABS(IFERROR((Q129/Q128),0)-1))</f>
        <v/>
      </c>
      <c r="R131" s="195"/>
      <c r="S131" s="194" t="str">
        <f>IF(S129=0,"",ABS(IFERROR((S129/S128),0)-1))</f>
        <v/>
      </c>
      <c r="T131" s="195"/>
      <c r="U131" s="194" t="str">
        <f>IF(U129=0,"",ABS(IFERROR((U129/U128),0)-1))</f>
        <v/>
      </c>
      <c r="V131" s="195"/>
      <c r="W131" s="194" t="str">
        <f>IF(W129=0,"",ABS(IFERROR((W129/W128),0)-1))</f>
        <v/>
      </c>
      <c r="X131" s="195"/>
      <c r="Y131" s="194" t="str">
        <f>IF(Y129=0,"",ABS(IFERROR((Y129/Y128),0)-1))</f>
        <v/>
      </c>
      <c r="Z131" s="195"/>
      <c r="AA131" s="194" t="str">
        <f>IF(AA129=0,"",ABS(IFERROR((AA129/AA128),0)-1))</f>
        <v/>
      </c>
      <c r="AB131" s="195"/>
      <c r="AC131" s="194" t="str">
        <f>IF(AC129=0,"",ABS(IFERROR((AC129/AC128),0)-1))</f>
        <v/>
      </c>
      <c r="AD131" s="195"/>
      <c r="AE131" s="194" t="str">
        <f>IF(AE129=0,"",ABS(IFERROR((AE129/AE128),0)-1))</f>
        <v/>
      </c>
      <c r="AF131" s="195"/>
      <c r="AG131" s="194" t="str">
        <f>IF(AG129=0,"",ABS(IFERROR((AG129/AG128),0)-1))</f>
        <v/>
      </c>
      <c r="AH131" s="195"/>
      <c r="AI131" s="194" t="str">
        <f>IF(AI129=0,"",ABS(IFERROR((AI129/AI128),0)-1))</f>
        <v/>
      </c>
      <c r="AJ131" s="195"/>
      <c r="AK131" s="194" t="str">
        <f>IF(AK129=0,"",ABS(IFERROR((AK129/AK128),0)-1))</f>
        <v/>
      </c>
      <c r="AL131" s="195"/>
      <c r="AM131" s="194" t="str">
        <f>IF(AM129=0,"",ABS(IFERROR((AM129/AM128),0)-1))</f>
        <v/>
      </c>
      <c r="AN131" s="195"/>
      <c r="AO131" s="194" t="str">
        <f>IF(AO129=0,"",ABS(IFERROR((AO129/AO128),0)-1))</f>
        <v/>
      </c>
      <c r="AP131" s="195"/>
      <c r="AQ131" s="194" t="str">
        <f>IF(AQ129=0,"",ABS(IFERROR((AQ129/AQ128),0)-1))</f>
        <v/>
      </c>
      <c r="AR131" s="195"/>
      <c r="AS131" s="194" t="str">
        <f>IF(AS129=0,"",ABS(IFERROR((AS129/AS128),0)-1))</f>
        <v/>
      </c>
      <c r="AT131" s="195"/>
      <c r="AU131" s="194" t="str">
        <f>IF(AU129=0,"",ABS(IFERROR((AU129/AU128),0)-1))</f>
        <v/>
      </c>
      <c r="AV131" s="195"/>
      <c r="AW131" s="194" t="str">
        <f>IF(AW129=0,"",ABS(IFERROR((AW129/AW128),0)-1))</f>
        <v/>
      </c>
      <c r="AX131" s="195"/>
      <c r="AY131" s="194" t="str">
        <f>IF(AY129=0,"",ABS(IFERROR((AY129/AY128),0)-1))</f>
        <v/>
      </c>
      <c r="AZ131" s="195"/>
      <c r="BA131" s="194" t="str">
        <f>IF(BA129=0,"",ABS(IFERROR((BA129/BA128),0)-1))</f>
        <v/>
      </c>
      <c r="BB131" s="195"/>
      <c r="BC131" s="194" t="str">
        <f>IF(BC129=0,"",ABS(IFERROR((BC129/BC128),0)-1))</f>
        <v/>
      </c>
      <c r="BD131" s="195"/>
      <c r="BE131" s="194" t="str">
        <f>IF(BE129=0,"",ABS(IFERROR((BE129/BE128),0)-1))</f>
        <v/>
      </c>
      <c r="BF131" s="195"/>
      <c r="BG131" s="194" t="str">
        <f>IF(BG129=0,"",ABS(IFERROR((BG129/BG128),0)-1))</f>
        <v/>
      </c>
      <c r="BH131" s="195"/>
      <c r="BI131" s="194" t="str">
        <f>IF(BI129=0,"",ABS(IFERROR((BI129/BI128),0)-1))</f>
        <v/>
      </c>
      <c r="BJ131" s="195"/>
      <c r="BK131" s="194" t="str">
        <f>IF(BK129=0,"",ABS(IFERROR((BK129/BK128),0)-1))</f>
        <v/>
      </c>
      <c r="BL131" s="195"/>
      <c r="BM131" s="194" t="str">
        <f>IF(BM129=0,"",ABS(IFERROR((BM129/BM128),0)-1))</f>
        <v/>
      </c>
      <c r="BN131" s="195"/>
      <c r="BO131" s="194" t="str">
        <f>IF(BO129=0,"",ABS(IFERROR((BO129/BO128),0)-1))</f>
        <v/>
      </c>
      <c r="BP131" s="195"/>
      <c r="BQ131" s="194" t="str">
        <f>IF(BQ129=0,"",ABS(IFERROR((BQ129/BQ128),0)-1))</f>
        <v/>
      </c>
      <c r="BR131" s="195"/>
      <c r="BS131" s="194" t="str">
        <f>IF(BS129=0,"",ABS(IFERROR((BS129/BS128),0)-1))</f>
        <v/>
      </c>
      <c r="BT131" s="195"/>
      <c r="BU131" s="26" t="e">
        <f>ABS(IFERROR((BU129/BU128),"")-1)</f>
        <v>#VALUE!</v>
      </c>
      <c r="BV131" s="15"/>
      <c r="BW131" s="21"/>
      <c r="BX131" s="3"/>
      <c r="BY131" s="3"/>
      <c r="BZ131" s="3"/>
    </row>
    <row r="132" spans="1:78" ht="15" thickBot="1" x14ac:dyDescent="0.35">
      <c r="A132" s="181"/>
      <c r="B132" s="22" t="s">
        <v>177</v>
      </c>
      <c r="C132" s="196" t="str">
        <f>IF(C131="","", IF(C131&lt;89%,"OVER STANDART",IF(C131=89%,"GOOD","UNDER STANDART")))</f>
        <v/>
      </c>
      <c r="D132" s="197"/>
      <c r="E132" s="196" t="str">
        <f>IF(E131="","", IF(E131&lt;89%,"OVER STANDART",IF(E131=89%,"GOOD","UNDER STANDART")))</f>
        <v/>
      </c>
      <c r="F132" s="197"/>
      <c r="G132" s="196" t="str">
        <f>IF(G131="","", IF(G131&lt;89%,"OVER STANDART",IF(G131=89%,"GOOD","UNDER STANDART")))</f>
        <v/>
      </c>
      <c r="H132" s="197"/>
      <c r="I132" s="196" t="str">
        <f>IF(I131="","", IF(I131&lt;89%,"OVER STANDART",IF(I131=89%,"GOOD","UNDER STANDART")))</f>
        <v/>
      </c>
      <c r="J132" s="197"/>
      <c r="K132" s="196" t="str">
        <f>IF(K131="","", IF(K131&lt;89%,"OVER STANDART",IF(K131=89%,"GOOD","UNDER STANDART")))</f>
        <v/>
      </c>
      <c r="L132" s="197"/>
      <c r="M132" s="196" t="str">
        <f>IF(M131="","", IF(M131&lt;89%,"OVER STANDART",IF(M131=89%,"GOOD","UNDER STANDART")))</f>
        <v/>
      </c>
      <c r="N132" s="197"/>
      <c r="O132" s="196" t="str">
        <f>IF(O131="","", IF(O131&lt;89%,"OVER STANDART",IF(O131=89%,"GOOD","UNDER STANDART")))</f>
        <v/>
      </c>
      <c r="P132" s="197"/>
      <c r="Q132" s="196" t="str">
        <f>IF(Q131="","", IF(Q131&lt;89%,"OVER STANDART",IF(Q131=89%,"GOOD","UNDER STANDART")))</f>
        <v/>
      </c>
      <c r="R132" s="197"/>
      <c r="S132" s="196" t="str">
        <f>IF(S131="","", IF(S131&lt;89%,"OVER STANDART",IF(S131=89%,"GOOD","UNDER STANDART")))</f>
        <v/>
      </c>
      <c r="T132" s="197"/>
      <c r="U132" s="196" t="str">
        <f>IF(U131="","", IF(U131&lt;89%,"OVER STANDART",IF(U131=89%,"GOOD","UNDER STANDART")))</f>
        <v/>
      </c>
      <c r="V132" s="197"/>
      <c r="W132" s="196" t="str">
        <f>IF(W131="","", IF(W131&lt;89%,"OVER STANDART",IF(W131=89%,"GOOD","UNDER STANDART")))</f>
        <v/>
      </c>
      <c r="X132" s="197"/>
      <c r="Y132" s="196" t="str">
        <f>IF(Y131="","", IF(Y131&lt;89%,"OVER STANDART",IF(Y131=89%,"GOOD","UNDER STANDART")))</f>
        <v/>
      </c>
      <c r="Z132" s="197"/>
      <c r="AA132" s="196" t="str">
        <f>IF(AA131="","", IF(AA131&lt;89%,"OVER STANDART",IF(AA131=89%,"GOOD","UNDER STANDART")))</f>
        <v/>
      </c>
      <c r="AB132" s="197"/>
      <c r="AC132" s="196" t="str">
        <f>IF(AC131="","", IF(AC131&lt;89%,"OVER STANDART",IF(AC131=89%,"GOOD","UNDER STANDART")))</f>
        <v/>
      </c>
      <c r="AD132" s="197"/>
      <c r="AE132" s="196" t="str">
        <f>IF(AE131="","", IF(AE131&lt;89%,"OVER STANDART",IF(AE131=89%,"GOOD","UNDER STANDART")))</f>
        <v/>
      </c>
      <c r="AF132" s="197"/>
      <c r="AG132" s="196" t="str">
        <f>IF(AG131="","", IF(AG131&lt;89%,"OVER STANDART",IF(AG131=89%,"GOOD","UNDER STANDART")))</f>
        <v/>
      </c>
      <c r="AH132" s="197"/>
      <c r="AI132" s="196" t="str">
        <f>IF(AI131="","", IF(AI131&lt;89%,"OVER STANDART",IF(AI131=89%,"GOOD","UNDER STANDART")))</f>
        <v/>
      </c>
      <c r="AJ132" s="197"/>
      <c r="AK132" s="196" t="str">
        <f>IF(AK131="","", IF(AK131&lt;89%,"OVER STANDART",IF(AK131=89%,"GOOD","UNDER STANDART")))</f>
        <v/>
      </c>
      <c r="AL132" s="197"/>
      <c r="AM132" s="196" t="str">
        <f>IF(AM131="","", IF(AM131&lt;89%,"OVER STANDART",IF(AM131=89%,"GOOD","UNDER STANDART")))</f>
        <v/>
      </c>
      <c r="AN132" s="197"/>
      <c r="AO132" s="196" t="str">
        <f>IF(AO131="","", IF(AO131&lt;89%,"OVER STANDART",IF(AO131=89%,"GOOD","UNDER STANDART")))</f>
        <v/>
      </c>
      <c r="AP132" s="197"/>
      <c r="AQ132" s="196" t="str">
        <f>IF(AQ131="","", IF(AQ131&lt;89%,"OVER STANDART",IF(AQ131=89%,"GOOD","UNDER STANDART")))</f>
        <v/>
      </c>
      <c r="AR132" s="197"/>
      <c r="AS132" s="196" t="str">
        <f>IF(AS131="","", IF(AS131&lt;89%,"OVER STANDART",IF(AS131=89%,"GOOD","UNDER STANDART")))</f>
        <v/>
      </c>
      <c r="AT132" s="197"/>
      <c r="AU132" s="196" t="str">
        <f>IF(AU131="","", IF(AU131&lt;89%,"OVER STANDART",IF(AU131=89%,"GOOD","UNDER STANDART")))</f>
        <v/>
      </c>
      <c r="AV132" s="197"/>
      <c r="AW132" s="196" t="str">
        <f>IF(AW131="","", IF(AW131&lt;89%,"OVER STANDART",IF(AW131=89%,"GOOD","UNDER STANDART")))</f>
        <v/>
      </c>
      <c r="AX132" s="197"/>
      <c r="AY132" s="196" t="str">
        <f>IF(AY131="","", IF(AY131&lt;89%,"OVER STANDART",IF(AY131=89%,"GOOD","UNDER STANDART")))</f>
        <v/>
      </c>
      <c r="AZ132" s="197"/>
      <c r="BA132" s="196" t="str">
        <f>IF(BA131="","", IF(BA131&lt;89%,"OVER STANDART",IF(BA131=89%,"GOOD","UNDER STANDART")))</f>
        <v/>
      </c>
      <c r="BB132" s="197"/>
      <c r="BC132" s="196" t="str">
        <f>IF(BC131="","", IF(BC131&lt;89%,"OVER STANDART",IF(BC131=89%,"GOOD","UNDER STANDART")))</f>
        <v/>
      </c>
      <c r="BD132" s="197"/>
      <c r="BE132" s="196" t="str">
        <f>IF(BE131="","", IF(BE131&lt;89%,"OVER STANDART",IF(BE131=89%,"GOOD","UNDER STANDART")))</f>
        <v/>
      </c>
      <c r="BF132" s="197"/>
      <c r="BG132" s="196" t="str">
        <f>IF(BG131="","", IF(BG131&lt;89%,"OVER STANDART",IF(BG131=89%,"GOOD","UNDER STANDART")))</f>
        <v/>
      </c>
      <c r="BH132" s="197"/>
      <c r="BI132" s="196" t="str">
        <f>IF(BI131="","", IF(BI131&lt;89%,"OVER STANDART",IF(BI131=89%,"GOOD","UNDER STANDART")))</f>
        <v/>
      </c>
      <c r="BJ132" s="197"/>
      <c r="BK132" s="196" t="str">
        <f>IF(BK131="","", IF(BK131&lt;89%,"OVER STANDART",IF(BK131=89%,"GOOD","UNDER STANDART")))</f>
        <v/>
      </c>
      <c r="BL132" s="197"/>
      <c r="BM132" s="196" t="str">
        <f>IF(BM131="","", IF(BM131&lt;89%,"OVER STANDART",IF(BM131=89%,"GOOD","UNDER STANDART")))</f>
        <v/>
      </c>
      <c r="BN132" s="197"/>
      <c r="BO132" s="196" t="str">
        <f>IF(BO131="","", IF(BO131&lt;89%,"OVER STANDART",IF(BO131=89%,"GOOD","UNDER STANDART")))</f>
        <v/>
      </c>
      <c r="BP132" s="197"/>
      <c r="BQ132" s="196" t="str">
        <f>IF(BQ131="","", IF(BQ131&lt;89%,"OVER STANDART",IF(BQ131=89%,"GOOD","UNDER STANDART")))</f>
        <v/>
      </c>
      <c r="BR132" s="197"/>
      <c r="BS132" s="196" t="str">
        <f>IF(BS131="","", IF(BS131&lt;89%,"OVER STANDART",IF(BS131=89%,"GOOD","UNDER STANDART")))</f>
        <v/>
      </c>
      <c r="BT132" s="197"/>
      <c r="BU132" s="24" t="e">
        <f>IF(BU131="","", IF(BU131&lt;89%,"OVER STANDART",IF(BU131=89%,"GOOD","UNDER STANDART")))</f>
        <v>#VALUE!</v>
      </c>
      <c r="BV132" s="23"/>
      <c r="BW132" s="25"/>
      <c r="BX132" s="3"/>
      <c r="BY132" s="3"/>
      <c r="BZ132" s="3"/>
    </row>
    <row r="133" spans="1:78" ht="14.5" x14ac:dyDescent="0.3">
      <c r="A133" s="198">
        <f>A128+1</f>
        <v>27</v>
      </c>
      <c r="B133" s="7" t="s">
        <v>278</v>
      </c>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9" t="str">
        <f>IF(SUMIF($C$2:$BT$2,"FRESH",C133:BT133)=0,"",SUMIF($C$2:$BT$2,"FRESH",C133:BT133))</f>
        <v/>
      </c>
      <c r="BV133" s="10" t="str">
        <f>IF(SUMIF($C$2:$BT$2,"GILING",C133:BT133)=0,"",SUMIF($C$2:$BT$2,"GILING",C133:BT133))</f>
        <v/>
      </c>
      <c r="BW133" s="11"/>
      <c r="BX133" s="3"/>
      <c r="BY133" s="3"/>
      <c r="BZ133" s="3"/>
    </row>
    <row r="134" spans="1:78" x14ac:dyDescent="0.3">
      <c r="A134" s="199"/>
      <c r="B134" s="12" t="s">
        <v>279</v>
      </c>
      <c r="C134" s="188">
        <f>IF(AND(C133="",D133=""),0,C133-D133)</f>
        <v>0</v>
      </c>
      <c r="D134" s="189"/>
      <c r="E134" s="188">
        <f>IF(AND(E133="",F133=""),0,E133-F133)</f>
        <v>0</v>
      </c>
      <c r="F134" s="189"/>
      <c r="G134" s="188">
        <f>IF(AND(G133="",H133=""),0,G133-H133)</f>
        <v>0</v>
      </c>
      <c r="H134" s="189"/>
      <c r="I134" s="188">
        <f>IF(AND(I133="",J133=""),0,I133-J133)</f>
        <v>0</v>
      </c>
      <c r="J134" s="189"/>
      <c r="K134" s="188">
        <f>IF(AND(K133="",L133=""),0,K133-L133)</f>
        <v>0</v>
      </c>
      <c r="L134" s="189"/>
      <c r="M134" s="188">
        <f>IF(AND(M133="",N133=""),0,M133-N133)</f>
        <v>0</v>
      </c>
      <c r="N134" s="189"/>
      <c r="O134" s="188">
        <f>IF(AND(O133="",P133=""),0,O133-P133)</f>
        <v>0</v>
      </c>
      <c r="P134" s="189"/>
      <c r="Q134" s="188">
        <f>IF(AND(Q133="",R133=""),0,Q133-R133)</f>
        <v>0</v>
      </c>
      <c r="R134" s="189"/>
      <c r="S134" s="188">
        <f>IF(AND(S133="",T133=""),0,S133-T133)</f>
        <v>0</v>
      </c>
      <c r="T134" s="189"/>
      <c r="U134" s="188">
        <f>IF(AND(U133="",V133=""),0,U133-V133)</f>
        <v>0</v>
      </c>
      <c r="V134" s="189"/>
      <c r="W134" s="188">
        <f>IF(AND(W133="",X133=""),0,W133-X133)</f>
        <v>0</v>
      </c>
      <c r="X134" s="189"/>
      <c r="Y134" s="188">
        <f>IF(AND(Y133="",Z133=""),0,Y133-Z133)</f>
        <v>0</v>
      </c>
      <c r="Z134" s="189"/>
      <c r="AA134" s="188">
        <f>IF(AND(AA133="",AB133=""),0,AA133-AB133)</f>
        <v>0</v>
      </c>
      <c r="AB134" s="189"/>
      <c r="AC134" s="188">
        <f>IF(AND(AC133="",AD133=""),0,AC133-AD133)</f>
        <v>0</v>
      </c>
      <c r="AD134" s="189"/>
      <c r="AE134" s="188">
        <f>IF(AND(AE133="",AF133=""),0,AE133-AF133)</f>
        <v>0</v>
      </c>
      <c r="AF134" s="189"/>
      <c r="AG134" s="188">
        <f>IF(AND(AG133="",AH133=""),0,AG133-AH133)</f>
        <v>0</v>
      </c>
      <c r="AH134" s="189"/>
      <c r="AI134" s="188">
        <f>IF(AND(AI133="",AJ133=""),0,AI133-AJ133)</f>
        <v>0</v>
      </c>
      <c r="AJ134" s="189"/>
      <c r="AK134" s="188">
        <f>IF(AND(AK133="",AL133=""),0,AK133-AL133)</f>
        <v>0</v>
      </c>
      <c r="AL134" s="189"/>
      <c r="AM134" s="188">
        <f>IF(AND(AM133="",AN133=""),0,AM133-AN133)</f>
        <v>0</v>
      </c>
      <c r="AN134" s="189"/>
      <c r="AO134" s="188">
        <f>IF(AND(AO133="",AP133=""),0,AO133-AP133)</f>
        <v>0</v>
      </c>
      <c r="AP134" s="189"/>
      <c r="AQ134" s="188">
        <f>IF(AND(AQ133="",AR133=""),0,AQ133-AR133)</f>
        <v>0</v>
      </c>
      <c r="AR134" s="189"/>
      <c r="AS134" s="188">
        <f>IF(AND(AS133="",AT133=""),0,AS133-AT133)</f>
        <v>0</v>
      </c>
      <c r="AT134" s="189"/>
      <c r="AU134" s="188">
        <f>IF(AND(AU133="",AV133=""),0,AU133-AV133)</f>
        <v>0</v>
      </c>
      <c r="AV134" s="189"/>
      <c r="AW134" s="188">
        <f>IF(AND(AW133="",AX133=""),0,AW133-AX133)</f>
        <v>0</v>
      </c>
      <c r="AX134" s="189"/>
      <c r="AY134" s="188">
        <f>IF(AND(AY133="",AZ133=""),0,AY133-AZ133)</f>
        <v>0</v>
      </c>
      <c r="AZ134" s="189"/>
      <c r="BA134" s="188">
        <f>IF(AND(BA133="",BB133=""),0,BA133-BB133)</f>
        <v>0</v>
      </c>
      <c r="BB134" s="189"/>
      <c r="BC134" s="188">
        <f>IF(AND(BC133="",BD133=""),0,BC133-BD133)</f>
        <v>0</v>
      </c>
      <c r="BD134" s="189"/>
      <c r="BE134" s="188">
        <f>IF(AND(BE133="",BF133=""),0,BE133-BF133)</f>
        <v>0</v>
      </c>
      <c r="BF134" s="189"/>
      <c r="BG134" s="188">
        <f>IF(AND(BG133="",BH133=""),0,BG133-BH133)</f>
        <v>0</v>
      </c>
      <c r="BH134" s="189"/>
      <c r="BI134" s="188">
        <f>IF(AND(BI133="",BJ133=""),0,BI133-BJ133)</f>
        <v>0</v>
      </c>
      <c r="BJ134" s="189"/>
      <c r="BK134" s="188">
        <f>IF(AND(BK133="",BL133=""),0,BK133-BL133)</f>
        <v>0</v>
      </c>
      <c r="BL134" s="189"/>
      <c r="BM134" s="188">
        <f>IF(AND(BM133="",BN133=""),0,BM133-BN133)</f>
        <v>0</v>
      </c>
      <c r="BN134" s="189"/>
      <c r="BO134" s="188">
        <f>IF(AND(BO133="",BP133=""),0,BO133-BP133)</f>
        <v>0</v>
      </c>
      <c r="BP134" s="189"/>
      <c r="BQ134" s="188">
        <f>IF(AND(BQ133="",BR133=""),0,BQ133-BR133)</f>
        <v>0</v>
      </c>
      <c r="BR134" s="189"/>
      <c r="BS134" s="188">
        <f>IF(AND(BS133="",BT133=""),0,BS133-BT133)</f>
        <v>0</v>
      </c>
      <c r="BT134" s="189"/>
      <c r="BU134" s="14" t="str">
        <f>IF(AND(BU133="",BV133=""),"",BU133-BV133)</f>
        <v/>
      </c>
      <c r="BV134" s="13"/>
      <c r="BW134" s="16" t="str">
        <f>IF(COUNTIF(D134:BT134,"&gt;0")=0,"",COUNTIF(D134:BT134,"&gt;0"))</f>
        <v/>
      </c>
      <c r="BX134" s="3"/>
      <c r="BY134" s="3"/>
      <c r="BZ134" s="3"/>
    </row>
    <row r="135" spans="1:78" ht="14.5" x14ac:dyDescent="0.3">
      <c r="A135" s="199"/>
      <c r="B135" s="12" t="s">
        <v>280</v>
      </c>
      <c r="C135" s="186">
        <f>IF(C134="",0,(D133/89%)-(C133))</f>
        <v>0</v>
      </c>
      <c r="D135" s="187"/>
      <c r="E135" s="186">
        <f>IF(E134="",0,(F133/89%)-(E133))</f>
        <v>0</v>
      </c>
      <c r="F135" s="187"/>
      <c r="G135" s="186">
        <f>IF(G134="",0,(H133/89%)-(G133))</f>
        <v>0</v>
      </c>
      <c r="H135" s="187"/>
      <c r="I135" s="186">
        <f>IF(I134="",0,(J133/89%)-(I133))</f>
        <v>0</v>
      </c>
      <c r="J135" s="187"/>
      <c r="K135" s="186">
        <f>IF(K134="",0,(L133/89%)-(K133))</f>
        <v>0</v>
      </c>
      <c r="L135" s="187"/>
      <c r="M135" s="186">
        <f>IF(M134="",0,(N133/89%)-(M133))</f>
        <v>0</v>
      </c>
      <c r="N135" s="187"/>
      <c r="O135" s="186">
        <f>IF(O134="",0,(P133/89%)-(O133))</f>
        <v>0</v>
      </c>
      <c r="P135" s="187"/>
      <c r="Q135" s="186">
        <f>IF(Q134="",0,(R133/89%)-(Q133))</f>
        <v>0</v>
      </c>
      <c r="R135" s="187"/>
      <c r="S135" s="186">
        <f>IF(S134="",0,(T133/89%)-(S133))</f>
        <v>0</v>
      </c>
      <c r="T135" s="187"/>
      <c r="U135" s="186">
        <f>IF(U134="",0,(V133/89%)-(U133))</f>
        <v>0</v>
      </c>
      <c r="V135" s="187"/>
      <c r="W135" s="186">
        <f>IF(W134="",0,(X133/89%)-(W133))</f>
        <v>0</v>
      </c>
      <c r="X135" s="187"/>
      <c r="Y135" s="186">
        <f>IF(Y134="",0,(Z133/89%)-(Y133))</f>
        <v>0</v>
      </c>
      <c r="Z135" s="187"/>
      <c r="AA135" s="186">
        <f>IF(AA134="",0,(AB133/89%)-(AA133))</f>
        <v>0</v>
      </c>
      <c r="AB135" s="187"/>
      <c r="AC135" s="186">
        <f>IF(AC134="",0,(AD133/89%)-(AC133))</f>
        <v>0</v>
      </c>
      <c r="AD135" s="187"/>
      <c r="AE135" s="186">
        <f>IF(AE134="",0,(AF133/89%)-(AE133))</f>
        <v>0</v>
      </c>
      <c r="AF135" s="187"/>
      <c r="AG135" s="186">
        <f>IF(AG134="",0,(AH133/89%)-(AG133))</f>
        <v>0</v>
      </c>
      <c r="AH135" s="187"/>
      <c r="AI135" s="186">
        <f>IF(AI134="",0,(AJ133/89%)-(AI133))</f>
        <v>0</v>
      </c>
      <c r="AJ135" s="187"/>
      <c r="AK135" s="186">
        <f>IF(AK134="",0,(AL133/89%)-(AK133))</f>
        <v>0</v>
      </c>
      <c r="AL135" s="187"/>
      <c r="AM135" s="186">
        <f>IF(AM134="",0,(AN133/89%)-(AM133))</f>
        <v>0</v>
      </c>
      <c r="AN135" s="187"/>
      <c r="AO135" s="186">
        <f>IF(AO134="",0,(AP133/89%)-(AO133))</f>
        <v>0</v>
      </c>
      <c r="AP135" s="187"/>
      <c r="AQ135" s="186">
        <f>IF(AQ134="",0,(AR133/89%)-(AQ133))</f>
        <v>0</v>
      </c>
      <c r="AR135" s="187"/>
      <c r="AS135" s="186">
        <f>IF(AS134="",0,(AT133/89%)-(AS133))</f>
        <v>0</v>
      </c>
      <c r="AT135" s="187"/>
      <c r="AU135" s="186">
        <f>IF(AU134="",0,(AV133/89%)-(AU133))</f>
        <v>0</v>
      </c>
      <c r="AV135" s="187"/>
      <c r="AW135" s="186">
        <f>IF(AW134="",0,(AX133/89%)-(AW133))</f>
        <v>0</v>
      </c>
      <c r="AX135" s="187"/>
      <c r="AY135" s="186">
        <f>IF(AY134="",0,(AZ133/89%)-(AY133))</f>
        <v>0</v>
      </c>
      <c r="AZ135" s="187"/>
      <c r="BA135" s="186">
        <f>IF(BA134="",0,(BB133/89%)-(BA133))</f>
        <v>0</v>
      </c>
      <c r="BB135" s="187"/>
      <c r="BC135" s="186">
        <f>IF(BC134="",0,(BD133/89%)-(BC133))</f>
        <v>0</v>
      </c>
      <c r="BD135" s="187"/>
      <c r="BE135" s="186">
        <f>IF(BE134="",0,(BF133/89%)-(BE133))</f>
        <v>0</v>
      </c>
      <c r="BF135" s="187"/>
      <c r="BG135" s="186">
        <f>IF(BG134="",0,(BH133/89%)-(BG133))</f>
        <v>0</v>
      </c>
      <c r="BH135" s="187"/>
      <c r="BI135" s="186">
        <f>IF(BI134="",0,(BJ133/89%)-(BI133))</f>
        <v>0</v>
      </c>
      <c r="BJ135" s="187"/>
      <c r="BK135" s="186">
        <f>IF(BK134="",0,(BL133/89%)-(BK133))</f>
        <v>0</v>
      </c>
      <c r="BL135" s="187"/>
      <c r="BM135" s="186">
        <f>IF(BM134="",0,(BN133/89%)-(BM133))</f>
        <v>0</v>
      </c>
      <c r="BN135" s="187"/>
      <c r="BO135" s="186">
        <f>IF(BO134="",0,(BP133/89%)-(BO133))</f>
        <v>0</v>
      </c>
      <c r="BP135" s="187"/>
      <c r="BQ135" s="186">
        <f>IF(BQ134="",0,(BR133/89%)-(BQ133))</f>
        <v>0</v>
      </c>
      <c r="BR135" s="187"/>
      <c r="BS135" s="186">
        <f>IF(BS134="",0,(BT133/89%)-(BS133))</f>
        <v>0</v>
      </c>
      <c r="BT135" s="187"/>
      <c r="BU135" s="17" t="str">
        <f>IF(BU134="","",(BV133/89%)-(BU133))</f>
        <v/>
      </c>
      <c r="BV135" s="13"/>
      <c r="BW135" s="18" t="str">
        <f>IF(AND(BU133="",BV133=""),"",(BU133-BV133)-BU134)</f>
        <v/>
      </c>
      <c r="BX135" s="3"/>
      <c r="BY135" s="3"/>
      <c r="BZ135" s="3"/>
    </row>
    <row r="136" spans="1:78" ht="14.5" x14ac:dyDescent="0.3">
      <c r="A136" s="199"/>
      <c r="B136" s="19" t="s">
        <v>281</v>
      </c>
      <c r="C136" s="194" t="str">
        <f>IF(C134=0,"",ABS(IFERROR((C134/C133),0)-1))</f>
        <v/>
      </c>
      <c r="D136" s="195"/>
      <c r="E136" s="194" t="str">
        <f>IF(E134=0,"",ABS(IFERROR((E134/E133),0)-1))</f>
        <v/>
      </c>
      <c r="F136" s="195"/>
      <c r="G136" s="194" t="str">
        <f>IF(G134=0,"",ABS(IFERROR((G134/G133),0)-1))</f>
        <v/>
      </c>
      <c r="H136" s="195"/>
      <c r="I136" s="194" t="str">
        <f>IF(I134=0,"",ABS(IFERROR((I134/I133),0)-1))</f>
        <v/>
      </c>
      <c r="J136" s="195"/>
      <c r="K136" s="194" t="str">
        <f>IF(K134=0,"",ABS(IFERROR((K134/K133),0)-1))</f>
        <v/>
      </c>
      <c r="L136" s="195"/>
      <c r="M136" s="194" t="str">
        <f>IF(M134=0,"",ABS(IFERROR((M134/M133),0)-1))</f>
        <v/>
      </c>
      <c r="N136" s="195"/>
      <c r="O136" s="194" t="str">
        <f>IF(O134=0,"",ABS(IFERROR((O134/O133),0)-1))</f>
        <v/>
      </c>
      <c r="P136" s="195"/>
      <c r="Q136" s="194" t="str">
        <f>IF(Q134=0,"",ABS(IFERROR((Q134/Q133),0)-1))</f>
        <v/>
      </c>
      <c r="R136" s="195"/>
      <c r="S136" s="194" t="str">
        <f>IF(S134=0,"",ABS(IFERROR((S134/S133),0)-1))</f>
        <v/>
      </c>
      <c r="T136" s="195"/>
      <c r="U136" s="194" t="str">
        <f>IF(U134=0,"",ABS(IFERROR((U134/U133),0)-1))</f>
        <v/>
      </c>
      <c r="V136" s="195"/>
      <c r="W136" s="194" t="str">
        <f>IF(W134=0,"",ABS(IFERROR((W134/W133),0)-1))</f>
        <v/>
      </c>
      <c r="X136" s="195"/>
      <c r="Y136" s="194" t="str">
        <f>IF(Y134=0,"",ABS(IFERROR((Y134/Y133),0)-1))</f>
        <v/>
      </c>
      <c r="Z136" s="195"/>
      <c r="AA136" s="194" t="str">
        <f>IF(AA134=0,"",ABS(IFERROR((AA134/AA133),0)-1))</f>
        <v/>
      </c>
      <c r="AB136" s="195"/>
      <c r="AC136" s="194" t="str">
        <f>IF(AC134=0,"",ABS(IFERROR((AC134/AC133),0)-1))</f>
        <v/>
      </c>
      <c r="AD136" s="195"/>
      <c r="AE136" s="194" t="str">
        <f>IF(AE134=0,"",ABS(IFERROR((AE134/AE133),0)-1))</f>
        <v/>
      </c>
      <c r="AF136" s="195"/>
      <c r="AG136" s="194" t="str">
        <f>IF(AG134=0,"",ABS(IFERROR((AG134/AG133),0)-1))</f>
        <v/>
      </c>
      <c r="AH136" s="195"/>
      <c r="AI136" s="194" t="str">
        <f>IF(AI134=0,"",ABS(IFERROR((AI134/AI133),0)-1))</f>
        <v/>
      </c>
      <c r="AJ136" s="195"/>
      <c r="AK136" s="194" t="str">
        <f>IF(AK134=0,"",ABS(IFERROR((AK134/AK133),0)-1))</f>
        <v/>
      </c>
      <c r="AL136" s="195"/>
      <c r="AM136" s="194" t="str">
        <f>IF(AM134=0,"",ABS(IFERROR((AM134/AM133),0)-1))</f>
        <v/>
      </c>
      <c r="AN136" s="195"/>
      <c r="AO136" s="194" t="str">
        <f>IF(AO134=0,"",ABS(IFERROR((AO134/AO133),0)-1))</f>
        <v/>
      </c>
      <c r="AP136" s="195"/>
      <c r="AQ136" s="194" t="str">
        <f>IF(AQ134=0,"",ABS(IFERROR((AQ134/AQ133),0)-1))</f>
        <v/>
      </c>
      <c r="AR136" s="195"/>
      <c r="AS136" s="194" t="str">
        <f>IF(AS134=0,"",ABS(IFERROR((AS134/AS133),0)-1))</f>
        <v/>
      </c>
      <c r="AT136" s="195"/>
      <c r="AU136" s="194" t="str">
        <f>IF(AU134=0,"",ABS(IFERROR((AU134/AU133),0)-1))</f>
        <v/>
      </c>
      <c r="AV136" s="195"/>
      <c r="AW136" s="194" t="str">
        <f>IF(AW134=0,"",ABS(IFERROR((AW134/AW133),0)-1))</f>
        <v/>
      </c>
      <c r="AX136" s="195"/>
      <c r="AY136" s="194" t="str">
        <f>IF(AY134=0,"",ABS(IFERROR((AY134/AY133),0)-1))</f>
        <v/>
      </c>
      <c r="AZ136" s="195"/>
      <c r="BA136" s="194" t="str">
        <f>IF(BA134=0,"",ABS(IFERROR((BA134/BA133),0)-1))</f>
        <v/>
      </c>
      <c r="BB136" s="195"/>
      <c r="BC136" s="194" t="str">
        <f>IF(BC134=0,"",ABS(IFERROR((BC134/BC133),0)-1))</f>
        <v/>
      </c>
      <c r="BD136" s="195"/>
      <c r="BE136" s="194" t="str">
        <f>IF(BE134=0,"",ABS(IFERROR((BE134/BE133),0)-1))</f>
        <v/>
      </c>
      <c r="BF136" s="195"/>
      <c r="BG136" s="194" t="str">
        <f>IF(BG134=0,"",ABS(IFERROR((BG134/BG133),0)-1))</f>
        <v/>
      </c>
      <c r="BH136" s="195"/>
      <c r="BI136" s="194" t="str">
        <f>IF(BI134=0,"",ABS(IFERROR((BI134/BI133),0)-1))</f>
        <v/>
      </c>
      <c r="BJ136" s="195"/>
      <c r="BK136" s="194" t="str">
        <f>IF(BK134=0,"",ABS(IFERROR((BK134/BK133),0)-1))</f>
        <v/>
      </c>
      <c r="BL136" s="195"/>
      <c r="BM136" s="194" t="str">
        <f>IF(BM134=0,"",ABS(IFERROR((BM134/BM133),0)-1))</f>
        <v/>
      </c>
      <c r="BN136" s="195"/>
      <c r="BO136" s="194" t="str">
        <f>IF(BO134=0,"",ABS(IFERROR((BO134/BO133),0)-1))</f>
        <v/>
      </c>
      <c r="BP136" s="195"/>
      <c r="BQ136" s="194" t="str">
        <f>IF(BQ134=0,"",ABS(IFERROR((BQ134/BQ133),0)-1))</f>
        <v/>
      </c>
      <c r="BR136" s="195"/>
      <c r="BS136" s="194" t="str">
        <f>IF(BS134=0,"",ABS(IFERROR((BS134/BS133),0)-1))</f>
        <v/>
      </c>
      <c r="BT136" s="195"/>
      <c r="BU136" s="26" t="e">
        <f>ABS(IFERROR((BU134/BU133),"")-1)</f>
        <v>#VALUE!</v>
      </c>
      <c r="BV136" s="15"/>
      <c r="BW136" s="21"/>
      <c r="BX136" s="3"/>
      <c r="BY136" s="3"/>
      <c r="BZ136" s="3"/>
    </row>
    <row r="137" spans="1:78" ht="15" thickBot="1" x14ac:dyDescent="0.35">
      <c r="A137" s="181"/>
      <c r="B137" s="22" t="s">
        <v>177</v>
      </c>
      <c r="C137" s="196" t="str">
        <f>IF(C136="","", IF(C136&lt;89%,"OVER STANDART",IF(C136=89%,"GOOD","UNDER STANDART")))</f>
        <v/>
      </c>
      <c r="D137" s="197"/>
      <c r="E137" s="196" t="str">
        <f>IF(E136="","", IF(E136&lt;89%,"OVER STANDART",IF(E136=89%,"GOOD","UNDER STANDART")))</f>
        <v/>
      </c>
      <c r="F137" s="197"/>
      <c r="G137" s="196" t="str">
        <f>IF(G136="","", IF(G136&lt;89%,"OVER STANDART",IF(G136=89%,"GOOD","UNDER STANDART")))</f>
        <v/>
      </c>
      <c r="H137" s="197"/>
      <c r="I137" s="196" t="str">
        <f>IF(I136="","", IF(I136&lt;89%,"OVER STANDART",IF(I136=89%,"GOOD","UNDER STANDART")))</f>
        <v/>
      </c>
      <c r="J137" s="197"/>
      <c r="K137" s="196" t="str">
        <f>IF(K136="","", IF(K136&lt;89%,"OVER STANDART",IF(K136=89%,"GOOD","UNDER STANDART")))</f>
        <v/>
      </c>
      <c r="L137" s="197"/>
      <c r="M137" s="196" t="str">
        <f>IF(M136="","", IF(M136&lt;89%,"OVER STANDART",IF(M136=89%,"GOOD","UNDER STANDART")))</f>
        <v/>
      </c>
      <c r="N137" s="197"/>
      <c r="O137" s="196" t="str">
        <f>IF(O136="","", IF(O136&lt;89%,"OVER STANDART",IF(O136=89%,"GOOD","UNDER STANDART")))</f>
        <v/>
      </c>
      <c r="P137" s="197"/>
      <c r="Q137" s="196" t="str">
        <f>IF(Q136="","", IF(Q136&lt;89%,"OVER STANDART",IF(Q136=89%,"GOOD","UNDER STANDART")))</f>
        <v/>
      </c>
      <c r="R137" s="197"/>
      <c r="S137" s="196" t="str">
        <f>IF(S136="","", IF(S136&lt;89%,"OVER STANDART",IF(S136=89%,"GOOD","UNDER STANDART")))</f>
        <v/>
      </c>
      <c r="T137" s="197"/>
      <c r="U137" s="196" t="str">
        <f>IF(U136="","", IF(U136&lt;89%,"OVER STANDART",IF(U136=89%,"GOOD","UNDER STANDART")))</f>
        <v/>
      </c>
      <c r="V137" s="197"/>
      <c r="W137" s="196" t="str">
        <f>IF(W136="","", IF(W136&lt;89%,"OVER STANDART",IF(W136=89%,"GOOD","UNDER STANDART")))</f>
        <v/>
      </c>
      <c r="X137" s="197"/>
      <c r="Y137" s="196" t="str">
        <f>IF(Y136="","", IF(Y136&lt;89%,"OVER STANDART",IF(Y136=89%,"GOOD","UNDER STANDART")))</f>
        <v/>
      </c>
      <c r="Z137" s="197"/>
      <c r="AA137" s="196" t="str">
        <f>IF(AA136="","", IF(AA136&lt;89%,"OVER STANDART",IF(AA136=89%,"GOOD","UNDER STANDART")))</f>
        <v/>
      </c>
      <c r="AB137" s="197"/>
      <c r="AC137" s="196" t="str">
        <f>IF(AC136="","", IF(AC136&lt;89%,"OVER STANDART",IF(AC136=89%,"GOOD","UNDER STANDART")))</f>
        <v/>
      </c>
      <c r="AD137" s="197"/>
      <c r="AE137" s="196" t="str">
        <f>IF(AE136="","", IF(AE136&lt;89%,"OVER STANDART",IF(AE136=89%,"GOOD","UNDER STANDART")))</f>
        <v/>
      </c>
      <c r="AF137" s="197"/>
      <c r="AG137" s="196" t="str">
        <f>IF(AG136="","", IF(AG136&lt;89%,"OVER STANDART",IF(AG136=89%,"GOOD","UNDER STANDART")))</f>
        <v/>
      </c>
      <c r="AH137" s="197"/>
      <c r="AI137" s="196" t="str">
        <f>IF(AI136="","", IF(AI136&lt;89%,"OVER STANDART",IF(AI136=89%,"GOOD","UNDER STANDART")))</f>
        <v/>
      </c>
      <c r="AJ137" s="197"/>
      <c r="AK137" s="196" t="str">
        <f>IF(AK136="","", IF(AK136&lt;89%,"OVER STANDART",IF(AK136=89%,"GOOD","UNDER STANDART")))</f>
        <v/>
      </c>
      <c r="AL137" s="197"/>
      <c r="AM137" s="196" t="str">
        <f>IF(AM136="","", IF(AM136&lt;89%,"OVER STANDART",IF(AM136=89%,"GOOD","UNDER STANDART")))</f>
        <v/>
      </c>
      <c r="AN137" s="197"/>
      <c r="AO137" s="196" t="str">
        <f>IF(AO136="","", IF(AO136&lt;89%,"OVER STANDART",IF(AO136=89%,"GOOD","UNDER STANDART")))</f>
        <v/>
      </c>
      <c r="AP137" s="197"/>
      <c r="AQ137" s="196" t="str">
        <f>IF(AQ136="","", IF(AQ136&lt;89%,"OVER STANDART",IF(AQ136=89%,"GOOD","UNDER STANDART")))</f>
        <v/>
      </c>
      <c r="AR137" s="197"/>
      <c r="AS137" s="196" t="str">
        <f>IF(AS136="","", IF(AS136&lt;89%,"OVER STANDART",IF(AS136=89%,"GOOD","UNDER STANDART")))</f>
        <v/>
      </c>
      <c r="AT137" s="197"/>
      <c r="AU137" s="196" t="str">
        <f>IF(AU136="","", IF(AU136&lt;89%,"OVER STANDART",IF(AU136=89%,"GOOD","UNDER STANDART")))</f>
        <v/>
      </c>
      <c r="AV137" s="197"/>
      <c r="AW137" s="196" t="str">
        <f>IF(AW136="","", IF(AW136&lt;89%,"OVER STANDART",IF(AW136=89%,"GOOD","UNDER STANDART")))</f>
        <v/>
      </c>
      <c r="AX137" s="197"/>
      <c r="AY137" s="196" t="str">
        <f>IF(AY136="","", IF(AY136&lt;89%,"OVER STANDART",IF(AY136=89%,"GOOD","UNDER STANDART")))</f>
        <v/>
      </c>
      <c r="AZ137" s="197"/>
      <c r="BA137" s="196" t="str">
        <f>IF(BA136="","", IF(BA136&lt;89%,"OVER STANDART",IF(BA136=89%,"GOOD","UNDER STANDART")))</f>
        <v/>
      </c>
      <c r="BB137" s="197"/>
      <c r="BC137" s="196" t="str">
        <f>IF(BC136="","", IF(BC136&lt;89%,"OVER STANDART",IF(BC136=89%,"GOOD","UNDER STANDART")))</f>
        <v/>
      </c>
      <c r="BD137" s="197"/>
      <c r="BE137" s="196" t="str">
        <f>IF(BE136="","", IF(BE136&lt;89%,"OVER STANDART",IF(BE136=89%,"GOOD","UNDER STANDART")))</f>
        <v/>
      </c>
      <c r="BF137" s="197"/>
      <c r="BG137" s="196" t="str">
        <f>IF(BG136="","", IF(BG136&lt;89%,"OVER STANDART",IF(BG136=89%,"GOOD","UNDER STANDART")))</f>
        <v/>
      </c>
      <c r="BH137" s="197"/>
      <c r="BI137" s="196" t="str">
        <f>IF(BI136="","", IF(BI136&lt;89%,"OVER STANDART",IF(BI136=89%,"GOOD","UNDER STANDART")))</f>
        <v/>
      </c>
      <c r="BJ137" s="197"/>
      <c r="BK137" s="196" t="str">
        <f>IF(BK136="","", IF(BK136&lt;89%,"OVER STANDART",IF(BK136=89%,"GOOD","UNDER STANDART")))</f>
        <v/>
      </c>
      <c r="BL137" s="197"/>
      <c r="BM137" s="196" t="str">
        <f>IF(BM136="","", IF(BM136&lt;89%,"OVER STANDART",IF(BM136=89%,"GOOD","UNDER STANDART")))</f>
        <v/>
      </c>
      <c r="BN137" s="197"/>
      <c r="BO137" s="196" t="str">
        <f>IF(BO136="","", IF(BO136&lt;89%,"OVER STANDART",IF(BO136=89%,"GOOD","UNDER STANDART")))</f>
        <v/>
      </c>
      <c r="BP137" s="197"/>
      <c r="BQ137" s="196" t="str">
        <f>IF(BQ136="","", IF(BQ136&lt;89%,"OVER STANDART",IF(BQ136=89%,"GOOD","UNDER STANDART")))</f>
        <v/>
      </c>
      <c r="BR137" s="197"/>
      <c r="BS137" s="196" t="str">
        <f>IF(BS136="","", IF(BS136&lt;89%,"OVER STANDART",IF(BS136=89%,"GOOD","UNDER STANDART")))</f>
        <v/>
      </c>
      <c r="BT137" s="197"/>
      <c r="BU137" s="24" t="e">
        <f>IF(BU136="","", IF(BU136&lt;89%,"OVER STANDART",IF(BU136=89%,"GOOD","UNDER STANDART")))</f>
        <v>#VALUE!</v>
      </c>
      <c r="BV137" s="23"/>
      <c r="BW137" s="25"/>
      <c r="BX137" s="3"/>
      <c r="BY137" s="3"/>
      <c r="BZ137" s="3"/>
    </row>
    <row r="138" spans="1:78" ht="14.5" x14ac:dyDescent="0.3">
      <c r="A138" s="198">
        <f>A133+1</f>
        <v>28</v>
      </c>
      <c r="B138" s="7" t="s">
        <v>278</v>
      </c>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9" t="str">
        <f>IF(SUMIF($C$2:$BT$2,"FRESH",C138:BT138)=0,"",SUMIF($C$2:$BT$2,"FRESH",C138:BT138))</f>
        <v/>
      </c>
      <c r="BV138" s="10" t="str">
        <f>IF(SUMIF($C$2:$BT$2,"GILING",C138:BT138)=0,"",SUMIF($C$2:$BT$2,"GILING",C138:BT138))</f>
        <v/>
      </c>
      <c r="BW138" s="11"/>
      <c r="BX138" s="3"/>
      <c r="BY138" s="3"/>
      <c r="BZ138" s="3"/>
    </row>
    <row r="139" spans="1:78" x14ac:dyDescent="0.3">
      <c r="A139" s="199"/>
      <c r="B139" s="12" t="s">
        <v>279</v>
      </c>
      <c r="C139" s="188">
        <f>IF(AND(C138="",D138=""),0,C138-D138)</f>
        <v>0</v>
      </c>
      <c r="D139" s="189"/>
      <c r="E139" s="188">
        <f>IF(AND(E138="",F138=""),0,E138-F138)</f>
        <v>0</v>
      </c>
      <c r="F139" s="189"/>
      <c r="G139" s="188">
        <f>IF(AND(G138="",H138=""),0,G138-H138)</f>
        <v>0</v>
      </c>
      <c r="H139" s="189"/>
      <c r="I139" s="188">
        <f>IF(AND(I138="",J138=""),0,I138-J138)</f>
        <v>0</v>
      </c>
      <c r="J139" s="189"/>
      <c r="K139" s="188">
        <f>IF(AND(K138="",L138=""),0,K138-L138)</f>
        <v>0</v>
      </c>
      <c r="L139" s="189"/>
      <c r="M139" s="188">
        <f>IF(AND(M138="",N138=""),0,M138-N138)</f>
        <v>0</v>
      </c>
      <c r="N139" s="189"/>
      <c r="O139" s="188">
        <f>IF(AND(O138="",P138=""),0,O138-P138)</f>
        <v>0</v>
      </c>
      <c r="P139" s="189"/>
      <c r="Q139" s="188">
        <f>IF(AND(Q138="",R138=""),0,Q138-R138)</f>
        <v>0</v>
      </c>
      <c r="R139" s="189"/>
      <c r="S139" s="188">
        <f>IF(AND(S138="",T138=""),0,S138-T138)</f>
        <v>0</v>
      </c>
      <c r="T139" s="189"/>
      <c r="U139" s="188">
        <f>IF(AND(U138="",V138=""),0,U138-V138)</f>
        <v>0</v>
      </c>
      <c r="V139" s="189"/>
      <c r="W139" s="188">
        <f>IF(AND(W138="",X138=""),0,W138-X138)</f>
        <v>0</v>
      </c>
      <c r="X139" s="189"/>
      <c r="Y139" s="188">
        <f>IF(AND(Y138="",Z138=""),0,Y138-Z138)</f>
        <v>0</v>
      </c>
      <c r="Z139" s="189"/>
      <c r="AA139" s="188">
        <f>IF(AND(AA138="",AB138=""),0,AA138-AB138)</f>
        <v>0</v>
      </c>
      <c r="AB139" s="189"/>
      <c r="AC139" s="188">
        <f>IF(AND(AC138="",AD138=""),0,AC138-AD138)</f>
        <v>0</v>
      </c>
      <c r="AD139" s="189"/>
      <c r="AE139" s="188">
        <f>IF(AND(AE138="",AF138=""),0,AE138-AF138)</f>
        <v>0</v>
      </c>
      <c r="AF139" s="189"/>
      <c r="AG139" s="188">
        <f>IF(AND(AG138="",AH138=""),0,AG138-AH138)</f>
        <v>0</v>
      </c>
      <c r="AH139" s="189"/>
      <c r="AI139" s="188">
        <f>IF(AND(AI138="",AJ138=""),0,AI138-AJ138)</f>
        <v>0</v>
      </c>
      <c r="AJ139" s="189"/>
      <c r="AK139" s="188">
        <f>IF(AND(AK138="",AL138=""),0,AK138-AL138)</f>
        <v>0</v>
      </c>
      <c r="AL139" s="189"/>
      <c r="AM139" s="188">
        <f>IF(AND(AM138="",AN138=""),0,AM138-AN138)</f>
        <v>0</v>
      </c>
      <c r="AN139" s="189"/>
      <c r="AO139" s="188">
        <f>IF(AND(AO138="",AP138=""),0,AO138-AP138)</f>
        <v>0</v>
      </c>
      <c r="AP139" s="189"/>
      <c r="AQ139" s="188">
        <f>IF(AND(AQ138="",AR138=""),0,AQ138-AR138)</f>
        <v>0</v>
      </c>
      <c r="AR139" s="189"/>
      <c r="AS139" s="188">
        <f>IF(AND(AS138="",AT138=""),0,AS138-AT138)</f>
        <v>0</v>
      </c>
      <c r="AT139" s="189"/>
      <c r="AU139" s="188">
        <f>IF(AND(AU138="",AV138=""),0,AU138-AV138)</f>
        <v>0</v>
      </c>
      <c r="AV139" s="189"/>
      <c r="AW139" s="188">
        <f>IF(AND(AW138="",AX138=""),0,AW138-AX138)</f>
        <v>0</v>
      </c>
      <c r="AX139" s="189"/>
      <c r="AY139" s="188">
        <f>IF(AND(AY138="",AZ138=""),0,AY138-AZ138)</f>
        <v>0</v>
      </c>
      <c r="AZ139" s="189"/>
      <c r="BA139" s="188">
        <f>IF(AND(BA138="",BB138=""),0,BA138-BB138)</f>
        <v>0</v>
      </c>
      <c r="BB139" s="189"/>
      <c r="BC139" s="188">
        <f>IF(AND(BC138="",BD138=""),0,BC138-BD138)</f>
        <v>0</v>
      </c>
      <c r="BD139" s="189"/>
      <c r="BE139" s="188">
        <f>IF(AND(BE138="",BF138=""),0,BE138-BF138)</f>
        <v>0</v>
      </c>
      <c r="BF139" s="189"/>
      <c r="BG139" s="188">
        <f>IF(AND(BG138="",BH138=""),0,BG138-BH138)</f>
        <v>0</v>
      </c>
      <c r="BH139" s="189"/>
      <c r="BI139" s="188">
        <f>IF(AND(BI138="",BJ138=""),0,BI138-BJ138)</f>
        <v>0</v>
      </c>
      <c r="BJ139" s="189"/>
      <c r="BK139" s="188">
        <f>IF(AND(BK138="",BL138=""),0,BK138-BL138)</f>
        <v>0</v>
      </c>
      <c r="BL139" s="189"/>
      <c r="BM139" s="188">
        <f>IF(AND(BM138="",BN138=""),0,BM138-BN138)</f>
        <v>0</v>
      </c>
      <c r="BN139" s="189"/>
      <c r="BO139" s="188">
        <f>IF(AND(BO138="",BP138=""),0,BO138-BP138)</f>
        <v>0</v>
      </c>
      <c r="BP139" s="189"/>
      <c r="BQ139" s="188">
        <f>IF(AND(BQ138="",BR138=""),0,BQ138-BR138)</f>
        <v>0</v>
      </c>
      <c r="BR139" s="189"/>
      <c r="BS139" s="188">
        <f>IF(AND(BS138="",BT138=""),0,BS138-BT138)</f>
        <v>0</v>
      </c>
      <c r="BT139" s="189"/>
      <c r="BU139" s="14" t="str">
        <f>IF(AND(BU138="",BV138=""),"",BU138-BV138)</f>
        <v/>
      </c>
      <c r="BV139" s="13"/>
      <c r="BW139" s="16" t="str">
        <f>IF(COUNTIF(D139:BT139,"&gt;0")=0,"",COUNTIF(D139:BT139,"&gt;0"))</f>
        <v/>
      </c>
      <c r="BX139" s="3"/>
      <c r="BY139" s="3"/>
      <c r="BZ139" s="3"/>
    </row>
    <row r="140" spans="1:78" ht="14.5" x14ac:dyDescent="0.3">
      <c r="A140" s="199"/>
      <c r="B140" s="12" t="s">
        <v>280</v>
      </c>
      <c r="C140" s="186">
        <f>IF(C139="",0,(D138/89%)-(C138))</f>
        <v>0</v>
      </c>
      <c r="D140" s="187"/>
      <c r="E140" s="186">
        <f>IF(E139="",0,(F138/89%)-(E138))</f>
        <v>0</v>
      </c>
      <c r="F140" s="187"/>
      <c r="G140" s="186">
        <f>IF(G139="",0,(H138/89%)-(G138))</f>
        <v>0</v>
      </c>
      <c r="H140" s="187"/>
      <c r="I140" s="186">
        <f>IF(I139="",0,(J138/89%)-(I138))</f>
        <v>0</v>
      </c>
      <c r="J140" s="187"/>
      <c r="K140" s="186">
        <f>IF(K139="",0,(L138/89%)-(K138))</f>
        <v>0</v>
      </c>
      <c r="L140" s="187"/>
      <c r="M140" s="186">
        <f>IF(M139="",0,(N138/89%)-(M138))</f>
        <v>0</v>
      </c>
      <c r="N140" s="187"/>
      <c r="O140" s="186">
        <f>IF(O139="",0,(P138/89%)-(O138))</f>
        <v>0</v>
      </c>
      <c r="P140" s="187"/>
      <c r="Q140" s="186">
        <f>IF(Q139="",0,(R138/89%)-(Q138))</f>
        <v>0</v>
      </c>
      <c r="R140" s="187"/>
      <c r="S140" s="186">
        <f>IF(S139="",0,(T138/89%)-(S138))</f>
        <v>0</v>
      </c>
      <c r="T140" s="187"/>
      <c r="U140" s="186">
        <f>IF(U139="",0,(V138/89%)-(U138))</f>
        <v>0</v>
      </c>
      <c r="V140" s="187"/>
      <c r="W140" s="186">
        <f>IF(W139="",0,(X138/89%)-(W138))</f>
        <v>0</v>
      </c>
      <c r="X140" s="187"/>
      <c r="Y140" s="186">
        <f>IF(Y139="",0,(Z138/89%)-(Y138))</f>
        <v>0</v>
      </c>
      <c r="Z140" s="187"/>
      <c r="AA140" s="186">
        <f>IF(AA139="",0,(AB138/89%)-(AA138))</f>
        <v>0</v>
      </c>
      <c r="AB140" s="187"/>
      <c r="AC140" s="186">
        <f>IF(AC139="",0,(AD138/89%)-(AC138))</f>
        <v>0</v>
      </c>
      <c r="AD140" s="187"/>
      <c r="AE140" s="186">
        <f>IF(AE139="",0,(AF138/89%)-(AE138))</f>
        <v>0</v>
      </c>
      <c r="AF140" s="187"/>
      <c r="AG140" s="186">
        <f>IF(AG139="",0,(AH138/89%)-(AG138))</f>
        <v>0</v>
      </c>
      <c r="AH140" s="187"/>
      <c r="AI140" s="186">
        <f>IF(AI139="",0,(AJ138/89%)-(AI138))</f>
        <v>0</v>
      </c>
      <c r="AJ140" s="187"/>
      <c r="AK140" s="186">
        <f>IF(AK139="",0,(AL138/89%)-(AK138))</f>
        <v>0</v>
      </c>
      <c r="AL140" s="187"/>
      <c r="AM140" s="186">
        <f>IF(AM139="",0,(AN138/89%)-(AM138))</f>
        <v>0</v>
      </c>
      <c r="AN140" s="187"/>
      <c r="AO140" s="186">
        <f>IF(AO139="",0,(AP138/89%)-(AO138))</f>
        <v>0</v>
      </c>
      <c r="AP140" s="187"/>
      <c r="AQ140" s="186">
        <f>IF(AQ139="",0,(AR138/89%)-(AQ138))</f>
        <v>0</v>
      </c>
      <c r="AR140" s="187"/>
      <c r="AS140" s="186">
        <f>IF(AS139="",0,(AT138/89%)-(AS138))</f>
        <v>0</v>
      </c>
      <c r="AT140" s="187"/>
      <c r="AU140" s="186">
        <f>IF(AU139="",0,(AV138/89%)-(AU138))</f>
        <v>0</v>
      </c>
      <c r="AV140" s="187"/>
      <c r="AW140" s="186">
        <f>IF(AW139="",0,(AX138/89%)-(AW138))</f>
        <v>0</v>
      </c>
      <c r="AX140" s="187"/>
      <c r="AY140" s="186">
        <f>IF(AY139="",0,(AZ138/89%)-(AY138))</f>
        <v>0</v>
      </c>
      <c r="AZ140" s="187"/>
      <c r="BA140" s="186">
        <f>IF(BA139="",0,(BB138/89%)-(BA138))</f>
        <v>0</v>
      </c>
      <c r="BB140" s="187"/>
      <c r="BC140" s="186">
        <f>IF(BC139="",0,(BD138/89%)-(BC138))</f>
        <v>0</v>
      </c>
      <c r="BD140" s="187"/>
      <c r="BE140" s="186">
        <f>IF(BE139="",0,(BF138/89%)-(BE138))</f>
        <v>0</v>
      </c>
      <c r="BF140" s="187"/>
      <c r="BG140" s="186">
        <f>IF(BG139="",0,(BH138/89%)-(BG138))</f>
        <v>0</v>
      </c>
      <c r="BH140" s="187"/>
      <c r="BI140" s="186">
        <f>IF(BI139="",0,(BJ138/89%)-(BI138))</f>
        <v>0</v>
      </c>
      <c r="BJ140" s="187"/>
      <c r="BK140" s="186">
        <f>IF(BK139="",0,(BL138/89%)-(BK138))</f>
        <v>0</v>
      </c>
      <c r="BL140" s="187"/>
      <c r="BM140" s="186">
        <f>IF(BM139="",0,(BN138/89%)-(BM138))</f>
        <v>0</v>
      </c>
      <c r="BN140" s="187"/>
      <c r="BO140" s="186">
        <f>IF(BO139="",0,(BP138/89%)-(BO138))</f>
        <v>0</v>
      </c>
      <c r="BP140" s="187"/>
      <c r="BQ140" s="186">
        <f>IF(BQ139="",0,(BR138/89%)-(BQ138))</f>
        <v>0</v>
      </c>
      <c r="BR140" s="187"/>
      <c r="BS140" s="186">
        <f>IF(BS139="",0,(BT138/89%)-(BS138))</f>
        <v>0</v>
      </c>
      <c r="BT140" s="187"/>
      <c r="BU140" s="17" t="str">
        <f>IF(BU139="","",(BV138/89%)-(BU138))</f>
        <v/>
      </c>
      <c r="BV140" s="13"/>
      <c r="BW140" s="18" t="str">
        <f>IF(AND(BU138="",BV138=""),"",(BU138-BV138)-BU139)</f>
        <v/>
      </c>
      <c r="BX140" s="3"/>
      <c r="BY140" s="3"/>
      <c r="BZ140" s="3"/>
    </row>
    <row r="141" spans="1:78" ht="14.5" x14ac:dyDescent="0.3">
      <c r="A141" s="199"/>
      <c r="B141" s="19" t="s">
        <v>281</v>
      </c>
      <c r="C141" s="194" t="str">
        <f>IF(C139=0,"",ABS(IFERROR((C139/C138),0)-1))</f>
        <v/>
      </c>
      <c r="D141" s="195"/>
      <c r="E141" s="194" t="str">
        <f>IF(E139=0,"",ABS(IFERROR((E139/E138),0)-1))</f>
        <v/>
      </c>
      <c r="F141" s="195"/>
      <c r="G141" s="194" t="str">
        <f>IF(G139=0,"",ABS(IFERROR((G139/G138),0)-1))</f>
        <v/>
      </c>
      <c r="H141" s="195"/>
      <c r="I141" s="194" t="str">
        <f>IF(I139=0,"",ABS(IFERROR((I139/I138),0)-1))</f>
        <v/>
      </c>
      <c r="J141" s="195"/>
      <c r="K141" s="194" t="str">
        <f>IF(K139=0,"",ABS(IFERROR((K139/K138),0)-1))</f>
        <v/>
      </c>
      <c r="L141" s="195"/>
      <c r="M141" s="194" t="str">
        <f>IF(M139=0,"",ABS(IFERROR((M139/M138),0)-1))</f>
        <v/>
      </c>
      <c r="N141" s="195"/>
      <c r="O141" s="194" t="str">
        <f>IF(O139=0,"",ABS(IFERROR((O139/O138),0)-1))</f>
        <v/>
      </c>
      <c r="P141" s="195"/>
      <c r="Q141" s="194" t="str">
        <f>IF(Q139=0,"",ABS(IFERROR((Q139/Q138),0)-1))</f>
        <v/>
      </c>
      <c r="R141" s="195"/>
      <c r="S141" s="194" t="str">
        <f>IF(S139=0,"",ABS(IFERROR((S139/S138),0)-1))</f>
        <v/>
      </c>
      <c r="T141" s="195"/>
      <c r="U141" s="194" t="str">
        <f>IF(U139=0,"",ABS(IFERROR((U139/U138),0)-1))</f>
        <v/>
      </c>
      <c r="V141" s="195"/>
      <c r="W141" s="194" t="str">
        <f>IF(W139=0,"",ABS(IFERROR((W139/W138),0)-1))</f>
        <v/>
      </c>
      <c r="X141" s="195"/>
      <c r="Y141" s="194" t="str">
        <f>IF(Y139=0,"",ABS(IFERROR((Y139/Y138),0)-1))</f>
        <v/>
      </c>
      <c r="Z141" s="195"/>
      <c r="AA141" s="194" t="str">
        <f>IF(AA139=0,"",ABS(IFERROR((AA139/AA138),0)-1))</f>
        <v/>
      </c>
      <c r="AB141" s="195"/>
      <c r="AC141" s="194" t="str">
        <f>IF(AC139=0,"",ABS(IFERROR((AC139/AC138),0)-1))</f>
        <v/>
      </c>
      <c r="AD141" s="195"/>
      <c r="AE141" s="194" t="str">
        <f>IF(AE139=0,"",ABS(IFERROR((AE139/AE138),0)-1))</f>
        <v/>
      </c>
      <c r="AF141" s="195"/>
      <c r="AG141" s="194" t="str">
        <f>IF(AG139=0,"",ABS(IFERROR((AG139/AG138),0)-1))</f>
        <v/>
      </c>
      <c r="AH141" s="195"/>
      <c r="AI141" s="194" t="str">
        <f>IF(AI139=0,"",ABS(IFERROR((AI139/AI138),0)-1))</f>
        <v/>
      </c>
      <c r="AJ141" s="195"/>
      <c r="AK141" s="194" t="str">
        <f>IF(AK139=0,"",ABS(IFERROR((AK139/AK138),0)-1))</f>
        <v/>
      </c>
      <c r="AL141" s="195"/>
      <c r="AM141" s="194" t="str">
        <f>IF(AM139=0,"",ABS(IFERROR((AM139/AM138),0)-1))</f>
        <v/>
      </c>
      <c r="AN141" s="195"/>
      <c r="AO141" s="194" t="str">
        <f>IF(AO139=0,"",ABS(IFERROR((AO139/AO138),0)-1))</f>
        <v/>
      </c>
      <c r="AP141" s="195"/>
      <c r="AQ141" s="194" t="str">
        <f>IF(AQ139=0,"",ABS(IFERROR((AQ139/AQ138),0)-1))</f>
        <v/>
      </c>
      <c r="AR141" s="195"/>
      <c r="AS141" s="194" t="str">
        <f>IF(AS139=0,"",ABS(IFERROR((AS139/AS138),0)-1))</f>
        <v/>
      </c>
      <c r="AT141" s="195"/>
      <c r="AU141" s="194" t="str">
        <f>IF(AU139=0,"",ABS(IFERROR((AU139/AU138),0)-1))</f>
        <v/>
      </c>
      <c r="AV141" s="195"/>
      <c r="AW141" s="194" t="str">
        <f>IF(AW139=0,"",ABS(IFERROR((AW139/AW138),0)-1))</f>
        <v/>
      </c>
      <c r="AX141" s="195"/>
      <c r="AY141" s="194" t="str">
        <f>IF(AY139=0,"",ABS(IFERROR((AY139/AY138),0)-1))</f>
        <v/>
      </c>
      <c r="AZ141" s="195"/>
      <c r="BA141" s="194" t="str">
        <f>IF(BA139=0,"",ABS(IFERROR((BA139/BA138),0)-1))</f>
        <v/>
      </c>
      <c r="BB141" s="195"/>
      <c r="BC141" s="194" t="str">
        <f>IF(BC139=0,"",ABS(IFERROR((BC139/BC138),0)-1))</f>
        <v/>
      </c>
      <c r="BD141" s="195"/>
      <c r="BE141" s="194" t="str">
        <f>IF(BE139=0,"",ABS(IFERROR((BE139/BE138),0)-1))</f>
        <v/>
      </c>
      <c r="BF141" s="195"/>
      <c r="BG141" s="194" t="str">
        <f>IF(BG139=0,"",ABS(IFERROR((BG139/BG138),0)-1))</f>
        <v/>
      </c>
      <c r="BH141" s="195"/>
      <c r="BI141" s="194" t="str">
        <f>IF(BI139=0,"",ABS(IFERROR((BI139/BI138),0)-1))</f>
        <v/>
      </c>
      <c r="BJ141" s="195"/>
      <c r="BK141" s="194" t="str">
        <f>IF(BK139=0,"",ABS(IFERROR((BK139/BK138),0)-1))</f>
        <v/>
      </c>
      <c r="BL141" s="195"/>
      <c r="BM141" s="194" t="str">
        <f>IF(BM139=0,"",ABS(IFERROR((BM139/BM138),0)-1))</f>
        <v/>
      </c>
      <c r="BN141" s="195"/>
      <c r="BO141" s="194" t="str">
        <f>IF(BO139=0,"",ABS(IFERROR((BO139/BO138),0)-1))</f>
        <v/>
      </c>
      <c r="BP141" s="195"/>
      <c r="BQ141" s="194" t="str">
        <f>IF(BQ139=0,"",ABS(IFERROR((BQ139/BQ138),0)-1))</f>
        <v/>
      </c>
      <c r="BR141" s="195"/>
      <c r="BS141" s="194" t="str">
        <f>IF(BS139=0,"",ABS(IFERROR((BS139/BS138),0)-1))</f>
        <v/>
      </c>
      <c r="BT141" s="195"/>
      <c r="BU141" s="26" t="e">
        <f>ABS(IFERROR((BU139/BU138),"")-1)</f>
        <v>#VALUE!</v>
      </c>
      <c r="BV141" s="15"/>
      <c r="BW141" s="21"/>
      <c r="BX141" s="3"/>
      <c r="BY141" s="3"/>
      <c r="BZ141" s="3"/>
    </row>
    <row r="142" spans="1:78" ht="15" thickBot="1" x14ac:dyDescent="0.35">
      <c r="A142" s="181"/>
      <c r="B142" s="22" t="s">
        <v>177</v>
      </c>
      <c r="C142" s="196" t="str">
        <f>IF(C141="","", IF(C141&lt;89%,"OVER STANDART",IF(C141=89%,"GOOD","UNDER STANDART")))</f>
        <v/>
      </c>
      <c r="D142" s="197"/>
      <c r="E142" s="196" t="str">
        <f>IF(E141="","", IF(E141&lt;89%,"OVER STANDART",IF(E141=89%,"GOOD","UNDER STANDART")))</f>
        <v/>
      </c>
      <c r="F142" s="197"/>
      <c r="G142" s="196" t="str">
        <f>IF(G141="","", IF(G141&lt;89%,"OVER STANDART",IF(G141=89%,"GOOD","UNDER STANDART")))</f>
        <v/>
      </c>
      <c r="H142" s="197"/>
      <c r="I142" s="196" t="str">
        <f>IF(I141="","", IF(I141&lt;89%,"OVER STANDART",IF(I141=89%,"GOOD","UNDER STANDART")))</f>
        <v/>
      </c>
      <c r="J142" s="197"/>
      <c r="K142" s="196" t="str">
        <f>IF(K141="","", IF(K141&lt;89%,"OVER STANDART",IF(K141=89%,"GOOD","UNDER STANDART")))</f>
        <v/>
      </c>
      <c r="L142" s="197"/>
      <c r="M142" s="196" t="str">
        <f>IF(M141="","", IF(M141&lt;89%,"OVER STANDART",IF(M141=89%,"GOOD","UNDER STANDART")))</f>
        <v/>
      </c>
      <c r="N142" s="197"/>
      <c r="O142" s="196" t="str">
        <f>IF(O141="","", IF(O141&lt;89%,"OVER STANDART",IF(O141=89%,"GOOD","UNDER STANDART")))</f>
        <v/>
      </c>
      <c r="P142" s="197"/>
      <c r="Q142" s="196" t="str">
        <f>IF(Q141="","", IF(Q141&lt;89%,"OVER STANDART",IF(Q141=89%,"GOOD","UNDER STANDART")))</f>
        <v/>
      </c>
      <c r="R142" s="197"/>
      <c r="S142" s="196" t="str">
        <f>IF(S141="","", IF(S141&lt;89%,"OVER STANDART",IF(S141=89%,"GOOD","UNDER STANDART")))</f>
        <v/>
      </c>
      <c r="T142" s="197"/>
      <c r="U142" s="196" t="str">
        <f>IF(U141="","", IF(U141&lt;89%,"OVER STANDART",IF(U141=89%,"GOOD","UNDER STANDART")))</f>
        <v/>
      </c>
      <c r="V142" s="197"/>
      <c r="W142" s="196" t="str">
        <f>IF(W141="","", IF(W141&lt;89%,"OVER STANDART",IF(W141=89%,"GOOD","UNDER STANDART")))</f>
        <v/>
      </c>
      <c r="X142" s="197"/>
      <c r="Y142" s="196" t="str">
        <f>IF(Y141="","", IF(Y141&lt;89%,"OVER STANDART",IF(Y141=89%,"GOOD","UNDER STANDART")))</f>
        <v/>
      </c>
      <c r="Z142" s="197"/>
      <c r="AA142" s="196" t="str">
        <f>IF(AA141="","", IF(AA141&lt;89%,"OVER STANDART",IF(AA141=89%,"GOOD","UNDER STANDART")))</f>
        <v/>
      </c>
      <c r="AB142" s="197"/>
      <c r="AC142" s="196" t="str">
        <f>IF(AC141="","", IF(AC141&lt;89%,"OVER STANDART",IF(AC141=89%,"GOOD","UNDER STANDART")))</f>
        <v/>
      </c>
      <c r="AD142" s="197"/>
      <c r="AE142" s="196" t="str">
        <f>IF(AE141="","", IF(AE141&lt;89%,"OVER STANDART",IF(AE141=89%,"GOOD","UNDER STANDART")))</f>
        <v/>
      </c>
      <c r="AF142" s="197"/>
      <c r="AG142" s="196" t="str">
        <f>IF(AG141="","", IF(AG141&lt;89%,"OVER STANDART",IF(AG141=89%,"GOOD","UNDER STANDART")))</f>
        <v/>
      </c>
      <c r="AH142" s="197"/>
      <c r="AI142" s="196" t="str">
        <f>IF(AI141="","", IF(AI141&lt;89%,"OVER STANDART",IF(AI141=89%,"GOOD","UNDER STANDART")))</f>
        <v/>
      </c>
      <c r="AJ142" s="197"/>
      <c r="AK142" s="196" t="str">
        <f>IF(AK141="","", IF(AK141&lt;89%,"OVER STANDART",IF(AK141=89%,"GOOD","UNDER STANDART")))</f>
        <v/>
      </c>
      <c r="AL142" s="197"/>
      <c r="AM142" s="196" t="str">
        <f>IF(AM141="","", IF(AM141&lt;89%,"OVER STANDART",IF(AM141=89%,"GOOD","UNDER STANDART")))</f>
        <v/>
      </c>
      <c r="AN142" s="197"/>
      <c r="AO142" s="196" t="str">
        <f>IF(AO141="","", IF(AO141&lt;89%,"OVER STANDART",IF(AO141=89%,"GOOD","UNDER STANDART")))</f>
        <v/>
      </c>
      <c r="AP142" s="197"/>
      <c r="AQ142" s="196" t="str">
        <f>IF(AQ141="","", IF(AQ141&lt;89%,"OVER STANDART",IF(AQ141=89%,"GOOD","UNDER STANDART")))</f>
        <v/>
      </c>
      <c r="AR142" s="197"/>
      <c r="AS142" s="196" t="str">
        <f>IF(AS141="","", IF(AS141&lt;89%,"OVER STANDART",IF(AS141=89%,"GOOD","UNDER STANDART")))</f>
        <v/>
      </c>
      <c r="AT142" s="197"/>
      <c r="AU142" s="196" t="str">
        <f>IF(AU141="","", IF(AU141&lt;89%,"OVER STANDART",IF(AU141=89%,"GOOD","UNDER STANDART")))</f>
        <v/>
      </c>
      <c r="AV142" s="197"/>
      <c r="AW142" s="196" t="str">
        <f>IF(AW141="","", IF(AW141&lt;89%,"OVER STANDART",IF(AW141=89%,"GOOD","UNDER STANDART")))</f>
        <v/>
      </c>
      <c r="AX142" s="197"/>
      <c r="AY142" s="196" t="str">
        <f>IF(AY141="","", IF(AY141&lt;89%,"OVER STANDART",IF(AY141=89%,"GOOD","UNDER STANDART")))</f>
        <v/>
      </c>
      <c r="AZ142" s="197"/>
      <c r="BA142" s="196" t="str">
        <f>IF(BA141="","", IF(BA141&lt;89%,"OVER STANDART",IF(BA141=89%,"GOOD","UNDER STANDART")))</f>
        <v/>
      </c>
      <c r="BB142" s="197"/>
      <c r="BC142" s="196" t="str">
        <f>IF(BC141="","", IF(BC141&lt;89%,"OVER STANDART",IF(BC141=89%,"GOOD","UNDER STANDART")))</f>
        <v/>
      </c>
      <c r="BD142" s="197"/>
      <c r="BE142" s="196" t="str">
        <f>IF(BE141="","", IF(BE141&lt;89%,"OVER STANDART",IF(BE141=89%,"GOOD","UNDER STANDART")))</f>
        <v/>
      </c>
      <c r="BF142" s="197"/>
      <c r="BG142" s="196" t="str">
        <f>IF(BG141="","", IF(BG141&lt;89%,"OVER STANDART",IF(BG141=89%,"GOOD","UNDER STANDART")))</f>
        <v/>
      </c>
      <c r="BH142" s="197"/>
      <c r="BI142" s="196" t="str">
        <f>IF(BI141="","", IF(BI141&lt;89%,"OVER STANDART",IF(BI141=89%,"GOOD","UNDER STANDART")))</f>
        <v/>
      </c>
      <c r="BJ142" s="197"/>
      <c r="BK142" s="196" t="str">
        <f>IF(BK141="","", IF(BK141&lt;89%,"OVER STANDART",IF(BK141=89%,"GOOD","UNDER STANDART")))</f>
        <v/>
      </c>
      <c r="BL142" s="197"/>
      <c r="BM142" s="196" t="str">
        <f>IF(BM141="","", IF(BM141&lt;89%,"OVER STANDART",IF(BM141=89%,"GOOD","UNDER STANDART")))</f>
        <v/>
      </c>
      <c r="BN142" s="197"/>
      <c r="BO142" s="196" t="str">
        <f>IF(BO141="","", IF(BO141&lt;89%,"OVER STANDART",IF(BO141=89%,"GOOD","UNDER STANDART")))</f>
        <v/>
      </c>
      <c r="BP142" s="197"/>
      <c r="BQ142" s="196" t="str">
        <f>IF(BQ141="","", IF(BQ141&lt;89%,"OVER STANDART",IF(BQ141=89%,"GOOD","UNDER STANDART")))</f>
        <v/>
      </c>
      <c r="BR142" s="197"/>
      <c r="BS142" s="196" t="str">
        <f>IF(BS141="","", IF(BS141&lt;89%,"OVER STANDART",IF(BS141=89%,"GOOD","UNDER STANDART")))</f>
        <v/>
      </c>
      <c r="BT142" s="197"/>
      <c r="BU142" s="24" t="e">
        <f>IF(BU141="","", IF(BU141&lt;89%,"OVER STANDART",IF(BU141=89%,"GOOD","UNDER STANDART")))</f>
        <v>#VALUE!</v>
      </c>
      <c r="BV142" s="23"/>
      <c r="BW142" s="25"/>
      <c r="BX142" s="3"/>
      <c r="BY142" s="3"/>
      <c r="BZ142" s="3"/>
    </row>
    <row r="143" spans="1:78" ht="14.5" x14ac:dyDescent="0.3">
      <c r="A143" s="198">
        <f>A138+1</f>
        <v>29</v>
      </c>
      <c r="B143" s="7" t="s">
        <v>278</v>
      </c>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9" t="str">
        <f>IF(SUMIF($C$2:$BT$2,"FRESH",C143:BT143)=0,"",SUMIF($C$2:$BT$2,"FRESH",C143:BT143))</f>
        <v/>
      </c>
      <c r="BV143" s="10" t="str">
        <f>IF(SUMIF($C$2:$BT$2,"GILING",C143:BT143)=0,"",SUMIF($C$2:$BT$2,"GILING",C143:BT143))</f>
        <v/>
      </c>
      <c r="BW143" s="11"/>
      <c r="BX143" s="3"/>
      <c r="BY143" s="3"/>
      <c r="BZ143" s="3"/>
    </row>
    <row r="144" spans="1:78" x14ac:dyDescent="0.3">
      <c r="A144" s="199"/>
      <c r="B144" s="12" t="s">
        <v>279</v>
      </c>
      <c r="C144" s="188">
        <f>IF(AND(C143="",D143=""),0,C143-D143)</f>
        <v>0</v>
      </c>
      <c r="D144" s="189"/>
      <c r="E144" s="188">
        <f>IF(AND(E143="",F143=""),0,E143-F143)</f>
        <v>0</v>
      </c>
      <c r="F144" s="189"/>
      <c r="G144" s="188">
        <f>IF(AND(G143="",H143=""),0,G143-H143)</f>
        <v>0</v>
      </c>
      <c r="H144" s="189"/>
      <c r="I144" s="188">
        <f>IF(AND(I143="",J143=""),0,I143-J143)</f>
        <v>0</v>
      </c>
      <c r="J144" s="189"/>
      <c r="K144" s="188">
        <f>IF(AND(K143="",L143=""),0,K143-L143)</f>
        <v>0</v>
      </c>
      <c r="L144" s="189"/>
      <c r="M144" s="188">
        <f>IF(AND(M143="",N143=""),0,M143-N143)</f>
        <v>0</v>
      </c>
      <c r="N144" s="189"/>
      <c r="O144" s="188">
        <f>IF(AND(O143="",P143=""),0,O143-P143)</f>
        <v>0</v>
      </c>
      <c r="P144" s="189"/>
      <c r="Q144" s="188">
        <f>IF(AND(Q143="",R143=""),0,Q143-R143)</f>
        <v>0</v>
      </c>
      <c r="R144" s="189"/>
      <c r="S144" s="188">
        <f>IF(AND(S143="",T143=""),0,S143-T143)</f>
        <v>0</v>
      </c>
      <c r="T144" s="189"/>
      <c r="U144" s="188">
        <f>IF(AND(U143="",V143=""),0,U143-V143)</f>
        <v>0</v>
      </c>
      <c r="V144" s="189"/>
      <c r="W144" s="188">
        <f>IF(AND(W143="",X143=""),0,W143-X143)</f>
        <v>0</v>
      </c>
      <c r="X144" s="189"/>
      <c r="Y144" s="188">
        <f>IF(AND(Y143="",Z143=""),0,Y143-Z143)</f>
        <v>0</v>
      </c>
      <c r="Z144" s="189"/>
      <c r="AA144" s="188">
        <f>IF(AND(AA143="",AB143=""),0,AA143-AB143)</f>
        <v>0</v>
      </c>
      <c r="AB144" s="189"/>
      <c r="AC144" s="188">
        <f>IF(AND(AC143="",AD143=""),0,AC143-AD143)</f>
        <v>0</v>
      </c>
      <c r="AD144" s="189"/>
      <c r="AE144" s="188">
        <f>IF(AND(AE143="",AF143=""),0,AE143-AF143)</f>
        <v>0</v>
      </c>
      <c r="AF144" s="189"/>
      <c r="AG144" s="188">
        <f>IF(AND(AG143="",AH143=""),0,AG143-AH143)</f>
        <v>0</v>
      </c>
      <c r="AH144" s="189"/>
      <c r="AI144" s="188">
        <f>IF(AND(AI143="",AJ143=""),0,AI143-AJ143)</f>
        <v>0</v>
      </c>
      <c r="AJ144" s="189"/>
      <c r="AK144" s="188">
        <f>IF(AND(AK143="",AL143=""),0,AK143-AL143)</f>
        <v>0</v>
      </c>
      <c r="AL144" s="189"/>
      <c r="AM144" s="188">
        <f>IF(AND(AM143="",AN143=""),0,AM143-AN143)</f>
        <v>0</v>
      </c>
      <c r="AN144" s="189"/>
      <c r="AO144" s="188">
        <f>IF(AND(AO143="",AP143=""),0,AO143-AP143)</f>
        <v>0</v>
      </c>
      <c r="AP144" s="189"/>
      <c r="AQ144" s="188">
        <f>IF(AND(AQ143="",AR143=""),0,AQ143-AR143)</f>
        <v>0</v>
      </c>
      <c r="AR144" s="189"/>
      <c r="AS144" s="188">
        <f>IF(AND(AS143="",AT143=""),0,AS143-AT143)</f>
        <v>0</v>
      </c>
      <c r="AT144" s="189"/>
      <c r="AU144" s="188">
        <f>IF(AND(AU143="",AV143=""),0,AU143-AV143)</f>
        <v>0</v>
      </c>
      <c r="AV144" s="189"/>
      <c r="AW144" s="188">
        <f>IF(AND(AW143="",AX143=""),0,AW143-AX143)</f>
        <v>0</v>
      </c>
      <c r="AX144" s="189"/>
      <c r="AY144" s="188">
        <f>IF(AND(AY143="",AZ143=""),0,AY143-AZ143)</f>
        <v>0</v>
      </c>
      <c r="AZ144" s="189"/>
      <c r="BA144" s="188">
        <f>IF(AND(BA143="",BB143=""),0,BA143-BB143)</f>
        <v>0</v>
      </c>
      <c r="BB144" s="189"/>
      <c r="BC144" s="188">
        <f>IF(AND(BC143="",BD143=""),0,BC143-BD143)</f>
        <v>0</v>
      </c>
      <c r="BD144" s="189"/>
      <c r="BE144" s="188">
        <f>IF(AND(BE143="",BF143=""),0,BE143-BF143)</f>
        <v>0</v>
      </c>
      <c r="BF144" s="189"/>
      <c r="BG144" s="188">
        <f>IF(AND(BG143="",BH143=""),0,BG143-BH143)</f>
        <v>0</v>
      </c>
      <c r="BH144" s="189"/>
      <c r="BI144" s="188">
        <f>IF(AND(BI143="",BJ143=""),0,BI143-BJ143)</f>
        <v>0</v>
      </c>
      <c r="BJ144" s="189"/>
      <c r="BK144" s="188">
        <f>IF(AND(BK143="",BL143=""),0,BK143-BL143)</f>
        <v>0</v>
      </c>
      <c r="BL144" s="189"/>
      <c r="BM144" s="188">
        <f>IF(AND(BM143="",BN143=""),0,BM143-BN143)</f>
        <v>0</v>
      </c>
      <c r="BN144" s="189"/>
      <c r="BO144" s="188">
        <f>IF(AND(BO143="",BP143=""),0,BO143-BP143)</f>
        <v>0</v>
      </c>
      <c r="BP144" s="189"/>
      <c r="BQ144" s="188">
        <f>IF(AND(BQ143="",BR143=""),0,BQ143-BR143)</f>
        <v>0</v>
      </c>
      <c r="BR144" s="189"/>
      <c r="BS144" s="188">
        <f>IF(AND(BS143="",BT143=""),0,BS143-BT143)</f>
        <v>0</v>
      </c>
      <c r="BT144" s="189"/>
      <c r="BU144" s="14" t="str">
        <f>IF(AND(BU143="",BV143=""),"",BU143-BV143)</f>
        <v/>
      </c>
      <c r="BV144" s="13"/>
      <c r="BW144" s="16" t="str">
        <f>IF(COUNTIF(D144:BT144,"&gt;0")=0,"",COUNTIF(D144:BT144,"&gt;0"))</f>
        <v/>
      </c>
      <c r="BX144" s="3"/>
      <c r="BY144" s="3"/>
      <c r="BZ144" s="3"/>
    </row>
    <row r="145" spans="1:78" ht="14.5" x14ac:dyDescent="0.3">
      <c r="A145" s="199"/>
      <c r="B145" s="12" t="s">
        <v>280</v>
      </c>
      <c r="C145" s="186">
        <f>IF(C144="",0,(D143/89%)-(C143))</f>
        <v>0</v>
      </c>
      <c r="D145" s="187"/>
      <c r="E145" s="186">
        <f>IF(E144="",0,(F143/89%)-(E143))</f>
        <v>0</v>
      </c>
      <c r="F145" s="187"/>
      <c r="G145" s="186">
        <f>IF(G144="",0,(H143/89%)-(G143))</f>
        <v>0</v>
      </c>
      <c r="H145" s="187"/>
      <c r="I145" s="186">
        <f>IF(I144="",0,(J143/89%)-(I143))</f>
        <v>0</v>
      </c>
      <c r="J145" s="187"/>
      <c r="K145" s="186">
        <f>IF(K144="",0,(L143/89%)-(K143))</f>
        <v>0</v>
      </c>
      <c r="L145" s="187"/>
      <c r="M145" s="186">
        <f>IF(M144="",0,(N143/89%)-(M143))</f>
        <v>0</v>
      </c>
      <c r="N145" s="187"/>
      <c r="O145" s="186">
        <f>IF(O144="",0,(P143/89%)-(O143))</f>
        <v>0</v>
      </c>
      <c r="P145" s="187"/>
      <c r="Q145" s="186">
        <f>IF(Q144="",0,(R143/89%)-(Q143))</f>
        <v>0</v>
      </c>
      <c r="R145" s="187"/>
      <c r="S145" s="186">
        <f>IF(S144="",0,(T143/89%)-(S143))</f>
        <v>0</v>
      </c>
      <c r="T145" s="187"/>
      <c r="U145" s="186">
        <f>IF(U144="",0,(V143/89%)-(U143))</f>
        <v>0</v>
      </c>
      <c r="V145" s="187"/>
      <c r="W145" s="186">
        <f>IF(W144="",0,(X143/89%)-(W143))</f>
        <v>0</v>
      </c>
      <c r="X145" s="187"/>
      <c r="Y145" s="186">
        <f>IF(Y144="",0,(Z143/89%)-(Y143))</f>
        <v>0</v>
      </c>
      <c r="Z145" s="187"/>
      <c r="AA145" s="186">
        <f>IF(AA144="",0,(AB143/89%)-(AA143))</f>
        <v>0</v>
      </c>
      <c r="AB145" s="187"/>
      <c r="AC145" s="186">
        <f>IF(AC144="",0,(AD143/89%)-(AC143))</f>
        <v>0</v>
      </c>
      <c r="AD145" s="187"/>
      <c r="AE145" s="186">
        <f>IF(AE144="",0,(AF143/89%)-(AE143))</f>
        <v>0</v>
      </c>
      <c r="AF145" s="187"/>
      <c r="AG145" s="186">
        <f>IF(AG144="",0,(AH143/89%)-(AG143))</f>
        <v>0</v>
      </c>
      <c r="AH145" s="187"/>
      <c r="AI145" s="186">
        <f>IF(AI144="",0,(AJ143/89%)-(AI143))</f>
        <v>0</v>
      </c>
      <c r="AJ145" s="187"/>
      <c r="AK145" s="186">
        <f>IF(AK144="",0,(AL143/89%)-(AK143))</f>
        <v>0</v>
      </c>
      <c r="AL145" s="187"/>
      <c r="AM145" s="186">
        <f>IF(AM144="",0,(AN143/89%)-(AM143))</f>
        <v>0</v>
      </c>
      <c r="AN145" s="187"/>
      <c r="AO145" s="186">
        <f>IF(AO144="",0,(AP143/89%)-(AO143))</f>
        <v>0</v>
      </c>
      <c r="AP145" s="187"/>
      <c r="AQ145" s="186">
        <f>IF(AQ144="",0,(AR143/89%)-(AQ143))</f>
        <v>0</v>
      </c>
      <c r="AR145" s="187"/>
      <c r="AS145" s="186">
        <f>IF(AS144="",0,(AT143/89%)-(AS143))</f>
        <v>0</v>
      </c>
      <c r="AT145" s="187"/>
      <c r="AU145" s="186">
        <f>IF(AU144="",0,(AV143/89%)-(AU143))</f>
        <v>0</v>
      </c>
      <c r="AV145" s="187"/>
      <c r="AW145" s="186">
        <f>IF(AW144="",0,(AX143/89%)-(AW143))</f>
        <v>0</v>
      </c>
      <c r="AX145" s="187"/>
      <c r="AY145" s="186">
        <f>IF(AY144="",0,(AZ143/89%)-(AY143))</f>
        <v>0</v>
      </c>
      <c r="AZ145" s="187"/>
      <c r="BA145" s="186">
        <f>IF(BA144="",0,(BB143/89%)-(BA143))</f>
        <v>0</v>
      </c>
      <c r="BB145" s="187"/>
      <c r="BC145" s="186">
        <f>IF(BC144="",0,(BD143/89%)-(BC143))</f>
        <v>0</v>
      </c>
      <c r="BD145" s="187"/>
      <c r="BE145" s="186">
        <f>IF(BE144="",0,(BF143/89%)-(BE143))</f>
        <v>0</v>
      </c>
      <c r="BF145" s="187"/>
      <c r="BG145" s="186">
        <f>IF(BG144="",0,(BH143/89%)-(BG143))</f>
        <v>0</v>
      </c>
      <c r="BH145" s="187"/>
      <c r="BI145" s="186">
        <f>IF(BI144="",0,(BJ143/89%)-(BI143))</f>
        <v>0</v>
      </c>
      <c r="BJ145" s="187"/>
      <c r="BK145" s="186">
        <f>IF(BK144="",0,(BL143/89%)-(BK143))</f>
        <v>0</v>
      </c>
      <c r="BL145" s="187"/>
      <c r="BM145" s="186">
        <f>IF(BM144="",0,(BN143/89%)-(BM143))</f>
        <v>0</v>
      </c>
      <c r="BN145" s="187"/>
      <c r="BO145" s="186">
        <f>IF(BO144="",0,(BP143/89%)-(BO143))</f>
        <v>0</v>
      </c>
      <c r="BP145" s="187"/>
      <c r="BQ145" s="186">
        <f>IF(BQ144="",0,(BR143/89%)-(BQ143))</f>
        <v>0</v>
      </c>
      <c r="BR145" s="187"/>
      <c r="BS145" s="186">
        <f>IF(BS144="",0,(BT143/89%)-(BS143))</f>
        <v>0</v>
      </c>
      <c r="BT145" s="187"/>
      <c r="BU145" s="17" t="str">
        <f>IF(BU144="","",(BV143/89%)-(BU143))</f>
        <v/>
      </c>
      <c r="BV145" s="13"/>
      <c r="BW145" s="18" t="str">
        <f>IF(AND(BU143="",BV143=""),"",(BU143-BV143)-BU144)</f>
        <v/>
      </c>
      <c r="BX145" s="3"/>
      <c r="BY145" s="3"/>
      <c r="BZ145" s="3"/>
    </row>
    <row r="146" spans="1:78" ht="14.5" x14ac:dyDescent="0.3">
      <c r="A146" s="199"/>
      <c r="B146" s="19" t="s">
        <v>281</v>
      </c>
      <c r="C146" s="194" t="str">
        <f>IF(C144=0,"",ABS(IFERROR((C144/C143),0)-1))</f>
        <v/>
      </c>
      <c r="D146" s="195"/>
      <c r="E146" s="194" t="str">
        <f>IF(E144=0,"",ABS(IFERROR((E144/E143),0)-1))</f>
        <v/>
      </c>
      <c r="F146" s="195"/>
      <c r="G146" s="194" t="str">
        <f>IF(G144=0,"",ABS(IFERROR((G144/G143),0)-1))</f>
        <v/>
      </c>
      <c r="H146" s="195"/>
      <c r="I146" s="194" t="str">
        <f>IF(I144=0,"",ABS(IFERROR((I144/I143),0)-1))</f>
        <v/>
      </c>
      <c r="J146" s="195"/>
      <c r="K146" s="194" t="str">
        <f>IF(K144=0,"",ABS(IFERROR((K144/K143),0)-1))</f>
        <v/>
      </c>
      <c r="L146" s="195"/>
      <c r="M146" s="194" t="str">
        <f>IF(M144=0,"",ABS(IFERROR((M144/M143),0)-1))</f>
        <v/>
      </c>
      <c r="N146" s="195"/>
      <c r="O146" s="194" t="str">
        <f>IF(O144=0,"",ABS(IFERROR((O144/O143),0)-1))</f>
        <v/>
      </c>
      <c r="P146" s="195"/>
      <c r="Q146" s="194" t="str">
        <f>IF(Q144=0,"",ABS(IFERROR((Q144/Q143),0)-1))</f>
        <v/>
      </c>
      <c r="R146" s="195"/>
      <c r="S146" s="194" t="str">
        <f>IF(S144=0,"",ABS(IFERROR((S144/S143),0)-1))</f>
        <v/>
      </c>
      <c r="T146" s="195"/>
      <c r="U146" s="194" t="str">
        <f>IF(U144=0,"",ABS(IFERROR((U144/U143),0)-1))</f>
        <v/>
      </c>
      <c r="V146" s="195"/>
      <c r="W146" s="194" t="str">
        <f>IF(W144=0,"",ABS(IFERROR((W144/W143),0)-1))</f>
        <v/>
      </c>
      <c r="X146" s="195"/>
      <c r="Y146" s="194" t="str">
        <f>IF(Y144=0,"",ABS(IFERROR((Y144/Y143),0)-1))</f>
        <v/>
      </c>
      <c r="Z146" s="195"/>
      <c r="AA146" s="194" t="str">
        <f>IF(AA144=0,"",ABS(IFERROR((AA144/AA143),0)-1))</f>
        <v/>
      </c>
      <c r="AB146" s="195"/>
      <c r="AC146" s="194" t="str">
        <f>IF(AC144=0,"",ABS(IFERROR((AC144/AC143),0)-1))</f>
        <v/>
      </c>
      <c r="AD146" s="195"/>
      <c r="AE146" s="194" t="str">
        <f>IF(AE144=0,"",ABS(IFERROR((AE144/AE143),0)-1))</f>
        <v/>
      </c>
      <c r="AF146" s="195"/>
      <c r="AG146" s="194" t="str">
        <f>IF(AG144=0,"",ABS(IFERROR((AG144/AG143),0)-1))</f>
        <v/>
      </c>
      <c r="AH146" s="195"/>
      <c r="AI146" s="194" t="str">
        <f>IF(AI144=0,"",ABS(IFERROR((AI144/AI143),0)-1))</f>
        <v/>
      </c>
      <c r="AJ146" s="195"/>
      <c r="AK146" s="194" t="str">
        <f>IF(AK144=0,"",ABS(IFERROR((AK144/AK143),0)-1))</f>
        <v/>
      </c>
      <c r="AL146" s="195"/>
      <c r="AM146" s="194" t="str">
        <f>IF(AM144=0,"",ABS(IFERROR((AM144/AM143),0)-1))</f>
        <v/>
      </c>
      <c r="AN146" s="195"/>
      <c r="AO146" s="194" t="str">
        <f>IF(AO144=0,"",ABS(IFERROR((AO144/AO143),0)-1))</f>
        <v/>
      </c>
      <c r="AP146" s="195"/>
      <c r="AQ146" s="194" t="str">
        <f>IF(AQ144=0,"",ABS(IFERROR((AQ144/AQ143),0)-1))</f>
        <v/>
      </c>
      <c r="AR146" s="195"/>
      <c r="AS146" s="194" t="str">
        <f>IF(AS144=0,"",ABS(IFERROR((AS144/AS143),0)-1))</f>
        <v/>
      </c>
      <c r="AT146" s="195"/>
      <c r="AU146" s="194" t="str">
        <f>IF(AU144=0,"",ABS(IFERROR((AU144/AU143),0)-1))</f>
        <v/>
      </c>
      <c r="AV146" s="195"/>
      <c r="AW146" s="194" t="str">
        <f>IF(AW144=0,"",ABS(IFERROR((AW144/AW143),0)-1))</f>
        <v/>
      </c>
      <c r="AX146" s="195"/>
      <c r="AY146" s="194" t="str">
        <f>IF(AY144=0,"",ABS(IFERROR((AY144/AY143),0)-1))</f>
        <v/>
      </c>
      <c r="AZ146" s="195"/>
      <c r="BA146" s="194" t="str">
        <f>IF(BA144=0,"",ABS(IFERROR((BA144/BA143),0)-1))</f>
        <v/>
      </c>
      <c r="BB146" s="195"/>
      <c r="BC146" s="194" t="str">
        <f>IF(BC144=0,"",ABS(IFERROR((BC144/BC143),0)-1))</f>
        <v/>
      </c>
      <c r="BD146" s="195"/>
      <c r="BE146" s="194" t="str">
        <f>IF(BE144=0,"",ABS(IFERROR((BE144/BE143),0)-1))</f>
        <v/>
      </c>
      <c r="BF146" s="195"/>
      <c r="BG146" s="194" t="str">
        <f>IF(BG144=0,"",ABS(IFERROR((BG144/BG143),0)-1))</f>
        <v/>
      </c>
      <c r="BH146" s="195"/>
      <c r="BI146" s="194" t="str">
        <f>IF(BI144=0,"",ABS(IFERROR((BI144/BI143),0)-1))</f>
        <v/>
      </c>
      <c r="BJ146" s="195"/>
      <c r="BK146" s="194" t="str">
        <f>IF(BK144=0,"",ABS(IFERROR((BK144/BK143),0)-1))</f>
        <v/>
      </c>
      <c r="BL146" s="195"/>
      <c r="BM146" s="194" t="str">
        <f>IF(BM144=0,"",ABS(IFERROR((BM144/BM143),0)-1))</f>
        <v/>
      </c>
      <c r="BN146" s="195"/>
      <c r="BO146" s="194" t="str">
        <f>IF(BO144=0,"",ABS(IFERROR((BO144/BO143),0)-1))</f>
        <v/>
      </c>
      <c r="BP146" s="195"/>
      <c r="BQ146" s="194" t="str">
        <f>IF(BQ144=0,"",ABS(IFERROR((BQ144/BQ143),0)-1))</f>
        <v/>
      </c>
      <c r="BR146" s="195"/>
      <c r="BS146" s="194" t="str">
        <f>IF(BS144=0,"",ABS(IFERROR((BS144/BS143),0)-1))</f>
        <v/>
      </c>
      <c r="BT146" s="195"/>
      <c r="BU146" s="26" t="e">
        <f>ABS(IFERROR((BU144/BU143),"")-1)</f>
        <v>#VALUE!</v>
      </c>
      <c r="BV146" s="15"/>
      <c r="BW146" s="21"/>
      <c r="BX146" s="3"/>
      <c r="BY146" s="3"/>
      <c r="BZ146" s="3"/>
    </row>
    <row r="147" spans="1:78" ht="15" thickBot="1" x14ac:dyDescent="0.35">
      <c r="A147" s="181"/>
      <c r="B147" s="22" t="s">
        <v>177</v>
      </c>
      <c r="C147" s="196" t="str">
        <f>IF(C146="","", IF(C146&lt;89%,"OVER STANDART",IF(C146=89%,"GOOD","UNDER STANDART")))</f>
        <v/>
      </c>
      <c r="D147" s="197"/>
      <c r="E147" s="196" t="str">
        <f>IF(E146="","", IF(E146&lt;89%,"OVER STANDART",IF(E146=89%,"GOOD","UNDER STANDART")))</f>
        <v/>
      </c>
      <c r="F147" s="197"/>
      <c r="G147" s="196" t="str">
        <f>IF(G146="","", IF(G146&lt;89%,"OVER STANDART",IF(G146=89%,"GOOD","UNDER STANDART")))</f>
        <v/>
      </c>
      <c r="H147" s="197"/>
      <c r="I147" s="196" t="str">
        <f>IF(I146="","", IF(I146&lt;89%,"OVER STANDART",IF(I146=89%,"GOOD","UNDER STANDART")))</f>
        <v/>
      </c>
      <c r="J147" s="197"/>
      <c r="K147" s="196" t="str">
        <f>IF(K146="","", IF(K146&lt;89%,"OVER STANDART",IF(K146=89%,"GOOD","UNDER STANDART")))</f>
        <v/>
      </c>
      <c r="L147" s="197"/>
      <c r="M147" s="196" t="str">
        <f>IF(M146="","", IF(M146&lt;89%,"OVER STANDART",IF(M146=89%,"GOOD","UNDER STANDART")))</f>
        <v/>
      </c>
      <c r="N147" s="197"/>
      <c r="O147" s="196" t="str">
        <f>IF(O146="","", IF(O146&lt;89%,"OVER STANDART",IF(O146=89%,"GOOD","UNDER STANDART")))</f>
        <v/>
      </c>
      <c r="P147" s="197"/>
      <c r="Q147" s="196" t="str">
        <f>IF(Q146="","", IF(Q146&lt;89%,"OVER STANDART",IF(Q146=89%,"GOOD","UNDER STANDART")))</f>
        <v/>
      </c>
      <c r="R147" s="197"/>
      <c r="S147" s="196" t="str">
        <f>IF(S146="","", IF(S146&lt;89%,"OVER STANDART",IF(S146=89%,"GOOD","UNDER STANDART")))</f>
        <v/>
      </c>
      <c r="T147" s="197"/>
      <c r="U147" s="196" t="str">
        <f>IF(U146="","", IF(U146&lt;89%,"OVER STANDART",IF(U146=89%,"GOOD","UNDER STANDART")))</f>
        <v/>
      </c>
      <c r="V147" s="197"/>
      <c r="W147" s="196" t="str">
        <f>IF(W146="","", IF(W146&lt;89%,"OVER STANDART",IF(W146=89%,"GOOD","UNDER STANDART")))</f>
        <v/>
      </c>
      <c r="X147" s="197"/>
      <c r="Y147" s="196" t="str">
        <f>IF(Y146="","", IF(Y146&lt;89%,"OVER STANDART",IF(Y146=89%,"GOOD","UNDER STANDART")))</f>
        <v/>
      </c>
      <c r="Z147" s="197"/>
      <c r="AA147" s="196" t="str">
        <f>IF(AA146="","", IF(AA146&lt;89%,"OVER STANDART",IF(AA146=89%,"GOOD","UNDER STANDART")))</f>
        <v/>
      </c>
      <c r="AB147" s="197"/>
      <c r="AC147" s="196" t="str">
        <f>IF(AC146="","", IF(AC146&lt;89%,"OVER STANDART",IF(AC146=89%,"GOOD","UNDER STANDART")))</f>
        <v/>
      </c>
      <c r="AD147" s="197"/>
      <c r="AE147" s="196" t="str">
        <f>IF(AE146="","", IF(AE146&lt;89%,"OVER STANDART",IF(AE146=89%,"GOOD","UNDER STANDART")))</f>
        <v/>
      </c>
      <c r="AF147" s="197"/>
      <c r="AG147" s="196" t="str">
        <f>IF(AG146="","", IF(AG146&lt;89%,"OVER STANDART",IF(AG146=89%,"GOOD","UNDER STANDART")))</f>
        <v/>
      </c>
      <c r="AH147" s="197"/>
      <c r="AI147" s="196" t="str">
        <f>IF(AI146="","", IF(AI146&lt;89%,"OVER STANDART",IF(AI146=89%,"GOOD","UNDER STANDART")))</f>
        <v/>
      </c>
      <c r="AJ147" s="197"/>
      <c r="AK147" s="196" t="str">
        <f>IF(AK146="","", IF(AK146&lt;89%,"OVER STANDART",IF(AK146=89%,"GOOD","UNDER STANDART")))</f>
        <v/>
      </c>
      <c r="AL147" s="197"/>
      <c r="AM147" s="196" t="str">
        <f>IF(AM146="","", IF(AM146&lt;89%,"OVER STANDART",IF(AM146=89%,"GOOD","UNDER STANDART")))</f>
        <v/>
      </c>
      <c r="AN147" s="197"/>
      <c r="AO147" s="196" t="str">
        <f>IF(AO146="","", IF(AO146&lt;89%,"OVER STANDART",IF(AO146=89%,"GOOD","UNDER STANDART")))</f>
        <v/>
      </c>
      <c r="AP147" s="197"/>
      <c r="AQ147" s="196" t="str">
        <f>IF(AQ146="","", IF(AQ146&lt;89%,"OVER STANDART",IF(AQ146=89%,"GOOD","UNDER STANDART")))</f>
        <v/>
      </c>
      <c r="AR147" s="197"/>
      <c r="AS147" s="196" t="str">
        <f>IF(AS146="","", IF(AS146&lt;89%,"OVER STANDART",IF(AS146=89%,"GOOD","UNDER STANDART")))</f>
        <v/>
      </c>
      <c r="AT147" s="197"/>
      <c r="AU147" s="196" t="str">
        <f>IF(AU146="","", IF(AU146&lt;89%,"OVER STANDART",IF(AU146=89%,"GOOD","UNDER STANDART")))</f>
        <v/>
      </c>
      <c r="AV147" s="197"/>
      <c r="AW147" s="196" t="str">
        <f>IF(AW146="","", IF(AW146&lt;89%,"OVER STANDART",IF(AW146=89%,"GOOD","UNDER STANDART")))</f>
        <v/>
      </c>
      <c r="AX147" s="197"/>
      <c r="AY147" s="196" t="str">
        <f>IF(AY146="","", IF(AY146&lt;89%,"OVER STANDART",IF(AY146=89%,"GOOD","UNDER STANDART")))</f>
        <v/>
      </c>
      <c r="AZ147" s="197"/>
      <c r="BA147" s="196" t="str">
        <f>IF(BA146="","", IF(BA146&lt;89%,"OVER STANDART",IF(BA146=89%,"GOOD","UNDER STANDART")))</f>
        <v/>
      </c>
      <c r="BB147" s="197"/>
      <c r="BC147" s="196" t="str">
        <f>IF(BC146="","", IF(BC146&lt;89%,"OVER STANDART",IF(BC146=89%,"GOOD","UNDER STANDART")))</f>
        <v/>
      </c>
      <c r="BD147" s="197"/>
      <c r="BE147" s="196" t="str">
        <f>IF(BE146="","", IF(BE146&lt;89%,"OVER STANDART",IF(BE146=89%,"GOOD","UNDER STANDART")))</f>
        <v/>
      </c>
      <c r="BF147" s="197"/>
      <c r="BG147" s="196" t="str">
        <f>IF(BG146="","", IF(BG146&lt;89%,"OVER STANDART",IF(BG146=89%,"GOOD","UNDER STANDART")))</f>
        <v/>
      </c>
      <c r="BH147" s="197"/>
      <c r="BI147" s="196" t="str">
        <f>IF(BI146="","", IF(BI146&lt;89%,"OVER STANDART",IF(BI146=89%,"GOOD","UNDER STANDART")))</f>
        <v/>
      </c>
      <c r="BJ147" s="197"/>
      <c r="BK147" s="196" t="str">
        <f>IF(BK146="","", IF(BK146&lt;89%,"OVER STANDART",IF(BK146=89%,"GOOD","UNDER STANDART")))</f>
        <v/>
      </c>
      <c r="BL147" s="197"/>
      <c r="BM147" s="196" t="str">
        <f>IF(BM146="","", IF(BM146&lt;89%,"OVER STANDART",IF(BM146=89%,"GOOD","UNDER STANDART")))</f>
        <v/>
      </c>
      <c r="BN147" s="197"/>
      <c r="BO147" s="196" t="str">
        <f>IF(BO146="","", IF(BO146&lt;89%,"OVER STANDART",IF(BO146=89%,"GOOD","UNDER STANDART")))</f>
        <v/>
      </c>
      <c r="BP147" s="197"/>
      <c r="BQ147" s="196" t="str">
        <f>IF(BQ146="","", IF(BQ146&lt;89%,"OVER STANDART",IF(BQ146=89%,"GOOD","UNDER STANDART")))</f>
        <v/>
      </c>
      <c r="BR147" s="197"/>
      <c r="BS147" s="196" t="str">
        <f>IF(BS146="","", IF(BS146&lt;89%,"OVER STANDART",IF(BS146=89%,"GOOD","UNDER STANDART")))</f>
        <v/>
      </c>
      <c r="BT147" s="197"/>
      <c r="BU147" s="24" t="e">
        <f>IF(BU146="","", IF(BU146&lt;89%,"OVER STANDART",IF(BU146=89%,"GOOD","UNDER STANDART")))</f>
        <v>#VALUE!</v>
      </c>
      <c r="BV147" s="23"/>
      <c r="BW147" s="25"/>
      <c r="BX147" s="3"/>
      <c r="BY147" s="3"/>
      <c r="BZ147" s="3"/>
    </row>
    <row r="148" spans="1:78" ht="14.5" x14ac:dyDescent="0.3">
      <c r="A148" s="198">
        <f>A143+1</f>
        <v>30</v>
      </c>
      <c r="B148" s="7" t="s">
        <v>278</v>
      </c>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9" t="str">
        <f>IF(SUMIF($C$2:$BT$2,"FRESH",C148:BT148)=0,"",SUMIF($C$2:$BT$2,"FRESH",C148:BT148))</f>
        <v/>
      </c>
      <c r="BV148" s="10" t="str">
        <f>IF(SUMIF($C$2:$BT$2,"GILING",C148:BT148)=0,"",SUMIF($C$2:$BT$2,"GILING",C148:BT148))</f>
        <v/>
      </c>
      <c r="BW148" s="11"/>
      <c r="BX148" s="3"/>
      <c r="BY148" s="3"/>
      <c r="BZ148" s="3"/>
    </row>
    <row r="149" spans="1:78" x14ac:dyDescent="0.3">
      <c r="A149" s="199"/>
      <c r="B149" s="12" t="s">
        <v>279</v>
      </c>
      <c r="C149" s="188">
        <f>IF(AND(C148="",D148=""),0,C148-D148)</f>
        <v>0</v>
      </c>
      <c r="D149" s="189"/>
      <c r="E149" s="188">
        <f>IF(AND(E148="",F148=""),0,E148-F148)</f>
        <v>0</v>
      </c>
      <c r="F149" s="189"/>
      <c r="G149" s="188">
        <f>IF(AND(G148="",H148=""),0,G148-H148)</f>
        <v>0</v>
      </c>
      <c r="H149" s="189"/>
      <c r="I149" s="188">
        <f>IF(AND(I148="",J148=""),0,I148-J148)</f>
        <v>0</v>
      </c>
      <c r="J149" s="189"/>
      <c r="K149" s="188">
        <f>IF(AND(K148="",L148=""),0,K148-L148)</f>
        <v>0</v>
      </c>
      <c r="L149" s="189"/>
      <c r="M149" s="188">
        <f>IF(AND(M148="",N148=""),0,M148-N148)</f>
        <v>0</v>
      </c>
      <c r="N149" s="189"/>
      <c r="O149" s="188">
        <f>IF(AND(O148="",P148=""),0,O148-P148)</f>
        <v>0</v>
      </c>
      <c r="P149" s="189"/>
      <c r="Q149" s="188">
        <f>IF(AND(Q148="",R148=""),0,Q148-R148)</f>
        <v>0</v>
      </c>
      <c r="R149" s="189"/>
      <c r="S149" s="188">
        <f>IF(AND(S148="",T148=""),0,S148-T148)</f>
        <v>0</v>
      </c>
      <c r="T149" s="189"/>
      <c r="U149" s="188">
        <f>IF(AND(U148="",V148=""),0,U148-V148)</f>
        <v>0</v>
      </c>
      <c r="V149" s="189"/>
      <c r="W149" s="188">
        <f>IF(AND(W148="",X148=""),0,W148-X148)</f>
        <v>0</v>
      </c>
      <c r="X149" s="189"/>
      <c r="Y149" s="188">
        <f>IF(AND(Y148="",Z148=""),0,Y148-Z148)</f>
        <v>0</v>
      </c>
      <c r="Z149" s="189"/>
      <c r="AA149" s="188">
        <f>IF(AND(AA148="",AB148=""),0,AA148-AB148)</f>
        <v>0</v>
      </c>
      <c r="AB149" s="189"/>
      <c r="AC149" s="188">
        <f>IF(AND(AC148="",AD148=""),0,AC148-AD148)</f>
        <v>0</v>
      </c>
      <c r="AD149" s="189"/>
      <c r="AE149" s="188">
        <f>IF(AND(AE148="",AF148=""),0,AE148-AF148)</f>
        <v>0</v>
      </c>
      <c r="AF149" s="189"/>
      <c r="AG149" s="188">
        <f>IF(AND(AG148="",AH148=""),0,AG148-AH148)</f>
        <v>0</v>
      </c>
      <c r="AH149" s="189"/>
      <c r="AI149" s="188">
        <f>IF(AND(AI148="",AJ148=""),0,AI148-AJ148)</f>
        <v>0</v>
      </c>
      <c r="AJ149" s="189"/>
      <c r="AK149" s="188">
        <f>IF(AND(AK148="",AL148=""),0,AK148-AL148)</f>
        <v>0</v>
      </c>
      <c r="AL149" s="189"/>
      <c r="AM149" s="188">
        <f>IF(AND(AM148="",AN148=""),0,AM148-AN148)</f>
        <v>0</v>
      </c>
      <c r="AN149" s="189"/>
      <c r="AO149" s="188">
        <f>IF(AND(AO148="",AP148=""),0,AO148-AP148)</f>
        <v>0</v>
      </c>
      <c r="AP149" s="189"/>
      <c r="AQ149" s="188">
        <f>IF(AND(AQ148="",AR148=""),0,AQ148-AR148)</f>
        <v>0</v>
      </c>
      <c r="AR149" s="189"/>
      <c r="AS149" s="188">
        <f>IF(AND(AS148="",AT148=""),0,AS148-AT148)</f>
        <v>0</v>
      </c>
      <c r="AT149" s="189"/>
      <c r="AU149" s="188">
        <f>IF(AND(AU148="",AV148=""),0,AU148-AV148)</f>
        <v>0</v>
      </c>
      <c r="AV149" s="189"/>
      <c r="AW149" s="188">
        <f>IF(AND(AW148="",AX148=""),0,AW148-AX148)</f>
        <v>0</v>
      </c>
      <c r="AX149" s="189"/>
      <c r="AY149" s="188">
        <f>IF(AND(AY148="",AZ148=""),0,AY148-AZ148)</f>
        <v>0</v>
      </c>
      <c r="AZ149" s="189"/>
      <c r="BA149" s="188">
        <f>IF(AND(BA148="",BB148=""),0,BA148-BB148)</f>
        <v>0</v>
      </c>
      <c r="BB149" s="189"/>
      <c r="BC149" s="188">
        <f>IF(AND(BC148="",BD148=""),0,BC148-BD148)</f>
        <v>0</v>
      </c>
      <c r="BD149" s="189"/>
      <c r="BE149" s="188">
        <f>IF(AND(BE148="",BF148=""),0,BE148-BF148)</f>
        <v>0</v>
      </c>
      <c r="BF149" s="189"/>
      <c r="BG149" s="188">
        <f>IF(AND(BG148="",BH148=""),0,BG148-BH148)</f>
        <v>0</v>
      </c>
      <c r="BH149" s="189"/>
      <c r="BI149" s="188">
        <f>IF(AND(BI148="",BJ148=""),0,BI148-BJ148)</f>
        <v>0</v>
      </c>
      <c r="BJ149" s="189"/>
      <c r="BK149" s="188">
        <f>IF(AND(BK148="",BL148=""),0,BK148-BL148)</f>
        <v>0</v>
      </c>
      <c r="BL149" s="189"/>
      <c r="BM149" s="188">
        <f>IF(AND(BM148="",BN148=""),0,BM148-BN148)</f>
        <v>0</v>
      </c>
      <c r="BN149" s="189"/>
      <c r="BO149" s="188">
        <f>IF(AND(BO148="",BP148=""),0,BO148-BP148)</f>
        <v>0</v>
      </c>
      <c r="BP149" s="189"/>
      <c r="BQ149" s="188">
        <f>IF(AND(BQ148="",BR148=""),0,BQ148-BR148)</f>
        <v>0</v>
      </c>
      <c r="BR149" s="189"/>
      <c r="BS149" s="188">
        <f>IF(AND(BS148="",BT148=""),0,BS148-BT148)</f>
        <v>0</v>
      </c>
      <c r="BT149" s="189"/>
      <c r="BU149" s="14" t="str">
        <f>IF(AND(BU148="",BV148=""),"",BU148-BV148)</f>
        <v/>
      </c>
      <c r="BV149" s="13"/>
      <c r="BW149" s="16" t="str">
        <f>IF(COUNTIF(D149:BT149,"&gt;0")=0,"",COUNTIF(D149:BT149,"&gt;0"))</f>
        <v/>
      </c>
      <c r="BX149" s="3"/>
      <c r="BY149" s="3"/>
      <c r="BZ149" s="3"/>
    </row>
    <row r="150" spans="1:78" ht="14.5" x14ac:dyDescent="0.3">
      <c r="A150" s="199"/>
      <c r="B150" s="12" t="s">
        <v>280</v>
      </c>
      <c r="C150" s="186">
        <f>IF(C149="",0,(D148/89%)-(C148))</f>
        <v>0</v>
      </c>
      <c r="D150" s="187"/>
      <c r="E150" s="186">
        <f>IF(E149="",0,(F148/89%)-(E148))</f>
        <v>0</v>
      </c>
      <c r="F150" s="187"/>
      <c r="G150" s="186">
        <f>IF(G149="",0,(H148/89%)-(G148))</f>
        <v>0</v>
      </c>
      <c r="H150" s="187"/>
      <c r="I150" s="186">
        <f>IF(I149="",0,(J148/89%)-(I148))</f>
        <v>0</v>
      </c>
      <c r="J150" s="187"/>
      <c r="K150" s="186">
        <f>IF(K149="",0,(L148/89%)-(K148))</f>
        <v>0</v>
      </c>
      <c r="L150" s="187"/>
      <c r="M150" s="186">
        <f>IF(M149="",0,(N148/89%)-(M148))</f>
        <v>0</v>
      </c>
      <c r="N150" s="187"/>
      <c r="O150" s="186">
        <f>IF(O149="",0,(P148/89%)-(O148))</f>
        <v>0</v>
      </c>
      <c r="P150" s="187"/>
      <c r="Q150" s="186">
        <f>IF(Q149="",0,(R148/89%)-(Q148))</f>
        <v>0</v>
      </c>
      <c r="R150" s="187"/>
      <c r="S150" s="186">
        <f>IF(S149="",0,(T148/89%)-(S148))</f>
        <v>0</v>
      </c>
      <c r="T150" s="187"/>
      <c r="U150" s="186">
        <f>IF(U149="",0,(V148/89%)-(U148))</f>
        <v>0</v>
      </c>
      <c r="V150" s="187"/>
      <c r="W150" s="186">
        <f>IF(W149="",0,(X148/89%)-(W148))</f>
        <v>0</v>
      </c>
      <c r="X150" s="187"/>
      <c r="Y150" s="186">
        <f>IF(Y149="",0,(Z148/89%)-(Y148))</f>
        <v>0</v>
      </c>
      <c r="Z150" s="187"/>
      <c r="AA150" s="186">
        <f>IF(AA149="",0,(AB148/89%)-(AA148))</f>
        <v>0</v>
      </c>
      <c r="AB150" s="187"/>
      <c r="AC150" s="186">
        <f>IF(AC149="",0,(AD148/89%)-(AC148))</f>
        <v>0</v>
      </c>
      <c r="AD150" s="187"/>
      <c r="AE150" s="186">
        <f>IF(AE149="",0,(AF148/89%)-(AE148))</f>
        <v>0</v>
      </c>
      <c r="AF150" s="187"/>
      <c r="AG150" s="186">
        <f>IF(AG149="",0,(AH148/89%)-(AG148))</f>
        <v>0</v>
      </c>
      <c r="AH150" s="187"/>
      <c r="AI150" s="186">
        <f>IF(AI149="",0,(AJ148/89%)-(AI148))</f>
        <v>0</v>
      </c>
      <c r="AJ150" s="187"/>
      <c r="AK150" s="186">
        <f>IF(AK149="",0,(AL148/89%)-(AK148))</f>
        <v>0</v>
      </c>
      <c r="AL150" s="187"/>
      <c r="AM150" s="186">
        <f>IF(AM149="",0,(AN148/89%)-(AM148))</f>
        <v>0</v>
      </c>
      <c r="AN150" s="187"/>
      <c r="AO150" s="186">
        <f>IF(AO149="",0,(AP148/89%)-(AO148))</f>
        <v>0</v>
      </c>
      <c r="AP150" s="187"/>
      <c r="AQ150" s="186">
        <f>IF(AQ149="",0,(AR148/89%)-(AQ148))</f>
        <v>0</v>
      </c>
      <c r="AR150" s="187"/>
      <c r="AS150" s="186">
        <f>IF(AS149="",0,(AT148/89%)-(AS148))</f>
        <v>0</v>
      </c>
      <c r="AT150" s="187"/>
      <c r="AU150" s="186">
        <f>IF(AU149="",0,(AV148/89%)-(AU148))</f>
        <v>0</v>
      </c>
      <c r="AV150" s="187"/>
      <c r="AW150" s="186">
        <f>IF(AW149="",0,(AX148/89%)-(AW148))</f>
        <v>0</v>
      </c>
      <c r="AX150" s="187"/>
      <c r="AY150" s="186">
        <f>IF(AY149="",0,(AZ148/89%)-(AY148))</f>
        <v>0</v>
      </c>
      <c r="AZ150" s="187"/>
      <c r="BA150" s="186">
        <f>IF(BA149="",0,(BB148/89%)-(BA148))</f>
        <v>0</v>
      </c>
      <c r="BB150" s="187"/>
      <c r="BC150" s="186">
        <f>IF(BC149="",0,(BD148/89%)-(BC148))</f>
        <v>0</v>
      </c>
      <c r="BD150" s="187"/>
      <c r="BE150" s="186">
        <f>IF(BE149="",0,(BF148/89%)-(BE148))</f>
        <v>0</v>
      </c>
      <c r="BF150" s="187"/>
      <c r="BG150" s="186">
        <f>IF(BG149="",0,(BH148/89%)-(BG148))</f>
        <v>0</v>
      </c>
      <c r="BH150" s="187"/>
      <c r="BI150" s="186">
        <f>IF(BI149="",0,(BJ148/89%)-(BI148))</f>
        <v>0</v>
      </c>
      <c r="BJ150" s="187"/>
      <c r="BK150" s="186">
        <f>IF(BK149="",0,(BL148/89%)-(BK148))</f>
        <v>0</v>
      </c>
      <c r="BL150" s="187"/>
      <c r="BM150" s="186">
        <f>IF(BM149="",0,(BN148/89%)-(BM148))</f>
        <v>0</v>
      </c>
      <c r="BN150" s="187"/>
      <c r="BO150" s="186">
        <f>IF(BO149="",0,(BP148/89%)-(BO148))</f>
        <v>0</v>
      </c>
      <c r="BP150" s="187"/>
      <c r="BQ150" s="186">
        <f>IF(BQ149="",0,(BR148/89%)-(BQ148))</f>
        <v>0</v>
      </c>
      <c r="BR150" s="187"/>
      <c r="BS150" s="186">
        <f>IF(BS149="",0,(BT148/89%)-(BS148))</f>
        <v>0</v>
      </c>
      <c r="BT150" s="187"/>
      <c r="BU150" s="17" t="str">
        <f>IF(BU149="","",(BV148/89%)-(BU148))</f>
        <v/>
      </c>
      <c r="BV150" s="13"/>
      <c r="BW150" s="18" t="str">
        <f>IF(AND(BU148="",BV148=""),"",(BU148-BV148)-BU149)</f>
        <v/>
      </c>
      <c r="BX150" s="3"/>
      <c r="BY150" s="3"/>
      <c r="BZ150" s="3"/>
    </row>
    <row r="151" spans="1:78" ht="14.5" x14ac:dyDescent="0.3">
      <c r="A151" s="199"/>
      <c r="B151" s="19" t="s">
        <v>281</v>
      </c>
      <c r="C151" s="194" t="str">
        <f>IF(C149=0,"",ABS(IFERROR((C149/C148),0)-1))</f>
        <v/>
      </c>
      <c r="D151" s="195"/>
      <c r="E151" s="194" t="str">
        <f>IF(E149=0,"",ABS(IFERROR((E149/E148),0)-1))</f>
        <v/>
      </c>
      <c r="F151" s="195"/>
      <c r="G151" s="194" t="str">
        <f>IF(G149=0,"",ABS(IFERROR((G149/G148),0)-1))</f>
        <v/>
      </c>
      <c r="H151" s="195"/>
      <c r="I151" s="194" t="str">
        <f>IF(I149=0,"",ABS(IFERROR((I149/I148),0)-1))</f>
        <v/>
      </c>
      <c r="J151" s="195"/>
      <c r="K151" s="194" t="str">
        <f>IF(K149=0,"",ABS(IFERROR((K149/K148),0)-1))</f>
        <v/>
      </c>
      <c r="L151" s="195"/>
      <c r="M151" s="194" t="str">
        <f>IF(M149=0,"",ABS(IFERROR((M149/M148),0)-1))</f>
        <v/>
      </c>
      <c r="N151" s="195"/>
      <c r="O151" s="194" t="str">
        <f>IF(O149=0,"",ABS(IFERROR((O149/O148),0)-1))</f>
        <v/>
      </c>
      <c r="P151" s="195"/>
      <c r="Q151" s="194" t="str">
        <f>IF(Q149=0,"",ABS(IFERROR((Q149/Q148),0)-1))</f>
        <v/>
      </c>
      <c r="R151" s="195"/>
      <c r="S151" s="194" t="str">
        <f>IF(S149=0,"",ABS(IFERROR((S149/S148),0)-1))</f>
        <v/>
      </c>
      <c r="T151" s="195"/>
      <c r="U151" s="194" t="str">
        <f>IF(U149=0,"",ABS(IFERROR((U149/U148),0)-1))</f>
        <v/>
      </c>
      <c r="V151" s="195"/>
      <c r="W151" s="194" t="str">
        <f>IF(W149=0,"",ABS(IFERROR((W149/W148),0)-1))</f>
        <v/>
      </c>
      <c r="X151" s="195"/>
      <c r="Y151" s="194" t="str">
        <f>IF(Y149=0,"",ABS(IFERROR((Y149/Y148),0)-1))</f>
        <v/>
      </c>
      <c r="Z151" s="195"/>
      <c r="AA151" s="194" t="str">
        <f>IF(AA149=0,"",ABS(IFERROR((AA149/AA148),0)-1))</f>
        <v/>
      </c>
      <c r="AB151" s="195"/>
      <c r="AC151" s="194" t="str">
        <f>IF(AC149=0,"",ABS(IFERROR((AC149/AC148),0)-1))</f>
        <v/>
      </c>
      <c r="AD151" s="195"/>
      <c r="AE151" s="194" t="str">
        <f>IF(AE149=0,"",ABS(IFERROR((AE149/AE148),0)-1))</f>
        <v/>
      </c>
      <c r="AF151" s="195"/>
      <c r="AG151" s="194" t="str">
        <f>IF(AG149=0,"",ABS(IFERROR((AG149/AG148),0)-1))</f>
        <v/>
      </c>
      <c r="AH151" s="195"/>
      <c r="AI151" s="194" t="str">
        <f>IF(AI149=0,"",ABS(IFERROR((AI149/AI148),0)-1))</f>
        <v/>
      </c>
      <c r="AJ151" s="195"/>
      <c r="AK151" s="194" t="str">
        <f>IF(AK149=0,"",ABS(IFERROR((AK149/AK148),0)-1))</f>
        <v/>
      </c>
      <c r="AL151" s="195"/>
      <c r="AM151" s="194" t="str">
        <f>IF(AM149=0,"",ABS(IFERROR((AM149/AM148),0)-1))</f>
        <v/>
      </c>
      <c r="AN151" s="195"/>
      <c r="AO151" s="194" t="str">
        <f>IF(AO149=0,"",ABS(IFERROR((AO149/AO148),0)-1))</f>
        <v/>
      </c>
      <c r="AP151" s="195"/>
      <c r="AQ151" s="194" t="str">
        <f>IF(AQ149=0,"",ABS(IFERROR((AQ149/AQ148),0)-1))</f>
        <v/>
      </c>
      <c r="AR151" s="195"/>
      <c r="AS151" s="194" t="str">
        <f>IF(AS149=0,"",ABS(IFERROR((AS149/AS148),0)-1))</f>
        <v/>
      </c>
      <c r="AT151" s="195"/>
      <c r="AU151" s="194" t="str">
        <f>IF(AU149=0,"",ABS(IFERROR((AU149/AU148),0)-1))</f>
        <v/>
      </c>
      <c r="AV151" s="195"/>
      <c r="AW151" s="194" t="str">
        <f>IF(AW149=0,"",ABS(IFERROR((AW149/AW148),0)-1))</f>
        <v/>
      </c>
      <c r="AX151" s="195"/>
      <c r="AY151" s="194" t="str">
        <f>IF(AY149=0,"",ABS(IFERROR((AY149/AY148),0)-1))</f>
        <v/>
      </c>
      <c r="AZ151" s="195"/>
      <c r="BA151" s="194" t="str">
        <f>IF(BA149=0,"",ABS(IFERROR((BA149/BA148),0)-1))</f>
        <v/>
      </c>
      <c r="BB151" s="195"/>
      <c r="BC151" s="194" t="str">
        <f>IF(BC149=0,"",ABS(IFERROR((BC149/BC148),0)-1))</f>
        <v/>
      </c>
      <c r="BD151" s="195"/>
      <c r="BE151" s="194" t="str">
        <f>IF(BE149=0,"",ABS(IFERROR((BE149/BE148),0)-1))</f>
        <v/>
      </c>
      <c r="BF151" s="195"/>
      <c r="BG151" s="194" t="str">
        <f>IF(BG149=0,"",ABS(IFERROR((BG149/BG148),0)-1))</f>
        <v/>
      </c>
      <c r="BH151" s="195"/>
      <c r="BI151" s="194" t="str">
        <f>IF(BI149=0,"",ABS(IFERROR((BI149/BI148),0)-1))</f>
        <v/>
      </c>
      <c r="BJ151" s="195"/>
      <c r="BK151" s="194" t="str">
        <f>IF(BK149=0,"",ABS(IFERROR((BK149/BK148),0)-1))</f>
        <v/>
      </c>
      <c r="BL151" s="195"/>
      <c r="BM151" s="194" t="str">
        <f>IF(BM149=0,"",ABS(IFERROR((BM149/BM148),0)-1))</f>
        <v/>
      </c>
      <c r="BN151" s="195"/>
      <c r="BO151" s="194" t="str">
        <f>IF(BO149=0,"",ABS(IFERROR((BO149/BO148),0)-1))</f>
        <v/>
      </c>
      <c r="BP151" s="195"/>
      <c r="BQ151" s="194" t="str">
        <f>IF(BQ149=0,"",ABS(IFERROR((BQ149/BQ148),0)-1))</f>
        <v/>
      </c>
      <c r="BR151" s="195"/>
      <c r="BS151" s="194" t="str">
        <f>IF(BS149=0,"",ABS(IFERROR((BS149/BS148),0)-1))</f>
        <v/>
      </c>
      <c r="BT151" s="195"/>
      <c r="BU151" s="26" t="e">
        <f>ABS(IFERROR((BU149/BU148),"")-1)</f>
        <v>#VALUE!</v>
      </c>
      <c r="BV151" s="15"/>
      <c r="BW151" s="21"/>
      <c r="BX151" s="3"/>
      <c r="BY151" s="3"/>
      <c r="BZ151" s="3"/>
    </row>
    <row r="152" spans="1:78" ht="15" thickBot="1" x14ac:dyDescent="0.35">
      <c r="A152" s="181"/>
      <c r="B152" s="22" t="s">
        <v>177</v>
      </c>
      <c r="C152" s="196" t="str">
        <f>IF(C151="","", IF(C151&lt;89%,"OVER STANDART",IF(C151=89%,"GOOD","UNDER STANDART")))</f>
        <v/>
      </c>
      <c r="D152" s="197"/>
      <c r="E152" s="196" t="str">
        <f>IF(E151="","", IF(E151&lt;89%,"OVER STANDART",IF(E151=89%,"GOOD","UNDER STANDART")))</f>
        <v/>
      </c>
      <c r="F152" s="197"/>
      <c r="G152" s="196" t="str">
        <f>IF(G151="","", IF(G151&lt;89%,"OVER STANDART",IF(G151=89%,"GOOD","UNDER STANDART")))</f>
        <v/>
      </c>
      <c r="H152" s="197"/>
      <c r="I152" s="196" t="str">
        <f>IF(I151="","", IF(I151&lt;89%,"OVER STANDART",IF(I151=89%,"GOOD","UNDER STANDART")))</f>
        <v/>
      </c>
      <c r="J152" s="197"/>
      <c r="K152" s="196" t="str">
        <f>IF(K151="","", IF(K151&lt;89%,"OVER STANDART",IF(K151=89%,"GOOD","UNDER STANDART")))</f>
        <v/>
      </c>
      <c r="L152" s="197"/>
      <c r="M152" s="196" t="str">
        <f>IF(M151="","", IF(M151&lt;89%,"OVER STANDART",IF(M151=89%,"GOOD","UNDER STANDART")))</f>
        <v/>
      </c>
      <c r="N152" s="197"/>
      <c r="O152" s="196" t="str">
        <f>IF(O151="","", IF(O151&lt;89%,"OVER STANDART",IF(O151=89%,"GOOD","UNDER STANDART")))</f>
        <v/>
      </c>
      <c r="P152" s="197"/>
      <c r="Q152" s="196" t="str">
        <f>IF(Q151="","", IF(Q151&lt;89%,"OVER STANDART",IF(Q151=89%,"GOOD","UNDER STANDART")))</f>
        <v/>
      </c>
      <c r="R152" s="197"/>
      <c r="S152" s="196" t="str">
        <f>IF(S151="","", IF(S151&lt;89%,"OVER STANDART",IF(S151=89%,"GOOD","UNDER STANDART")))</f>
        <v/>
      </c>
      <c r="T152" s="197"/>
      <c r="U152" s="196" t="str">
        <f>IF(U151="","", IF(U151&lt;89%,"OVER STANDART",IF(U151=89%,"GOOD","UNDER STANDART")))</f>
        <v/>
      </c>
      <c r="V152" s="197"/>
      <c r="W152" s="196" t="str">
        <f>IF(W151="","", IF(W151&lt;89%,"OVER STANDART",IF(W151=89%,"GOOD","UNDER STANDART")))</f>
        <v/>
      </c>
      <c r="X152" s="197"/>
      <c r="Y152" s="196" t="str">
        <f>IF(Y151="","", IF(Y151&lt;89%,"OVER STANDART",IF(Y151=89%,"GOOD","UNDER STANDART")))</f>
        <v/>
      </c>
      <c r="Z152" s="197"/>
      <c r="AA152" s="196" t="str">
        <f>IF(AA151="","", IF(AA151&lt;89%,"OVER STANDART",IF(AA151=89%,"GOOD","UNDER STANDART")))</f>
        <v/>
      </c>
      <c r="AB152" s="197"/>
      <c r="AC152" s="196" t="str">
        <f>IF(AC151="","", IF(AC151&lt;89%,"OVER STANDART",IF(AC151=89%,"GOOD","UNDER STANDART")))</f>
        <v/>
      </c>
      <c r="AD152" s="197"/>
      <c r="AE152" s="196" t="str">
        <f>IF(AE151="","", IF(AE151&lt;89%,"OVER STANDART",IF(AE151=89%,"GOOD","UNDER STANDART")))</f>
        <v/>
      </c>
      <c r="AF152" s="197"/>
      <c r="AG152" s="196" t="str">
        <f>IF(AG151="","", IF(AG151&lt;89%,"OVER STANDART",IF(AG151=89%,"GOOD","UNDER STANDART")))</f>
        <v/>
      </c>
      <c r="AH152" s="197"/>
      <c r="AI152" s="196" t="str">
        <f>IF(AI151="","", IF(AI151&lt;89%,"OVER STANDART",IF(AI151=89%,"GOOD","UNDER STANDART")))</f>
        <v/>
      </c>
      <c r="AJ152" s="197"/>
      <c r="AK152" s="196" t="str">
        <f>IF(AK151="","", IF(AK151&lt;89%,"OVER STANDART",IF(AK151=89%,"GOOD","UNDER STANDART")))</f>
        <v/>
      </c>
      <c r="AL152" s="197"/>
      <c r="AM152" s="196" t="str">
        <f>IF(AM151="","", IF(AM151&lt;89%,"OVER STANDART",IF(AM151=89%,"GOOD","UNDER STANDART")))</f>
        <v/>
      </c>
      <c r="AN152" s="197"/>
      <c r="AO152" s="196" t="str">
        <f>IF(AO151="","", IF(AO151&lt;89%,"OVER STANDART",IF(AO151=89%,"GOOD","UNDER STANDART")))</f>
        <v/>
      </c>
      <c r="AP152" s="197"/>
      <c r="AQ152" s="196" t="str">
        <f>IF(AQ151="","", IF(AQ151&lt;89%,"OVER STANDART",IF(AQ151=89%,"GOOD","UNDER STANDART")))</f>
        <v/>
      </c>
      <c r="AR152" s="197"/>
      <c r="AS152" s="196" t="str">
        <f>IF(AS151="","", IF(AS151&lt;89%,"OVER STANDART",IF(AS151=89%,"GOOD","UNDER STANDART")))</f>
        <v/>
      </c>
      <c r="AT152" s="197"/>
      <c r="AU152" s="196" t="str">
        <f>IF(AU151="","", IF(AU151&lt;89%,"OVER STANDART",IF(AU151=89%,"GOOD","UNDER STANDART")))</f>
        <v/>
      </c>
      <c r="AV152" s="197"/>
      <c r="AW152" s="196" t="str">
        <f>IF(AW151="","", IF(AW151&lt;89%,"OVER STANDART",IF(AW151=89%,"GOOD","UNDER STANDART")))</f>
        <v/>
      </c>
      <c r="AX152" s="197"/>
      <c r="AY152" s="196" t="str">
        <f>IF(AY151="","", IF(AY151&lt;89%,"OVER STANDART",IF(AY151=89%,"GOOD","UNDER STANDART")))</f>
        <v/>
      </c>
      <c r="AZ152" s="197"/>
      <c r="BA152" s="196" t="str">
        <f>IF(BA151="","", IF(BA151&lt;89%,"OVER STANDART",IF(BA151=89%,"GOOD","UNDER STANDART")))</f>
        <v/>
      </c>
      <c r="BB152" s="197"/>
      <c r="BC152" s="196" t="str">
        <f>IF(BC151="","", IF(BC151&lt;89%,"OVER STANDART",IF(BC151=89%,"GOOD","UNDER STANDART")))</f>
        <v/>
      </c>
      <c r="BD152" s="197"/>
      <c r="BE152" s="196" t="str">
        <f>IF(BE151="","", IF(BE151&lt;89%,"OVER STANDART",IF(BE151=89%,"GOOD","UNDER STANDART")))</f>
        <v/>
      </c>
      <c r="BF152" s="197"/>
      <c r="BG152" s="196" t="str">
        <f>IF(BG151="","", IF(BG151&lt;89%,"OVER STANDART",IF(BG151=89%,"GOOD","UNDER STANDART")))</f>
        <v/>
      </c>
      <c r="BH152" s="197"/>
      <c r="BI152" s="196" t="str">
        <f>IF(BI151="","", IF(BI151&lt;89%,"OVER STANDART",IF(BI151=89%,"GOOD","UNDER STANDART")))</f>
        <v/>
      </c>
      <c r="BJ152" s="197"/>
      <c r="BK152" s="196" t="str">
        <f>IF(BK151="","", IF(BK151&lt;89%,"OVER STANDART",IF(BK151=89%,"GOOD","UNDER STANDART")))</f>
        <v/>
      </c>
      <c r="BL152" s="197"/>
      <c r="BM152" s="196" t="str">
        <f>IF(BM151="","", IF(BM151&lt;89%,"OVER STANDART",IF(BM151=89%,"GOOD","UNDER STANDART")))</f>
        <v/>
      </c>
      <c r="BN152" s="197"/>
      <c r="BO152" s="196" t="str">
        <f>IF(BO151="","", IF(BO151&lt;89%,"OVER STANDART",IF(BO151=89%,"GOOD","UNDER STANDART")))</f>
        <v/>
      </c>
      <c r="BP152" s="197"/>
      <c r="BQ152" s="196" t="str">
        <f>IF(BQ151="","", IF(BQ151&lt;89%,"OVER STANDART",IF(BQ151=89%,"GOOD","UNDER STANDART")))</f>
        <v/>
      </c>
      <c r="BR152" s="197"/>
      <c r="BS152" s="196" t="str">
        <f>IF(BS151="","", IF(BS151&lt;89%,"OVER STANDART",IF(BS151=89%,"GOOD","UNDER STANDART")))</f>
        <v/>
      </c>
      <c r="BT152" s="197"/>
      <c r="BU152" s="24" t="e">
        <f>IF(BU151="","", IF(BU151&lt;89%,"OVER STANDART",IF(BU151=89%,"GOOD","UNDER STANDART")))</f>
        <v>#VALUE!</v>
      </c>
      <c r="BV152" s="23"/>
      <c r="BW152" s="25"/>
      <c r="BX152" s="3"/>
      <c r="BY152" s="3"/>
      <c r="BZ152" s="3"/>
    </row>
    <row r="153" spans="1:78" ht="14.5" x14ac:dyDescent="0.3">
      <c r="A153" s="198">
        <f>A148+1</f>
        <v>31</v>
      </c>
      <c r="B153" s="7" t="s">
        <v>278</v>
      </c>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9" t="str">
        <f>IF(SUMIF($C$2:$BT$2,"FRESH",C153:BT153)=0,"",SUMIF($C$2:$BT$2,"FRESH",C153:BT153))</f>
        <v/>
      </c>
      <c r="BV153" s="10" t="str">
        <f>IF(SUMIF($C$2:$BT$2,"GILING",C153:BT153)=0,"",SUMIF($C$2:$BT$2,"GILING",C153:BT153))</f>
        <v/>
      </c>
      <c r="BW153" s="11"/>
      <c r="BX153" s="3"/>
      <c r="BY153" s="3"/>
      <c r="BZ153" s="3"/>
    </row>
    <row r="154" spans="1:78" x14ac:dyDescent="0.3">
      <c r="A154" s="199"/>
      <c r="B154" s="12" t="s">
        <v>279</v>
      </c>
      <c r="C154" s="188">
        <f>IF(AND(C153="",D153=""),0,C153-D153)</f>
        <v>0</v>
      </c>
      <c r="D154" s="189"/>
      <c r="E154" s="188">
        <f>IF(AND(E153="",F153=""),0,E153-F153)</f>
        <v>0</v>
      </c>
      <c r="F154" s="189"/>
      <c r="G154" s="188">
        <f>IF(AND(G153="",H153=""),0,G153-H153)</f>
        <v>0</v>
      </c>
      <c r="H154" s="189"/>
      <c r="I154" s="188">
        <f>IF(AND(I153="",J153=""),0,I153-J153)</f>
        <v>0</v>
      </c>
      <c r="J154" s="189"/>
      <c r="K154" s="188">
        <f>IF(AND(K153="",L153=""),0,K153-L153)</f>
        <v>0</v>
      </c>
      <c r="L154" s="189"/>
      <c r="M154" s="188">
        <f>IF(AND(M153="",N153=""),0,M153-N153)</f>
        <v>0</v>
      </c>
      <c r="N154" s="189"/>
      <c r="O154" s="188">
        <f>IF(AND(O153="",P153=""),0,O153-P153)</f>
        <v>0</v>
      </c>
      <c r="P154" s="189"/>
      <c r="Q154" s="188">
        <f>IF(AND(Q153="",R153=""),0,Q153-R153)</f>
        <v>0</v>
      </c>
      <c r="R154" s="189"/>
      <c r="S154" s="188">
        <f>IF(AND(S153="",T153=""),0,S153-T153)</f>
        <v>0</v>
      </c>
      <c r="T154" s="189"/>
      <c r="U154" s="188">
        <f>IF(AND(U153="",V153=""),0,U153-V153)</f>
        <v>0</v>
      </c>
      <c r="V154" s="189"/>
      <c r="W154" s="188">
        <f>IF(AND(W153="",X153=""),0,W153-X153)</f>
        <v>0</v>
      </c>
      <c r="X154" s="189"/>
      <c r="Y154" s="188">
        <f>IF(AND(Y153="",Z153=""),0,Y153-Z153)</f>
        <v>0</v>
      </c>
      <c r="Z154" s="189"/>
      <c r="AA154" s="188">
        <f>IF(AND(AA153="",AB153=""),0,AA153-AB153)</f>
        <v>0</v>
      </c>
      <c r="AB154" s="189"/>
      <c r="AC154" s="188">
        <f>IF(AND(AC153="",AD153=""),0,AC153-AD153)</f>
        <v>0</v>
      </c>
      <c r="AD154" s="189"/>
      <c r="AE154" s="188">
        <f>IF(AND(AE153="",AF153=""),0,AE153-AF153)</f>
        <v>0</v>
      </c>
      <c r="AF154" s="189"/>
      <c r="AG154" s="188">
        <f>IF(AND(AG153="",AH153=""),0,AG153-AH153)</f>
        <v>0</v>
      </c>
      <c r="AH154" s="189"/>
      <c r="AI154" s="188">
        <f>IF(AND(AI153="",AJ153=""),0,AI153-AJ153)</f>
        <v>0</v>
      </c>
      <c r="AJ154" s="189"/>
      <c r="AK154" s="188">
        <f>IF(AND(AK153="",AL153=""),0,AK153-AL153)</f>
        <v>0</v>
      </c>
      <c r="AL154" s="189"/>
      <c r="AM154" s="188">
        <f>IF(AND(AM153="",AN153=""),0,AM153-AN153)</f>
        <v>0</v>
      </c>
      <c r="AN154" s="189"/>
      <c r="AO154" s="188">
        <f>IF(AND(AO153="",AP153=""),0,AO153-AP153)</f>
        <v>0</v>
      </c>
      <c r="AP154" s="189"/>
      <c r="AQ154" s="188">
        <f>IF(AND(AQ153="",AR153=""),0,AQ153-AR153)</f>
        <v>0</v>
      </c>
      <c r="AR154" s="189"/>
      <c r="AS154" s="188">
        <f>IF(AND(AS153="",AT153=""),0,AS153-AT153)</f>
        <v>0</v>
      </c>
      <c r="AT154" s="189"/>
      <c r="AU154" s="188">
        <f>IF(AND(AU153="",AV153=""),0,AU153-AV153)</f>
        <v>0</v>
      </c>
      <c r="AV154" s="189"/>
      <c r="AW154" s="188">
        <f>IF(AND(AW153="",AX153=""),0,AW153-AX153)</f>
        <v>0</v>
      </c>
      <c r="AX154" s="189"/>
      <c r="AY154" s="188">
        <f>IF(AND(AY153="",AZ153=""),0,AY153-AZ153)</f>
        <v>0</v>
      </c>
      <c r="AZ154" s="189"/>
      <c r="BA154" s="188">
        <f>IF(AND(BA153="",BB153=""),0,BA153-BB153)</f>
        <v>0</v>
      </c>
      <c r="BB154" s="189"/>
      <c r="BC154" s="188">
        <f>IF(AND(BC153="",BD153=""),0,BC153-BD153)</f>
        <v>0</v>
      </c>
      <c r="BD154" s="189"/>
      <c r="BE154" s="188">
        <f>IF(AND(BE153="",BF153=""),0,BE153-BF153)</f>
        <v>0</v>
      </c>
      <c r="BF154" s="189"/>
      <c r="BG154" s="188">
        <f>IF(AND(BG153="",BH153=""),0,BG153-BH153)</f>
        <v>0</v>
      </c>
      <c r="BH154" s="189"/>
      <c r="BI154" s="188">
        <f>IF(AND(BI153="",BJ153=""),0,BI153-BJ153)</f>
        <v>0</v>
      </c>
      <c r="BJ154" s="189"/>
      <c r="BK154" s="188">
        <f>IF(AND(BK153="",BL153=""),0,BK153-BL153)</f>
        <v>0</v>
      </c>
      <c r="BL154" s="189"/>
      <c r="BM154" s="188">
        <f>IF(AND(BM153="",BN153=""),0,BM153-BN153)</f>
        <v>0</v>
      </c>
      <c r="BN154" s="189"/>
      <c r="BO154" s="188">
        <f>IF(AND(BO153="",BP153=""),0,BO153-BP153)</f>
        <v>0</v>
      </c>
      <c r="BP154" s="189"/>
      <c r="BQ154" s="188">
        <f>IF(AND(BQ153="",BR153=""),0,BQ153-BR153)</f>
        <v>0</v>
      </c>
      <c r="BR154" s="189"/>
      <c r="BS154" s="188">
        <f>IF(AND(BS153="",BT153=""),0,BS153-BT153)</f>
        <v>0</v>
      </c>
      <c r="BT154" s="189"/>
      <c r="BU154" s="14" t="str">
        <f>IF(AND(BU153="",BV153=""),"",BU153-BV153)</f>
        <v/>
      </c>
      <c r="BV154" s="13"/>
      <c r="BW154" s="16" t="str">
        <f>IF(COUNTIF(D154:BT154,"&gt;0")=0,"",COUNTIF(D154:BT154,"&gt;0"))</f>
        <v/>
      </c>
      <c r="BX154" s="3"/>
      <c r="BY154" s="3"/>
      <c r="BZ154" s="3"/>
    </row>
    <row r="155" spans="1:78" ht="14.5" x14ac:dyDescent="0.3">
      <c r="A155" s="199"/>
      <c r="B155" s="12" t="s">
        <v>280</v>
      </c>
      <c r="C155" s="186">
        <f>IF(C154="",0,(D153/89%)-(C153))</f>
        <v>0</v>
      </c>
      <c r="D155" s="187"/>
      <c r="E155" s="186">
        <f>IF(E154="",0,(F153/89%)-(E153))</f>
        <v>0</v>
      </c>
      <c r="F155" s="187"/>
      <c r="G155" s="186">
        <f>IF(G154="",0,(H153/89%)-(G153))</f>
        <v>0</v>
      </c>
      <c r="H155" s="187"/>
      <c r="I155" s="186">
        <f>IF(I154="",0,(J153/89%)-(I153))</f>
        <v>0</v>
      </c>
      <c r="J155" s="187"/>
      <c r="K155" s="186">
        <f>IF(K154="",0,(L153/89%)-(K153))</f>
        <v>0</v>
      </c>
      <c r="L155" s="187"/>
      <c r="M155" s="186">
        <f>IF(M154="",0,(N153/89%)-(M153))</f>
        <v>0</v>
      </c>
      <c r="N155" s="187"/>
      <c r="O155" s="186">
        <f>IF(O154="",0,(P153/89%)-(O153))</f>
        <v>0</v>
      </c>
      <c r="P155" s="187"/>
      <c r="Q155" s="186">
        <f>IF(Q154="",0,(R153/89%)-(Q153))</f>
        <v>0</v>
      </c>
      <c r="R155" s="187"/>
      <c r="S155" s="186">
        <f>IF(S154="",0,(T153/89%)-(S153))</f>
        <v>0</v>
      </c>
      <c r="T155" s="187"/>
      <c r="U155" s="186">
        <f>IF(U154="",0,(V153/89%)-(U153))</f>
        <v>0</v>
      </c>
      <c r="V155" s="187"/>
      <c r="W155" s="186">
        <f>IF(W154="",0,(X153/89%)-(W153))</f>
        <v>0</v>
      </c>
      <c r="X155" s="187"/>
      <c r="Y155" s="186">
        <f>IF(Y154="",0,(Z153/89%)-(Y153))</f>
        <v>0</v>
      </c>
      <c r="Z155" s="187"/>
      <c r="AA155" s="186">
        <f>IF(AA154="",0,(AB153/89%)-(AA153))</f>
        <v>0</v>
      </c>
      <c r="AB155" s="187"/>
      <c r="AC155" s="186">
        <f>IF(AC154="",0,(AD153/89%)-(AC153))</f>
        <v>0</v>
      </c>
      <c r="AD155" s="187"/>
      <c r="AE155" s="186">
        <f>IF(AE154="",0,(AF153/89%)-(AE153))</f>
        <v>0</v>
      </c>
      <c r="AF155" s="187"/>
      <c r="AG155" s="186">
        <f>IF(AG154="",0,(AH153/89%)-(AG153))</f>
        <v>0</v>
      </c>
      <c r="AH155" s="187"/>
      <c r="AI155" s="186">
        <f>IF(AI154="",0,(AJ153/89%)-(AI153))</f>
        <v>0</v>
      </c>
      <c r="AJ155" s="187"/>
      <c r="AK155" s="186">
        <f>IF(AK154="",0,(AL153/89%)-(AK153))</f>
        <v>0</v>
      </c>
      <c r="AL155" s="187"/>
      <c r="AM155" s="186">
        <f>IF(AM154="",0,(AN153/89%)-(AM153))</f>
        <v>0</v>
      </c>
      <c r="AN155" s="187"/>
      <c r="AO155" s="186">
        <f>IF(AO154="",0,(AP153/89%)-(AO153))</f>
        <v>0</v>
      </c>
      <c r="AP155" s="187"/>
      <c r="AQ155" s="186">
        <f>IF(AQ154="",0,(AR153/89%)-(AQ153))</f>
        <v>0</v>
      </c>
      <c r="AR155" s="187"/>
      <c r="AS155" s="186">
        <f>IF(AS154="",0,(AT153/89%)-(AS153))</f>
        <v>0</v>
      </c>
      <c r="AT155" s="187"/>
      <c r="AU155" s="186">
        <f>IF(AU154="",0,(AV153/89%)-(AU153))</f>
        <v>0</v>
      </c>
      <c r="AV155" s="187"/>
      <c r="AW155" s="186">
        <f>IF(AW154="",0,(AX153/89%)-(AW153))</f>
        <v>0</v>
      </c>
      <c r="AX155" s="187"/>
      <c r="AY155" s="186">
        <f>IF(AY154="",0,(AZ153/89%)-(AY153))</f>
        <v>0</v>
      </c>
      <c r="AZ155" s="187"/>
      <c r="BA155" s="186">
        <f>IF(BA154="",0,(BB153/89%)-(BA153))</f>
        <v>0</v>
      </c>
      <c r="BB155" s="187"/>
      <c r="BC155" s="186">
        <f>IF(BC154="",0,(BD153/89%)-(BC153))</f>
        <v>0</v>
      </c>
      <c r="BD155" s="187"/>
      <c r="BE155" s="186">
        <f>IF(BE154="",0,(BF153/89%)-(BE153))</f>
        <v>0</v>
      </c>
      <c r="BF155" s="187"/>
      <c r="BG155" s="186">
        <f>IF(BG154="",0,(BH153/89%)-(BG153))</f>
        <v>0</v>
      </c>
      <c r="BH155" s="187"/>
      <c r="BI155" s="186">
        <f>IF(BI154="",0,(BJ153/89%)-(BI153))</f>
        <v>0</v>
      </c>
      <c r="BJ155" s="187"/>
      <c r="BK155" s="186">
        <f>IF(BK154="",0,(BL153/89%)-(BK153))</f>
        <v>0</v>
      </c>
      <c r="BL155" s="187"/>
      <c r="BM155" s="186">
        <f>IF(BM154="",0,(BN153/89%)-(BM153))</f>
        <v>0</v>
      </c>
      <c r="BN155" s="187"/>
      <c r="BO155" s="186">
        <f>IF(BO154="",0,(BP153/89%)-(BO153))</f>
        <v>0</v>
      </c>
      <c r="BP155" s="187"/>
      <c r="BQ155" s="186">
        <f>IF(BQ154="",0,(BR153/89%)-(BQ153))</f>
        <v>0</v>
      </c>
      <c r="BR155" s="187"/>
      <c r="BS155" s="186">
        <f>IF(BS154="",0,(BT153/89%)-(BS153))</f>
        <v>0</v>
      </c>
      <c r="BT155" s="187"/>
      <c r="BU155" s="17" t="str">
        <f>IF(BU154="","",(BV153/89%)-(BU153))</f>
        <v/>
      </c>
      <c r="BV155" s="13"/>
      <c r="BW155" s="18" t="str">
        <f>IF(AND(BU153="",BV153=""),"",(BU153-BV153)-BU154)</f>
        <v/>
      </c>
      <c r="BX155" s="3"/>
      <c r="BY155" s="3"/>
      <c r="BZ155" s="3"/>
    </row>
    <row r="156" spans="1:78" ht="14.5" x14ac:dyDescent="0.3">
      <c r="A156" s="199"/>
      <c r="B156" s="19" t="s">
        <v>281</v>
      </c>
      <c r="C156" s="194" t="str">
        <f>IF(C154=0,"",ABS(IFERROR((C154/C153),0)-1))</f>
        <v/>
      </c>
      <c r="D156" s="195"/>
      <c r="E156" s="194" t="str">
        <f>IF(E154=0,"",ABS(IFERROR((E154/E153),0)-1))</f>
        <v/>
      </c>
      <c r="F156" s="195"/>
      <c r="G156" s="194" t="str">
        <f>IF(G154=0,"",ABS(IFERROR((G154/G153),0)-1))</f>
        <v/>
      </c>
      <c r="H156" s="195"/>
      <c r="I156" s="194" t="str">
        <f>IF(I154=0,"",ABS(IFERROR((I154/I153),0)-1))</f>
        <v/>
      </c>
      <c r="J156" s="195"/>
      <c r="K156" s="194" t="str">
        <f>IF(K154=0,"",ABS(IFERROR((K154/K153),0)-1))</f>
        <v/>
      </c>
      <c r="L156" s="195"/>
      <c r="M156" s="194" t="str">
        <f>IF(M154=0,"",ABS(IFERROR((M154/M153),0)-1))</f>
        <v/>
      </c>
      <c r="N156" s="195"/>
      <c r="O156" s="194" t="str">
        <f>IF(O154=0,"",ABS(IFERROR((O154/O153),0)-1))</f>
        <v/>
      </c>
      <c r="P156" s="195"/>
      <c r="Q156" s="194" t="str">
        <f>IF(Q154=0,"",ABS(IFERROR((Q154/Q153),0)-1))</f>
        <v/>
      </c>
      <c r="R156" s="195"/>
      <c r="S156" s="194" t="str">
        <f>IF(S154=0,"",ABS(IFERROR((S154/S153),0)-1))</f>
        <v/>
      </c>
      <c r="T156" s="195"/>
      <c r="U156" s="194" t="str">
        <f>IF(U154=0,"",ABS(IFERROR((U154/U153),0)-1))</f>
        <v/>
      </c>
      <c r="V156" s="195"/>
      <c r="W156" s="194" t="str">
        <f>IF(W154=0,"",ABS(IFERROR((W154/W153),0)-1))</f>
        <v/>
      </c>
      <c r="X156" s="195"/>
      <c r="Y156" s="194" t="str">
        <f>IF(Y154=0,"",ABS(IFERROR((Y154/Y153),0)-1))</f>
        <v/>
      </c>
      <c r="Z156" s="195"/>
      <c r="AA156" s="194" t="str">
        <f>IF(AA154=0,"",ABS(IFERROR((AA154/AA153),0)-1))</f>
        <v/>
      </c>
      <c r="AB156" s="195"/>
      <c r="AC156" s="194" t="str">
        <f>IF(AC154=0,"",ABS(IFERROR((AC154/AC153),0)-1))</f>
        <v/>
      </c>
      <c r="AD156" s="195"/>
      <c r="AE156" s="194" t="str">
        <f>IF(AE154=0,"",ABS(IFERROR((AE154/AE153),0)-1))</f>
        <v/>
      </c>
      <c r="AF156" s="195"/>
      <c r="AG156" s="194" t="str">
        <f>IF(AG154=0,"",ABS(IFERROR((AG154/AG153),0)-1))</f>
        <v/>
      </c>
      <c r="AH156" s="195"/>
      <c r="AI156" s="194" t="str">
        <f>IF(AI154=0,"",ABS(IFERROR((AI154/AI153),0)-1))</f>
        <v/>
      </c>
      <c r="AJ156" s="195"/>
      <c r="AK156" s="194" t="str">
        <f>IF(AK154=0,"",ABS(IFERROR((AK154/AK153),0)-1))</f>
        <v/>
      </c>
      <c r="AL156" s="195"/>
      <c r="AM156" s="194" t="str">
        <f>IF(AM154=0,"",ABS(IFERROR((AM154/AM153),0)-1))</f>
        <v/>
      </c>
      <c r="AN156" s="195"/>
      <c r="AO156" s="194" t="str">
        <f>IF(AO154=0,"",ABS(IFERROR((AO154/AO153),0)-1))</f>
        <v/>
      </c>
      <c r="AP156" s="195"/>
      <c r="AQ156" s="194" t="str">
        <f>IF(AQ154=0,"",ABS(IFERROR((AQ154/AQ153),0)-1))</f>
        <v/>
      </c>
      <c r="AR156" s="195"/>
      <c r="AS156" s="194" t="str">
        <f>IF(AS154=0,"",ABS(IFERROR((AS154/AS153),0)-1))</f>
        <v/>
      </c>
      <c r="AT156" s="195"/>
      <c r="AU156" s="194" t="str">
        <f>IF(AU154=0,"",ABS(IFERROR((AU154/AU153),0)-1))</f>
        <v/>
      </c>
      <c r="AV156" s="195"/>
      <c r="AW156" s="194" t="str">
        <f>IF(AW154=0,"",ABS(IFERROR((AW154/AW153),0)-1))</f>
        <v/>
      </c>
      <c r="AX156" s="195"/>
      <c r="AY156" s="194" t="str">
        <f>IF(AY154=0,"",ABS(IFERROR((AY154/AY153),0)-1))</f>
        <v/>
      </c>
      <c r="AZ156" s="195"/>
      <c r="BA156" s="194" t="str">
        <f>IF(BA154=0,"",ABS(IFERROR((BA154/BA153),0)-1))</f>
        <v/>
      </c>
      <c r="BB156" s="195"/>
      <c r="BC156" s="194" t="str">
        <f>IF(BC154=0,"",ABS(IFERROR((BC154/BC153),0)-1))</f>
        <v/>
      </c>
      <c r="BD156" s="195"/>
      <c r="BE156" s="194" t="str">
        <f>IF(BE154=0,"",ABS(IFERROR((BE154/BE153),0)-1))</f>
        <v/>
      </c>
      <c r="BF156" s="195"/>
      <c r="BG156" s="194" t="str">
        <f>IF(BG154=0,"",ABS(IFERROR((BG154/BG153),0)-1))</f>
        <v/>
      </c>
      <c r="BH156" s="195"/>
      <c r="BI156" s="194" t="str">
        <f>IF(BI154=0,"",ABS(IFERROR((BI154/BI153),0)-1))</f>
        <v/>
      </c>
      <c r="BJ156" s="195"/>
      <c r="BK156" s="194" t="str">
        <f>IF(BK154=0,"",ABS(IFERROR((BK154/BK153),0)-1))</f>
        <v/>
      </c>
      <c r="BL156" s="195"/>
      <c r="BM156" s="194" t="str">
        <f>IF(BM154=0,"",ABS(IFERROR((BM154/BM153),0)-1))</f>
        <v/>
      </c>
      <c r="BN156" s="195"/>
      <c r="BO156" s="194" t="str">
        <f>IF(BO154=0,"",ABS(IFERROR((BO154/BO153),0)-1))</f>
        <v/>
      </c>
      <c r="BP156" s="195"/>
      <c r="BQ156" s="194" t="str">
        <f>IF(BQ154=0,"",ABS(IFERROR((BQ154/BQ153),0)-1))</f>
        <v/>
      </c>
      <c r="BR156" s="195"/>
      <c r="BS156" s="194" t="str">
        <f>IF(BS154=0,"",ABS(IFERROR((BS154/BS153),0)-1))</f>
        <v/>
      </c>
      <c r="BT156" s="195"/>
      <c r="BU156" s="26" t="e">
        <f>ABS(IFERROR((BU154/BU153),"")-1)</f>
        <v>#VALUE!</v>
      </c>
      <c r="BV156" s="15"/>
      <c r="BW156" s="21"/>
      <c r="BX156" s="3"/>
      <c r="BY156" s="3"/>
      <c r="BZ156" s="3"/>
    </row>
    <row r="157" spans="1:78" ht="15" thickBot="1" x14ac:dyDescent="0.35">
      <c r="A157" s="181"/>
      <c r="B157" s="22" t="s">
        <v>177</v>
      </c>
      <c r="C157" s="196" t="str">
        <f>IF(C156="","", IF(C156&lt;89%,"OVER STANDART",IF(C156=89%,"GOOD","UNDER STANDART")))</f>
        <v/>
      </c>
      <c r="D157" s="197"/>
      <c r="E157" s="196" t="str">
        <f>IF(E156="","", IF(E156&lt;89%,"OVER STANDART",IF(E156=89%,"GOOD","UNDER STANDART")))</f>
        <v/>
      </c>
      <c r="F157" s="197"/>
      <c r="G157" s="196" t="str">
        <f>IF(G156="","", IF(G156&lt;89%,"OVER STANDART",IF(G156=89%,"GOOD","UNDER STANDART")))</f>
        <v/>
      </c>
      <c r="H157" s="197"/>
      <c r="I157" s="196" t="str">
        <f>IF(I156="","", IF(I156&lt;89%,"OVER STANDART",IF(I156=89%,"GOOD","UNDER STANDART")))</f>
        <v/>
      </c>
      <c r="J157" s="197"/>
      <c r="K157" s="196" t="str">
        <f>IF(K156="","", IF(K156&lt;89%,"OVER STANDART",IF(K156=89%,"GOOD","UNDER STANDART")))</f>
        <v/>
      </c>
      <c r="L157" s="197"/>
      <c r="M157" s="196" t="str">
        <f>IF(M156="","", IF(M156&lt;89%,"OVER STANDART",IF(M156=89%,"GOOD","UNDER STANDART")))</f>
        <v/>
      </c>
      <c r="N157" s="197"/>
      <c r="O157" s="196" t="str">
        <f>IF(O156="","", IF(O156&lt;89%,"OVER STANDART",IF(O156=89%,"GOOD","UNDER STANDART")))</f>
        <v/>
      </c>
      <c r="P157" s="197"/>
      <c r="Q157" s="196" t="str">
        <f>IF(Q156="","", IF(Q156&lt;89%,"OVER STANDART",IF(Q156=89%,"GOOD","UNDER STANDART")))</f>
        <v/>
      </c>
      <c r="R157" s="197"/>
      <c r="S157" s="196" t="str">
        <f>IF(S156="","", IF(S156&lt;89%,"OVER STANDART",IF(S156=89%,"GOOD","UNDER STANDART")))</f>
        <v/>
      </c>
      <c r="T157" s="197"/>
      <c r="U157" s="196" t="str">
        <f>IF(U156="","", IF(U156&lt;89%,"OVER STANDART",IF(U156=89%,"GOOD","UNDER STANDART")))</f>
        <v/>
      </c>
      <c r="V157" s="197"/>
      <c r="W157" s="196" t="str">
        <f>IF(W156="","", IF(W156&lt;89%,"OVER STANDART",IF(W156=89%,"GOOD","UNDER STANDART")))</f>
        <v/>
      </c>
      <c r="X157" s="197"/>
      <c r="Y157" s="196" t="str">
        <f>IF(Y156="","", IF(Y156&lt;89%,"OVER STANDART",IF(Y156=89%,"GOOD","UNDER STANDART")))</f>
        <v/>
      </c>
      <c r="Z157" s="197"/>
      <c r="AA157" s="196" t="str">
        <f>IF(AA156="","", IF(AA156&lt;89%,"OVER STANDART",IF(AA156=89%,"GOOD","UNDER STANDART")))</f>
        <v/>
      </c>
      <c r="AB157" s="197"/>
      <c r="AC157" s="196" t="str">
        <f>IF(AC156="","", IF(AC156&lt;89%,"OVER STANDART",IF(AC156=89%,"GOOD","UNDER STANDART")))</f>
        <v/>
      </c>
      <c r="AD157" s="197"/>
      <c r="AE157" s="196" t="str">
        <f>IF(AE156="","", IF(AE156&lt;89%,"OVER STANDART",IF(AE156=89%,"GOOD","UNDER STANDART")))</f>
        <v/>
      </c>
      <c r="AF157" s="197"/>
      <c r="AG157" s="196" t="str">
        <f>IF(AG156="","", IF(AG156&lt;89%,"OVER STANDART",IF(AG156=89%,"GOOD","UNDER STANDART")))</f>
        <v/>
      </c>
      <c r="AH157" s="197"/>
      <c r="AI157" s="196" t="str">
        <f>IF(AI156="","", IF(AI156&lt;89%,"OVER STANDART",IF(AI156=89%,"GOOD","UNDER STANDART")))</f>
        <v/>
      </c>
      <c r="AJ157" s="197"/>
      <c r="AK157" s="196" t="str">
        <f>IF(AK156="","", IF(AK156&lt;89%,"OVER STANDART",IF(AK156=89%,"GOOD","UNDER STANDART")))</f>
        <v/>
      </c>
      <c r="AL157" s="197"/>
      <c r="AM157" s="196" t="str">
        <f>IF(AM156="","", IF(AM156&lt;89%,"OVER STANDART",IF(AM156=89%,"GOOD","UNDER STANDART")))</f>
        <v/>
      </c>
      <c r="AN157" s="197"/>
      <c r="AO157" s="196" t="str">
        <f>IF(AO156="","", IF(AO156&lt;89%,"OVER STANDART",IF(AO156=89%,"GOOD","UNDER STANDART")))</f>
        <v/>
      </c>
      <c r="AP157" s="197"/>
      <c r="AQ157" s="196" t="str">
        <f>IF(AQ156="","", IF(AQ156&lt;89%,"OVER STANDART",IF(AQ156=89%,"GOOD","UNDER STANDART")))</f>
        <v/>
      </c>
      <c r="AR157" s="197"/>
      <c r="AS157" s="196" t="str">
        <f>IF(AS156="","", IF(AS156&lt;89%,"OVER STANDART",IF(AS156=89%,"GOOD","UNDER STANDART")))</f>
        <v/>
      </c>
      <c r="AT157" s="197"/>
      <c r="AU157" s="196" t="str">
        <f>IF(AU156="","", IF(AU156&lt;89%,"OVER STANDART",IF(AU156=89%,"GOOD","UNDER STANDART")))</f>
        <v/>
      </c>
      <c r="AV157" s="197"/>
      <c r="AW157" s="196" t="str">
        <f>IF(AW156="","", IF(AW156&lt;89%,"OVER STANDART",IF(AW156=89%,"GOOD","UNDER STANDART")))</f>
        <v/>
      </c>
      <c r="AX157" s="197"/>
      <c r="AY157" s="196" t="str">
        <f>IF(AY156="","", IF(AY156&lt;89%,"OVER STANDART",IF(AY156=89%,"GOOD","UNDER STANDART")))</f>
        <v/>
      </c>
      <c r="AZ157" s="197"/>
      <c r="BA157" s="196" t="str">
        <f>IF(BA156="","", IF(BA156&lt;89%,"OVER STANDART",IF(BA156=89%,"GOOD","UNDER STANDART")))</f>
        <v/>
      </c>
      <c r="BB157" s="197"/>
      <c r="BC157" s="196" t="str">
        <f>IF(BC156="","", IF(BC156&lt;89%,"OVER STANDART",IF(BC156=89%,"GOOD","UNDER STANDART")))</f>
        <v/>
      </c>
      <c r="BD157" s="197"/>
      <c r="BE157" s="196" t="str">
        <f>IF(BE156="","", IF(BE156&lt;89%,"OVER STANDART",IF(BE156=89%,"GOOD","UNDER STANDART")))</f>
        <v/>
      </c>
      <c r="BF157" s="197"/>
      <c r="BG157" s="196" t="str">
        <f>IF(BG156="","", IF(BG156&lt;89%,"OVER STANDART",IF(BG156=89%,"GOOD","UNDER STANDART")))</f>
        <v/>
      </c>
      <c r="BH157" s="197"/>
      <c r="BI157" s="196" t="str">
        <f>IF(BI156="","", IF(BI156&lt;89%,"OVER STANDART",IF(BI156=89%,"GOOD","UNDER STANDART")))</f>
        <v/>
      </c>
      <c r="BJ157" s="197"/>
      <c r="BK157" s="196" t="str">
        <f>IF(BK156="","", IF(BK156&lt;89%,"OVER STANDART",IF(BK156=89%,"GOOD","UNDER STANDART")))</f>
        <v/>
      </c>
      <c r="BL157" s="197"/>
      <c r="BM157" s="196" t="str">
        <f>IF(BM156="","", IF(BM156&lt;89%,"OVER STANDART",IF(BM156=89%,"GOOD","UNDER STANDART")))</f>
        <v/>
      </c>
      <c r="BN157" s="197"/>
      <c r="BO157" s="196" t="str">
        <f>IF(BO156="","", IF(BO156&lt;89%,"OVER STANDART",IF(BO156=89%,"GOOD","UNDER STANDART")))</f>
        <v/>
      </c>
      <c r="BP157" s="197"/>
      <c r="BQ157" s="196" t="str">
        <f>IF(BQ156="","", IF(BQ156&lt;89%,"OVER STANDART",IF(BQ156=89%,"GOOD","UNDER STANDART")))</f>
        <v/>
      </c>
      <c r="BR157" s="197"/>
      <c r="BS157" s="196" t="str">
        <f>IF(BS156="","", IF(BS156&lt;89%,"OVER STANDART",IF(BS156=89%,"GOOD","UNDER STANDART")))</f>
        <v/>
      </c>
      <c r="BT157" s="197"/>
      <c r="BU157" s="24" t="e">
        <f>IF(BU156="","", IF(BU156&lt;89%,"OVER STANDART",IF(BU156=89%,"GOOD","UNDER STANDART")))</f>
        <v>#VALUE!</v>
      </c>
      <c r="BV157" s="23"/>
      <c r="BW157" s="25"/>
      <c r="BX157" s="3"/>
      <c r="BY157" s="3"/>
      <c r="BZ157" s="3"/>
    </row>
    <row r="158" spans="1:78" ht="14.5" x14ac:dyDescent="0.3">
      <c r="A158" s="52"/>
      <c r="B158" s="28"/>
      <c r="C158" s="29"/>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c r="BO158" s="30"/>
      <c r="BP158" s="30"/>
      <c r="BQ158" s="30"/>
      <c r="BR158" s="30"/>
      <c r="BS158" s="30"/>
      <c r="BT158" s="30"/>
      <c r="BU158" s="30"/>
      <c r="BV158" s="27"/>
      <c r="BW158" s="31"/>
      <c r="BX158" s="27"/>
      <c r="BY158" s="27"/>
      <c r="BZ158" s="27"/>
    </row>
    <row r="159" spans="1:78" ht="15" thickBot="1" x14ac:dyDescent="0.35">
      <c r="A159" s="202" t="s">
        <v>282</v>
      </c>
      <c r="B159" s="203"/>
      <c r="C159" s="55">
        <f>A3</f>
        <v>1</v>
      </c>
      <c r="D159" s="55">
        <f t="shared" ref="D159:AG159" si="0">C159+1</f>
        <v>2</v>
      </c>
      <c r="E159" s="55">
        <f t="shared" si="0"/>
        <v>3</v>
      </c>
      <c r="F159" s="55">
        <f t="shared" si="0"/>
        <v>4</v>
      </c>
      <c r="G159" s="55">
        <f t="shared" si="0"/>
        <v>5</v>
      </c>
      <c r="H159" s="55">
        <f t="shared" si="0"/>
        <v>6</v>
      </c>
      <c r="I159" s="55">
        <f t="shared" si="0"/>
        <v>7</v>
      </c>
      <c r="J159" s="55">
        <f t="shared" si="0"/>
        <v>8</v>
      </c>
      <c r="K159" s="55">
        <f t="shared" si="0"/>
        <v>9</v>
      </c>
      <c r="L159" s="55">
        <f t="shared" si="0"/>
        <v>10</v>
      </c>
      <c r="M159" s="55">
        <f t="shared" si="0"/>
        <v>11</v>
      </c>
      <c r="N159" s="55">
        <f t="shared" si="0"/>
        <v>12</v>
      </c>
      <c r="O159" s="55">
        <f t="shared" si="0"/>
        <v>13</v>
      </c>
      <c r="P159" s="55">
        <f t="shared" si="0"/>
        <v>14</v>
      </c>
      <c r="Q159" s="55">
        <f t="shared" si="0"/>
        <v>15</v>
      </c>
      <c r="R159" s="55">
        <f t="shared" si="0"/>
        <v>16</v>
      </c>
      <c r="S159" s="55">
        <f t="shared" si="0"/>
        <v>17</v>
      </c>
      <c r="T159" s="55">
        <f t="shared" si="0"/>
        <v>18</v>
      </c>
      <c r="U159" s="55">
        <f t="shared" si="0"/>
        <v>19</v>
      </c>
      <c r="V159" s="55">
        <f t="shared" si="0"/>
        <v>20</v>
      </c>
      <c r="W159" s="55">
        <f t="shared" si="0"/>
        <v>21</v>
      </c>
      <c r="X159" s="55">
        <f t="shared" si="0"/>
        <v>22</v>
      </c>
      <c r="Y159" s="55">
        <f t="shared" si="0"/>
        <v>23</v>
      </c>
      <c r="Z159" s="55">
        <f t="shared" si="0"/>
        <v>24</v>
      </c>
      <c r="AA159" s="55">
        <f t="shared" si="0"/>
        <v>25</v>
      </c>
      <c r="AB159" s="55">
        <f t="shared" si="0"/>
        <v>26</v>
      </c>
      <c r="AC159" s="55">
        <f t="shared" si="0"/>
        <v>27</v>
      </c>
      <c r="AD159" s="55">
        <f t="shared" si="0"/>
        <v>28</v>
      </c>
      <c r="AE159" s="55">
        <f t="shared" si="0"/>
        <v>29</v>
      </c>
      <c r="AF159" s="55">
        <f t="shared" si="0"/>
        <v>30</v>
      </c>
      <c r="AG159" s="56">
        <f t="shared" si="0"/>
        <v>31</v>
      </c>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c r="BO159" s="30"/>
      <c r="BP159" s="30"/>
      <c r="BQ159" s="30"/>
      <c r="BR159" s="30"/>
      <c r="BS159" s="30"/>
      <c r="BT159" s="30"/>
      <c r="BU159" s="30"/>
      <c r="BV159" s="27"/>
      <c r="BW159" s="31"/>
      <c r="BX159" s="27"/>
      <c r="BY159" s="27"/>
      <c r="BZ159" s="27"/>
    </row>
    <row r="160" spans="1:78" ht="14.5" x14ac:dyDescent="0.3">
      <c r="A160" s="207" t="s">
        <v>283</v>
      </c>
      <c r="B160" s="185"/>
      <c r="C160" s="32" t="str">
        <f t="shared" ref="C160:AG160" si="1">INDEX($BU$3:$BW$157,MATCH(C$159,$A$3:$A$157,0),MATCH("FRESH",$BU$2:$CZV$2,0))</f>
        <v/>
      </c>
      <c r="D160" s="32" t="str">
        <f t="shared" si="1"/>
        <v/>
      </c>
      <c r="E160" s="32" t="str">
        <f t="shared" si="1"/>
        <v/>
      </c>
      <c r="F160" s="32" t="str">
        <f t="shared" si="1"/>
        <v/>
      </c>
      <c r="G160" s="32" t="str">
        <f t="shared" si="1"/>
        <v/>
      </c>
      <c r="H160" s="32" t="str">
        <f t="shared" si="1"/>
        <v/>
      </c>
      <c r="I160" s="32" t="str">
        <f t="shared" si="1"/>
        <v/>
      </c>
      <c r="J160" s="32" t="str">
        <f t="shared" si="1"/>
        <v/>
      </c>
      <c r="K160" s="32" t="str">
        <f t="shared" si="1"/>
        <v/>
      </c>
      <c r="L160" s="32" t="str">
        <f t="shared" si="1"/>
        <v/>
      </c>
      <c r="M160" s="32" t="str">
        <f t="shared" si="1"/>
        <v/>
      </c>
      <c r="N160" s="32" t="str">
        <f t="shared" si="1"/>
        <v/>
      </c>
      <c r="O160" s="32" t="str">
        <f t="shared" si="1"/>
        <v/>
      </c>
      <c r="P160" s="32" t="str">
        <f t="shared" si="1"/>
        <v/>
      </c>
      <c r="Q160" s="32" t="str">
        <f t="shared" si="1"/>
        <v/>
      </c>
      <c r="R160" s="32" t="str">
        <f t="shared" si="1"/>
        <v/>
      </c>
      <c r="S160" s="32" t="str">
        <f t="shared" si="1"/>
        <v/>
      </c>
      <c r="T160" s="32" t="str">
        <f t="shared" si="1"/>
        <v/>
      </c>
      <c r="U160" s="32" t="str">
        <f t="shared" si="1"/>
        <v/>
      </c>
      <c r="V160" s="32" t="str">
        <f t="shared" si="1"/>
        <v/>
      </c>
      <c r="W160" s="32" t="str">
        <f t="shared" si="1"/>
        <v/>
      </c>
      <c r="X160" s="32" t="str">
        <f t="shared" si="1"/>
        <v/>
      </c>
      <c r="Y160" s="32" t="str">
        <f t="shared" si="1"/>
        <v/>
      </c>
      <c r="Z160" s="32" t="str">
        <f t="shared" si="1"/>
        <v/>
      </c>
      <c r="AA160" s="32" t="str">
        <f t="shared" si="1"/>
        <v/>
      </c>
      <c r="AB160" s="32" t="str">
        <f t="shared" si="1"/>
        <v/>
      </c>
      <c r="AC160" s="32" t="str">
        <f t="shared" si="1"/>
        <v/>
      </c>
      <c r="AD160" s="32" t="str">
        <f t="shared" si="1"/>
        <v/>
      </c>
      <c r="AE160" s="32" t="str">
        <f t="shared" si="1"/>
        <v/>
      </c>
      <c r="AF160" s="32" t="str">
        <f t="shared" si="1"/>
        <v/>
      </c>
      <c r="AG160" s="33" t="str">
        <f t="shared" si="1"/>
        <v/>
      </c>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4"/>
      <c r="BH160" s="34"/>
      <c r="BI160" s="34"/>
      <c r="BJ160" s="34"/>
      <c r="BK160" s="34"/>
      <c r="BL160" s="34"/>
      <c r="BM160" s="34"/>
      <c r="BN160" s="34"/>
      <c r="BO160" s="34"/>
      <c r="BP160" s="34"/>
      <c r="BQ160" s="34"/>
      <c r="BR160" s="34"/>
      <c r="BS160" s="34"/>
      <c r="BT160" s="34"/>
      <c r="BU160" s="34"/>
      <c r="BV160" s="34"/>
      <c r="BW160" s="31"/>
      <c r="BX160" s="27"/>
      <c r="BY160" s="27"/>
      <c r="BZ160" s="27"/>
    </row>
    <row r="161" spans="1:78" ht="14.5" x14ac:dyDescent="0.3">
      <c r="A161" s="200" t="s">
        <v>284</v>
      </c>
      <c r="B161" s="201"/>
      <c r="C161" s="35" t="str">
        <f t="shared" ref="C161:AG161" si="2">INDEX($BU$3:$BW$157,MATCH(C$159,$A$3:$A$157,0),MATCH("GILING",$BU$2:$CZV$2,0))</f>
        <v/>
      </c>
      <c r="D161" s="35" t="str">
        <f t="shared" si="2"/>
        <v/>
      </c>
      <c r="E161" s="35" t="str">
        <f t="shared" si="2"/>
        <v/>
      </c>
      <c r="F161" s="35" t="str">
        <f t="shared" si="2"/>
        <v/>
      </c>
      <c r="G161" s="35" t="str">
        <f t="shared" si="2"/>
        <v/>
      </c>
      <c r="H161" s="35" t="str">
        <f t="shared" si="2"/>
        <v/>
      </c>
      <c r="I161" s="35" t="str">
        <f t="shared" si="2"/>
        <v/>
      </c>
      <c r="J161" s="35" t="str">
        <f t="shared" si="2"/>
        <v/>
      </c>
      <c r="K161" s="35" t="str">
        <f t="shared" si="2"/>
        <v/>
      </c>
      <c r="L161" s="35" t="str">
        <f t="shared" si="2"/>
        <v/>
      </c>
      <c r="M161" s="35" t="str">
        <f t="shared" si="2"/>
        <v/>
      </c>
      <c r="N161" s="35" t="str">
        <f t="shared" si="2"/>
        <v/>
      </c>
      <c r="O161" s="35" t="str">
        <f t="shared" si="2"/>
        <v/>
      </c>
      <c r="P161" s="35" t="str">
        <f t="shared" si="2"/>
        <v/>
      </c>
      <c r="Q161" s="35" t="str">
        <f t="shared" si="2"/>
        <v/>
      </c>
      <c r="R161" s="35" t="str">
        <f t="shared" si="2"/>
        <v/>
      </c>
      <c r="S161" s="35" t="str">
        <f t="shared" si="2"/>
        <v/>
      </c>
      <c r="T161" s="35" t="str">
        <f t="shared" si="2"/>
        <v/>
      </c>
      <c r="U161" s="35" t="str">
        <f t="shared" si="2"/>
        <v/>
      </c>
      <c r="V161" s="35" t="str">
        <f t="shared" si="2"/>
        <v/>
      </c>
      <c r="W161" s="35" t="str">
        <f t="shared" si="2"/>
        <v/>
      </c>
      <c r="X161" s="35" t="str">
        <f t="shared" si="2"/>
        <v/>
      </c>
      <c r="Y161" s="35" t="str">
        <f t="shared" si="2"/>
        <v/>
      </c>
      <c r="Z161" s="35" t="str">
        <f t="shared" si="2"/>
        <v/>
      </c>
      <c r="AA161" s="35" t="str">
        <f t="shared" si="2"/>
        <v/>
      </c>
      <c r="AB161" s="35" t="str">
        <f t="shared" si="2"/>
        <v/>
      </c>
      <c r="AC161" s="35" t="str">
        <f t="shared" si="2"/>
        <v/>
      </c>
      <c r="AD161" s="35" t="str">
        <f t="shared" si="2"/>
        <v/>
      </c>
      <c r="AE161" s="35" t="str">
        <f t="shared" si="2"/>
        <v/>
      </c>
      <c r="AF161" s="35" t="str">
        <f t="shared" si="2"/>
        <v/>
      </c>
      <c r="AG161" s="36" t="str">
        <f t="shared" si="2"/>
        <v/>
      </c>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c r="BQ161" s="34"/>
      <c r="BR161" s="34"/>
      <c r="BS161" s="34"/>
      <c r="BT161" s="34"/>
      <c r="BU161" s="34"/>
      <c r="BV161" s="34"/>
      <c r="BW161" s="31"/>
      <c r="BX161" s="27"/>
      <c r="BY161" s="27"/>
      <c r="BZ161" s="27"/>
    </row>
    <row r="162" spans="1:78" ht="14.5" x14ac:dyDescent="0.3">
      <c r="A162" s="208" t="s">
        <v>285</v>
      </c>
      <c r="B162" s="209"/>
      <c r="C162" s="58">
        <f>IF(C160="",0,C160-C161)</f>
        <v>0</v>
      </c>
      <c r="D162" s="58">
        <f t="shared" ref="D162:AG162" si="3">IF(D160="",0,D160-D161)</f>
        <v>0</v>
      </c>
      <c r="E162" s="58">
        <f t="shared" si="3"/>
        <v>0</v>
      </c>
      <c r="F162" s="58">
        <f t="shared" si="3"/>
        <v>0</v>
      </c>
      <c r="G162" s="58">
        <f t="shared" si="3"/>
        <v>0</v>
      </c>
      <c r="H162" s="58">
        <f t="shared" si="3"/>
        <v>0</v>
      </c>
      <c r="I162" s="58">
        <f t="shared" si="3"/>
        <v>0</v>
      </c>
      <c r="J162" s="58">
        <f t="shared" si="3"/>
        <v>0</v>
      </c>
      <c r="K162" s="58">
        <f t="shared" si="3"/>
        <v>0</v>
      </c>
      <c r="L162" s="58">
        <f t="shared" si="3"/>
        <v>0</v>
      </c>
      <c r="M162" s="58">
        <f t="shared" si="3"/>
        <v>0</v>
      </c>
      <c r="N162" s="58">
        <f t="shared" si="3"/>
        <v>0</v>
      </c>
      <c r="O162" s="58">
        <f t="shared" si="3"/>
        <v>0</v>
      </c>
      <c r="P162" s="58">
        <f t="shared" si="3"/>
        <v>0</v>
      </c>
      <c r="Q162" s="58">
        <f t="shared" si="3"/>
        <v>0</v>
      </c>
      <c r="R162" s="58">
        <f t="shared" si="3"/>
        <v>0</v>
      </c>
      <c r="S162" s="58">
        <f t="shared" si="3"/>
        <v>0</v>
      </c>
      <c r="T162" s="58">
        <f t="shared" si="3"/>
        <v>0</v>
      </c>
      <c r="U162" s="58">
        <f t="shared" si="3"/>
        <v>0</v>
      </c>
      <c r="V162" s="58">
        <f t="shared" si="3"/>
        <v>0</v>
      </c>
      <c r="W162" s="58">
        <f t="shared" si="3"/>
        <v>0</v>
      </c>
      <c r="X162" s="58">
        <f t="shared" si="3"/>
        <v>0</v>
      </c>
      <c r="Y162" s="58">
        <f t="shared" si="3"/>
        <v>0</v>
      </c>
      <c r="Z162" s="58">
        <f t="shared" si="3"/>
        <v>0</v>
      </c>
      <c r="AA162" s="58">
        <f t="shared" si="3"/>
        <v>0</v>
      </c>
      <c r="AB162" s="58">
        <f t="shared" si="3"/>
        <v>0</v>
      </c>
      <c r="AC162" s="58">
        <f t="shared" si="3"/>
        <v>0</v>
      </c>
      <c r="AD162" s="58">
        <f t="shared" si="3"/>
        <v>0</v>
      </c>
      <c r="AE162" s="58">
        <f t="shared" si="3"/>
        <v>0</v>
      </c>
      <c r="AF162" s="58">
        <f t="shared" si="3"/>
        <v>0</v>
      </c>
      <c r="AG162" s="58">
        <f t="shared" si="3"/>
        <v>0</v>
      </c>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27"/>
      <c r="BW162" s="31"/>
      <c r="BX162" s="27"/>
      <c r="BY162" s="27"/>
      <c r="BZ162" s="27"/>
    </row>
    <row r="163" spans="1:78" ht="14.5" x14ac:dyDescent="0.3">
      <c r="A163" s="200" t="s">
        <v>286</v>
      </c>
      <c r="B163" s="201"/>
      <c r="C163" s="37" t="str">
        <f t="shared" ref="C163:AG163" si="4">IF(C161="","",C161/89%)</f>
        <v/>
      </c>
      <c r="D163" s="37" t="str">
        <f t="shared" si="4"/>
        <v/>
      </c>
      <c r="E163" s="37" t="str">
        <f t="shared" si="4"/>
        <v/>
      </c>
      <c r="F163" s="37" t="str">
        <f t="shared" si="4"/>
        <v/>
      </c>
      <c r="G163" s="37" t="str">
        <f t="shared" si="4"/>
        <v/>
      </c>
      <c r="H163" s="37" t="str">
        <f t="shared" si="4"/>
        <v/>
      </c>
      <c r="I163" s="37" t="str">
        <f t="shared" si="4"/>
        <v/>
      </c>
      <c r="J163" s="37" t="str">
        <f t="shared" si="4"/>
        <v/>
      </c>
      <c r="K163" s="37" t="str">
        <f t="shared" si="4"/>
        <v/>
      </c>
      <c r="L163" s="37" t="str">
        <f t="shared" si="4"/>
        <v/>
      </c>
      <c r="M163" s="37" t="str">
        <f t="shared" si="4"/>
        <v/>
      </c>
      <c r="N163" s="37" t="str">
        <f t="shared" si="4"/>
        <v/>
      </c>
      <c r="O163" s="37" t="str">
        <f t="shared" si="4"/>
        <v/>
      </c>
      <c r="P163" s="37" t="str">
        <f t="shared" si="4"/>
        <v/>
      </c>
      <c r="Q163" s="37" t="str">
        <f t="shared" si="4"/>
        <v/>
      </c>
      <c r="R163" s="37" t="str">
        <f t="shared" si="4"/>
        <v/>
      </c>
      <c r="S163" s="37" t="str">
        <f t="shared" si="4"/>
        <v/>
      </c>
      <c r="T163" s="37" t="str">
        <f t="shared" si="4"/>
        <v/>
      </c>
      <c r="U163" s="37" t="str">
        <f t="shared" si="4"/>
        <v/>
      </c>
      <c r="V163" s="37" t="str">
        <f t="shared" si="4"/>
        <v/>
      </c>
      <c r="W163" s="37" t="str">
        <f t="shared" si="4"/>
        <v/>
      </c>
      <c r="X163" s="37" t="str">
        <f t="shared" si="4"/>
        <v/>
      </c>
      <c r="Y163" s="37" t="str">
        <f t="shared" si="4"/>
        <v/>
      </c>
      <c r="Z163" s="37" t="str">
        <f t="shared" si="4"/>
        <v/>
      </c>
      <c r="AA163" s="37" t="str">
        <f t="shared" si="4"/>
        <v/>
      </c>
      <c r="AB163" s="37" t="str">
        <f t="shared" si="4"/>
        <v/>
      </c>
      <c r="AC163" s="37" t="str">
        <f t="shared" si="4"/>
        <v/>
      </c>
      <c r="AD163" s="37" t="str">
        <f t="shared" si="4"/>
        <v/>
      </c>
      <c r="AE163" s="37" t="str">
        <f t="shared" si="4"/>
        <v/>
      </c>
      <c r="AF163" s="37" t="str">
        <f t="shared" si="4"/>
        <v/>
      </c>
      <c r="AG163" s="38" t="str">
        <f t="shared" si="4"/>
        <v/>
      </c>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27"/>
      <c r="BW163" s="31"/>
      <c r="BX163" s="27"/>
      <c r="BY163" s="27"/>
      <c r="BZ163" s="27"/>
    </row>
    <row r="164" spans="1:78" ht="14.5" x14ac:dyDescent="0.3">
      <c r="A164" s="200" t="s">
        <v>287</v>
      </c>
      <c r="B164" s="201"/>
      <c r="C164" s="39">
        <f t="shared" ref="C164:AG164" si="5">IF(C162="","",IFERROR(C162/C160,0))</f>
        <v>0</v>
      </c>
      <c r="D164" s="39">
        <f t="shared" si="5"/>
        <v>0</v>
      </c>
      <c r="E164" s="39">
        <f t="shared" si="5"/>
        <v>0</v>
      </c>
      <c r="F164" s="39">
        <f t="shared" si="5"/>
        <v>0</v>
      </c>
      <c r="G164" s="39">
        <f t="shared" si="5"/>
        <v>0</v>
      </c>
      <c r="H164" s="39">
        <f t="shared" si="5"/>
        <v>0</v>
      </c>
      <c r="I164" s="39">
        <f t="shared" si="5"/>
        <v>0</v>
      </c>
      <c r="J164" s="39">
        <f t="shared" si="5"/>
        <v>0</v>
      </c>
      <c r="K164" s="39">
        <f t="shared" si="5"/>
        <v>0</v>
      </c>
      <c r="L164" s="39">
        <f t="shared" si="5"/>
        <v>0</v>
      </c>
      <c r="M164" s="39">
        <f t="shared" si="5"/>
        <v>0</v>
      </c>
      <c r="N164" s="39">
        <f t="shared" si="5"/>
        <v>0</v>
      </c>
      <c r="O164" s="39">
        <f t="shared" si="5"/>
        <v>0</v>
      </c>
      <c r="P164" s="39">
        <f t="shared" si="5"/>
        <v>0</v>
      </c>
      <c r="Q164" s="39">
        <f t="shared" si="5"/>
        <v>0</v>
      </c>
      <c r="R164" s="39">
        <f t="shared" si="5"/>
        <v>0</v>
      </c>
      <c r="S164" s="39">
        <f t="shared" si="5"/>
        <v>0</v>
      </c>
      <c r="T164" s="39">
        <f t="shared" si="5"/>
        <v>0</v>
      </c>
      <c r="U164" s="39">
        <f t="shared" si="5"/>
        <v>0</v>
      </c>
      <c r="V164" s="39">
        <f t="shared" si="5"/>
        <v>0</v>
      </c>
      <c r="W164" s="39">
        <f t="shared" si="5"/>
        <v>0</v>
      </c>
      <c r="X164" s="39">
        <f t="shared" si="5"/>
        <v>0</v>
      </c>
      <c r="Y164" s="39">
        <f t="shared" si="5"/>
        <v>0</v>
      </c>
      <c r="Z164" s="39">
        <f t="shared" si="5"/>
        <v>0</v>
      </c>
      <c r="AA164" s="39">
        <f t="shared" si="5"/>
        <v>0</v>
      </c>
      <c r="AB164" s="39">
        <f t="shared" si="5"/>
        <v>0</v>
      </c>
      <c r="AC164" s="39">
        <f t="shared" si="5"/>
        <v>0</v>
      </c>
      <c r="AD164" s="39">
        <f t="shared" si="5"/>
        <v>0</v>
      </c>
      <c r="AE164" s="39">
        <f t="shared" si="5"/>
        <v>0</v>
      </c>
      <c r="AF164" s="39">
        <f t="shared" si="5"/>
        <v>0</v>
      </c>
      <c r="AG164" s="40">
        <f t="shared" si="5"/>
        <v>0</v>
      </c>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27"/>
      <c r="BW164" s="31"/>
      <c r="BX164" s="27"/>
      <c r="BY164" s="27"/>
      <c r="BZ164" s="27"/>
    </row>
    <row r="165" spans="1:78" ht="14.5" x14ac:dyDescent="0.3">
      <c r="A165" s="200" t="s">
        <v>288</v>
      </c>
      <c r="B165" s="201"/>
      <c r="C165" s="39" t="str">
        <f t="shared" ref="C165:AG165" si="6">IF(C161="","",IFERROR(C161/C160,0))</f>
        <v/>
      </c>
      <c r="D165" s="39" t="str">
        <f t="shared" si="6"/>
        <v/>
      </c>
      <c r="E165" s="39" t="str">
        <f t="shared" si="6"/>
        <v/>
      </c>
      <c r="F165" s="39" t="str">
        <f t="shared" si="6"/>
        <v/>
      </c>
      <c r="G165" s="39" t="str">
        <f t="shared" si="6"/>
        <v/>
      </c>
      <c r="H165" s="39" t="str">
        <f t="shared" si="6"/>
        <v/>
      </c>
      <c r="I165" s="39" t="str">
        <f t="shared" si="6"/>
        <v/>
      </c>
      <c r="J165" s="39" t="str">
        <f t="shared" si="6"/>
        <v/>
      </c>
      <c r="K165" s="39" t="str">
        <f t="shared" si="6"/>
        <v/>
      </c>
      <c r="L165" s="39" t="str">
        <f t="shared" si="6"/>
        <v/>
      </c>
      <c r="M165" s="39" t="str">
        <f t="shared" si="6"/>
        <v/>
      </c>
      <c r="N165" s="39" t="str">
        <f t="shared" si="6"/>
        <v/>
      </c>
      <c r="O165" s="39" t="str">
        <f t="shared" si="6"/>
        <v/>
      </c>
      <c r="P165" s="39" t="str">
        <f t="shared" si="6"/>
        <v/>
      </c>
      <c r="Q165" s="39" t="str">
        <f t="shared" si="6"/>
        <v/>
      </c>
      <c r="R165" s="39" t="str">
        <f t="shared" si="6"/>
        <v/>
      </c>
      <c r="S165" s="39" t="str">
        <f t="shared" si="6"/>
        <v/>
      </c>
      <c r="T165" s="39" t="str">
        <f t="shared" si="6"/>
        <v/>
      </c>
      <c r="U165" s="39" t="str">
        <f t="shared" si="6"/>
        <v/>
      </c>
      <c r="V165" s="39" t="str">
        <f t="shared" si="6"/>
        <v/>
      </c>
      <c r="W165" s="39" t="str">
        <f t="shared" si="6"/>
        <v/>
      </c>
      <c r="X165" s="39" t="str">
        <f t="shared" si="6"/>
        <v/>
      </c>
      <c r="Y165" s="39" t="str">
        <f t="shared" si="6"/>
        <v/>
      </c>
      <c r="Z165" s="39" t="str">
        <f t="shared" si="6"/>
        <v/>
      </c>
      <c r="AA165" s="39" t="str">
        <f t="shared" si="6"/>
        <v/>
      </c>
      <c r="AB165" s="39" t="str">
        <f t="shared" si="6"/>
        <v/>
      </c>
      <c r="AC165" s="39" t="str">
        <f t="shared" si="6"/>
        <v/>
      </c>
      <c r="AD165" s="39" t="str">
        <f t="shared" si="6"/>
        <v/>
      </c>
      <c r="AE165" s="39" t="str">
        <f t="shared" si="6"/>
        <v/>
      </c>
      <c r="AF165" s="39" t="str">
        <f t="shared" si="6"/>
        <v/>
      </c>
      <c r="AG165" s="40" t="str">
        <f t="shared" si="6"/>
        <v/>
      </c>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27"/>
      <c r="BW165" s="31"/>
      <c r="BX165" s="27"/>
      <c r="BY165" s="27"/>
      <c r="BZ165" s="27"/>
    </row>
    <row r="166" spans="1:78" ht="14.5" x14ac:dyDescent="0.3">
      <c r="A166" s="206" t="s">
        <v>289</v>
      </c>
      <c r="B166" s="201"/>
      <c r="C166" s="41" t="str">
        <f t="shared" ref="C166:AG166" si="7">IF(C168="","",C168-C162)</f>
        <v/>
      </c>
      <c r="D166" s="41" t="str">
        <f t="shared" si="7"/>
        <v/>
      </c>
      <c r="E166" s="41" t="str">
        <f t="shared" si="7"/>
        <v/>
      </c>
      <c r="F166" s="41" t="str">
        <f t="shared" si="7"/>
        <v/>
      </c>
      <c r="G166" s="41" t="str">
        <f t="shared" si="7"/>
        <v/>
      </c>
      <c r="H166" s="41" t="str">
        <f t="shared" si="7"/>
        <v/>
      </c>
      <c r="I166" s="41" t="str">
        <f t="shared" si="7"/>
        <v/>
      </c>
      <c r="J166" s="41" t="str">
        <f t="shared" si="7"/>
        <v/>
      </c>
      <c r="K166" s="41" t="str">
        <f t="shared" si="7"/>
        <v/>
      </c>
      <c r="L166" s="41" t="str">
        <f t="shared" si="7"/>
        <v/>
      </c>
      <c r="M166" s="41" t="str">
        <f t="shared" si="7"/>
        <v/>
      </c>
      <c r="N166" s="41" t="str">
        <f t="shared" si="7"/>
        <v/>
      </c>
      <c r="O166" s="41" t="str">
        <f t="shared" si="7"/>
        <v/>
      </c>
      <c r="P166" s="41" t="str">
        <f t="shared" si="7"/>
        <v/>
      </c>
      <c r="Q166" s="41" t="str">
        <f t="shared" si="7"/>
        <v/>
      </c>
      <c r="R166" s="41" t="str">
        <f t="shared" si="7"/>
        <v/>
      </c>
      <c r="S166" s="41" t="str">
        <f t="shared" si="7"/>
        <v/>
      </c>
      <c r="T166" s="41" t="str">
        <f t="shared" si="7"/>
        <v/>
      </c>
      <c r="U166" s="41" t="str">
        <f t="shared" si="7"/>
        <v/>
      </c>
      <c r="V166" s="41" t="str">
        <f t="shared" si="7"/>
        <v/>
      </c>
      <c r="W166" s="41" t="str">
        <f t="shared" si="7"/>
        <v/>
      </c>
      <c r="X166" s="41" t="str">
        <f t="shared" si="7"/>
        <v/>
      </c>
      <c r="Y166" s="41" t="str">
        <f t="shared" si="7"/>
        <v/>
      </c>
      <c r="Z166" s="41" t="str">
        <f t="shared" si="7"/>
        <v/>
      </c>
      <c r="AA166" s="41" t="str">
        <f t="shared" si="7"/>
        <v/>
      </c>
      <c r="AB166" s="41" t="str">
        <f t="shared" si="7"/>
        <v/>
      </c>
      <c r="AC166" s="41" t="str">
        <f t="shared" si="7"/>
        <v/>
      </c>
      <c r="AD166" s="41" t="str">
        <f t="shared" si="7"/>
        <v/>
      </c>
      <c r="AE166" s="41" t="str">
        <f t="shared" si="7"/>
        <v/>
      </c>
      <c r="AF166" s="41" t="str">
        <f t="shared" si="7"/>
        <v/>
      </c>
      <c r="AG166" s="42" t="str">
        <f t="shared" si="7"/>
        <v/>
      </c>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27"/>
      <c r="BW166" s="31"/>
      <c r="BX166" s="27"/>
      <c r="BY166" s="27"/>
      <c r="BZ166" s="27"/>
    </row>
    <row r="167" spans="1:78" ht="14.5" x14ac:dyDescent="0.3">
      <c r="A167" s="224" t="s">
        <v>290</v>
      </c>
      <c r="B167" s="201"/>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c r="AD167" s="43"/>
      <c r="AE167" s="43"/>
      <c r="AF167" s="43"/>
      <c r="AG167" s="44"/>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27"/>
      <c r="BW167" s="31"/>
      <c r="BX167" s="27"/>
      <c r="BY167" s="27"/>
      <c r="BZ167" s="27"/>
    </row>
    <row r="168" spans="1:78" ht="14.5" x14ac:dyDescent="0.3">
      <c r="A168" s="225" t="s">
        <v>291</v>
      </c>
      <c r="B168" s="201"/>
      <c r="C168" s="37" t="str">
        <f t="shared" ref="C168:AG168" si="8">IF(C167="","",(C167/89%)*11%)</f>
        <v/>
      </c>
      <c r="D168" s="37" t="str">
        <f t="shared" si="8"/>
        <v/>
      </c>
      <c r="E168" s="37" t="str">
        <f t="shared" si="8"/>
        <v/>
      </c>
      <c r="F168" s="37" t="str">
        <f t="shared" si="8"/>
        <v/>
      </c>
      <c r="G168" s="37" t="str">
        <f t="shared" si="8"/>
        <v/>
      </c>
      <c r="H168" s="37" t="str">
        <f t="shared" si="8"/>
        <v/>
      </c>
      <c r="I168" s="37" t="str">
        <f t="shared" si="8"/>
        <v/>
      </c>
      <c r="J168" s="37" t="str">
        <f t="shared" si="8"/>
        <v/>
      </c>
      <c r="K168" s="37" t="str">
        <f t="shared" si="8"/>
        <v/>
      </c>
      <c r="L168" s="37" t="str">
        <f t="shared" si="8"/>
        <v/>
      </c>
      <c r="M168" s="37" t="str">
        <f t="shared" si="8"/>
        <v/>
      </c>
      <c r="N168" s="37" t="str">
        <f t="shared" si="8"/>
        <v/>
      </c>
      <c r="O168" s="37" t="str">
        <f t="shared" si="8"/>
        <v/>
      </c>
      <c r="P168" s="37" t="str">
        <f t="shared" si="8"/>
        <v/>
      </c>
      <c r="Q168" s="37" t="str">
        <f t="shared" si="8"/>
        <v/>
      </c>
      <c r="R168" s="37" t="str">
        <f t="shared" si="8"/>
        <v/>
      </c>
      <c r="S168" s="37" t="str">
        <f t="shared" si="8"/>
        <v/>
      </c>
      <c r="T168" s="37" t="str">
        <f t="shared" si="8"/>
        <v/>
      </c>
      <c r="U168" s="37" t="str">
        <f t="shared" si="8"/>
        <v/>
      </c>
      <c r="V168" s="37" t="str">
        <f t="shared" si="8"/>
        <v/>
      </c>
      <c r="W168" s="37" t="str">
        <f t="shared" si="8"/>
        <v/>
      </c>
      <c r="X168" s="37" t="str">
        <f t="shared" si="8"/>
        <v/>
      </c>
      <c r="Y168" s="37" t="str">
        <f t="shared" si="8"/>
        <v/>
      </c>
      <c r="Z168" s="37" t="str">
        <f t="shared" si="8"/>
        <v/>
      </c>
      <c r="AA168" s="37" t="str">
        <f t="shared" si="8"/>
        <v/>
      </c>
      <c r="AB168" s="37" t="str">
        <f t="shared" si="8"/>
        <v/>
      </c>
      <c r="AC168" s="37" t="str">
        <f t="shared" si="8"/>
        <v/>
      </c>
      <c r="AD168" s="37" t="str">
        <f t="shared" si="8"/>
        <v/>
      </c>
      <c r="AE168" s="37" t="str">
        <f t="shared" si="8"/>
        <v/>
      </c>
      <c r="AF168" s="37" t="str">
        <f t="shared" si="8"/>
        <v/>
      </c>
      <c r="AG168" s="38" t="str">
        <f t="shared" si="8"/>
        <v/>
      </c>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27"/>
      <c r="BW168" s="31"/>
      <c r="BX168" s="27"/>
      <c r="BY168" s="27"/>
      <c r="BZ168" s="27"/>
    </row>
    <row r="169" spans="1:78" ht="14.5" x14ac:dyDescent="0.3">
      <c r="A169" s="226" t="s">
        <v>292</v>
      </c>
      <c r="B169" s="201"/>
      <c r="C169" s="45" t="str">
        <f t="shared" ref="C169:AG169" si="9">IF(C166="","",IF(C166&gt;0,"UNDER",IF(C166&lt;0,"OVER","GOOD")))</f>
        <v/>
      </c>
      <c r="D169" s="45" t="str">
        <f t="shared" si="9"/>
        <v/>
      </c>
      <c r="E169" s="45" t="str">
        <f t="shared" si="9"/>
        <v/>
      </c>
      <c r="F169" s="45" t="str">
        <f t="shared" si="9"/>
        <v/>
      </c>
      <c r="G169" s="45" t="str">
        <f t="shared" si="9"/>
        <v/>
      </c>
      <c r="H169" s="45" t="str">
        <f t="shared" si="9"/>
        <v/>
      </c>
      <c r="I169" s="45" t="str">
        <f t="shared" si="9"/>
        <v/>
      </c>
      <c r="J169" s="45" t="str">
        <f t="shared" si="9"/>
        <v/>
      </c>
      <c r="K169" s="45" t="str">
        <f t="shared" si="9"/>
        <v/>
      </c>
      <c r="L169" s="45" t="str">
        <f t="shared" si="9"/>
        <v/>
      </c>
      <c r="M169" s="45" t="str">
        <f t="shared" si="9"/>
        <v/>
      </c>
      <c r="N169" s="45" t="str">
        <f t="shared" si="9"/>
        <v/>
      </c>
      <c r="O169" s="45" t="str">
        <f t="shared" si="9"/>
        <v/>
      </c>
      <c r="P169" s="45" t="str">
        <f t="shared" si="9"/>
        <v/>
      </c>
      <c r="Q169" s="45" t="str">
        <f t="shared" si="9"/>
        <v/>
      </c>
      <c r="R169" s="45" t="str">
        <f t="shared" si="9"/>
        <v/>
      </c>
      <c r="S169" s="45" t="str">
        <f t="shared" si="9"/>
        <v/>
      </c>
      <c r="T169" s="45" t="str">
        <f t="shared" si="9"/>
        <v/>
      </c>
      <c r="U169" s="45" t="str">
        <f t="shared" si="9"/>
        <v/>
      </c>
      <c r="V169" s="45" t="str">
        <f t="shared" si="9"/>
        <v/>
      </c>
      <c r="W169" s="45" t="str">
        <f t="shared" si="9"/>
        <v/>
      </c>
      <c r="X169" s="45" t="str">
        <f t="shared" si="9"/>
        <v/>
      </c>
      <c r="Y169" s="45" t="str">
        <f t="shared" si="9"/>
        <v/>
      </c>
      <c r="Z169" s="45" t="str">
        <f t="shared" si="9"/>
        <v/>
      </c>
      <c r="AA169" s="45" t="str">
        <f t="shared" si="9"/>
        <v/>
      </c>
      <c r="AB169" s="45" t="str">
        <f t="shared" si="9"/>
        <v/>
      </c>
      <c r="AC169" s="45" t="str">
        <f t="shared" si="9"/>
        <v/>
      </c>
      <c r="AD169" s="45" t="str">
        <f t="shared" si="9"/>
        <v/>
      </c>
      <c r="AE169" s="45" t="str">
        <f t="shared" si="9"/>
        <v/>
      </c>
      <c r="AF169" s="45" t="str">
        <f t="shared" si="9"/>
        <v/>
      </c>
      <c r="AG169" s="46" t="str">
        <f t="shared" si="9"/>
        <v/>
      </c>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27"/>
      <c r="BW169" s="31"/>
      <c r="BX169" s="27"/>
      <c r="BY169" s="27"/>
      <c r="BZ169" s="27"/>
    </row>
    <row r="170" spans="1:78" ht="14.5" x14ac:dyDescent="0.3">
      <c r="A170" s="225" t="s">
        <v>293</v>
      </c>
      <c r="B170" s="201"/>
      <c r="C170" s="37" t="str">
        <f t="shared" ref="C170:AG170" si="10">IF(C167="","",(C167/89%)/3000)</f>
        <v/>
      </c>
      <c r="D170" s="37" t="str">
        <f t="shared" si="10"/>
        <v/>
      </c>
      <c r="E170" s="37" t="str">
        <f t="shared" si="10"/>
        <v/>
      </c>
      <c r="F170" s="37" t="str">
        <f t="shared" si="10"/>
        <v/>
      </c>
      <c r="G170" s="37" t="str">
        <f t="shared" si="10"/>
        <v/>
      </c>
      <c r="H170" s="37" t="str">
        <f t="shared" si="10"/>
        <v/>
      </c>
      <c r="I170" s="37" t="str">
        <f t="shared" si="10"/>
        <v/>
      </c>
      <c r="J170" s="37" t="str">
        <f t="shared" si="10"/>
        <v/>
      </c>
      <c r="K170" s="37" t="str">
        <f t="shared" si="10"/>
        <v/>
      </c>
      <c r="L170" s="37" t="str">
        <f t="shared" si="10"/>
        <v/>
      </c>
      <c r="M170" s="37" t="str">
        <f t="shared" si="10"/>
        <v/>
      </c>
      <c r="N170" s="37" t="str">
        <f t="shared" si="10"/>
        <v/>
      </c>
      <c r="O170" s="37" t="str">
        <f t="shared" si="10"/>
        <v/>
      </c>
      <c r="P170" s="37" t="str">
        <f t="shared" si="10"/>
        <v/>
      </c>
      <c r="Q170" s="37" t="str">
        <f t="shared" si="10"/>
        <v/>
      </c>
      <c r="R170" s="37" t="str">
        <f t="shared" si="10"/>
        <v/>
      </c>
      <c r="S170" s="37" t="str">
        <f t="shared" si="10"/>
        <v/>
      </c>
      <c r="T170" s="37" t="str">
        <f t="shared" si="10"/>
        <v/>
      </c>
      <c r="U170" s="37" t="str">
        <f t="shared" si="10"/>
        <v/>
      </c>
      <c r="V170" s="37" t="str">
        <f t="shared" si="10"/>
        <v/>
      </c>
      <c r="W170" s="37" t="str">
        <f t="shared" si="10"/>
        <v/>
      </c>
      <c r="X170" s="37" t="str">
        <f t="shared" si="10"/>
        <v/>
      </c>
      <c r="Y170" s="37" t="str">
        <f t="shared" si="10"/>
        <v/>
      </c>
      <c r="Z170" s="37" t="str">
        <f t="shared" si="10"/>
        <v/>
      </c>
      <c r="AA170" s="37" t="str">
        <f t="shared" si="10"/>
        <v/>
      </c>
      <c r="AB170" s="37" t="str">
        <f t="shared" si="10"/>
        <v/>
      </c>
      <c r="AC170" s="37" t="str">
        <f t="shared" si="10"/>
        <v/>
      </c>
      <c r="AD170" s="37" t="str">
        <f t="shared" si="10"/>
        <v/>
      </c>
      <c r="AE170" s="37" t="str">
        <f t="shared" si="10"/>
        <v/>
      </c>
      <c r="AF170" s="37" t="str">
        <f t="shared" si="10"/>
        <v/>
      </c>
      <c r="AG170" s="38" t="str">
        <f t="shared" si="10"/>
        <v/>
      </c>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27"/>
      <c r="BW170" s="31"/>
      <c r="BX170" s="27"/>
      <c r="BY170" s="27"/>
      <c r="BZ170" s="27"/>
    </row>
    <row r="171" spans="1:78" ht="14.5" x14ac:dyDescent="0.3">
      <c r="A171" s="225" t="s">
        <v>294</v>
      </c>
      <c r="B171" s="201"/>
      <c r="C171" s="37" t="str">
        <f ca="1">IF(C170="","",COUNTIF(INDIRECT("C" &amp; (4 + (COLUMN() - COLUMN($C$171)) * 5) &amp; ":CX" &amp; (4 + (COLUMN() - COLUMN($C$171)) * 5)), "&gt;0"))</f>
        <v/>
      </c>
      <c r="D171" s="37" t="str">
        <f t="shared" ref="D171:AG171" ca="1" si="11">IF(D170="","",COUNTIF(INDIRECT("C" &amp; (4 + (COLUMN() - COLUMN($C$171)) * 5) &amp; ":CX" &amp; (4 + (COLUMN() - COLUMN($C$171)) * 5)), "&gt;0"))</f>
        <v/>
      </c>
      <c r="E171" s="37" t="str">
        <f t="shared" ca="1" si="11"/>
        <v/>
      </c>
      <c r="F171" s="37" t="str">
        <f t="shared" ca="1" si="11"/>
        <v/>
      </c>
      <c r="G171" s="37" t="str">
        <f t="shared" ca="1" si="11"/>
        <v/>
      </c>
      <c r="H171" s="37" t="str">
        <f t="shared" ca="1" si="11"/>
        <v/>
      </c>
      <c r="I171" s="37" t="str">
        <f t="shared" ca="1" si="11"/>
        <v/>
      </c>
      <c r="J171" s="37" t="str">
        <f t="shared" ca="1" si="11"/>
        <v/>
      </c>
      <c r="K171" s="37" t="str">
        <f t="shared" ca="1" si="11"/>
        <v/>
      </c>
      <c r="L171" s="37" t="str">
        <f t="shared" ca="1" si="11"/>
        <v/>
      </c>
      <c r="M171" s="37" t="str">
        <f t="shared" ca="1" si="11"/>
        <v/>
      </c>
      <c r="N171" s="37" t="str">
        <f t="shared" ca="1" si="11"/>
        <v/>
      </c>
      <c r="O171" s="37" t="str">
        <f t="shared" ca="1" si="11"/>
        <v/>
      </c>
      <c r="P171" s="37" t="str">
        <f t="shared" ca="1" si="11"/>
        <v/>
      </c>
      <c r="Q171" s="37" t="str">
        <f t="shared" ca="1" si="11"/>
        <v/>
      </c>
      <c r="R171" s="37" t="str">
        <f t="shared" ca="1" si="11"/>
        <v/>
      </c>
      <c r="S171" s="37" t="str">
        <f t="shared" ca="1" si="11"/>
        <v/>
      </c>
      <c r="T171" s="37" t="str">
        <f t="shared" ca="1" si="11"/>
        <v/>
      </c>
      <c r="U171" s="37" t="str">
        <f t="shared" ca="1" si="11"/>
        <v/>
      </c>
      <c r="V171" s="37" t="str">
        <f t="shared" ca="1" si="11"/>
        <v/>
      </c>
      <c r="W171" s="37" t="str">
        <f t="shared" ca="1" si="11"/>
        <v/>
      </c>
      <c r="X171" s="37" t="str">
        <f t="shared" ca="1" si="11"/>
        <v/>
      </c>
      <c r="Y171" s="37" t="str">
        <f t="shared" ca="1" si="11"/>
        <v/>
      </c>
      <c r="Z171" s="37" t="str">
        <f t="shared" ca="1" si="11"/>
        <v/>
      </c>
      <c r="AA171" s="37" t="str">
        <f t="shared" ca="1" si="11"/>
        <v/>
      </c>
      <c r="AB171" s="37" t="str">
        <f t="shared" ca="1" si="11"/>
        <v/>
      </c>
      <c r="AC171" s="37" t="str">
        <f t="shared" ca="1" si="11"/>
        <v/>
      </c>
      <c r="AD171" s="37" t="str">
        <f t="shared" ca="1" si="11"/>
        <v/>
      </c>
      <c r="AE171" s="37" t="str">
        <f t="shared" ca="1" si="11"/>
        <v/>
      </c>
      <c r="AF171" s="37" t="str">
        <f t="shared" ca="1" si="11"/>
        <v/>
      </c>
      <c r="AG171" s="38" t="str">
        <f t="shared" ca="1" si="11"/>
        <v/>
      </c>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c r="BO171" s="30"/>
      <c r="BP171" s="30"/>
      <c r="BQ171" s="30"/>
      <c r="BR171" s="30"/>
      <c r="BS171" s="30"/>
      <c r="BT171" s="30"/>
      <c r="BU171" s="30"/>
      <c r="BV171" s="27"/>
      <c r="BW171" s="31"/>
      <c r="BX171" s="27"/>
      <c r="BY171" s="27"/>
      <c r="BZ171" s="27"/>
    </row>
    <row r="172" spans="1:78" ht="15" thickBot="1" x14ac:dyDescent="0.35">
      <c r="A172" s="227" t="s">
        <v>295</v>
      </c>
      <c r="B172" s="228"/>
      <c r="C172" s="47" t="str">
        <f t="shared" ref="C172:AG172" ca="1" si="12">IF(C171="","",IF(C171&gt;C170,"OVER CONSUME",IF(C171=C170,"GOOD","UNDER CONSUME")))</f>
        <v/>
      </c>
      <c r="D172" s="47" t="str">
        <f t="shared" ca="1" si="12"/>
        <v/>
      </c>
      <c r="E172" s="47" t="str">
        <f t="shared" ca="1" si="12"/>
        <v/>
      </c>
      <c r="F172" s="47" t="str">
        <f t="shared" ca="1" si="12"/>
        <v/>
      </c>
      <c r="G172" s="47" t="str">
        <f t="shared" ca="1" si="12"/>
        <v/>
      </c>
      <c r="H172" s="47" t="str">
        <f t="shared" ca="1" si="12"/>
        <v/>
      </c>
      <c r="I172" s="47" t="str">
        <f t="shared" ca="1" si="12"/>
        <v/>
      </c>
      <c r="J172" s="47" t="str">
        <f t="shared" ca="1" si="12"/>
        <v/>
      </c>
      <c r="K172" s="47" t="str">
        <f t="shared" ca="1" si="12"/>
        <v/>
      </c>
      <c r="L172" s="47" t="str">
        <f t="shared" ca="1" si="12"/>
        <v/>
      </c>
      <c r="M172" s="47" t="str">
        <f t="shared" ca="1" si="12"/>
        <v/>
      </c>
      <c r="N172" s="47" t="str">
        <f t="shared" ca="1" si="12"/>
        <v/>
      </c>
      <c r="O172" s="47" t="str">
        <f t="shared" ca="1" si="12"/>
        <v/>
      </c>
      <c r="P172" s="47" t="str">
        <f t="shared" ca="1" si="12"/>
        <v/>
      </c>
      <c r="Q172" s="47" t="str">
        <f t="shared" ca="1" si="12"/>
        <v/>
      </c>
      <c r="R172" s="47" t="str">
        <f t="shared" ca="1" si="12"/>
        <v/>
      </c>
      <c r="S172" s="47" t="str">
        <f t="shared" ca="1" si="12"/>
        <v/>
      </c>
      <c r="T172" s="47" t="str">
        <f t="shared" ca="1" si="12"/>
        <v/>
      </c>
      <c r="U172" s="47" t="str">
        <f t="shared" ca="1" si="12"/>
        <v/>
      </c>
      <c r="V172" s="47" t="str">
        <f t="shared" ca="1" si="12"/>
        <v/>
      </c>
      <c r="W172" s="47" t="str">
        <f t="shared" ca="1" si="12"/>
        <v/>
      </c>
      <c r="X172" s="47" t="str">
        <f t="shared" ca="1" si="12"/>
        <v/>
      </c>
      <c r="Y172" s="47" t="str">
        <f t="shared" ca="1" si="12"/>
        <v/>
      </c>
      <c r="Z172" s="47" t="str">
        <f t="shared" ca="1" si="12"/>
        <v/>
      </c>
      <c r="AA172" s="47" t="str">
        <f t="shared" ca="1" si="12"/>
        <v/>
      </c>
      <c r="AB172" s="47" t="str">
        <f t="shared" ca="1" si="12"/>
        <v/>
      </c>
      <c r="AC172" s="47" t="str">
        <f t="shared" ca="1" si="12"/>
        <v/>
      </c>
      <c r="AD172" s="47" t="str">
        <f t="shared" ca="1" si="12"/>
        <v/>
      </c>
      <c r="AE172" s="47" t="str">
        <f t="shared" ca="1" si="12"/>
        <v/>
      </c>
      <c r="AF172" s="47" t="str">
        <f t="shared" ca="1" si="12"/>
        <v/>
      </c>
      <c r="AG172" s="48" t="str">
        <f t="shared" ca="1" si="12"/>
        <v/>
      </c>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27"/>
      <c r="BW172" s="31"/>
      <c r="BX172" s="27"/>
      <c r="BY172" s="27"/>
      <c r="BZ172" s="27"/>
    </row>
    <row r="173" spans="1:78" ht="15" thickBot="1" x14ac:dyDescent="0.35">
      <c r="A173" s="52"/>
      <c r="B173" s="28"/>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27"/>
      <c r="BW173" s="31"/>
      <c r="BX173" s="27"/>
      <c r="BY173" s="27"/>
      <c r="BZ173" s="27"/>
    </row>
    <row r="174" spans="1:78" ht="15.5" x14ac:dyDescent="0.3">
      <c r="A174" s="219" t="s">
        <v>177</v>
      </c>
      <c r="B174" s="220"/>
      <c r="C174" s="220"/>
      <c r="D174" s="220"/>
      <c r="E174" s="220"/>
      <c r="F174" s="220"/>
      <c r="G174" s="220"/>
      <c r="H174" s="220"/>
      <c r="I174" s="220"/>
      <c r="J174" s="220"/>
      <c r="K174" s="220"/>
      <c r="L174" s="221"/>
      <c r="M174" s="30"/>
      <c r="N174" s="30"/>
      <c r="O174" s="30"/>
      <c r="P174" s="30"/>
      <c r="Q174" s="30"/>
      <c r="R174" s="30"/>
      <c r="S174" s="30"/>
      <c r="T174" s="30"/>
      <c r="U174" s="30"/>
      <c r="V174" s="30"/>
      <c r="W174" s="30"/>
      <c r="X174" s="30"/>
      <c r="Y174" s="30"/>
      <c r="Z174" s="30"/>
      <c r="AA174" s="30"/>
      <c r="AB174" s="30"/>
      <c r="AC174" s="30"/>
      <c r="AD174" s="30"/>
      <c r="AE174" s="30"/>
      <c r="AF174" s="30"/>
      <c r="AG174" s="27"/>
      <c r="AH174" s="27"/>
      <c r="AI174" s="27"/>
      <c r="AJ174" s="27"/>
      <c r="AK174" s="27"/>
      <c r="AL174" s="27"/>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c r="BN174" s="27"/>
      <c r="BO174" s="27"/>
      <c r="BP174" s="27"/>
      <c r="BQ174" s="27"/>
      <c r="BR174" s="27"/>
      <c r="BS174" s="27"/>
      <c r="BT174" s="27"/>
      <c r="BU174" s="27"/>
      <c r="BV174" s="27"/>
      <c r="BW174" s="31"/>
      <c r="BX174" s="27"/>
      <c r="BY174" s="27"/>
      <c r="BZ174" s="27"/>
    </row>
    <row r="175" spans="1:78" ht="14.5" x14ac:dyDescent="0.3">
      <c r="A175" s="222" t="s">
        <v>296</v>
      </c>
      <c r="B175" s="204"/>
      <c r="C175" s="204"/>
      <c r="D175" s="204"/>
      <c r="E175" s="204"/>
      <c r="F175" s="204"/>
      <c r="G175" s="204"/>
      <c r="H175" s="204"/>
      <c r="I175" s="204"/>
      <c r="J175" s="204"/>
      <c r="K175" s="204"/>
      <c r="L175" s="205"/>
      <c r="M175" s="30"/>
      <c r="N175" s="30"/>
      <c r="O175" s="30"/>
      <c r="P175" s="30"/>
      <c r="Q175" s="30"/>
      <c r="R175" s="30"/>
      <c r="S175" s="30"/>
      <c r="T175" s="30"/>
      <c r="U175" s="30"/>
      <c r="V175" s="30"/>
      <c r="W175" s="30"/>
      <c r="X175" s="30"/>
      <c r="Y175" s="30"/>
      <c r="Z175" s="30"/>
      <c r="AA175" s="30"/>
      <c r="AB175" s="30"/>
      <c r="AC175" s="30"/>
      <c r="AD175" s="30"/>
      <c r="AE175" s="30"/>
      <c r="AF175" s="30"/>
      <c r="AG175" s="27"/>
      <c r="AH175" s="27"/>
      <c r="AI175" s="27"/>
      <c r="AJ175" s="27"/>
      <c r="AK175" s="27"/>
      <c r="AL175" s="27"/>
      <c r="AM175" s="27"/>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c r="BM175" s="27"/>
      <c r="BN175" s="27"/>
      <c r="BO175" s="27"/>
      <c r="BP175" s="27"/>
      <c r="BQ175" s="27"/>
      <c r="BR175" s="27"/>
      <c r="BS175" s="27"/>
      <c r="BT175" s="27"/>
      <c r="BU175" s="27"/>
      <c r="BV175" s="27"/>
      <c r="BW175" s="31"/>
      <c r="BX175" s="27"/>
      <c r="BY175" s="27"/>
      <c r="BZ175" s="27"/>
    </row>
    <row r="176" spans="1:78" ht="14.5" x14ac:dyDescent="0.3">
      <c r="A176" s="222" t="s">
        <v>297</v>
      </c>
      <c r="B176" s="204"/>
      <c r="C176" s="204"/>
      <c r="D176" s="204"/>
      <c r="E176" s="204"/>
      <c r="F176" s="204"/>
      <c r="G176" s="204"/>
      <c r="H176" s="204"/>
      <c r="I176" s="204"/>
      <c r="J176" s="204"/>
      <c r="K176" s="204"/>
      <c r="L176" s="205"/>
      <c r="M176" s="30"/>
      <c r="N176" s="30"/>
      <c r="O176" s="30"/>
      <c r="P176" s="30"/>
      <c r="Q176" s="30"/>
      <c r="R176" s="30"/>
      <c r="S176" s="30"/>
      <c r="T176" s="30"/>
      <c r="U176" s="30"/>
      <c r="V176" s="30"/>
      <c r="W176" s="30"/>
      <c r="X176" s="30"/>
      <c r="Y176" s="30"/>
      <c r="Z176" s="30"/>
      <c r="AA176" s="30"/>
      <c r="AB176" s="30"/>
      <c r="AC176" s="30"/>
      <c r="AD176" s="30"/>
      <c r="AE176" s="30"/>
      <c r="AF176" s="30"/>
      <c r="AG176" s="27"/>
      <c r="AH176" s="27"/>
      <c r="AI176" s="27"/>
      <c r="AJ176" s="27"/>
      <c r="AK176" s="27"/>
      <c r="AL176" s="27"/>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7"/>
      <c r="BO176" s="27"/>
      <c r="BP176" s="27"/>
      <c r="BQ176" s="27"/>
      <c r="BR176" s="27"/>
      <c r="BS176" s="27"/>
      <c r="BT176" s="27"/>
      <c r="BU176" s="27"/>
      <c r="BV176" s="27"/>
      <c r="BW176" s="31"/>
      <c r="BX176" s="27"/>
      <c r="BY176" s="27"/>
      <c r="BZ176" s="27"/>
    </row>
    <row r="177" spans="1:78" ht="14.5" x14ac:dyDescent="0.3">
      <c r="A177" s="53" t="s">
        <v>298</v>
      </c>
      <c r="B177" s="49"/>
      <c r="C177" s="50"/>
      <c r="D177" s="50"/>
      <c r="E177" s="50"/>
      <c r="F177" s="50"/>
      <c r="G177" s="50"/>
      <c r="H177" s="50"/>
      <c r="I177" s="50"/>
      <c r="J177" s="50"/>
      <c r="K177" s="50"/>
      <c r="L177" s="51"/>
      <c r="M177" s="30"/>
      <c r="N177" s="30"/>
      <c r="O177" s="30"/>
      <c r="P177" s="30"/>
      <c r="Q177" s="30"/>
      <c r="R177" s="30"/>
      <c r="S177" s="30"/>
      <c r="T177" s="30"/>
      <c r="U177" s="30"/>
      <c r="V177" s="30"/>
      <c r="W177" s="30"/>
      <c r="X177" s="30"/>
      <c r="Y177" s="30"/>
      <c r="Z177" s="30"/>
      <c r="AA177" s="30"/>
      <c r="AB177" s="30"/>
      <c r="AC177" s="30"/>
      <c r="AD177" s="30"/>
      <c r="AE177" s="30"/>
      <c r="AF177" s="30"/>
      <c r="AG177" s="27"/>
      <c r="AH177" s="27"/>
      <c r="AI177" s="27"/>
      <c r="AJ177" s="27"/>
      <c r="AK177" s="27"/>
      <c r="AL177" s="27"/>
      <c r="AM177" s="27"/>
      <c r="AN177" s="27"/>
      <c r="AO177" s="27"/>
      <c r="AP177" s="27"/>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7"/>
      <c r="BO177" s="27"/>
      <c r="BP177" s="27"/>
      <c r="BQ177" s="27"/>
      <c r="BR177" s="27"/>
      <c r="BS177" s="27"/>
      <c r="BT177" s="27"/>
      <c r="BU177" s="27"/>
      <c r="BV177" s="27"/>
      <c r="BW177" s="31"/>
      <c r="BX177" s="27"/>
      <c r="BY177" s="27"/>
      <c r="BZ177" s="27"/>
    </row>
    <row r="178" spans="1:78" ht="14.5" x14ac:dyDescent="0.3">
      <c r="A178" s="223" t="s">
        <v>299</v>
      </c>
      <c r="B178" s="204"/>
      <c r="C178" s="204"/>
      <c r="D178" s="204"/>
      <c r="E178" s="204"/>
      <c r="F178" s="204"/>
      <c r="G178" s="204"/>
      <c r="H178" s="204"/>
      <c r="I178" s="204"/>
      <c r="J178" s="204"/>
      <c r="K178" s="204"/>
      <c r="L178" s="205"/>
      <c r="M178" s="30"/>
      <c r="N178" s="30"/>
      <c r="O178" s="30"/>
      <c r="P178" s="30"/>
      <c r="Q178" s="30"/>
      <c r="R178" s="30"/>
      <c r="S178" s="30"/>
      <c r="T178" s="30"/>
      <c r="U178" s="30"/>
      <c r="V178" s="30"/>
      <c r="W178" s="30"/>
      <c r="X178" s="30"/>
      <c r="Y178" s="30"/>
      <c r="Z178" s="30"/>
      <c r="AA178" s="30"/>
      <c r="AB178" s="30"/>
      <c r="AC178" s="30"/>
      <c r="AD178" s="30"/>
      <c r="AE178" s="30"/>
      <c r="AF178" s="30"/>
      <c r="AG178" s="27"/>
      <c r="AH178" s="27"/>
      <c r="AI178" s="27"/>
      <c r="AJ178" s="27"/>
      <c r="AK178" s="27"/>
      <c r="AL178" s="27"/>
      <c r="AM178" s="27"/>
      <c r="AN178" s="27"/>
      <c r="AO178" s="27"/>
      <c r="AP178" s="27"/>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7"/>
      <c r="BM178" s="27"/>
      <c r="BN178" s="27"/>
      <c r="BO178" s="27"/>
      <c r="BP178" s="27"/>
      <c r="BQ178" s="27"/>
      <c r="BR178" s="27"/>
      <c r="BS178" s="27"/>
      <c r="BT178" s="27"/>
      <c r="BU178" s="27"/>
      <c r="BV178" s="27"/>
      <c r="BW178" s="31"/>
      <c r="BX178" s="27"/>
      <c r="BY178" s="27"/>
      <c r="BZ178" s="27"/>
    </row>
    <row r="179" spans="1:78" ht="14.5" x14ac:dyDescent="0.3">
      <c r="A179" s="200" t="s">
        <v>300</v>
      </c>
      <c r="B179" s="204"/>
      <c r="C179" s="204"/>
      <c r="D179" s="204"/>
      <c r="E179" s="204"/>
      <c r="F179" s="204"/>
      <c r="G179" s="204"/>
      <c r="H179" s="204"/>
      <c r="I179" s="204"/>
      <c r="J179" s="204"/>
      <c r="K179" s="204"/>
      <c r="L179" s="205"/>
      <c r="M179" s="30"/>
      <c r="N179" s="30"/>
      <c r="O179" s="30"/>
      <c r="P179" s="30"/>
      <c r="Q179" s="30"/>
      <c r="R179" s="30"/>
      <c r="S179" s="30"/>
      <c r="T179" s="30"/>
      <c r="U179" s="30"/>
      <c r="V179" s="30"/>
      <c r="W179" s="30"/>
      <c r="X179" s="30"/>
      <c r="Y179" s="30"/>
      <c r="Z179" s="30"/>
      <c r="AA179" s="30"/>
      <c r="AB179" s="30"/>
      <c r="AC179" s="30"/>
      <c r="AD179" s="30"/>
      <c r="AE179" s="30"/>
      <c r="AF179" s="30"/>
      <c r="AG179" s="27"/>
      <c r="AH179" s="27"/>
      <c r="AI179" s="27"/>
      <c r="AJ179" s="27"/>
      <c r="AK179" s="27"/>
      <c r="AL179" s="27"/>
      <c r="AM179" s="27"/>
      <c r="AN179" s="27"/>
      <c r="AO179" s="27"/>
      <c r="AP179" s="27"/>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7"/>
      <c r="BO179" s="27"/>
      <c r="BP179" s="27"/>
      <c r="BQ179" s="27"/>
      <c r="BR179" s="27"/>
      <c r="BS179" s="27"/>
      <c r="BT179" s="27"/>
      <c r="BU179" s="27"/>
      <c r="BV179" s="27"/>
      <c r="BW179" s="31"/>
      <c r="BX179" s="27"/>
      <c r="BY179" s="27"/>
      <c r="BZ179" s="27"/>
    </row>
    <row r="180" spans="1:78" ht="14.5" x14ac:dyDescent="0.3">
      <c r="A180" s="200" t="s">
        <v>301</v>
      </c>
      <c r="B180" s="204"/>
      <c r="C180" s="204"/>
      <c r="D180" s="204"/>
      <c r="E180" s="204"/>
      <c r="F180" s="204"/>
      <c r="G180" s="204"/>
      <c r="H180" s="204"/>
      <c r="I180" s="204"/>
      <c r="J180" s="204"/>
      <c r="K180" s="204"/>
      <c r="L180" s="205"/>
      <c r="M180" s="30"/>
      <c r="N180" s="30"/>
      <c r="O180" s="30"/>
      <c r="P180" s="30"/>
      <c r="Q180" s="30"/>
      <c r="R180" s="30"/>
      <c r="S180" s="30"/>
      <c r="T180" s="30"/>
      <c r="U180" s="30"/>
      <c r="V180" s="30"/>
      <c r="W180" s="30"/>
      <c r="X180" s="30"/>
      <c r="Y180" s="30"/>
      <c r="Z180" s="30"/>
      <c r="AA180" s="30"/>
      <c r="AB180" s="30"/>
      <c r="AC180" s="30"/>
      <c r="AD180" s="30"/>
      <c r="AE180" s="30"/>
      <c r="AF180" s="30"/>
      <c r="AG180" s="27"/>
      <c r="AH180" s="27"/>
      <c r="AI180" s="27"/>
      <c r="AJ180" s="27"/>
      <c r="AK180" s="27"/>
      <c r="AL180" s="27"/>
      <c r="AM180" s="27"/>
      <c r="AN180" s="27"/>
      <c r="AO180" s="27"/>
      <c r="AP180" s="27"/>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c r="BM180" s="27"/>
      <c r="BN180" s="27"/>
      <c r="BO180" s="27"/>
      <c r="BP180" s="27"/>
      <c r="BQ180" s="27"/>
      <c r="BR180" s="27"/>
      <c r="BS180" s="27"/>
      <c r="BT180" s="27"/>
      <c r="BU180" s="27"/>
      <c r="BV180" s="27"/>
      <c r="BW180" s="31"/>
      <c r="BX180" s="27"/>
      <c r="BY180" s="27"/>
      <c r="BZ180" s="27"/>
    </row>
    <row r="181" spans="1:78" ht="14.5" x14ac:dyDescent="0.3">
      <c r="A181" s="200" t="s">
        <v>302</v>
      </c>
      <c r="B181" s="204"/>
      <c r="C181" s="204"/>
      <c r="D181" s="204"/>
      <c r="E181" s="204"/>
      <c r="F181" s="204"/>
      <c r="G181" s="204"/>
      <c r="H181" s="204"/>
      <c r="I181" s="204"/>
      <c r="J181" s="204"/>
      <c r="K181" s="204"/>
      <c r="L181" s="205"/>
      <c r="M181" s="30"/>
      <c r="N181" s="30"/>
      <c r="O181" s="30"/>
      <c r="P181" s="30"/>
      <c r="Q181" s="30"/>
      <c r="R181" s="30"/>
      <c r="S181" s="30"/>
      <c r="T181" s="30"/>
      <c r="U181" s="30"/>
      <c r="V181" s="30"/>
      <c r="W181" s="30"/>
      <c r="X181" s="30"/>
      <c r="Y181" s="30"/>
      <c r="Z181" s="30"/>
      <c r="AA181" s="30"/>
      <c r="AB181" s="30"/>
      <c r="AC181" s="30"/>
      <c r="AD181" s="30"/>
      <c r="AE181" s="30"/>
      <c r="AF181" s="30"/>
      <c r="AG181" s="27"/>
      <c r="AH181" s="27"/>
      <c r="AI181" s="27"/>
      <c r="AJ181" s="27"/>
      <c r="AK181" s="27"/>
      <c r="AL181" s="27"/>
      <c r="AM181" s="27"/>
      <c r="AN181" s="27"/>
      <c r="AO181" s="27"/>
      <c r="AP181" s="27"/>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c r="BM181" s="27"/>
      <c r="BN181" s="27"/>
      <c r="BO181" s="27"/>
      <c r="BP181" s="27"/>
      <c r="BQ181" s="27"/>
      <c r="BR181" s="27"/>
      <c r="BS181" s="27"/>
      <c r="BT181" s="27"/>
      <c r="BU181" s="27"/>
      <c r="BV181" s="27"/>
      <c r="BW181" s="31"/>
      <c r="BX181" s="27"/>
      <c r="BY181" s="27"/>
      <c r="BZ181" s="27"/>
    </row>
    <row r="182" spans="1:78" ht="15" thickBot="1" x14ac:dyDescent="0.35">
      <c r="A182" s="210" t="s">
        <v>303</v>
      </c>
      <c r="B182" s="211"/>
      <c r="C182" s="211"/>
      <c r="D182" s="211"/>
      <c r="E182" s="211"/>
      <c r="F182" s="211"/>
      <c r="G182" s="211"/>
      <c r="H182" s="211"/>
      <c r="I182" s="211"/>
      <c r="J182" s="211"/>
      <c r="K182" s="211"/>
      <c r="L182" s="212"/>
      <c r="M182" s="30"/>
      <c r="N182" s="30"/>
      <c r="O182" s="30"/>
      <c r="P182" s="30"/>
      <c r="Q182" s="30"/>
      <c r="R182" s="30"/>
      <c r="S182" s="30"/>
      <c r="T182" s="30"/>
      <c r="U182" s="30"/>
      <c r="V182" s="30"/>
      <c r="W182" s="30"/>
      <c r="X182" s="30"/>
      <c r="Y182" s="30"/>
      <c r="Z182" s="30"/>
      <c r="AA182" s="30"/>
      <c r="AB182" s="30"/>
      <c r="AC182" s="30"/>
      <c r="AD182" s="30"/>
      <c r="AE182" s="30"/>
      <c r="AF182" s="30"/>
      <c r="AG182" s="27"/>
      <c r="AH182" s="27"/>
      <c r="AI182" s="27"/>
      <c r="AJ182" s="27"/>
      <c r="AK182" s="27"/>
      <c r="AL182" s="27"/>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c r="BM182" s="27"/>
      <c r="BN182" s="27"/>
      <c r="BO182" s="27"/>
      <c r="BP182" s="27"/>
      <c r="BQ182" s="27"/>
      <c r="BR182" s="27"/>
      <c r="BS182" s="27"/>
      <c r="BT182" s="27"/>
      <c r="BU182" s="27"/>
      <c r="BV182" s="27"/>
      <c r="BW182" s="31"/>
      <c r="BX182" s="27"/>
      <c r="BY182" s="27"/>
      <c r="BZ182" s="27"/>
    </row>
    <row r="183" spans="1:78" ht="220.15" customHeight="1" thickBot="1" x14ac:dyDescent="0.35">
      <c r="A183" s="213" t="s">
        <v>304</v>
      </c>
      <c r="B183" s="214"/>
      <c r="C183" s="214"/>
      <c r="D183" s="214"/>
      <c r="E183" s="214"/>
      <c r="F183" s="214"/>
      <c r="G183" s="214"/>
      <c r="H183" s="214"/>
      <c r="I183" s="214"/>
      <c r="J183" s="214"/>
      <c r="K183" s="214"/>
      <c r="L183" s="215"/>
      <c r="M183" s="30"/>
      <c r="N183" s="30"/>
      <c r="O183" s="30"/>
      <c r="P183" s="30"/>
      <c r="Q183" s="30"/>
      <c r="R183" s="30"/>
      <c r="S183" s="30"/>
      <c r="T183" s="30"/>
      <c r="U183" s="30"/>
      <c r="V183" s="30"/>
      <c r="W183" s="30"/>
      <c r="X183" s="30"/>
      <c r="Y183" s="30"/>
      <c r="Z183" s="30"/>
      <c r="AA183" s="30"/>
      <c r="AB183" s="30"/>
      <c r="AC183" s="30"/>
      <c r="AD183" s="30"/>
      <c r="AE183" s="30"/>
      <c r="AF183" s="30"/>
      <c r="AG183" s="27"/>
      <c r="AH183" s="27"/>
      <c r="AI183" s="27"/>
      <c r="AJ183" s="27"/>
      <c r="AK183" s="27"/>
      <c r="AL183" s="27"/>
      <c r="AM183" s="27"/>
      <c r="AN183" s="27"/>
      <c r="AO183" s="27"/>
      <c r="AP183" s="27"/>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c r="BM183" s="27"/>
      <c r="BN183" s="27"/>
      <c r="BO183" s="27"/>
      <c r="BP183" s="27"/>
      <c r="BQ183" s="27"/>
      <c r="BR183" s="27"/>
      <c r="BS183" s="27"/>
      <c r="BT183" s="27"/>
      <c r="BU183" s="27"/>
      <c r="BV183" s="27"/>
      <c r="BW183" s="31"/>
      <c r="BX183" s="27"/>
      <c r="BY183" s="27"/>
      <c r="BZ183" s="27"/>
    </row>
    <row r="184" spans="1:78" ht="171.65" customHeight="1" thickBot="1" x14ac:dyDescent="0.35">
      <c r="A184" s="213" t="s">
        <v>305</v>
      </c>
      <c r="B184" s="214"/>
      <c r="C184" s="214"/>
      <c r="D184" s="214"/>
      <c r="E184" s="214"/>
      <c r="F184" s="214"/>
      <c r="G184" s="214"/>
      <c r="H184" s="214"/>
      <c r="I184" s="214"/>
      <c r="J184" s="214"/>
      <c r="K184" s="214"/>
      <c r="L184" s="215"/>
      <c r="M184" s="30"/>
      <c r="N184" s="30"/>
      <c r="O184" s="30"/>
      <c r="P184" s="30"/>
      <c r="Q184" s="30"/>
      <c r="R184" s="30"/>
      <c r="S184" s="30"/>
      <c r="T184" s="30"/>
      <c r="U184" s="30"/>
      <c r="V184" s="30"/>
      <c r="W184" s="30"/>
      <c r="X184" s="30"/>
      <c r="Y184" s="30"/>
      <c r="Z184" s="30"/>
      <c r="AA184" s="30"/>
      <c r="AB184" s="30"/>
      <c r="AC184" s="30"/>
      <c r="AD184" s="30"/>
      <c r="AE184" s="30"/>
      <c r="AF184" s="30"/>
      <c r="AG184" s="27"/>
      <c r="AH184" s="27"/>
      <c r="AI184" s="27"/>
      <c r="AJ184" s="27"/>
      <c r="AK184" s="27"/>
      <c r="AL184" s="27"/>
      <c r="AM184" s="27"/>
      <c r="AN184" s="27"/>
      <c r="AO184" s="27"/>
      <c r="AP184" s="27"/>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7"/>
      <c r="BM184" s="27"/>
      <c r="BN184" s="27"/>
      <c r="BO184" s="27"/>
      <c r="BP184" s="27"/>
      <c r="BQ184" s="27"/>
      <c r="BR184" s="27"/>
      <c r="BS184" s="27"/>
      <c r="BT184" s="27"/>
      <c r="BU184" s="27"/>
      <c r="BV184" s="27"/>
      <c r="BW184" s="31"/>
      <c r="BX184" s="27"/>
      <c r="BY184" s="27"/>
      <c r="BZ184" s="27"/>
    </row>
    <row r="185" spans="1:78" ht="14.5" x14ac:dyDescent="0.3">
      <c r="A185" s="216"/>
      <c r="B185" s="217"/>
      <c r="C185" s="217"/>
      <c r="D185" s="217"/>
      <c r="E185" s="217"/>
      <c r="F185" s="217"/>
      <c r="G185" s="217"/>
      <c r="H185" s="217"/>
      <c r="I185" s="217"/>
      <c r="J185" s="217"/>
      <c r="K185" s="217"/>
      <c r="L185" s="218"/>
      <c r="M185" s="30"/>
      <c r="N185" s="30"/>
      <c r="O185" s="30"/>
      <c r="P185" s="30"/>
      <c r="Q185" s="30"/>
      <c r="R185" s="30"/>
      <c r="S185" s="30"/>
      <c r="T185" s="30"/>
      <c r="U185" s="30"/>
      <c r="V185" s="30"/>
      <c r="W185" s="30"/>
      <c r="X185" s="30"/>
      <c r="Y185" s="30"/>
      <c r="Z185" s="30"/>
      <c r="AA185" s="30"/>
      <c r="AB185" s="30"/>
      <c r="AC185" s="30"/>
      <c r="AD185" s="30"/>
      <c r="AE185" s="30"/>
      <c r="AF185" s="30"/>
      <c r="AG185" s="27"/>
      <c r="AH185" s="27"/>
      <c r="AI185" s="27"/>
      <c r="AJ185" s="27"/>
      <c r="AK185" s="27"/>
      <c r="AL185" s="27"/>
      <c r="AM185" s="27"/>
      <c r="AN185" s="27"/>
      <c r="AO185" s="27"/>
      <c r="AP185" s="27"/>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c r="BM185" s="27"/>
      <c r="BN185" s="27"/>
      <c r="BO185" s="27"/>
      <c r="BP185" s="27"/>
      <c r="BQ185" s="27"/>
      <c r="BR185" s="27"/>
      <c r="BS185" s="27"/>
      <c r="BT185" s="27"/>
      <c r="BU185" s="27"/>
      <c r="BV185" s="27"/>
      <c r="BW185" s="31"/>
      <c r="BX185" s="27"/>
      <c r="BY185" s="27"/>
      <c r="BZ185" s="27"/>
    </row>
    <row r="186" spans="1:78" ht="14.5" x14ac:dyDescent="0.3">
      <c r="A186" s="52"/>
      <c r="B186" s="28"/>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c r="BO186" s="30"/>
      <c r="BP186" s="30"/>
      <c r="BQ186" s="30"/>
      <c r="BR186" s="30"/>
      <c r="BS186" s="30"/>
      <c r="BT186" s="30"/>
      <c r="BU186" s="30"/>
      <c r="BV186" s="27"/>
      <c r="BW186" s="31"/>
      <c r="BX186" s="27"/>
      <c r="BY186" s="27"/>
      <c r="BZ186" s="27"/>
    </row>
    <row r="187" spans="1:78" ht="14.5" x14ac:dyDescent="0.3">
      <c r="A187" s="52"/>
      <c r="B187" s="28"/>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0"/>
      <c r="BR187" s="30"/>
      <c r="BS187" s="30"/>
      <c r="BT187" s="30"/>
      <c r="BU187" s="30"/>
      <c r="BV187" s="27"/>
      <c r="BW187" s="31"/>
      <c r="BX187" s="27"/>
      <c r="BY187" s="27"/>
      <c r="BZ187" s="27"/>
    </row>
    <row r="188" spans="1:78" ht="14.5" x14ac:dyDescent="0.3">
      <c r="A188" s="52"/>
      <c r="B188" s="28"/>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c r="BO188" s="30"/>
      <c r="BP188" s="30"/>
      <c r="BQ188" s="30"/>
      <c r="BR188" s="30"/>
      <c r="BS188" s="30"/>
      <c r="BT188" s="30"/>
      <c r="BU188" s="30"/>
      <c r="BV188" s="27"/>
      <c r="BW188" s="31"/>
      <c r="BX188" s="27"/>
      <c r="BY188" s="27"/>
      <c r="BZ188" s="27"/>
    </row>
    <row r="189" spans="1:78" ht="14.5" x14ac:dyDescent="0.3">
      <c r="A189" s="52"/>
      <c r="B189" s="28"/>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27"/>
      <c r="BW189" s="31"/>
      <c r="BX189" s="27"/>
      <c r="BY189" s="27"/>
      <c r="BZ189" s="27"/>
    </row>
    <row r="190" spans="1:78" ht="14.5" x14ac:dyDescent="0.3">
      <c r="A190" s="52"/>
      <c r="B190" s="28"/>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27"/>
      <c r="BW190" s="31"/>
      <c r="BX190" s="27"/>
      <c r="BY190" s="27"/>
      <c r="BZ190" s="27"/>
    </row>
    <row r="191" spans="1:78" ht="14.5" x14ac:dyDescent="0.3">
      <c r="A191" s="52"/>
      <c r="B191" s="28"/>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27"/>
      <c r="BW191" s="31"/>
      <c r="BX191" s="27"/>
      <c r="BY191" s="27"/>
      <c r="BZ191" s="27"/>
    </row>
    <row r="192" spans="1:78" ht="14.5" x14ac:dyDescent="0.3">
      <c r="A192" s="52"/>
      <c r="B192" s="28"/>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c r="BO192" s="30"/>
      <c r="BP192" s="30"/>
      <c r="BQ192" s="30"/>
      <c r="BR192" s="30"/>
      <c r="BS192" s="30"/>
      <c r="BT192" s="30"/>
      <c r="BU192" s="30"/>
      <c r="BV192" s="27"/>
      <c r="BW192" s="31"/>
      <c r="BX192" s="27"/>
      <c r="BY192" s="27"/>
      <c r="BZ192" s="27"/>
    </row>
    <row r="193" spans="1:78" ht="14.5" x14ac:dyDescent="0.3">
      <c r="A193" s="52"/>
      <c r="B193" s="28"/>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27"/>
      <c r="BW193" s="31"/>
      <c r="BX193" s="27"/>
      <c r="BY193" s="27"/>
      <c r="BZ193" s="27"/>
    </row>
    <row r="194" spans="1:78" ht="14.5" x14ac:dyDescent="0.3">
      <c r="A194" s="52"/>
      <c r="B194" s="28"/>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c r="BO194" s="30"/>
      <c r="BP194" s="30"/>
      <c r="BQ194" s="30"/>
      <c r="BR194" s="30"/>
      <c r="BS194" s="30"/>
      <c r="BT194" s="30"/>
      <c r="BU194" s="30"/>
      <c r="BV194" s="27"/>
      <c r="BW194" s="31"/>
      <c r="BX194" s="27"/>
      <c r="BY194" s="27"/>
      <c r="BZ194" s="27"/>
    </row>
    <row r="195" spans="1:78" ht="14.5" x14ac:dyDescent="0.3">
      <c r="A195" s="52"/>
      <c r="B195" s="28"/>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c r="BO195" s="30"/>
      <c r="BP195" s="30"/>
      <c r="BQ195" s="30"/>
      <c r="BR195" s="30"/>
      <c r="BS195" s="30"/>
      <c r="BT195" s="30"/>
      <c r="BU195" s="30"/>
      <c r="BV195" s="27"/>
      <c r="BW195" s="31"/>
      <c r="BX195" s="27"/>
      <c r="BY195" s="27"/>
      <c r="BZ195" s="27"/>
    </row>
    <row r="196" spans="1:78" ht="14.5" x14ac:dyDescent="0.3">
      <c r="A196" s="52"/>
      <c r="B196" s="28"/>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27"/>
      <c r="BW196" s="31"/>
      <c r="BX196" s="27"/>
      <c r="BY196" s="27"/>
      <c r="BZ196" s="27"/>
    </row>
    <row r="197" spans="1:78" ht="14.5" x14ac:dyDescent="0.3">
      <c r="A197" s="52"/>
      <c r="B197" s="28"/>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27"/>
      <c r="BW197" s="31"/>
      <c r="BX197" s="27"/>
      <c r="BY197" s="27"/>
      <c r="BZ197" s="27"/>
    </row>
    <row r="198" spans="1:78" ht="14.5" x14ac:dyDescent="0.3">
      <c r="A198" s="52"/>
      <c r="B198" s="28"/>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c r="BO198" s="30"/>
      <c r="BP198" s="30"/>
      <c r="BQ198" s="30"/>
      <c r="BR198" s="30"/>
      <c r="BS198" s="30"/>
      <c r="BT198" s="30"/>
      <c r="BU198" s="30"/>
      <c r="BV198" s="27"/>
      <c r="BW198" s="31"/>
      <c r="BX198" s="27"/>
      <c r="BY198" s="27"/>
      <c r="BZ198" s="27"/>
    </row>
    <row r="199" spans="1:78" ht="14.5" x14ac:dyDescent="0.3">
      <c r="A199" s="52"/>
      <c r="B199" s="28"/>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c r="BO199" s="30"/>
      <c r="BP199" s="30"/>
      <c r="BQ199" s="30"/>
      <c r="BR199" s="30"/>
      <c r="BS199" s="30"/>
      <c r="BT199" s="30"/>
      <c r="BU199" s="30"/>
      <c r="BV199" s="27"/>
      <c r="BW199" s="31"/>
      <c r="BX199" s="27"/>
      <c r="BY199" s="27"/>
      <c r="BZ199" s="27"/>
    </row>
  </sheetData>
  <sheetProtection sheet="1" objects="1" scenarios="1" autoFilter="0"/>
  <autoFilter ref="A1:BW157" xr:uid="{8785FC7E-9A04-4E2A-87CA-AA544B332390}">
    <filterColumn colId="2" showButton="0"/>
    <filterColumn colId="4" showButton="0"/>
    <filterColumn colId="6" showButton="0"/>
    <filterColumn colId="8" showButton="0"/>
    <filterColumn colId="10" showButton="0"/>
    <filterColumn colId="12" showButton="0"/>
    <filterColumn colId="14" showButton="0"/>
    <filterColumn colId="16" showButton="0"/>
    <filterColumn colId="18" showButton="0"/>
    <filterColumn colId="20" showButton="0"/>
    <filterColumn colId="22" showButton="0"/>
    <filterColumn colId="24" showButton="0"/>
    <filterColumn colId="26" showButton="0"/>
    <filterColumn colId="28" showButton="0"/>
    <filterColumn colId="30" showButton="0"/>
    <filterColumn colId="32" showButton="0"/>
    <filterColumn colId="34" showButton="0"/>
    <filterColumn colId="36" showButton="0"/>
    <filterColumn colId="38" showButton="0"/>
    <filterColumn colId="40" showButton="0"/>
    <filterColumn colId="42" showButton="0"/>
    <filterColumn colId="44" showButton="0"/>
    <filterColumn colId="46" showButton="0"/>
    <filterColumn colId="48" showButton="0"/>
    <filterColumn colId="50" showButton="0"/>
    <filterColumn colId="52" showButton="0"/>
    <filterColumn colId="54" showButton="0"/>
    <filterColumn colId="56" showButton="0"/>
    <filterColumn colId="58" showButton="0"/>
    <filterColumn colId="60" showButton="0"/>
    <filterColumn colId="62" showButton="0"/>
    <filterColumn colId="64" showButton="0"/>
    <filterColumn colId="66" showButton="0"/>
    <filterColumn colId="68" showButton="0"/>
    <filterColumn colId="70" showButton="0"/>
    <filterColumn colId="72" showButton="0"/>
  </autoFilter>
  <mergeCells count="4435">
    <mergeCell ref="A182:L182"/>
    <mergeCell ref="A183:L183"/>
    <mergeCell ref="A184:L184"/>
    <mergeCell ref="A185:L185"/>
    <mergeCell ref="A174:L174"/>
    <mergeCell ref="A175:L175"/>
    <mergeCell ref="A176:L176"/>
    <mergeCell ref="A178:L178"/>
    <mergeCell ref="A179:L179"/>
    <mergeCell ref="A180:L180"/>
    <mergeCell ref="A167:B167"/>
    <mergeCell ref="A168:B168"/>
    <mergeCell ref="A169:B169"/>
    <mergeCell ref="A170:B170"/>
    <mergeCell ref="A171:B171"/>
    <mergeCell ref="A172:B172"/>
    <mergeCell ref="BA157:BB157"/>
    <mergeCell ref="U157:V157"/>
    <mergeCell ref="W157:X157"/>
    <mergeCell ref="A161:B161"/>
    <mergeCell ref="A153:A157"/>
    <mergeCell ref="C154:D154"/>
    <mergeCell ref="E154:F154"/>
    <mergeCell ref="G154:H154"/>
    <mergeCell ref="BA156:BB156"/>
    <mergeCell ref="C156:D156"/>
    <mergeCell ref="E156:F156"/>
    <mergeCell ref="G156:H156"/>
    <mergeCell ref="S155:T155"/>
    <mergeCell ref="W155:X155"/>
    <mergeCell ref="Y155:Z155"/>
    <mergeCell ref="AA155:AB155"/>
    <mergeCell ref="BC157:BD157"/>
    <mergeCell ref="BE157:BF157"/>
    <mergeCell ref="BG157:BH157"/>
    <mergeCell ref="AK157:AL157"/>
    <mergeCell ref="AM157:AN157"/>
    <mergeCell ref="BK157:BL157"/>
    <mergeCell ref="BM157:BN157"/>
    <mergeCell ref="BO157:BP157"/>
    <mergeCell ref="BQ157:BR157"/>
    <mergeCell ref="BS157:BT157"/>
    <mergeCell ref="AW157:AX157"/>
    <mergeCell ref="AY157:AZ157"/>
    <mergeCell ref="BC156:BD156"/>
    <mergeCell ref="AS157:AT157"/>
    <mergeCell ref="AU157:AV157"/>
    <mergeCell ref="A181:L181"/>
    <mergeCell ref="A165:B165"/>
    <mergeCell ref="A166:B166"/>
    <mergeCell ref="A160:B160"/>
    <mergeCell ref="BI157:BJ157"/>
    <mergeCell ref="C157:D157"/>
    <mergeCell ref="E157:F157"/>
    <mergeCell ref="G157:H157"/>
    <mergeCell ref="I157:J157"/>
    <mergeCell ref="K157:L157"/>
    <mergeCell ref="AI157:AJ157"/>
    <mergeCell ref="M157:N157"/>
    <mergeCell ref="O157:P157"/>
    <mergeCell ref="Q157:R157"/>
    <mergeCell ref="S157:T157"/>
    <mergeCell ref="A162:B162"/>
    <mergeCell ref="A163:B163"/>
    <mergeCell ref="A164:B164"/>
    <mergeCell ref="AK155:AL155"/>
    <mergeCell ref="AM155:AN155"/>
    <mergeCell ref="Q155:R155"/>
    <mergeCell ref="C155:D155"/>
    <mergeCell ref="E155:F155"/>
    <mergeCell ref="G155:H155"/>
    <mergeCell ref="I155:J155"/>
    <mergeCell ref="K155:L155"/>
    <mergeCell ref="M155:N155"/>
    <mergeCell ref="O155:P155"/>
    <mergeCell ref="AO157:AP157"/>
    <mergeCell ref="AQ157:AR157"/>
    <mergeCell ref="Y157:Z157"/>
    <mergeCell ref="AA157:AB157"/>
    <mergeCell ref="AC157:AD157"/>
    <mergeCell ref="AE157:AF157"/>
    <mergeCell ref="AG157:AH157"/>
    <mergeCell ref="U156:V156"/>
    <mergeCell ref="W156:X156"/>
    <mergeCell ref="Y156:Z156"/>
    <mergeCell ref="AA156:AB156"/>
    <mergeCell ref="AC156:AD156"/>
    <mergeCell ref="AE156:AF156"/>
    <mergeCell ref="I156:J156"/>
    <mergeCell ref="A159:B159"/>
    <mergeCell ref="AK154:AL154"/>
    <mergeCell ref="AM154:AN154"/>
    <mergeCell ref="AO154:AP154"/>
    <mergeCell ref="AQ154:AR154"/>
    <mergeCell ref="AS154:AT154"/>
    <mergeCell ref="AU154:AV154"/>
    <mergeCell ref="I154:J154"/>
    <mergeCell ref="K154:L154"/>
    <mergeCell ref="AO155:AP155"/>
    <mergeCell ref="AQ155:AR155"/>
    <mergeCell ref="AS155:AT155"/>
    <mergeCell ref="AU155:AV155"/>
    <mergeCell ref="AI156:AJ156"/>
    <mergeCell ref="AK156:AL156"/>
    <mergeCell ref="AM156:AN156"/>
    <mergeCell ref="AO156:AP156"/>
    <mergeCell ref="AQ156:AR156"/>
    <mergeCell ref="AS156:AT156"/>
    <mergeCell ref="AU156:AV156"/>
    <mergeCell ref="AG156:AH156"/>
    <mergeCell ref="BM155:BN155"/>
    <mergeCell ref="BO155:BP155"/>
    <mergeCell ref="BQ155:BR155"/>
    <mergeCell ref="BS155:BT155"/>
    <mergeCell ref="BA155:BB155"/>
    <mergeCell ref="BC155:BD155"/>
    <mergeCell ref="BE155:BF155"/>
    <mergeCell ref="BG155:BH155"/>
    <mergeCell ref="BI155:BJ155"/>
    <mergeCell ref="BK155:BL155"/>
    <mergeCell ref="AW155:AX155"/>
    <mergeCell ref="AY155:AZ155"/>
    <mergeCell ref="K156:L156"/>
    <mergeCell ref="M156:N156"/>
    <mergeCell ref="O156:P156"/>
    <mergeCell ref="Q156:R156"/>
    <mergeCell ref="S156:T156"/>
    <mergeCell ref="U155:V155"/>
    <mergeCell ref="AC155:AD155"/>
    <mergeCell ref="AE155:AF155"/>
    <mergeCell ref="AG155:AH155"/>
    <mergeCell ref="AI155:AJ155"/>
    <mergeCell ref="BQ156:BR156"/>
    <mergeCell ref="BS156:BT156"/>
    <mergeCell ref="BE156:BF156"/>
    <mergeCell ref="BG156:BH156"/>
    <mergeCell ref="BI156:BJ156"/>
    <mergeCell ref="BK156:BL156"/>
    <mergeCell ref="BM156:BN156"/>
    <mergeCell ref="BO156:BP156"/>
    <mergeCell ref="AW156:AX156"/>
    <mergeCell ref="AY156:AZ156"/>
    <mergeCell ref="BQ152:BR152"/>
    <mergeCell ref="BS152:BT152"/>
    <mergeCell ref="BE154:BF154"/>
    <mergeCell ref="BG154:BH154"/>
    <mergeCell ref="Y154:Z154"/>
    <mergeCell ref="AA154:AB154"/>
    <mergeCell ref="AC154:AD154"/>
    <mergeCell ref="AE154:AF154"/>
    <mergeCell ref="AG154:AH154"/>
    <mergeCell ref="AI154:AJ154"/>
    <mergeCell ref="M154:N154"/>
    <mergeCell ref="O154:P154"/>
    <mergeCell ref="Q154:R154"/>
    <mergeCell ref="S154:T154"/>
    <mergeCell ref="U154:V154"/>
    <mergeCell ref="W154:X154"/>
    <mergeCell ref="S152:T152"/>
    <mergeCell ref="U152:V152"/>
    <mergeCell ref="W152:X152"/>
    <mergeCell ref="Y152:Z152"/>
    <mergeCell ref="AA152:AB152"/>
    <mergeCell ref="AC152:AD152"/>
    <mergeCell ref="BI154:BJ154"/>
    <mergeCell ref="BK154:BL154"/>
    <mergeCell ref="BM154:BN154"/>
    <mergeCell ref="BO154:BP154"/>
    <mergeCell ref="BQ154:BR154"/>
    <mergeCell ref="BS154:BT154"/>
    <mergeCell ref="AW154:AX154"/>
    <mergeCell ref="AY154:AZ154"/>
    <mergeCell ref="BA154:BB154"/>
    <mergeCell ref="BC154:BD154"/>
    <mergeCell ref="BK151:BL151"/>
    <mergeCell ref="BM151:BN151"/>
    <mergeCell ref="BO151:BP151"/>
    <mergeCell ref="BC152:BD152"/>
    <mergeCell ref="BE152:BF152"/>
    <mergeCell ref="BG152:BH152"/>
    <mergeCell ref="BI152:BJ152"/>
    <mergeCell ref="BK152:BL152"/>
    <mergeCell ref="BM152:BN152"/>
    <mergeCell ref="AQ152:AR152"/>
    <mergeCell ref="AS152:AT152"/>
    <mergeCell ref="AU152:AV152"/>
    <mergeCell ref="AW152:AX152"/>
    <mergeCell ref="AY152:AZ152"/>
    <mergeCell ref="BA152:BB152"/>
    <mergeCell ref="AE152:AF152"/>
    <mergeCell ref="AG152:AH152"/>
    <mergeCell ref="AI152:AJ152"/>
    <mergeCell ref="BO152:BP152"/>
    <mergeCell ref="AK152:AL152"/>
    <mergeCell ref="AM152:AN152"/>
    <mergeCell ref="AO152:AP152"/>
    <mergeCell ref="AU150:AV150"/>
    <mergeCell ref="AW150:AX150"/>
    <mergeCell ref="AY150:AZ150"/>
    <mergeCell ref="BA150:BB150"/>
    <mergeCell ref="AE150:AF150"/>
    <mergeCell ref="AG150:AH150"/>
    <mergeCell ref="AI150:AJ150"/>
    <mergeCell ref="AK150:AL150"/>
    <mergeCell ref="AM150:AN150"/>
    <mergeCell ref="AO150:AP150"/>
    <mergeCell ref="S150:T150"/>
    <mergeCell ref="U150:V150"/>
    <mergeCell ref="W150:X150"/>
    <mergeCell ref="AY151:AZ151"/>
    <mergeCell ref="BA151:BB151"/>
    <mergeCell ref="AM151:AN151"/>
    <mergeCell ref="AO151:AP151"/>
    <mergeCell ref="AQ151:AR151"/>
    <mergeCell ref="AS151:AT151"/>
    <mergeCell ref="AU151:AV151"/>
    <mergeCell ref="AW151:AX151"/>
    <mergeCell ref="AA151:AB151"/>
    <mergeCell ref="AC151:AD151"/>
    <mergeCell ref="AE151:AF151"/>
    <mergeCell ref="AG151:AH151"/>
    <mergeCell ref="AI151:AJ151"/>
    <mergeCell ref="AK151:AL151"/>
    <mergeCell ref="BQ149:BR149"/>
    <mergeCell ref="BS149:BT149"/>
    <mergeCell ref="AY149:AZ149"/>
    <mergeCell ref="BO150:BP150"/>
    <mergeCell ref="BQ150:BR150"/>
    <mergeCell ref="BS150:BT150"/>
    <mergeCell ref="BC150:BD150"/>
    <mergeCell ref="BE150:BF150"/>
    <mergeCell ref="BG150:BH150"/>
    <mergeCell ref="BI150:BJ150"/>
    <mergeCell ref="BK150:BL150"/>
    <mergeCell ref="BM150:BN150"/>
    <mergeCell ref="O151:P151"/>
    <mergeCell ref="Q151:R151"/>
    <mergeCell ref="S151:T151"/>
    <mergeCell ref="U151:V151"/>
    <mergeCell ref="W151:X151"/>
    <mergeCell ref="Y151:Z151"/>
    <mergeCell ref="BS151:BT151"/>
    <mergeCell ref="BC151:BD151"/>
    <mergeCell ref="BE151:BF151"/>
    <mergeCell ref="BG151:BH151"/>
    <mergeCell ref="BI151:BJ151"/>
    <mergeCell ref="BQ151:BR151"/>
    <mergeCell ref="O149:P149"/>
    <mergeCell ref="Q149:R149"/>
    <mergeCell ref="S149:T149"/>
    <mergeCell ref="U149:V149"/>
    <mergeCell ref="W149:X149"/>
    <mergeCell ref="Y149:Z149"/>
    <mergeCell ref="AQ150:AR150"/>
    <mergeCell ref="AS150:AT150"/>
    <mergeCell ref="BI147:BJ147"/>
    <mergeCell ref="BK147:BL147"/>
    <mergeCell ref="BM147:BN147"/>
    <mergeCell ref="BO147:BP147"/>
    <mergeCell ref="BA149:BB149"/>
    <mergeCell ref="BC149:BD149"/>
    <mergeCell ref="BE149:BF149"/>
    <mergeCell ref="BG149:BH149"/>
    <mergeCell ref="BI149:BJ149"/>
    <mergeCell ref="AM149:AN149"/>
    <mergeCell ref="AO149:AP149"/>
    <mergeCell ref="AQ149:AR149"/>
    <mergeCell ref="AS149:AT149"/>
    <mergeCell ref="AU149:AV149"/>
    <mergeCell ref="AW149:AX149"/>
    <mergeCell ref="AA149:AB149"/>
    <mergeCell ref="AC149:AD149"/>
    <mergeCell ref="AE149:AF149"/>
    <mergeCell ref="AG149:AH149"/>
    <mergeCell ref="AI149:AJ149"/>
    <mergeCell ref="AK149:AL149"/>
    <mergeCell ref="BK149:BL149"/>
    <mergeCell ref="BM149:BN149"/>
    <mergeCell ref="BO149:BP149"/>
    <mergeCell ref="AA147:AB147"/>
    <mergeCell ref="AC147:AD147"/>
    <mergeCell ref="AE147:AF147"/>
    <mergeCell ref="AG147:AH147"/>
    <mergeCell ref="AI147:AJ147"/>
    <mergeCell ref="A148:A152"/>
    <mergeCell ref="C149:D149"/>
    <mergeCell ref="E149:F149"/>
    <mergeCell ref="G149:H149"/>
    <mergeCell ref="I149:J149"/>
    <mergeCell ref="K149:L149"/>
    <mergeCell ref="M149:N149"/>
    <mergeCell ref="Y150:Z150"/>
    <mergeCell ref="AA150:AB150"/>
    <mergeCell ref="AC150:AD150"/>
    <mergeCell ref="C150:D150"/>
    <mergeCell ref="E150:F150"/>
    <mergeCell ref="G150:H150"/>
    <mergeCell ref="I150:J150"/>
    <mergeCell ref="K150:L150"/>
    <mergeCell ref="M150:N150"/>
    <mergeCell ref="O150:P150"/>
    <mergeCell ref="Q150:R150"/>
    <mergeCell ref="C151:D151"/>
    <mergeCell ref="E151:F151"/>
    <mergeCell ref="G151:H151"/>
    <mergeCell ref="C152:D152"/>
    <mergeCell ref="E152:F152"/>
    <mergeCell ref="G152:H152"/>
    <mergeCell ref="I152:J152"/>
    <mergeCell ref="K152:L152"/>
    <mergeCell ref="M152:N152"/>
    <mergeCell ref="O152:P152"/>
    <mergeCell ref="Q152:R152"/>
    <mergeCell ref="I151:J151"/>
    <mergeCell ref="K151:L151"/>
    <mergeCell ref="M151:N151"/>
    <mergeCell ref="M147:N147"/>
    <mergeCell ref="O147:P147"/>
    <mergeCell ref="Q147:R147"/>
    <mergeCell ref="S147:T147"/>
    <mergeCell ref="U147:V147"/>
    <mergeCell ref="W147:X147"/>
    <mergeCell ref="C147:D147"/>
    <mergeCell ref="E147:F147"/>
    <mergeCell ref="G147:H147"/>
    <mergeCell ref="I147:J147"/>
    <mergeCell ref="K147:L147"/>
    <mergeCell ref="BQ146:BR146"/>
    <mergeCell ref="BS146:BT146"/>
    <mergeCell ref="BE146:BF146"/>
    <mergeCell ref="BG146:BH146"/>
    <mergeCell ref="BI146:BJ146"/>
    <mergeCell ref="BK146:BL146"/>
    <mergeCell ref="BQ147:BR147"/>
    <mergeCell ref="BS147:BT147"/>
    <mergeCell ref="AW147:AX147"/>
    <mergeCell ref="AY147:AZ147"/>
    <mergeCell ref="BA147:BB147"/>
    <mergeCell ref="BC147:BD147"/>
    <mergeCell ref="BE147:BF147"/>
    <mergeCell ref="BG147:BH147"/>
    <mergeCell ref="AK147:AL147"/>
    <mergeCell ref="AM147:AN147"/>
    <mergeCell ref="AO147:AP147"/>
    <mergeCell ref="AQ147:AR147"/>
    <mergeCell ref="AS147:AT147"/>
    <mergeCell ref="AU147:AV147"/>
    <mergeCell ref="Y147:Z147"/>
    <mergeCell ref="BQ145:BR145"/>
    <mergeCell ref="BS145:BT145"/>
    <mergeCell ref="BA145:BB145"/>
    <mergeCell ref="BC145:BD145"/>
    <mergeCell ref="BE145:BF145"/>
    <mergeCell ref="BG145:BH145"/>
    <mergeCell ref="BM146:BN146"/>
    <mergeCell ref="BO146:BP146"/>
    <mergeCell ref="AS146:AT146"/>
    <mergeCell ref="AU146:AV146"/>
    <mergeCell ref="AW146:AX146"/>
    <mergeCell ref="AY146:AZ146"/>
    <mergeCell ref="BA146:BB146"/>
    <mergeCell ref="BC146:BD146"/>
    <mergeCell ref="AG146:AH146"/>
    <mergeCell ref="AI146:AJ146"/>
    <mergeCell ref="AK146:AL146"/>
    <mergeCell ref="AM146:AN146"/>
    <mergeCell ref="AO146:AP146"/>
    <mergeCell ref="AQ146:AR146"/>
    <mergeCell ref="Q145:R145"/>
    <mergeCell ref="S145:T145"/>
    <mergeCell ref="U145:V145"/>
    <mergeCell ref="W145:X145"/>
    <mergeCell ref="Y145:Z145"/>
    <mergeCell ref="AA145:AB145"/>
    <mergeCell ref="C146:D146"/>
    <mergeCell ref="E146:F146"/>
    <mergeCell ref="G146:H146"/>
    <mergeCell ref="I146:J146"/>
    <mergeCell ref="K146:L146"/>
    <mergeCell ref="M146:N146"/>
    <mergeCell ref="O146:P146"/>
    <mergeCell ref="Q146:R146"/>
    <mergeCell ref="S146:T146"/>
    <mergeCell ref="BM145:BN145"/>
    <mergeCell ref="BO145:BP145"/>
    <mergeCell ref="U146:V146"/>
    <mergeCell ref="W146:X146"/>
    <mergeCell ref="Y146:Z146"/>
    <mergeCell ref="AA146:AB146"/>
    <mergeCell ref="AC146:AD146"/>
    <mergeCell ref="AE146:AF146"/>
    <mergeCell ref="W144:X144"/>
    <mergeCell ref="C145:D145"/>
    <mergeCell ref="E145:F145"/>
    <mergeCell ref="G145:H145"/>
    <mergeCell ref="I145:J145"/>
    <mergeCell ref="K145:L145"/>
    <mergeCell ref="M145:N145"/>
    <mergeCell ref="O145:P145"/>
    <mergeCell ref="BI144:BJ144"/>
    <mergeCell ref="BK144:BL144"/>
    <mergeCell ref="BM144:BN144"/>
    <mergeCell ref="BO144:BP144"/>
    <mergeCell ref="BQ144:BR144"/>
    <mergeCell ref="BS144:BT144"/>
    <mergeCell ref="AW144:AX144"/>
    <mergeCell ref="AY144:AZ144"/>
    <mergeCell ref="BA144:BB144"/>
    <mergeCell ref="BC144:BD144"/>
    <mergeCell ref="BI145:BJ145"/>
    <mergeCell ref="BK145:BL145"/>
    <mergeCell ref="AO145:AP145"/>
    <mergeCell ref="AQ145:AR145"/>
    <mergeCell ref="AS145:AT145"/>
    <mergeCell ref="AU145:AV145"/>
    <mergeCell ref="AW145:AX145"/>
    <mergeCell ref="AY145:AZ145"/>
    <mergeCell ref="AC145:AD145"/>
    <mergeCell ref="AE145:AF145"/>
    <mergeCell ref="AG145:AH145"/>
    <mergeCell ref="AI145:AJ145"/>
    <mergeCell ref="AK145:AL145"/>
    <mergeCell ref="AM145:AN145"/>
    <mergeCell ref="BO142:BP142"/>
    <mergeCell ref="BQ142:BR142"/>
    <mergeCell ref="BS142:BT142"/>
    <mergeCell ref="BC142:BD142"/>
    <mergeCell ref="BE142:BF142"/>
    <mergeCell ref="BG142:BH142"/>
    <mergeCell ref="BI142:BJ142"/>
    <mergeCell ref="BK142:BL142"/>
    <mergeCell ref="BM142:BN142"/>
    <mergeCell ref="AQ142:AR142"/>
    <mergeCell ref="AS142:AT142"/>
    <mergeCell ref="BE144:BF144"/>
    <mergeCell ref="BG144:BH144"/>
    <mergeCell ref="AK144:AL144"/>
    <mergeCell ref="AM144:AN144"/>
    <mergeCell ref="AO144:AP144"/>
    <mergeCell ref="AQ144:AR144"/>
    <mergeCell ref="AS144:AT144"/>
    <mergeCell ref="AU144:AV144"/>
    <mergeCell ref="AA142:AB142"/>
    <mergeCell ref="AC142:AD142"/>
    <mergeCell ref="BI141:BJ141"/>
    <mergeCell ref="AM141:AN141"/>
    <mergeCell ref="AO141:AP141"/>
    <mergeCell ref="AQ141:AR141"/>
    <mergeCell ref="AS141:AT141"/>
    <mergeCell ref="AU141:AV141"/>
    <mergeCell ref="AW141:AX141"/>
    <mergeCell ref="AA141:AB141"/>
    <mergeCell ref="AC141:AD141"/>
    <mergeCell ref="AE141:AF141"/>
    <mergeCell ref="AG141:AH141"/>
    <mergeCell ref="AI141:AJ141"/>
    <mergeCell ref="AK141:AL141"/>
    <mergeCell ref="A143:A147"/>
    <mergeCell ref="C144:D144"/>
    <mergeCell ref="E144:F144"/>
    <mergeCell ref="G144:H144"/>
    <mergeCell ref="I144:J144"/>
    <mergeCell ref="K144:L144"/>
    <mergeCell ref="Y144:Z144"/>
    <mergeCell ref="AA144:AB144"/>
    <mergeCell ref="AC144:AD144"/>
    <mergeCell ref="AE144:AF144"/>
    <mergeCell ref="AG144:AH144"/>
    <mergeCell ref="AI144:AJ144"/>
    <mergeCell ref="M144:N144"/>
    <mergeCell ref="O144:P144"/>
    <mergeCell ref="Q144:R144"/>
    <mergeCell ref="S144:T144"/>
    <mergeCell ref="U144:V144"/>
    <mergeCell ref="C142:D142"/>
    <mergeCell ref="E142:F142"/>
    <mergeCell ref="G142:H142"/>
    <mergeCell ref="I142:J142"/>
    <mergeCell ref="K142:L142"/>
    <mergeCell ref="M142:N142"/>
    <mergeCell ref="O142:P142"/>
    <mergeCell ref="Q142:R142"/>
    <mergeCell ref="BK141:BL141"/>
    <mergeCell ref="BM141:BN141"/>
    <mergeCell ref="BO141:BP141"/>
    <mergeCell ref="BQ141:BR141"/>
    <mergeCell ref="BS141:BT141"/>
    <mergeCell ref="AY141:AZ141"/>
    <mergeCell ref="BA141:BB141"/>
    <mergeCell ref="BC141:BD141"/>
    <mergeCell ref="BE141:BF141"/>
    <mergeCell ref="BG141:BH141"/>
    <mergeCell ref="AU142:AV142"/>
    <mergeCell ref="AW142:AX142"/>
    <mergeCell ref="AY142:AZ142"/>
    <mergeCell ref="BA142:BB142"/>
    <mergeCell ref="AE142:AF142"/>
    <mergeCell ref="AG142:AH142"/>
    <mergeCell ref="AI142:AJ142"/>
    <mergeCell ref="AK142:AL142"/>
    <mergeCell ref="AM142:AN142"/>
    <mergeCell ref="AO142:AP142"/>
    <mergeCell ref="S142:T142"/>
    <mergeCell ref="U142:V142"/>
    <mergeCell ref="W142:X142"/>
    <mergeCell ref="Y142:Z142"/>
    <mergeCell ref="Y139:Z139"/>
    <mergeCell ref="I141:J141"/>
    <mergeCell ref="K141:L141"/>
    <mergeCell ref="M141:N141"/>
    <mergeCell ref="AQ140:AR140"/>
    <mergeCell ref="AS140:AT140"/>
    <mergeCell ref="AU140:AV140"/>
    <mergeCell ref="AW140:AX140"/>
    <mergeCell ref="AY140:AZ140"/>
    <mergeCell ref="BA140:BB140"/>
    <mergeCell ref="AE140:AF140"/>
    <mergeCell ref="AG140:AH140"/>
    <mergeCell ref="AI140:AJ140"/>
    <mergeCell ref="AK140:AL140"/>
    <mergeCell ref="AM140:AN140"/>
    <mergeCell ref="AO140:AP140"/>
    <mergeCell ref="S140:T140"/>
    <mergeCell ref="U140:V140"/>
    <mergeCell ref="W140:X140"/>
    <mergeCell ref="AC139:AD139"/>
    <mergeCell ref="AE139:AF139"/>
    <mergeCell ref="AG139:AH139"/>
    <mergeCell ref="AI139:AJ139"/>
    <mergeCell ref="AK139:AL139"/>
    <mergeCell ref="BK139:BL139"/>
    <mergeCell ref="BM139:BN139"/>
    <mergeCell ref="BO139:BP139"/>
    <mergeCell ref="AA137:AB137"/>
    <mergeCell ref="AC137:AD137"/>
    <mergeCell ref="AE137:AF137"/>
    <mergeCell ref="AG137:AH137"/>
    <mergeCell ref="AI137:AJ137"/>
    <mergeCell ref="BQ139:BR139"/>
    <mergeCell ref="BS139:BT139"/>
    <mergeCell ref="AY139:AZ139"/>
    <mergeCell ref="BO140:BP140"/>
    <mergeCell ref="BQ140:BR140"/>
    <mergeCell ref="BS140:BT140"/>
    <mergeCell ref="BC140:BD140"/>
    <mergeCell ref="BE140:BF140"/>
    <mergeCell ref="BG140:BH140"/>
    <mergeCell ref="BI140:BJ140"/>
    <mergeCell ref="BK140:BL140"/>
    <mergeCell ref="BM140:BN140"/>
    <mergeCell ref="BA139:BB139"/>
    <mergeCell ref="BC139:BD139"/>
    <mergeCell ref="BE139:BF139"/>
    <mergeCell ref="BG139:BH139"/>
    <mergeCell ref="BI139:BJ139"/>
    <mergeCell ref="AM139:AN139"/>
    <mergeCell ref="AO139:AP139"/>
    <mergeCell ref="AQ139:AR139"/>
    <mergeCell ref="AS139:AT139"/>
    <mergeCell ref="AU139:AV139"/>
    <mergeCell ref="AW139:AX139"/>
    <mergeCell ref="AA139:AB139"/>
    <mergeCell ref="A138:A142"/>
    <mergeCell ref="C139:D139"/>
    <mergeCell ref="E139:F139"/>
    <mergeCell ref="G139:H139"/>
    <mergeCell ref="I139:J139"/>
    <mergeCell ref="K139:L139"/>
    <mergeCell ref="M139:N139"/>
    <mergeCell ref="Y140:Z140"/>
    <mergeCell ref="AA140:AB140"/>
    <mergeCell ref="AC140:AD140"/>
    <mergeCell ref="C140:D140"/>
    <mergeCell ref="E140:F140"/>
    <mergeCell ref="G140:H140"/>
    <mergeCell ref="I140:J140"/>
    <mergeCell ref="K140:L140"/>
    <mergeCell ref="M140:N140"/>
    <mergeCell ref="O140:P140"/>
    <mergeCell ref="Q140:R140"/>
    <mergeCell ref="C141:D141"/>
    <mergeCell ref="E141:F141"/>
    <mergeCell ref="G141:H141"/>
    <mergeCell ref="O141:P141"/>
    <mergeCell ref="Q141:R141"/>
    <mergeCell ref="S141:T141"/>
    <mergeCell ref="U141:V141"/>
    <mergeCell ref="W141:X141"/>
    <mergeCell ref="Y141:Z141"/>
    <mergeCell ref="O139:P139"/>
    <mergeCell ref="Q139:R139"/>
    <mergeCell ref="S139:T139"/>
    <mergeCell ref="U139:V139"/>
    <mergeCell ref="W139:X139"/>
    <mergeCell ref="C137:D137"/>
    <mergeCell ref="E137:F137"/>
    <mergeCell ref="G137:H137"/>
    <mergeCell ref="I137:J137"/>
    <mergeCell ref="K137:L137"/>
    <mergeCell ref="BQ136:BR136"/>
    <mergeCell ref="BS136:BT136"/>
    <mergeCell ref="BE136:BF136"/>
    <mergeCell ref="BG136:BH136"/>
    <mergeCell ref="BI136:BJ136"/>
    <mergeCell ref="BK136:BL136"/>
    <mergeCell ref="BQ137:BR137"/>
    <mergeCell ref="BS137:BT137"/>
    <mergeCell ref="AW137:AX137"/>
    <mergeCell ref="AY137:AZ137"/>
    <mergeCell ref="BA137:BB137"/>
    <mergeCell ref="BC137:BD137"/>
    <mergeCell ref="BE137:BF137"/>
    <mergeCell ref="BG137:BH137"/>
    <mergeCell ref="AK137:AL137"/>
    <mergeCell ref="AM137:AN137"/>
    <mergeCell ref="AO137:AP137"/>
    <mergeCell ref="AQ137:AR137"/>
    <mergeCell ref="AS137:AT137"/>
    <mergeCell ref="AU137:AV137"/>
    <mergeCell ref="Y137:Z137"/>
    <mergeCell ref="BI137:BJ137"/>
    <mergeCell ref="BK137:BL137"/>
    <mergeCell ref="BM137:BN137"/>
    <mergeCell ref="BO137:BP137"/>
    <mergeCell ref="BM136:BN136"/>
    <mergeCell ref="BO136:BP136"/>
    <mergeCell ref="AS136:AT136"/>
    <mergeCell ref="AU136:AV136"/>
    <mergeCell ref="AW136:AX136"/>
    <mergeCell ref="AY136:AZ136"/>
    <mergeCell ref="BA136:BB136"/>
    <mergeCell ref="BC136:BD136"/>
    <mergeCell ref="AG136:AH136"/>
    <mergeCell ref="AI136:AJ136"/>
    <mergeCell ref="AK136:AL136"/>
    <mergeCell ref="AM136:AN136"/>
    <mergeCell ref="AO136:AP136"/>
    <mergeCell ref="AQ136:AR136"/>
    <mergeCell ref="M137:N137"/>
    <mergeCell ref="O137:P137"/>
    <mergeCell ref="Q137:R137"/>
    <mergeCell ref="S137:T137"/>
    <mergeCell ref="U137:V137"/>
    <mergeCell ref="W137:X137"/>
    <mergeCell ref="BI134:BJ134"/>
    <mergeCell ref="BK134:BL134"/>
    <mergeCell ref="BM134:BN134"/>
    <mergeCell ref="BO134:BP134"/>
    <mergeCell ref="BQ134:BR134"/>
    <mergeCell ref="BS134:BT134"/>
    <mergeCell ref="AW134:AX134"/>
    <mergeCell ref="AY134:AZ134"/>
    <mergeCell ref="BA134:BB134"/>
    <mergeCell ref="BC134:BD134"/>
    <mergeCell ref="BI135:BJ135"/>
    <mergeCell ref="BK135:BL135"/>
    <mergeCell ref="AO135:AP135"/>
    <mergeCell ref="AQ135:AR135"/>
    <mergeCell ref="AS135:AT135"/>
    <mergeCell ref="AU135:AV135"/>
    <mergeCell ref="AW135:AX135"/>
    <mergeCell ref="AY135:AZ135"/>
    <mergeCell ref="BM135:BN135"/>
    <mergeCell ref="BO135:BP135"/>
    <mergeCell ref="BQ135:BR135"/>
    <mergeCell ref="BS135:BT135"/>
    <mergeCell ref="BA135:BB135"/>
    <mergeCell ref="BC135:BD135"/>
    <mergeCell ref="BE135:BF135"/>
    <mergeCell ref="BG135:BH135"/>
    <mergeCell ref="AS132:AT132"/>
    <mergeCell ref="BE134:BF134"/>
    <mergeCell ref="BG134:BH134"/>
    <mergeCell ref="AK134:AL134"/>
    <mergeCell ref="AM134:AN134"/>
    <mergeCell ref="AO134:AP134"/>
    <mergeCell ref="AQ134:AR134"/>
    <mergeCell ref="AS134:AT134"/>
    <mergeCell ref="AU134:AV134"/>
    <mergeCell ref="W134:X134"/>
    <mergeCell ref="C135:D135"/>
    <mergeCell ref="E135:F135"/>
    <mergeCell ref="G135:H135"/>
    <mergeCell ref="I135:J135"/>
    <mergeCell ref="K135:L135"/>
    <mergeCell ref="M135:N135"/>
    <mergeCell ref="O135:P135"/>
    <mergeCell ref="AC135:AD135"/>
    <mergeCell ref="AE135:AF135"/>
    <mergeCell ref="AG135:AH135"/>
    <mergeCell ref="AI135:AJ135"/>
    <mergeCell ref="AK135:AL135"/>
    <mergeCell ref="AM135:AN135"/>
    <mergeCell ref="Q135:R135"/>
    <mergeCell ref="S135:T135"/>
    <mergeCell ref="U135:V135"/>
    <mergeCell ref="W135:X135"/>
    <mergeCell ref="Y135:Z135"/>
    <mergeCell ref="AA135:AB135"/>
    <mergeCell ref="A133:A137"/>
    <mergeCell ref="C134:D134"/>
    <mergeCell ref="E134:F134"/>
    <mergeCell ref="G134:H134"/>
    <mergeCell ref="I134:J134"/>
    <mergeCell ref="K134:L134"/>
    <mergeCell ref="Y134:Z134"/>
    <mergeCell ref="AA134:AB134"/>
    <mergeCell ref="AC134:AD134"/>
    <mergeCell ref="AE134:AF134"/>
    <mergeCell ref="AG134:AH134"/>
    <mergeCell ref="AI134:AJ134"/>
    <mergeCell ref="M134:N134"/>
    <mergeCell ref="O134:P134"/>
    <mergeCell ref="Q134:R134"/>
    <mergeCell ref="S134:T134"/>
    <mergeCell ref="U134:V134"/>
    <mergeCell ref="C136:D136"/>
    <mergeCell ref="E136:F136"/>
    <mergeCell ref="G136:H136"/>
    <mergeCell ref="I136:J136"/>
    <mergeCell ref="K136:L136"/>
    <mergeCell ref="M136:N136"/>
    <mergeCell ref="O136:P136"/>
    <mergeCell ref="Q136:R136"/>
    <mergeCell ref="S136:T136"/>
    <mergeCell ref="U136:V136"/>
    <mergeCell ref="W136:X136"/>
    <mergeCell ref="Y136:Z136"/>
    <mergeCell ref="AA136:AB136"/>
    <mergeCell ref="AC136:AD136"/>
    <mergeCell ref="AE136:AF136"/>
    <mergeCell ref="BO131:BP131"/>
    <mergeCell ref="BQ131:BR131"/>
    <mergeCell ref="BS131:BT131"/>
    <mergeCell ref="AY131:AZ131"/>
    <mergeCell ref="BA131:BB131"/>
    <mergeCell ref="BC131:BD131"/>
    <mergeCell ref="BE131:BF131"/>
    <mergeCell ref="BG131:BH131"/>
    <mergeCell ref="AU132:AV132"/>
    <mergeCell ref="AW132:AX132"/>
    <mergeCell ref="AY132:AZ132"/>
    <mergeCell ref="BA132:BB132"/>
    <mergeCell ref="AE132:AF132"/>
    <mergeCell ref="AG132:AH132"/>
    <mergeCell ref="AI132:AJ132"/>
    <mergeCell ref="AK132:AL132"/>
    <mergeCell ref="AM132:AN132"/>
    <mergeCell ref="AO132:AP132"/>
    <mergeCell ref="BI131:BJ131"/>
    <mergeCell ref="AM131:AN131"/>
    <mergeCell ref="AO131:AP131"/>
    <mergeCell ref="AQ131:AR131"/>
    <mergeCell ref="AS131:AT131"/>
    <mergeCell ref="AU131:AV131"/>
    <mergeCell ref="AW131:AX131"/>
    <mergeCell ref="AE131:AF131"/>
    <mergeCell ref="AG131:AH131"/>
    <mergeCell ref="AI131:AJ131"/>
    <mergeCell ref="AK131:AL131"/>
    <mergeCell ref="BO132:BP132"/>
    <mergeCell ref="BQ132:BR132"/>
    <mergeCell ref="BS132:BT132"/>
    <mergeCell ref="AI130:AJ130"/>
    <mergeCell ref="AK130:AL130"/>
    <mergeCell ref="AM130:AN130"/>
    <mergeCell ref="AO130:AP130"/>
    <mergeCell ref="S130:T130"/>
    <mergeCell ref="U130:V130"/>
    <mergeCell ref="W130:X130"/>
    <mergeCell ref="C132:D132"/>
    <mergeCell ref="E132:F132"/>
    <mergeCell ref="G132:H132"/>
    <mergeCell ref="I132:J132"/>
    <mergeCell ref="K132:L132"/>
    <mergeCell ref="M132:N132"/>
    <mergeCell ref="O132:P132"/>
    <mergeCell ref="Q132:R132"/>
    <mergeCell ref="BK131:BL131"/>
    <mergeCell ref="BM131:BN131"/>
    <mergeCell ref="S132:T132"/>
    <mergeCell ref="U132:V132"/>
    <mergeCell ref="W132:X132"/>
    <mergeCell ref="Y132:Z132"/>
    <mergeCell ref="AA132:AB132"/>
    <mergeCell ref="AC132:AD132"/>
    <mergeCell ref="AA131:AB131"/>
    <mergeCell ref="AC131:AD131"/>
    <mergeCell ref="BC132:BD132"/>
    <mergeCell ref="BE132:BF132"/>
    <mergeCell ref="BG132:BH132"/>
    <mergeCell ref="BI132:BJ132"/>
    <mergeCell ref="BK132:BL132"/>
    <mergeCell ref="BM132:BN132"/>
    <mergeCell ref="AQ132:AR132"/>
    <mergeCell ref="BQ129:BR129"/>
    <mergeCell ref="BS129:BT129"/>
    <mergeCell ref="AY129:AZ129"/>
    <mergeCell ref="BO130:BP130"/>
    <mergeCell ref="BQ130:BR130"/>
    <mergeCell ref="BS130:BT130"/>
    <mergeCell ref="BC130:BD130"/>
    <mergeCell ref="BE130:BF130"/>
    <mergeCell ref="BG130:BH130"/>
    <mergeCell ref="BI130:BJ130"/>
    <mergeCell ref="BK130:BL130"/>
    <mergeCell ref="BM130:BN130"/>
    <mergeCell ref="O131:P131"/>
    <mergeCell ref="Q131:R131"/>
    <mergeCell ref="S131:T131"/>
    <mergeCell ref="U131:V131"/>
    <mergeCell ref="W131:X131"/>
    <mergeCell ref="Y131:Z131"/>
    <mergeCell ref="O129:P129"/>
    <mergeCell ref="Q129:R129"/>
    <mergeCell ref="S129:T129"/>
    <mergeCell ref="U129:V129"/>
    <mergeCell ref="W129:X129"/>
    <mergeCell ref="Y129:Z129"/>
    <mergeCell ref="AQ130:AR130"/>
    <mergeCell ref="AS130:AT130"/>
    <mergeCell ref="AU130:AV130"/>
    <mergeCell ref="AW130:AX130"/>
    <mergeCell ref="AY130:AZ130"/>
    <mergeCell ref="BA130:BB130"/>
    <mergeCell ref="AE130:AF130"/>
    <mergeCell ref="AG130:AH130"/>
    <mergeCell ref="BI127:BJ127"/>
    <mergeCell ref="BK127:BL127"/>
    <mergeCell ref="BM127:BN127"/>
    <mergeCell ref="BO127:BP127"/>
    <mergeCell ref="BA129:BB129"/>
    <mergeCell ref="BC129:BD129"/>
    <mergeCell ref="BE129:BF129"/>
    <mergeCell ref="BG129:BH129"/>
    <mergeCell ref="BI129:BJ129"/>
    <mergeCell ref="AM129:AN129"/>
    <mergeCell ref="AO129:AP129"/>
    <mergeCell ref="AQ129:AR129"/>
    <mergeCell ref="AS129:AT129"/>
    <mergeCell ref="AU129:AV129"/>
    <mergeCell ref="AW129:AX129"/>
    <mergeCell ref="AA129:AB129"/>
    <mergeCell ref="AC129:AD129"/>
    <mergeCell ref="AE129:AF129"/>
    <mergeCell ref="AG129:AH129"/>
    <mergeCell ref="AI129:AJ129"/>
    <mergeCell ref="AK129:AL129"/>
    <mergeCell ref="BK129:BL129"/>
    <mergeCell ref="BM129:BN129"/>
    <mergeCell ref="BO129:BP129"/>
    <mergeCell ref="AA127:AB127"/>
    <mergeCell ref="AC127:AD127"/>
    <mergeCell ref="AE127:AF127"/>
    <mergeCell ref="AG127:AH127"/>
    <mergeCell ref="AI127:AJ127"/>
    <mergeCell ref="A128:A132"/>
    <mergeCell ref="C129:D129"/>
    <mergeCell ref="E129:F129"/>
    <mergeCell ref="G129:H129"/>
    <mergeCell ref="I129:J129"/>
    <mergeCell ref="K129:L129"/>
    <mergeCell ref="M129:N129"/>
    <mergeCell ref="Y130:Z130"/>
    <mergeCell ref="AA130:AB130"/>
    <mergeCell ref="AC130:AD130"/>
    <mergeCell ref="C130:D130"/>
    <mergeCell ref="E130:F130"/>
    <mergeCell ref="G130:H130"/>
    <mergeCell ref="I130:J130"/>
    <mergeCell ref="K130:L130"/>
    <mergeCell ref="M130:N130"/>
    <mergeCell ref="O130:P130"/>
    <mergeCell ref="Q130:R130"/>
    <mergeCell ref="C131:D131"/>
    <mergeCell ref="E131:F131"/>
    <mergeCell ref="G131:H131"/>
    <mergeCell ref="I131:J131"/>
    <mergeCell ref="K131:L131"/>
    <mergeCell ref="M131:N131"/>
    <mergeCell ref="M127:N127"/>
    <mergeCell ref="O127:P127"/>
    <mergeCell ref="Q127:R127"/>
    <mergeCell ref="S127:T127"/>
    <mergeCell ref="U127:V127"/>
    <mergeCell ref="W127:X127"/>
    <mergeCell ref="C127:D127"/>
    <mergeCell ref="E127:F127"/>
    <mergeCell ref="G127:H127"/>
    <mergeCell ref="I127:J127"/>
    <mergeCell ref="K127:L127"/>
    <mergeCell ref="BQ126:BR126"/>
    <mergeCell ref="BS126:BT126"/>
    <mergeCell ref="BE126:BF126"/>
    <mergeCell ref="BG126:BH126"/>
    <mergeCell ref="BI126:BJ126"/>
    <mergeCell ref="BK126:BL126"/>
    <mergeCell ref="BQ127:BR127"/>
    <mergeCell ref="BS127:BT127"/>
    <mergeCell ref="AW127:AX127"/>
    <mergeCell ref="AY127:AZ127"/>
    <mergeCell ref="BA127:BB127"/>
    <mergeCell ref="BC127:BD127"/>
    <mergeCell ref="BE127:BF127"/>
    <mergeCell ref="BG127:BH127"/>
    <mergeCell ref="AK127:AL127"/>
    <mergeCell ref="AM127:AN127"/>
    <mergeCell ref="AO127:AP127"/>
    <mergeCell ref="AQ127:AR127"/>
    <mergeCell ref="AS127:AT127"/>
    <mergeCell ref="AU127:AV127"/>
    <mergeCell ref="Y127:Z127"/>
    <mergeCell ref="BQ125:BR125"/>
    <mergeCell ref="BS125:BT125"/>
    <mergeCell ref="BA125:BB125"/>
    <mergeCell ref="BC125:BD125"/>
    <mergeCell ref="BE125:BF125"/>
    <mergeCell ref="BG125:BH125"/>
    <mergeCell ref="BM126:BN126"/>
    <mergeCell ref="BO126:BP126"/>
    <mergeCell ref="AS126:AT126"/>
    <mergeCell ref="AU126:AV126"/>
    <mergeCell ref="AW126:AX126"/>
    <mergeCell ref="AY126:AZ126"/>
    <mergeCell ref="BA126:BB126"/>
    <mergeCell ref="BC126:BD126"/>
    <mergeCell ref="AG126:AH126"/>
    <mergeCell ref="AI126:AJ126"/>
    <mergeCell ref="AK126:AL126"/>
    <mergeCell ref="AM126:AN126"/>
    <mergeCell ref="AO126:AP126"/>
    <mergeCell ref="AQ126:AR126"/>
    <mergeCell ref="Q125:R125"/>
    <mergeCell ref="S125:T125"/>
    <mergeCell ref="U125:V125"/>
    <mergeCell ref="W125:X125"/>
    <mergeCell ref="Y125:Z125"/>
    <mergeCell ref="AA125:AB125"/>
    <mergeCell ref="C126:D126"/>
    <mergeCell ref="E126:F126"/>
    <mergeCell ref="G126:H126"/>
    <mergeCell ref="I126:J126"/>
    <mergeCell ref="K126:L126"/>
    <mergeCell ref="M126:N126"/>
    <mergeCell ref="O126:P126"/>
    <mergeCell ref="Q126:R126"/>
    <mergeCell ref="S126:T126"/>
    <mergeCell ref="BM125:BN125"/>
    <mergeCell ref="BO125:BP125"/>
    <mergeCell ref="U126:V126"/>
    <mergeCell ref="W126:X126"/>
    <mergeCell ref="Y126:Z126"/>
    <mergeCell ref="AA126:AB126"/>
    <mergeCell ref="AC126:AD126"/>
    <mergeCell ref="AE126:AF126"/>
    <mergeCell ref="W124:X124"/>
    <mergeCell ref="C125:D125"/>
    <mergeCell ref="E125:F125"/>
    <mergeCell ref="G125:H125"/>
    <mergeCell ref="I125:J125"/>
    <mergeCell ref="K125:L125"/>
    <mergeCell ref="M125:N125"/>
    <mergeCell ref="O125:P125"/>
    <mergeCell ref="BI124:BJ124"/>
    <mergeCell ref="BK124:BL124"/>
    <mergeCell ref="BM124:BN124"/>
    <mergeCell ref="BO124:BP124"/>
    <mergeCell ref="BQ124:BR124"/>
    <mergeCell ref="BS124:BT124"/>
    <mergeCell ref="AW124:AX124"/>
    <mergeCell ref="AY124:AZ124"/>
    <mergeCell ref="BA124:BB124"/>
    <mergeCell ref="BC124:BD124"/>
    <mergeCell ref="BI125:BJ125"/>
    <mergeCell ref="BK125:BL125"/>
    <mergeCell ref="AO125:AP125"/>
    <mergeCell ref="AQ125:AR125"/>
    <mergeCell ref="AS125:AT125"/>
    <mergeCell ref="AU125:AV125"/>
    <mergeCell ref="AW125:AX125"/>
    <mergeCell ref="AY125:AZ125"/>
    <mergeCell ref="AC125:AD125"/>
    <mergeCell ref="AE125:AF125"/>
    <mergeCell ref="AG125:AH125"/>
    <mergeCell ref="AI125:AJ125"/>
    <mergeCell ref="AK125:AL125"/>
    <mergeCell ref="AM125:AN125"/>
    <mergeCell ref="BO122:BP122"/>
    <mergeCell ref="BQ122:BR122"/>
    <mergeCell ref="BS122:BT122"/>
    <mergeCell ref="BC122:BD122"/>
    <mergeCell ref="BE122:BF122"/>
    <mergeCell ref="BG122:BH122"/>
    <mergeCell ref="BI122:BJ122"/>
    <mergeCell ref="BK122:BL122"/>
    <mergeCell ref="BM122:BN122"/>
    <mergeCell ref="AQ122:AR122"/>
    <mergeCell ref="AS122:AT122"/>
    <mergeCell ref="BE124:BF124"/>
    <mergeCell ref="BG124:BH124"/>
    <mergeCell ref="AK124:AL124"/>
    <mergeCell ref="AM124:AN124"/>
    <mergeCell ref="AO124:AP124"/>
    <mergeCell ref="AQ124:AR124"/>
    <mergeCell ref="AS124:AT124"/>
    <mergeCell ref="AU124:AV124"/>
    <mergeCell ref="AA122:AB122"/>
    <mergeCell ref="AC122:AD122"/>
    <mergeCell ref="BI121:BJ121"/>
    <mergeCell ref="AM121:AN121"/>
    <mergeCell ref="AO121:AP121"/>
    <mergeCell ref="AQ121:AR121"/>
    <mergeCell ref="AS121:AT121"/>
    <mergeCell ref="AU121:AV121"/>
    <mergeCell ref="AW121:AX121"/>
    <mergeCell ref="AA121:AB121"/>
    <mergeCell ref="AC121:AD121"/>
    <mergeCell ref="AE121:AF121"/>
    <mergeCell ref="AG121:AH121"/>
    <mergeCell ref="AI121:AJ121"/>
    <mergeCell ref="AK121:AL121"/>
    <mergeCell ref="A123:A127"/>
    <mergeCell ref="C124:D124"/>
    <mergeCell ref="E124:F124"/>
    <mergeCell ref="G124:H124"/>
    <mergeCell ref="I124:J124"/>
    <mergeCell ref="K124:L124"/>
    <mergeCell ref="Y124:Z124"/>
    <mergeCell ref="AA124:AB124"/>
    <mergeCell ref="AC124:AD124"/>
    <mergeCell ref="AE124:AF124"/>
    <mergeCell ref="AG124:AH124"/>
    <mergeCell ref="AI124:AJ124"/>
    <mergeCell ref="M124:N124"/>
    <mergeCell ref="O124:P124"/>
    <mergeCell ref="Q124:R124"/>
    <mergeCell ref="S124:T124"/>
    <mergeCell ref="U124:V124"/>
    <mergeCell ref="C122:D122"/>
    <mergeCell ref="E122:F122"/>
    <mergeCell ref="G122:H122"/>
    <mergeCell ref="I122:J122"/>
    <mergeCell ref="K122:L122"/>
    <mergeCell ref="M122:N122"/>
    <mergeCell ref="O122:P122"/>
    <mergeCell ref="Q122:R122"/>
    <mergeCell ref="BK121:BL121"/>
    <mergeCell ref="BM121:BN121"/>
    <mergeCell ref="BO121:BP121"/>
    <mergeCell ref="BQ121:BR121"/>
    <mergeCell ref="BS121:BT121"/>
    <mergeCell ref="AY121:AZ121"/>
    <mergeCell ref="BA121:BB121"/>
    <mergeCell ref="BC121:BD121"/>
    <mergeCell ref="BE121:BF121"/>
    <mergeCell ref="BG121:BH121"/>
    <mergeCell ref="AU122:AV122"/>
    <mergeCell ref="AW122:AX122"/>
    <mergeCell ref="AY122:AZ122"/>
    <mergeCell ref="BA122:BB122"/>
    <mergeCell ref="AE122:AF122"/>
    <mergeCell ref="AG122:AH122"/>
    <mergeCell ref="AI122:AJ122"/>
    <mergeCell ref="AK122:AL122"/>
    <mergeCell ref="AM122:AN122"/>
    <mergeCell ref="AO122:AP122"/>
    <mergeCell ref="S122:T122"/>
    <mergeCell ref="U122:V122"/>
    <mergeCell ref="W122:X122"/>
    <mergeCell ref="Y122:Z122"/>
    <mergeCell ref="Y119:Z119"/>
    <mergeCell ref="I121:J121"/>
    <mergeCell ref="K121:L121"/>
    <mergeCell ref="M121:N121"/>
    <mergeCell ref="AQ120:AR120"/>
    <mergeCell ref="AS120:AT120"/>
    <mergeCell ref="AU120:AV120"/>
    <mergeCell ref="AW120:AX120"/>
    <mergeCell ref="AY120:AZ120"/>
    <mergeCell ref="BA120:BB120"/>
    <mergeCell ref="AE120:AF120"/>
    <mergeCell ref="AG120:AH120"/>
    <mergeCell ref="AI120:AJ120"/>
    <mergeCell ref="AK120:AL120"/>
    <mergeCell ref="AM120:AN120"/>
    <mergeCell ref="AO120:AP120"/>
    <mergeCell ref="S120:T120"/>
    <mergeCell ref="U120:V120"/>
    <mergeCell ref="W120:X120"/>
    <mergeCell ref="AC119:AD119"/>
    <mergeCell ref="AE119:AF119"/>
    <mergeCell ref="AG119:AH119"/>
    <mergeCell ref="AI119:AJ119"/>
    <mergeCell ref="AK119:AL119"/>
    <mergeCell ref="BK119:BL119"/>
    <mergeCell ref="BM119:BN119"/>
    <mergeCell ref="BO119:BP119"/>
    <mergeCell ref="AA117:AB117"/>
    <mergeCell ref="AC117:AD117"/>
    <mergeCell ref="AE117:AF117"/>
    <mergeCell ref="AG117:AH117"/>
    <mergeCell ref="AI117:AJ117"/>
    <mergeCell ref="BQ119:BR119"/>
    <mergeCell ref="BS119:BT119"/>
    <mergeCell ref="AY119:AZ119"/>
    <mergeCell ref="BO120:BP120"/>
    <mergeCell ref="BQ120:BR120"/>
    <mergeCell ref="BS120:BT120"/>
    <mergeCell ref="BC120:BD120"/>
    <mergeCell ref="BE120:BF120"/>
    <mergeCell ref="BG120:BH120"/>
    <mergeCell ref="BI120:BJ120"/>
    <mergeCell ref="BK120:BL120"/>
    <mergeCell ref="BM120:BN120"/>
    <mergeCell ref="BA119:BB119"/>
    <mergeCell ref="BC119:BD119"/>
    <mergeCell ref="BE119:BF119"/>
    <mergeCell ref="BG119:BH119"/>
    <mergeCell ref="BI119:BJ119"/>
    <mergeCell ref="AM119:AN119"/>
    <mergeCell ref="AO119:AP119"/>
    <mergeCell ref="AQ119:AR119"/>
    <mergeCell ref="AS119:AT119"/>
    <mergeCell ref="AU119:AV119"/>
    <mergeCell ref="AW119:AX119"/>
    <mergeCell ref="AA119:AB119"/>
    <mergeCell ref="A118:A122"/>
    <mergeCell ref="C119:D119"/>
    <mergeCell ref="E119:F119"/>
    <mergeCell ref="G119:H119"/>
    <mergeCell ref="I119:J119"/>
    <mergeCell ref="K119:L119"/>
    <mergeCell ref="M119:N119"/>
    <mergeCell ref="Y120:Z120"/>
    <mergeCell ref="AA120:AB120"/>
    <mergeCell ref="AC120:AD120"/>
    <mergeCell ref="C120:D120"/>
    <mergeCell ref="E120:F120"/>
    <mergeCell ref="G120:H120"/>
    <mergeCell ref="I120:J120"/>
    <mergeCell ref="K120:L120"/>
    <mergeCell ref="M120:N120"/>
    <mergeCell ref="O120:P120"/>
    <mergeCell ref="Q120:R120"/>
    <mergeCell ref="C121:D121"/>
    <mergeCell ref="E121:F121"/>
    <mergeCell ref="G121:H121"/>
    <mergeCell ref="O121:P121"/>
    <mergeCell ref="Q121:R121"/>
    <mergeCell ref="S121:T121"/>
    <mergeCell ref="U121:V121"/>
    <mergeCell ref="W121:X121"/>
    <mergeCell ref="Y121:Z121"/>
    <mergeCell ref="O119:P119"/>
    <mergeCell ref="Q119:R119"/>
    <mergeCell ref="S119:T119"/>
    <mergeCell ref="U119:V119"/>
    <mergeCell ref="W119:X119"/>
    <mergeCell ref="C117:D117"/>
    <mergeCell ref="E117:F117"/>
    <mergeCell ref="G117:H117"/>
    <mergeCell ref="I117:J117"/>
    <mergeCell ref="K117:L117"/>
    <mergeCell ref="BQ116:BR116"/>
    <mergeCell ref="BS116:BT116"/>
    <mergeCell ref="BE116:BF116"/>
    <mergeCell ref="BG116:BH116"/>
    <mergeCell ref="BI116:BJ116"/>
    <mergeCell ref="BK116:BL116"/>
    <mergeCell ref="BQ117:BR117"/>
    <mergeCell ref="BS117:BT117"/>
    <mergeCell ref="AW117:AX117"/>
    <mergeCell ref="AY117:AZ117"/>
    <mergeCell ref="BA117:BB117"/>
    <mergeCell ref="BC117:BD117"/>
    <mergeCell ref="BE117:BF117"/>
    <mergeCell ref="BG117:BH117"/>
    <mergeCell ref="AK117:AL117"/>
    <mergeCell ref="AM117:AN117"/>
    <mergeCell ref="AO117:AP117"/>
    <mergeCell ref="AQ117:AR117"/>
    <mergeCell ref="AS117:AT117"/>
    <mergeCell ref="AU117:AV117"/>
    <mergeCell ref="Y117:Z117"/>
    <mergeCell ref="BI117:BJ117"/>
    <mergeCell ref="BK117:BL117"/>
    <mergeCell ref="BM117:BN117"/>
    <mergeCell ref="BO117:BP117"/>
    <mergeCell ref="BM116:BN116"/>
    <mergeCell ref="BO116:BP116"/>
    <mergeCell ref="AS116:AT116"/>
    <mergeCell ref="AU116:AV116"/>
    <mergeCell ref="AW116:AX116"/>
    <mergeCell ref="AY116:AZ116"/>
    <mergeCell ref="BA116:BB116"/>
    <mergeCell ref="BC116:BD116"/>
    <mergeCell ref="AG116:AH116"/>
    <mergeCell ref="AI116:AJ116"/>
    <mergeCell ref="AK116:AL116"/>
    <mergeCell ref="AM116:AN116"/>
    <mergeCell ref="AO116:AP116"/>
    <mergeCell ref="AQ116:AR116"/>
    <mergeCell ref="M117:N117"/>
    <mergeCell ref="O117:P117"/>
    <mergeCell ref="Q117:R117"/>
    <mergeCell ref="S117:T117"/>
    <mergeCell ref="U117:V117"/>
    <mergeCell ref="W117:X117"/>
    <mergeCell ref="BI114:BJ114"/>
    <mergeCell ref="BK114:BL114"/>
    <mergeCell ref="BM114:BN114"/>
    <mergeCell ref="BO114:BP114"/>
    <mergeCell ref="BQ114:BR114"/>
    <mergeCell ref="BS114:BT114"/>
    <mergeCell ref="AW114:AX114"/>
    <mergeCell ref="AY114:AZ114"/>
    <mergeCell ref="BA114:BB114"/>
    <mergeCell ref="BC114:BD114"/>
    <mergeCell ref="BI115:BJ115"/>
    <mergeCell ref="BK115:BL115"/>
    <mergeCell ref="AO115:AP115"/>
    <mergeCell ref="AQ115:AR115"/>
    <mergeCell ref="AS115:AT115"/>
    <mergeCell ref="AU115:AV115"/>
    <mergeCell ref="AW115:AX115"/>
    <mergeCell ref="AY115:AZ115"/>
    <mergeCell ref="BM115:BN115"/>
    <mergeCell ref="BO115:BP115"/>
    <mergeCell ref="BQ115:BR115"/>
    <mergeCell ref="BS115:BT115"/>
    <mergeCell ref="BA115:BB115"/>
    <mergeCell ref="BC115:BD115"/>
    <mergeCell ref="BE115:BF115"/>
    <mergeCell ref="BG115:BH115"/>
    <mergeCell ref="AS112:AT112"/>
    <mergeCell ref="BE114:BF114"/>
    <mergeCell ref="BG114:BH114"/>
    <mergeCell ref="AK114:AL114"/>
    <mergeCell ref="AM114:AN114"/>
    <mergeCell ref="AO114:AP114"/>
    <mergeCell ref="AQ114:AR114"/>
    <mergeCell ref="AS114:AT114"/>
    <mergeCell ref="AU114:AV114"/>
    <mergeCell ref="W114:X114"/>
    <mergeCell ref="C115:D115"/>
    <mergeCell ref="E115:F115"/>
    <mergeCell ref="G115:H115"/>
    <mergeCell ref="I115:J115"/>
    <mergeCell ref="K115:L115"/>
    <mergeCell ref="M115:N115"/>
    <mergeCell ref="O115:P115"/>
    <mergeCell ref="AC115:AD115"/>
    <mergeCell ref="AE115:AF115"/>
    <mergeCell ref="AG115:AH115"/>
    <mergeCell ref="AI115:AJ115"/>
    <mergeCell ref="AK115:AL115"/>
    <mergeCell ref="AM115:AN115"/>
    <mergeCell ref="Q115:R115"/>
    <mergeCell ref="S115:T115"/>
    <mergeCell ref="U115:V115"/>
    <mergeCell ref="W115:X115"/>
    <mergeCell ref="Y115:Z115"/>
    <mergeCell ref="AA115:AB115"/>
    <mergeCell ref="A113:A117"/>
    <mergeCell ref="C114:D114"/>
    <mergeCell ref="E114:F114"/>
    <mergeCell ref="G114:H114"/>
    <mergeCell ref="I114:J114"/>
    <mergeCell ref="K114:L114"/>
    <mergeCell ref="Y114:Z114"/>
    <mergeCell ref="AA114:AB114"/>
    <mergeCell ref="AC114:AD114"/>
    <mergeCell ref="AE114:AF114"/>
    <mergeCell ref="AG114:AH114"/>
    <mergeCell ref="AI114:AJ114"/>
    <mergeCell ref="M114:N114"/>
    <mergeCell ref="O114:P114"/>
    <mergeCell ref="Q114:R114"/>
    <mergeCell ref="S114:T114"/>
    <mergeCell ref="U114:V114"/>
    <mergeCell ref="C116:D116"/>
    <mergeCell ref="E116:F116"/>
    <mergeCell ref="G116:H116"/>
    <mergeCell ref="I116:J116"/>
    <mergeCell ref="K116:L116"/>
    <mergeCell ref="M116:N116"/>
    <mergeCell ref="O116:P116"/>
    <mergeCell ref="Q116:R116"/>
    <mergeCell ref="S116:T116"/>
    <mergeCell ref="U116:V116"/>
    <mergeCell ref="W116:X116"/>
    <mergeCell ref="Y116:Z116"/>
    <mergeCell ref="AA116:AB116"/>
    <mergeCell ref="AC116:AD116"/>
    <mergeCell ref="AE116:AF116"/>
    <mergeCell ref="BO111:BP111"/>
    <mergeCell ref="BQ111:BR111"/>
    <mergeCell ref="BS111:BT111"/>
    <mergeCell ref="AY111:AZ111"/>
    <mergeCell ref="BA111:BB111"/>
    <mergeCell ref="BC111:BD111"/>
    <mergeCell ref="BE111:BF111"/>
    <mergeCell ref="BG111:BH111"/>
    <mergeCell ref="AU112:AV112"/>
    <mergeCell ref="AW112:AX112"/>
    <mergeCell ref="AY112:AZ112"/>
    <mergeCell ref="BA112:BB112"/>
    <mergeCell ref="AE112:AF112"/>
    <mergeCell ref="AG112:AH112"/>
    <mergeCell ref="AI112:AJ112"/>
    <mergeCell ref="AK112:AL112"/>
    <mergeCell ref="AM112:AN112"/>
    <mergeCell ref="AO112:AP112"/>
    <mergeCell ref="BI111:BJ111"/>
    <mergeCell ref="AM111:AN111"/>
    <mergeCell ref="AO111:AP111"/>
    <mergeCell ref="AQ111:AR111"/>
    <mergeCell ref="AS111:AT111"/>
    <mergeCell ref="AU111:AV111"/>
    <mergeCell ref="AW111:AX111"/>
    <mergeCell ref="AE111:AF111"/>
    <mergeCell ref="AG111:AH111"/>
    <mergeCell ref="AI111:AJ111"/>
    <mergeCell ref="AK111:AL111"/>
    <mergeCell ref="BO112:BP112"/>
    <mergeCell ref="BQ112:BR112"/>
    <mergeCell ref="BS112:BT112"/>
    <mergeCell ref="AI110:AJ110"/>
    <mergeCell ref="AK110:AL110"/>
    <mergeCell ref="AM110:AN110"/>
    <mergeCell ref="AO110:AP110"/>
    <mergeCell ref="S110:T110"/>
    <mergeCell ref="U110:V110"/>
    <mergeCell ref="W110:X110"/>
    <mergeCell ref="C112:D112"/>
    <mergeCell ref="E112:F112"/>
    <mergeCell ref="G112:H112"/>
    <mergeCell ref="I112:J112"/>
    <mergeCell ref="K112:L112"/>
    <mergeCell ref="M112:N112"/>
    <mergeCell ref="O112:P112"/>
    <mergeCell ref="Q112:R112"/>
    <mergeCell ref="BK111:BL111"/>
    <mergeCell ref="BM111:BN111"/>
    <mergeCell ref="S112:T112"/>
    <mergeCell ref="U112:V112"/>
    <mergeCell ref="W112:X112"/>
    <mergeCell ref="Y112:Z112"/>
    <mergeCell ref="AA112:AB112"/>
    <mergeCell ref="AC112:AD112"/>
    <mergeCell ref="AA111:AB111"/>
    <mergeCell ref="AC111:AD111"/>
    <mergeCell ref="BC112:BD112"/>
    <mergeCell ref="BE112:BF112"/>
    <mergeCell ref="BG112:BH112"/>
    <mergeCell ref="BI112:BJ112"/>
    <mergeCell ref="BK112:BL112"/>
    <mergeCell ref="BM112:BN112"/>
    <mergeCell ref="AQ112:AR112"/>
    <mergeCell ref="BQ109:BR109"/>
    <mergeCell ref="BS109:BT109"/>
    <mergeCell ref="AY109:AZ109"/>
    <mergeCell ref="BO110:BP110"/>
    <mergeCell ref="BQ110:BR110"/>
    <mergeCell ref="BS110:BT110"/>
    <mergeCell ref="BC110:BD110"/>
    <mergeCell ref="BE110:BF110"/>
    <mergeCell ref="BG110:BH110"/>
    <mergeCell ref="BI110:BJ110"/>
    <mergeCell ref="BK110:BL110"/>
    <mergeCell ref="BM110:BN110"/>
    <mergeCell ref="O111:P111"/>
    <mergeCell ref="Q111:R111"/>
    <mergeCell ref="S111:T111"/>
    <mergeCell ref="U111:V111"/>
    <mergeCell ref="W111:X111"/>
    <mergeCell ref="Y111:Z111"/>
    <mergeCell ref="O109:P109"/>
    <mergeCell ref="Q109:R109"/>
    <mergeCell ref="S109:T109"/>
    <mergeCell ref="U109:V109"/>
    <mergeCell ref="W109:X109"/>
    <mergeCell ref="Y109:Z109"/>
    <mergeCell ref="AQ110:AR110"/>
    <mergeCell ref="AS110:AT110"/>
    <mergeCell ref="AU110:AV110"/>
    <mergeCell ref="AW110:AX110"/>
    <mergeCell ref="AY110:AZ110"/>
    <mergeCell ref="BA110:BB110"/>
    <mergeCell ref="AE110:AF110"/>
    <mergeCell ref="AG110:AH110"/>
    <mergeCell ref="BI107:BJ107"/>
    <mergeCell ref="BK107:BL107"/>
    <mergeCell ref="BM107:BN107"/>
    <mergeCell ref="BO107:BP107"/>
    <mergeCell ref="BA109:BB109"/>
    <mergeCell ref="BC109:BD109"/>
    <mergeCell ref="BE109:BF109"/>
    <mergeCell ref="BG109:BH109"/>
    <mergeCell ref="BI109:BJ109"/>
    <mergeCell ref="AM109:AN109"/>
    <mergeCell ref="AO109:AP109"/>
    <mergeCell ref="AQ109:AR109"/>
    <mergeCell ref="AS109:AT109"/>
    <mergeCell ref="AU109:AV109"/>
    <mergeCell ref="AW109:AX109"/>
    <mergeCell ref="AA109:AB109"/>
    <mergeCell ref="AC109:AD109"/>
    <mergeCell ref="AE109:AF109"/>
    <mergeCell ref="AG109:AH109"/>
    <mergeCell ref="AI109:AJ109"/>
    <mergeCell ref="AK109:AL109"/>
    <mergeCell ref="BK109:BL109"/>
    <mergeCell ref="BM109:BN109"/>
    <mergeCell ref="BO109:BP109"/>
    <mergeCell ref="AA107:AB107"/>
    <mergeCell ref="AC107:AD107"/>
    <mergeCell ref="AE107:AF107"/>
    <mergeCell ref="AG107:AH107"/>
    <mergeCell ref="AI107:AJ107"/>
    <mergeCell ref="A108:A112"/>
    <mergeCell ref="C109:D109"/>
    <mergeCell ref="E109:F109"/>
    <mergeCell ref="G109:H109"/>
    <mergeCell ref="I109:J109"/>
    <mergeCell ref="K109:L109"/>
    <mergeCell ref="M109:N109"/>
    <mergeCell ref="Y110:Z110"/>
    <mergeCell ref="AA110:AB110"/>
    <mergeCell ref="AC110:AD110"/>
    <mergeCell ref="C110:D110"/>
    <mergeCell ref="E110:F110"/>
    <mergeCell ref="G110:H110"/>
    <mergeCell ref="I110:J110"/>
    <mergeCell ref="K110:L110"/>
    <mergeCell ref="M110:N110"/>
    <mergeCell ref="O110:P110"/>
    <mergeCell ref="Q110:R110"/>
    <mergeCell ref="C111:D111"/>
    <mergeCell ref="E111:F111"/>
    <mergeCell ref="G111:H111"/>
    <mergeCell ref="I111:J111"/>
    <mergeCell ref="K111:L111"/>
    <mergeCell ref="M111:N111"/>
    <mergeCell ref="M107:N107"/>
    <mergeCell ref="O107:P107"/>
    <mergeCell ref="Q107:R107"/>
    <mergeCell ref="S107:T107"/>
    <mergeCell ref="U107:V107"/>
    <mergeCell ref="W107:X107"/>
    <mergeCell ref="C107:D107"/>
    <mergeCell ref="E107:F107"/>
    <mergeCell ref="G107:H107"/>
    <mergeCell ref="I107:J107"/>
    <mergeCell ref="K107:L107"/>
    <mergeCell ref="BQ106:BR106"/>
    <mergeCell ref="BS106:BT106"/>
    <mergeCell ref="BE106:BF106"/>
    <mergeCell ref="BG106:BH106"/>
    <mergeCell ref="BI106:BJ106"/>
    <mergeCell ref="BK106:BL106"/>
    <mergeCell ref="BQ107:BR107"/>
    <mergeCell ref="BS107:BT107"/>
    <mergeCell ref="AW107:AX107"/>
    <mergeCell ref="AY107:AZ107"/>
    <mergeCell ref="BA107:BB107"/>
    <mergeCell ref="BC107:BD107"/>
    <mergeCell ref="BE107:BF107"/>
    <mergeCell ref="BG107:BH107"/>
    <mergeCell ref="AK107:AL107"/>
    <mergeCell ref="AM107:AN107"/>
    <mergeCell ref="AO107:AP107"/>
    <mergeCell ref="AQ107:AR107"/>
    <mergeCell ref="AS107:AT107"/>
    <mergeCell ref="AU107:AV107"/>
    <mergeCell ref="Y107:Z107"/>
    <mergeCell ref="BQ105:BR105"/>
    <mergeCell ref="BS105:BT105"/>
    <mergeCell ref="BA105:BB105"/>
    <mergeCell ref="BC105:BD105"/>
    <mergeCell ref="BE105:BF105"/>
    <mergeCell ref="BG105:BH105"/>
    <mergeCell ref="BM106:BN106"/>
    <mergeCell ref="BO106:BP106"/>
    <mergeCell ref="AS106:AT106"/>
    <mergeCell ref="AU106:AV106"/>
    <mergeCell ref="AW106:AX106"/>
    <mergeCell ref="AY106:AZ106"/>
    <mergeCell ref="BA106:BB106"/>
    <mergeCell ref="BC106:BD106"/>
    <mergeCell ref="AG106:AH106"/>
    <mergeCell ref="AI106:AJ106"/>
    <mergeCell ref="AK106:AL106"/>
    <mergeCell ref="AM106:AN106"/>
    <mergeCell ref="AO106:AP106"/>
    <mergeCell ref="AQ106:AR106"/>
    <mergeCell ref="Q105:R105"/>
    <mergeCell ref="S105:T105"/>
    <mergeCell ref="U105:V105"/>
    <mergeCell ref="W105:X105"/>
    <mergeCell ref="Y105:Z105"/>
    <mergeCell ref="AA105:AB105"/>
    <mergeCell ref="C106:D106"/>
    <mergeCell ref="E106:F106"/>
    <mergeCell ref="G106:H106"/>
    <mergeCell ref="I106:J106"/>
    <mergeCell ref="K106:L106"/>
    <mergeCell ref="M106:N106"/>
    <mergeCell ref="O106:P106"/>
    <mergeCell ref="Q106:R106"/>
    <mergeCell ref="S106:T106"/>
    <mergeCell ref="BM105:BN105"/>
    <mergeCell ref="BO105:BP105"/>
    <mergeCell ref="U106:V106"/>
    <mergeCell ref="W106:X106"/>
    <mergeCell ref="Y106:Z106"/>
    <mergeCell ref="AA106:AB106"/>
    <mergeCell ref="AC106:AD106"/>
    <mergeCell ref="AE106:AF106"/>
    <mergeCell ref="W104:X104"/>
    <mergeCell ref="C105:D105"/>
    <mergeCell ref="E105:F105"/>
    <mergeCell ref="G105:H105"/>
    <mergeCell ref="I105:J105"/>
    <mergeCell ref="K105:L105"/>
    <mergeCell ref="M105:N105"/>
    <mergeCell ref="O105:P105"/>
    <mergeCell ref="BI104:BJ104"/>
    <mergeCell ref="BK104:BL104"/>
    <mergeCell ref="BM104:BN104"/>
    <mergeCell ref="BO104:BP104"/>
    <mergeCell ref="BQ104:BR104"/>
    <mergeCell ref="BS104:BT104"/>
    <mergeCell ref="AW104:AX104"/>
    <mergeCell ref="AY104:AZ104"/>
    <mergeCell ref="BA104:BB104"/>
    <mergeCell ref="BC104:BD104"/>
    <mergeCell ref="BI105:BJ105"/>
    <mergeCell ref="BK105:BL105"/>
    <mergeCell ref="AO105:AP105"/>
    <mergeCell ref="AQ105:AR105"/>
    <mergeCell ref="AS105:AT105"/>
    <mergeCell ref="AU105:AV105"/>
    <mergeCell ref="AW105:AX105"/>
    <mergeCell ref="AY105:AZ105"/>
    <mergeCell ref="AC105:AD105"/>
    <mergeCell ref="AE105:AF105"/>
    <mergeCell ref="AG105:AH105"/>
    <mergeCell ref="AI105:AJ105"/>
    <mergeCell ref="AK105:AL105"/>
    <mergeCell ref="AM105:AN105"/>
    <mergeCell ref="BO102:BP102"/>
    <mergeCell ref="BQ102:BR102"/>
    <mergeCell ref="BS102:BT102"/>
    <mergeCell ref="BC102:BD102"/>
    <mergeCell ref="BE102:BF102"/>
    <mergeCell ref="BG102:BH102"/>
    <mergeCell ref="BI102:BJ102"/>
    <mergeCell ref="BK102:BL102"/>
    <mergeCell ref="BM102:BN102"/>
    <mergeCell ref="AQ102:AR102"/>
    <mergeCell ref="AS102:AT102"/>
    <mergeCell ref="BE104:BF104"/>
    <mergeCell ref="BG104:BH104"/>
    <mergeCell ref="AK104:AL104"/>
    <mergeCell ref="AM104:AN104"/>
    <mergeCell ref="AO104:AP104"/>
    <mergeCell ref="AQ104:AR104"/>
    <mergeCell ref="AS104:AT104"/>
    <mergeCell ref="AU104:AV104"/>
    <mergeCell ref="AA102:AB102"/>
    <mergeCell ref="AC102:AD102"/>
    <mergeCell ref="BI101:BJ101"/>
    <mergeCell ref="AM101:AN101"/>
    <mergeCell ref="AO101:AP101"/>
    <mergeCell ref="AQ101:AR101"/>
    <mergeCell ref="AS101:AT101"/>
    <mergeCell ref="AU101:AV101"/>
    <mergeCell ref="AW101:AX101"/>
    <mergeCell ref="AA101:AB101"/>
    <mergeCell ref="AC101:AD101"/>
    <mergeCell ref="AE101:AF101"/>
    <mergeCell ref="AG101:AH101"/>
    <mergeCell ref="AI101:AJ101"/>
    <mergeCell ref="AK101:AL101"/>
    <mergeCell ref="A103:A107"/>
    <mergeCell ref="C104:D104"/>
    <mergeCell ref="E104:F104"/>
    <mergeCell ref="G104:H104"/>
    <mergeCell ref="I104:J104"/>
    <mergeCell ref="K104:L104"/>
    <mergeCell ref="Y104:Z104"/>
    <mergeCell ref="AA104:AB104"/>
    <mergeCell ref="AC104:AD104"/>
    <mergeCell ref="AE104:AF104"/>
    <mergeCell ref="AG104:AH104"/>
    <mergeCell ref="AI104:AJ104"/>
    <mergeCell ref="M104:N104"/>
    <mergeCell ref="O104:P104"/>
    <mergeCell ref="Q104:R104"/>
    <mergeCell ref="S104:T104"/>
    <mergeCell ref="U104:V104"/>
    <mergeCell ref="C102:D102"/>
    <mergeCell ref="E102:F102"/>
    <mergeCell ref="G102:H102"/>
    <mergeCell ref="I102:J102"/>
    <mergeCell ref="K102:L102"/>
    <mergeCell ref="M102:N102"/>
    <mergeCell ref="O102:P102"/>
    <mergeCell ref="Q102:R102"/>
    <mergeCell ref="BK101:BL101"/>
    <mergeCell ref="BM101:BN101"/>
    <mergeCell ref="BO101:BP101"/>
    <mergeCell ref="BQ101:BR101"/>
    <mergeCell ref="BS101:BT101"/>
    <mergeCell ref="AY101:AZ101"/>
    <mergeCell ref="BA101:BB101"/>
    <mergeCell ref="BC101:BD101"/>
    <mergeCell ref="BE101:BF101"/>
    <mergeCell ref="BG101:BH101"/>
    <mergeCell ref="AU102:AV102"/>
    <mergeCell ref="AW102:AX102"/>
    <mergeCell ref="AY102:AZ102"/>
    <mergeCell ref="BA102:BB102"/>
    <mergeCell ref="AE102:AF102"/>
    <mergeCell ref="AG102:AH102"/>
    <mergeCell ref="AI102:AJ102"/>
    <mergeCell ref="AK102:AL102"/>
    <mergeCell ref="AM102:AN102"/>
    <mergeCell ref="AO102:AP102"/>
    <mergeCell ref="S102:T102"/>
    <mergeCell ref="U102:V102"/>
    <mergeCell ref="W102:X102"/>
    <mergeCell ref="Y102:Z102"/>
    <mergeCell ref="Y99:Z99"/>
    <mergeCell ref="I101:J101"/>
    <mergeCell ref="K101:L101"/>
    <mergeCell ref="M101:N101"/>
    <mergeCell ref="AQ100:AR100"/>
    <mergeCell ref="AS100:AT100"/>
    <mergeCell ref="AU100:AV100"/>
    <mergeCell ref="AW100:AX100"/>
    <mergeCell ref="AY100:AZ100"/>
    <mergeCell ref="BA100:BB100"/>
    <mergeCell ref="AE100:AF100"/>
    <mergeCell ref="AG100:AH100"/>
    <mergeCell ref="AI100:AJ100"/>
    <mergeCell ref="AK100:AL100"/>
    <mergeCell ref="AM100:AN100"/>
    <mergeCell ref="AO100:AP100"/>
    <mergeCell ref="S100:T100"/>
    <mergeCell ref="U100:V100"/>
    <mergeCell ref="W100:X100"/>
    <mergeCell ref="AC99:AD99"/>
    <mergeCell ref="AE99:AF99"/>
    <mergeCell ref="AG99:AH99"/>
    <mergeCell ref="AI99:AJ99"/>
    <mergeCell ref="AK99:AL99"/>
    <mergeCell ref="BK99:BL99"/>
    <mergeCell ref="BM99:BN99"/>
    <mergeCell ref="BO99:BP99"/>
    <mergeCell ref="AA97:AB97"/>
    <mergeCell ref="AC97:AD97"/>
    <mergeCell ref="AE97:AF97"/>
    <mergeCell ref="AG97:AH97"/>
    <mergeCell ref="AI97:AJ97"/>
    <mergeCell ref="BQ99:BR99"/>
    <mergeCell ref="BS99:BT99"/>
    <mergeCell ref="AY99:AZ99"/>
    <mergeCell ref="BO100:BP100"/>
    <mergeCell ref="BQ100:BR100"/>
    <mergeCell ref="BS100:BT100"/>
    <mergeCell ref="BC100:BD100"/>
    <mergeCell ref="BE100:BF100"/>
    <mergeCell ref="BG100:BH100"/>
    <mergeCell ref="BI100:BJ100"/>
    <mergeCell ref="BK100:BL100"/>
    <mergeCell ref="BM100:BN100"/>
    <mergeCell ref="BA99:BB99"/>
    <mergeCell ref="BC99:BD99"/>
    <mergeCell ref="BE99:BF99"/>
    <mergeCell ref="BG99:BH99"/>
    <mergeCell ref="BI99:BJ99"/>
    <mergeCell ref="AM99:AN99"/>
    <mergeCell ref="AO99:AP99"/>
    <mergeCell ref="AQ99:AR99"/>
    <mergeCell ref="AS99:AT99"/>
    <mergeCell ref="AU99:AV99"/>
    <mergeCell ref="AW99:AX99"/>
    <mergeCell ref="AA99:AB99"/>
    <mergeCell ref="A98:A102"/>
    <mergeCell ref="C99:D99"/>
    <mergeCell ref="E99:F99"/>
    <mergeCell ref="G99:H99"/>
    <mergeCell ref="I99:J99"/>
    <mergeCell ref="K99:L99"/>
    <mergeCell ref="M99:N99"/>
    <mergeCell ref="Y100:Z100"/>
    <mergeCell ref="AA100:AB100"/>
    <mergeCell ref="AC100:AD100"/>
    <mergeCell ref="C100:D100"/>
    <mergeCell ref="E100:F100"/>
    <mergeCell ref="G100:H100"/>
    <mergeCell ref="I100:J100"/>
    <mergeCell ref="K100:L100"/>
    <mergeCell ref="M100:N100"/>
    <mergeCell ref="O100:P100"/>
    <mergeCell ref="Q100:R100"/>
    <mergeCell ref="C101:D101"/>
    <mergeCell ref="E101:F101"/>
    <mergeCell ref="G101:H101"/>
    <mergeCell ref="O101:P101"/>
    <mergeCell ref="Q101:R101"/>
    <mergeCell ref="S101:T101"/>
    <mergeCell ref="U101:V101"/>
    <mergeCell ref="W101:X101"/>
    <mergeCell ref="Y101:Z101"/>
    <mergeCell ref="O99:P99"/>
    <mergeCell ref="Q99:R99"/>
    <mergeCell ref="S99:T99"/>
    <mergeCell ref="U99:V99"/>
    <mergeCell ref="W99:X99"/>
    <mergeCell ref="C97:D97"/>
    <mergeCell ref="E97:F97"/>
    <mergeCell ref="G97:H97"/>
    <mergeCell ref="I97:J97"/>
    <mergeCell ref="K97:L97"/>
    <mergeCell ref="BQ96:BR96"/>
    <mergeCell ref="BS96:BT96"/>
    <mergeCell ref="BE96:BF96"/>
    <mergeCell ref="BG96:BH96"/>
    <mergeCell ref="BI96:BJ96"/>
    <mergeCell ref="BK96:BL96"/>
    <mergeCell ref="BQ97:BR97"/>
    <mergeCell ref="BS97:BT97"/>
    <mergeCell ref="AW97:AX97"/>
    <mergeCell ref="AY97:AZ97"/>
    <mergeCell ref="BA97:BB97"/>
    <mergeCell ref="BC97:BD97"/>
    <mergeCell ref="BE97:BF97"/>
    <mergeCell ref="BG97:BH97"/>
    <mergeCell ref="AK97:AL97"/>
    <mergeCell ref="AM97:AN97"/>
    <mergeCell ref="AO97:AP97"/>
    <mergeCell ref="AQ97:AR97"/>
    <mergeCell ref="AS97:AT97"/>
    <mergeCell ref="AU97:AV97"/>
    <mergeCell ref="Y97:Z97"/>
    <mergeCell ref="BI97:BJ97"/>
    <mergeCell ref="BK97:BL97"/>
    <mergeCell ref="BM97:BN97"/>
    <mergeCell ref="BO97:BP97"/>
    <mergeCell ref="BM96:BN96"/>
    <mergeCell ref="BO96:BP96"/>
    <mergeCell ref="AS96:AT96"/>
    <mergeCell ref="AU96:AV96"/>
    <mergeCell ref="AW96:AX96"/>
    <mergeCell ref="AY96:AZ96"/>
    <mergeCell ref="BA96:BB96"/>
    <mergeCell ref="BC96:BD96"/>
    <mergeCell ref="AG96:AH96"/>
    <mergeCell ref="AI96:AJ96"/>
    <mergeCell ref="AK96:AL96"/>
    <mergeCell ref="AM96:AN96"/>
    <mergeCell ref="AO96:AP96"/>
    <mergeCell ref="AQ96:AR96"/>
    <mergeCell ref="M97:N97"/>
    <mergeCell ref="O97:P97"/>
    <mergeCell ref="Q97:R97"/>
    <mergeCell ref="S97:T97"/>
    <mergeCell ref="U97:V97"/>
    <mergeCell ref="W97:X97"/>
    <mergeCell ref="BI94:BJ94"/>
    <mergeCell ref="BK94:BL94"/>
    <mergeCell ref="BM94:BN94"/>
    <mergeCell ref="BO94:BP94"/>
    <mergeCell ref="BQ94:BR94"/>
    <mergeCell ref="BS94:BT94"/>
    <mergeCell ref="AW94:AX94"/>
    <mergeCell ref="AY94:AZ94"/>
    <mergeCell ref="BA94:BB94"/>
    <mergeCell ref="BC94:BD94"/>
    <mergeCell ref="BI95:BJ95"/>
    <mergeCell ref="BK95:BL95"/>
    <mergeCell ref="AO95:AP95"/>
    <mergeCell ref="AQ95:AR95"/>
    <mergeCell ref="AS95:AT95"/>
    <mergeCell ref="AU95:AV95"/>
    <mergeCell ref="AW95:AX95"/>
    <mergeCell ref="AY95:AZ95"/>
    <mergeCell ref="BM95:BN95"/>
    <mergeCell ref="BO95:BP95"/>
    <mergeCell ref="BQ95:BR95"/>
    <mergeCell ref="BS95:BT95"/>
    <mergeCell ref="BA95:BB95"/>
    <mergeCell ref="BC95:BD95"/>
    <mergeCell ref="BE95:BF95"/>
    <mergeCell ref="BG95:BH95"/>
    <mergeCell ref="AS92:AT92"/>
    <mergeCell ref="BE94:BF94"/>
    <mergeCell ref="BG94:BH94"/>
    <mergeCell ref="AK94:AL94"/>
    <mergeCell ref="AM94:AN94"/>
    <mergeCell ref="AO94:AP94"/>
    <mergeCell ref="AQ94:AR94"/>
    <mergeCell ref="AS94:AT94"/>
    <mergeCell ref="AU94:AV94"/>
    <mergeCell ref="W94:X94"/>
    <mergeCell ref="C95:D95"/>
    <mergeCell ref="E95:F95"/>
    <mergeCell ref="G95:H95"/>
    <mergeCell ref="I95:J95"/>
    <mergeCell ref="K95:L95"/>
    <mergeCell ref="M95:N95"/>
    <mergeCell ref="O95:P95"/>
    <mergeCell ref="AC95:AD95"/>
    <mergeCell ref="AE95:AF95"/>
    <mergeCell ref="AG95:AH95"/>
    <mergeCell ref="AI95:AJ95"/>
    <mergeCell ref="AK95:AL95"/>
    <mergeCell ref="AM95:AN95"/>
    <mergeCell ref="Q95:R95"/>
    <mergeCell ref="S95:T95"/>
    <mergeCell ref="U95:V95"/>
    <mergeCell ref="W95:X95"/>
    <mergeCell ref="Y95:Z95"/>
    <mergeCell ref="AA95:AB95"/>
    <mergeCell ref="A93:A97"/>
    <mergeCell ref="C94:D94"/>
    <mergeCell ref="E94:F94"/>
    <mergeCell ref="G94:H94"/>
    <mergeCell ref="I94:J94"/>
    <mergeCell ref="K94:L94"/>
    <mergeCell ref="Y94:Z94"/>
    <mergeCell ref="AA94:AB94"/>
    <mergeCell ref="AC94:AD94"/>
    <mergeCell ref="AE94:AF94"/>
    <mergeCell ref="AG94:AH94"/>
    <mergeCell ref="AI94:AJ94"/>
    <mergeCell ref="M94:N94"/>
    <mergeCell ref="O94:P94"/>
    <mergeCell ref="Q94:R94"/>
    <mergeCell ref="S94:T94"/>
    <mergeCell ref="U94:V94"/>
    <mergeCell ref="C96:D96"/>
    <mergeCell ref="E96:F96"/>
    <mergeCell ref="G96:H96"/>
    <mergeCell ref="I96:J96"/>
    <mergeCell ref="K96:L96"/>
    <mergeCell ref="M96:N96"/>
    <mergeCell ref="O96:P96"/>
    <mergeCell ref="Q96:R96"/>
    <mergeCell ref="S96:T96"/>
    <mergeCell ref="U96:V96"/>
    <mergeCell ref="W96:X96"/>
    <mergeCell ref="Y96:Z96"/>
    <mergeCell ref="AA96:AB96"/>
    <mergeCell ref="AC96:AD96"/>
    <mergeCell ref="AE96:AF96"/>
    <mergeCell ref="BO91:BP91"/>
    <mergeCell ref="BQ91:BR91"/>
    <mergeCell ref="BS91:BT91"/>
    <mergeCell ref="AY91:AZ91"/>
    <mergeCell ref="BA91:BB91"/>
    <mergeCell ref="BC91:BD91"/>
    <mergeCell ref="BE91:BF91"/>
    <mergeCell ref="BG91:BH91"/>
    <mergeCell ref="AU92:AV92"/>
    <mergeCell ref="AW92:AX92"/>
    <mergeCell ref="AY92:AZ92"/>
    <mergeCell ref="BA92:BB92"/>
    <mergeCell ref="AE92:AF92"/>
    <mergeCell ref="AG92:AH92"/>
    <mergeCell ref="AI92:AJ92"/>
    <mergeCell ref="AK92:AL92"/>
    <mergeCell ref="AM92:AN92"/>
    <mergeCell ref="AO92:AP92"/>
    <mergeCell ref="BI91:BJ91"/>
    <mergeCell ref="AM91:AN91"/>
    <mergeCell ref="AO91:AP91"/>
    <mergeCell ref="AQ91:AR91"/>
    <mergeCell ref="AS91:AT91"/>
    <mergeCell ref="AU91:AV91"/>
    <mergeCell ref="AW91:AX91"/>
    <mergeCell ref="AE91:AF91"/>
    <mergeCell ref="AG91:AH91"/>
    <mergeCell ref="AI91:AJ91"/>
    <mergeCell ref="AK91:AL91"/>
    <mergeCell ref="BO92:BP92"/>
    <mergeCell ref="BQ92:BR92"/>
    <mergeCell ref="BS92:BT92"/>
    <mergeCell ref="AI90:AJ90"/>
    <mergeCell ref="AK90:AL90"/>
    <mergeCell ref="AM90:AN90"/>
    <mergeCell ref="AO90:AP90"/>
    <mergeCell ref="S90:T90"/>
    <mergeCell ref="U90:V90"/>
    <mergeCell ref="W90:X90"/>
    <mergeCell ref="C92:D92"/>
    <mergeCell ref="E92:F92"/>
    <mergeCell ref="G92:H92"/>
    <mergeCell ref="I92:J92"/>
    <mergeCell ref="K92:L92"/>
    <mergeCell ref="M92:N92"/>
    <mergeCell ref="O92:P92"/>
    <mergeCell ref="Q92:R92"/>
    <mergeCell ref="BK91:BL91"/>
    <mergeCell ref="BM91:BN91"/>
    <mergeCell ref="S92:T92"/>
    <mergeCell ref="U92:V92"/>
    <mergeCell ref="W92:X92"/>
    <mergeCell ref="Y92:Z92"/>
    <mergeCell ref="AA92:AB92"/>
    <mergeCell ref="AC92:AD92"/>
    <mergeCell ref="AA91:AB91"/>
    <mergeCell ref="AC91:AD91"/>
    <mergeCell ref="BC92:BD92"/>
    <mergeCell ref="BE92:BF92"/>
    <mergeCell ref="BG92:BH92"/>
    <mergeCell ref="BI92:BJ92"/>
    <mergeCell ref="BK92:BL92"/>
    <mergeCell ref="BM92:BN92"/>
    <mergeCell ref="AQ92:AR92"/>
    <mergeCell ref="BQ89:BR89"/>
    <mergeCell ref="BS89:BT89"/>
    <mergeCell ref="AY89:AZ89"/>
    <mergeCell ref="BO90:BP90"/>
    <mergeCell ref="BQ90:BR90"/>
    <mergeCell ref="BS90:BT90"/>
    <mergeCell ref="BC90:BD90"/>
    <mergeCell ref="BE90:BF90"/>
    <mergeCell ref="BG90:BH90"/>
    <mergeCell ref="BI90:BJ90"/>
    <mergeCell ref="BK90:BL90"/>
    <mergeCell ref="BM90:BN90"/>
    <mergeCell ref="O91:P91"/>
    <mergeCell ref="Q91:R91"/>
    <mergeCell ref="S91:T91"/>
    <mergeCell ref="U91:V91"/>
    <mergeCell ref="W91:X91"/>
    <mergeCell ref="Y91:Z91"/>
    <mergeCell ref="O89:P89"/>
    <mergeCell ref="Q89:R89"/>
    <mergeCell ref="S89:T89"/>
    <mergeCell ref="U89:V89"/>
    <mergeCell ref="W89:X89"/>
    <mergeCell ref="Y89:Z89"/>
    <mergeCell ref="AQ90:AR90"/>
    <mergeCell ref="AS90:AT90"/>
    <mergeCell ref="AU90:AV90"/>
    <mergeCell ref="AW90:AX90"/>
    <mergeCell ref="AY90:AZ90"/>
    <mergeCell ref="BA90:BB90"/>
    <mergeCell ref="AE90:AF90"/>
    <mergeCell ref="AG90:AH90"/>
    <mergeCell ref="BI87:BJ87"/>
    <mergeCell ref="BK87:BL87"/>
    <mergeCell ref="BM87:BN87"/>
    <mergeCell ref="BO87:BP87"/>
    <mergeCell ref="BA89:BB89"/>
    <mergeCell ref="BC89:BD89"/>
    <mergeCell ref="BE89:BF89"/>
    <mergeCell ref="BG89:BH89"/>
    <mergeCell ref="BI89:BJ89"/>
    <mergeCell ref="AM89:AN89"/>
    <mergeCell ref="AO89:AP89"/>
    <mergeCell ref="AQ89:AR89"/>
    <mergeCell ref="AS89:AT89"/>
    <mergeCell ref="AU89:AV89"/>
    <mergeCell ref="AW89:AX89"/>
    <mergeCell ref="AA89:AB89"/>
    <mergeCell ref="AC89:AD89"/>
    <mergeCell ref="AE89:AF89"/>
    <mergeCell ref="AG89:AH89"/>
    <mergeCell ref="AI89:AJ89"/>
    <mergeCell ref="AK89:AL89"/>
    <mergeCell ref="BK89:BL89"/>
    <mergeCell ref="BM89:BN89"/>
    <mergeCell ref="BO89:BP89"/>
    <mergeCell ref="AA87:AB87"/>
    <mergeCell ref="AC87:AD87"/>
    <mergeCell ref="AE87:AF87"/>
    <mergeCell ref="AG87:AH87"/>
    <mergeCell ref="AI87:AJ87"/>
    <mergeCell ref="A88:A92"/>
    <mergeCell ref="C89:D89"/>
    <mergeCell ref="E89:F89"/>
    <mergeCell ref="G89:H89"/>
    <mergeCell ref="I89:J89"/>
    <mergeCell ref="K89:L89"/>
    <mergeCell ref="M89:N89"/>
    <mergeCell ref="Y90:Z90"/>
    <mergeCell ref="AA90:AB90"/>
    <mergeCell ref="AC90:AD90"/>
    <mergeCell ref="C90:D90"/>
    <mergeCell ref="E90:F90"/>
    <mergeCell ref="G90:H90"/>
    <mergeCell ref="I90:J90"/>
    <mergeCell ref="K90:L90"/>
    <mergeCell ref="M90:N90"/>
    <mergeCell ref="O90:P90"/>
    <mergeCell ref="Q90:R90"/>
    <mergeCell ref="C91:D91"/>
    <mergeCell ref="E91:F91"/>
    <mergeCell ref="G91:H91"/>
    <mergeCell ref="I91:J91"/>
    <mergeCell ref="K91:L91"/>
    <mergeCell ref="M91:N91"/>
    <mergeCell ref="M87:N87"/>
    <mergeCell ref="O87:P87"/>
    <mergeCell ref="Q87:R87"/>
    <mergeCell ref="S87:T87"/>
    <mergeCell ref="U87:V87"/>
    <mergeCell ref="W87:X87"/>
    <mergeCell ref="C87:D87"/>
    <mergeCell ref="E87:F87"/>
    <mergeCell ref="G87:H87"/>
    <mergeCell ref="I87:J87"/>
    <mergeCell ref="K87:L87"/>
    <mergeCell ref="BQ86:BR86"/>
    <mergeCell ref="BS86:BT86"/>
    <mergeCell ref="BE86:BF86"/>
    <mergeCell ref="BG86:BH86"/>
    <mergeCell ref="BI86:BJ86"/>
    <mergeCell ref="BK86:BL86"/>
    <mergeCell ref="BQ87:BR87"/>
    <mergeCell ref="BS87:BT87"/>
    <mergeCell ref="AW87:AX87"/>
    <mergeCell ref="AY87:AZ87"/>
    <mergeCell ref="BA87:BB87"/>
    <mergeCell ref="BC87:BD87"/>
    <mergeCell ref="BE87:BF87"/>
    <mergeCell ref="BG87:BH87"/>
    <mergeCell ref="AK87:AL87"/>
    <mergeCell ref="AM87:AN87"/>
    <mergeCell ref="AO87:AP87"/>
    <mergeCell ref="AQ87:AR87"/>
    <mergeCell ref="AS87:AT87"/>
    <mergeCell ref="AU87:AV87"/>
    <mergeCell ref="Y87:Z87"/>
    <mergeCell ref="BQ85:BR85"/>
    <mergeCell ref="BS85:BT85"/>
    <mergeCell ref="BA85:BB85"/>
    <mergeCell ref="BC85:BD85"/>
    <mergeCell ref="BE85:BF85"/>
    <mergeCell ref="BG85:BH85"/>
    <mergeCell ref="BM86:BN86"/>
    <mergeCell ref="BO86:BP86"/>
    <mergeCell ref="AS86:AT86"/>
    <mergeCell ref="AU86:AV86"/>
    <mergeCell ref="AW86:AX86"/>
    <mergeCell ref="AY86:AZ86"/>
    <mergeCell ref="BA86:BB86"/>
    <mergeCell ref="BC86:BD86"/>
    <mergeCell ref="AG86:AH86"/>
    <mergeCell ref="AI86:AJ86"/>
    <mergeCell ref="AK86:AL86"/>
    <mergeCell ref="AM86:AN86"/>
    <mergeCell ref="AO86:AP86"/>
    <mergeCell ref="AQ86:AR86"/>
    <mergeCell ref="Q85:R85"/>
    <mergeCell ref="S85:T85"/>
    <mergeCell ref="U85:V85"/>
    <mergeCell ref="W85:X85"/>
    <mergeCell ref="Y85:Z85"/>
    <mergeCell ref="AA85:AB85"/>
    <mergeCell ref="C86:D86"/>
    <mergeCell ref="E86:F86"/>
    <mergeCell ref="G86:H86"/>
    <mergeCell ref="I86:J86"/>
    <mergeCell ref="K86:L86"/>
    <mergeCell ref="M86:N86"/>
    <mergeCell ref="O86:P86"/>
    <mergeCell ref="Q86:R86"/>
    <mergeCell ref="S86:T86"/>
    <mergeCell ref="BM85:BN85"/>
    <mergeCell ref="BO85:BP85"/>
    <mergeCell ref="U86:V86"/>
    <mergeCell ref="W86:X86"/>
    <mergeCell ref="Y86:Z86"/>
    <mergeCell ref="AA86:AB86"/>
    <mergeCell ref="AC86:AD86"/>
    <mergeCell ref="AE86:AF86"/>
    <mergeCell ref="W84:X84"/>
    <mergeCell ref="C85:D85"/>
    <mergeCell ref="E85:F85"/>
    <mergeCell ref="G85:H85"/>
    <mergeCell ref="I85:J85"/>
    <mergeCell ref="K85:L85"/>
    <mergeCell ref="M85:N85"/>
    <mergeCell ref="O85:P85"/>
    <mergeCell ref="BI84:BJ84"/>
    <mergeCell ref="BK84:BL84"/>
    <mergeCell ref="BM84:BN84"/>
    <mergeCell ref="BO84:BP84"/>
    <mergeCell ref="BQ84:BR84"/>
    <mergeCell ref="BS84:BT84"/>
    <mergeCell ref="AW84:AX84"/>
    <mergeCell ref="AY84:AZ84"/>
    <mergeCell ref="BA84:BB84"/>
    <mergeCell ref="BC84:BD84"/>
    <mergeCell ref="BI85:BJ85"/>
    <mergeCell ref="BK85:BL85"/>
    <mergeCell ref="AO85:AP85"/>
    <mergeCell ref="AQ85:AR85"/>
    <mergeCell ref="AS85:AT85"/>
    <mergeCell ref="AU85:AV85"/>
    <mergeCell ref="AW85:AX85"/>
    <mergeCell ref="AY85:AZ85"/>
    <mergeCell ref="AC85:AD85"/>
    <mergeCell ref="AE85:AF85"/>
    <mergeCell ref="AG85:AH85"/>
    <mergeCell ref="AI85:AJ85"/>
    <mergeCell ref="AK85:AL85"/>
    <mergeCell ref="AM85:AN85"/>
    <mergeCell ref="BO82:BP82"/>
    <mergeCell ref="BQ82:BR82"/>
    <mergeCell ref="BS82:BT82"/>
    <mergeCell ref="BC82:BD82"/>
    <mergeCell ref="BE82:BF82"/>
    <mergeCell ref="BG82:BH82"/>
    <mergeCell ref="BI82:BJ82"/>
    <mergeCell ref="BK82:BL82"/>
    <mergeCell ref="BM82:BN82"/>
    <mergeCell ref="AQ82:AR82"/>
    <mergeCell ref="AS82:AT82"/>
    <mergeCell ref="BE84:BF84"/>
    <mergeCell ref="BG84:BH84"/>
    <mergeCell ref="AK84:AL84"/>
    <mergeCell ref="AM84:AN84"/>
    <mergeCell ref="AO84:AP84"/>
    <mergeCell ref="AQ84:AR84"/>
    <mergeCell ref="AS84:AT84"/>
    <mergeCell ref="AU84:AV84"/>
    <mergeCell ref="AA82:AB82"/>
    <mergeCell ref="AC82:AD82"/>
    <mergeCell ref="BI81:BJ81"/>
    <mergeCell ref="AM81:AN81"/>
    <mergeCell ref="AO81:AP81"/>
    <mergeCell ref="AQ81:AR81"/>
    <mergeCell ref="AS81:AT81"/>
    <mergeCell ref="AU81:AV81"/>
    <mergeCell ref="AW81:AX81"/>
    <mergeCell ref="AA81:AB81"/>
    <mergeCell ref="AC81:AD81"/>
    <mergeCell ref="AE81:AF81"/>
    <mergeCell ref="AG81:AH81"/>
    <mergeCell ref="AI81:AJ81"/>
    <mergeCell ref="AK81:AL81"/>
    <mergeCell ref="A83:A87"/>
    <mergeCell ref="C84:D84"/>
    <mergeCell ref="E84:F84"/>
    <mergeCell ref="G84:H84"/>
    <mergeCell ref="I84:J84"/>
    <mergeCell ref="K84:L84"/>
    <mergeCell ref="Y84:Z84"/>
    <mergeCell ref="AA84:AB84"/>
    <mergeCell ref="AC84:AD84"/>
    <mergeCell ref="AE84:AF84"/>
    <mergeCell ref="AG84:AH84"/>
    <mergeCell ref="AI84:AJ84"/>
    <mergeCell ref="M84:N84"/>
    <mergeCell ref="O84:P84"/>
    <mergeCell ref="Q84:R84"/>
    <mergeCell ref="S84:T84"/>
    <mergeCell ref="U84:V84"/>
    <mergeCell ref="C82:D82"/>
    <mergeCell ref="E82:F82"/>
    <mergeCell ref="G82:H82"/>
    <mergeCell ref="I82:J82"/>
    <mergeCell ref="K82:L82"/>
    <mergeCell ref="M82:N82"/>
    <mergeCell ref="O82:P82"/>
    <mergeCell ref="Q82:R82"/>
    <mergeCell ref="BK81:BL81"/>
    <mergeCell ref="BM81:BN81"/>
    <mergeCell ref="BO81:BP81"/>
    <mergeCell ref="BQ81:BR81"/>
    <mergeCell ref="BS81:BT81"/>
    <mergeCell ref="AY81:AZ81"/>
    <mergeCell ref="BA81:BB81"/>
    <mergeCell ref="BC81:BD81"/>
    <mergeCell ref="BE81:BF81"/>
    <mergeCell ref="BG81:BH81"/>
    <mergeCell ref="AU82:AV82"/>
    <mergeCell ref="AW82:AX82"/>
    <mergeCell ref="AY82:AZ82"/>
    <mergeCell ref="BA82:BB82"/>
    <mergeCell ref="AE82:AF82"/>
    <mergeCell ref="AG82:AH82"/>
    <mergeCell ref="AI82:AJ82"/>
    <mergeCell ref="AK82:AL82"/>
    <mergeCell ref="AM82:AN82"/>
    <mergeCell ref="AO82:AP82"/>
    <mergeCell ref="S82:T82"/>
    <mergeCell ref="U82:V82"/>
    <mergeCell ref="W82:X82"/>
    <mergeCell ref="Y82:Z82"/>
    <mergeCell ref="Y79:Z79"/>
    <mergeCell ref="I81:J81"/>
    <mergeCell ref="K81:L81"/>
    <mergeCell ref="M81:N81"/>
    <mergeCell ref="AQ80:AR80"/>
    <mergeCell ref="AS80:AT80"/>
    <mergeCell ref="AU80:AV80"/>
    <mergeCell ref="AW80:AX80"/>
    <mergeCell ref="AY80:AZ80"/>
    <mergeCell ref="BA80:BB80"/>
    <mergeCell ref="AE80:AF80"/>
    <mergeCell ref="AG80:AH80"/>
    <mergeCell ref="AI80:AJ80"/>
    <mergeCell ref="AK80:AL80"/>
    <mergeCell ref="AM80:AN80"/>
    <mergeCell ref="AO80:AP80"/>
    <mergeCell ref="S80:T80"/>
    <mergeCell ref="U80:V80"/>
    <mergeCell ref="W80:X80"/>
    <mergeCell ref="AC79:AD79"/>
    <mergeCell ref="AE79:AF79"/>
    <mergeCell ref="AG79:AH79"/>
    <mergeCell ref="AI79:AJ79"/>
    <mergeCell ref="AK79:AL79"/>
    <mergeCell ref="BK79:BL79"/>
    <mergeCell ref="BM79:BN79"/>
    <mergeCell ref="BO79:BP79"/>
    <mergeCell ref="AA77:AB77"/>
    <mergeCell ref="AC77:AD77"/>
    <mergeCell ref="AE77:AF77"/>
    <mergeCell ref="AG77:AH77"/>
    <mergeCell ref="AI77:AJ77"/>
    <mergeCell ref="BQ79:BR79"/>
    <mergeCell ref="BS79:BT79"/>
    <mergeCell ref="AY79:AZ79"/>
    <mergeCell ref="BO80:BP80"/>
    <mergeCell ref="BQ80:BR80"/>
    <mergeCell ref="BS80:BT80"/>
    <mergeCell ref="BC80:BD80"/>
    <mergeCell ref="BE80:BF80"/>
    <mergeCell ref="BG80:BH80"/>
    <mergeCell ref="BI80:BJ80"/>
    <mergeCell ref="BK80:BL80"/>
    <mergeCell ref="BM80:BN80"/>
    <mergeCell ref="BA79:BB79"/>
    <mergeCell ref="BC79:BD79"/>
    <mergeCell ref="BE79:BF79"/>
    <mergeCell ref="BG79:BH79"/>
    <mergeCell ref="BI79:BJ79"/>
    <mergeCell ref="AM79:AN79"/>
    <mergeCell ref="AO79:AP79"/>
    <mergeCell ref="AQ79:AR79"/>
    <mergeCell ref="AS79:AT79"/>
    <mergeCell ref="AU79:AV79"/>
    <mergeCell ref="AW79:AX79"/>
    <mergeCell ref="AA79:AB79"/>
    <mergeCell ref="A78:A82"/>
    <mergeCell ref="C79:D79"/>
    <mergeCell ref="E79:F79"/>
    <mergeCell ref="G79:H79"/>
    <mergeCell ref="I79:J79"/>
    <mergeCell ref="K79:L79"/>
    <mergeCell ref="M79:N79"/>
    <mergeCell ref="Y80:Z80"/>
    <mergeCell ref="AA80:AB80"/>
    <mergeCell ref="AC80:AD80"/>
    <mergeCell ref="C80:D80"/>
    <mergeCell ref="E80:F80"/>
    <mergeCell ref="G80:H80"/>
    <mergeCell ref="I80:J80"/>
    <mergeCell ref="K80:L80"/>
    <mergeCell ref="M80:N80"/>
    <mergeCell ref="O80:P80"/>
    <mergeCell ref="Q80:R80"/>
    <mergeCell ref="C81:D81"/>
    <mergeCell ref="E81:F81"/>
    <mergeCell ref="G81:H81"/>
    <mergeCell ref="O81:P81"/>
    <mergeCell ref="Q81:R81"/>
    <mergeCell ref="S81:T81"/>
    <mergeCell ref="U81:V81"/>
    <mergeCell ref="W81:X81"/>
    <mergeCell ref="Y81:Z81"/>
    <mergeCell ref="O79:P79"/>
    <mergeCell ref="Q79:R79"/>
    <mergeCell ref="S79:T79"/>
    <mergeCell ref="U79:V79"/>
    <mergeCell ref="W79:X79"/>
    <mergeCell ref="C77:D77"/>
    <mergeCell ref="E77:F77"/>
    <mergeCell ref="G77:H77"/>
    <mergeCell ref="I77:J77"/>
    <mergeCell ref="K77:L77"/>
    <mergeCell ref="BQ76:BR76"/>
    <mergeCell ref="BS76:BT76"/>
    <mergeCell ref="BE76:BF76"/>
    <mergeCell ref="BG76:BH76"/>
    <mergeCell ref="BI76:BJ76"/>
    <mergeCell ref="BK76:BL76"/>
    <mergeCell ref="BQ77:BR77"/>
    <mergeCell ref="BS77:BT77"/>
    <mergeCell ref="AW77:AX77"/>
    <mergeCell ref="AY77:AZ77"/>
    <mergeCell ref="BA77:BB77"/>
    <mergeCell ref="BC77:BD77"/>
    <mergeCell ref="BE77:BF77"/>
    <mergeCell ref="BG77:BH77"/>
    <mergeCell ref="AK77:AL77"/>
    <mergeCell ref="AM77:AN77"/>
    <mergeCell ref="AO77:AP77"/>
    <mergeCell ref="AQ77:AR77"/>
    <mergeCell ref="AS77:AT77"/>
    <mergeCell ref="AU77:AV77"/>
    <mergeCell ref="Y77:Z77"/>
    <mergeCell ref="BI77:BJ77"/>
    <mergeCell ref="BK77:BL77"/>
    <mergeCell ref="BM77:BN77"/>
    <mergeCell ref="BO77:BP77"/>
    <mergeCell ref="BM76:BN76"/>
    <mergeCell ref="BO76:BP76"/>
    <mergeCell ref="AS76:AT76"/>
    <mergeCell ref="AU76:AV76"/>
    <mergeCell ref="AW76:AX76"/>
    <mergeCell ref="AY76:AZ76"/>
    <mergeCell ref="BA76:BB76"/>
    <mergeCell ref="BC76:BD76"/>
    <mergeCell ref="AG76:AH76"/>
    <mergeCell ref="AI76:AJ76"/>
    <mergeCell ref="AK76:AL76"/>
    <mergeCell ref="AM76:AN76"/>
    <mergeCell ref="AO76:AP76"/>
    <mergeCell ref="AQ76:AR76"/>
    <mergeCell ref="M77:N77"/>
    <mergeCell ref="O77:P77"/>
    <mergeCell ref="Q77:R77"/>
    <mergeCell ref="S77:T77"/>
    <mergeCell ref="U77:V77"/>
    <mergeCell ref="W77:X77"/>
    <mergeCell ref="BI74:BJ74"/>
    <mergeCell ref="BK74:BL74"/>
    <mergeCell ref="BM74:BN74"/>
    <mergeCell ref="BO74:BP74"/>
    <mergeCell ref="BQ74:BR74"/>
    <mergeCell ref="BS74:BT74"/>
    <mergeCell ref="AW74:AX74"/>
    <mergeCell ref="AY74:AZ74"/>
    <mergeCell ref="BA74:BB74"/>
    <mergeCell ref="BC74:BD74"/>
    <mergeCell ref="BI75:BJ75"/>
    <mergeCell ref="BK75:BL75"/>
    <mergeCell ref="AO75:AP75"/>
    <mergeCell ref="AQ75:AR75"/>
    <mergeCell ref="AS75:AT75"/>
    <mergeCell ref="AU75:AV75"/>
    <mergeCell ref="AW75:AX75"/>
    <mergeCell ref="AY75:AZ75"/>
    <mergeCell ref="BM75:BN75"/>
    <mergeCell ref="BO75:BP75"/>
    <mergeCell ref="BQ75:BR75"/>
    <mergeCell ref="BS75:BT75"/>
    <mergeCell ref="BA75:BB75"/>
    <mergeCell ref="BC75:BD75"/>
    <mergeCell ref="BE75:BF75"/>
    <mergeCell ref="BG75:BH75"/>
    <mergeCell ref="AS72:AT72"/>
    <mergeCell ref="BE74:BF74"/>
    <mergeCell ref="BG74:BH74"/>
    <mergeCell ref="AK74:AL74"/>
    <mergeCell ref="AM74:AN74"/>
    <mergeCell ref="AO74:AP74"/>
    <mergeCell ref="AQ74:AR74"/>
    <mergeCell ref="AS74:AT74"/>
    <mergeCell ref="AU74:AV74"/>
    <mergeCell ref="W74:X74"/>
    <mergeCell ref="C75:D75"/>
    <mergeCell ref="E75:F75"/>
    <mergeCell ref="G75:H75"/>
    <mergeCell ref="I75:J75"/>
    <mergeCell ref="K75:L75"/>
    <mergeCell ref="M75:N75"/>
    <mergeCell ref="O75:P75"/>
    <mergeCell ref="AC75:AD75"/>
    <mergeCell ref="AE75:AF75"/>
    <mergeCell ref="AG75:AH75"/>
    <mergeCell ref="AI75:AJ75"/>
    <mergeCell ref="AK75:AL75"/>
    <mergeCell ref="AM75:AN75"/>
    <mergeCell ref="Q75:R75"/>
    <mergeCell ref="S75:T75"/>
    <mergeCell ref="U75:V75"/>
    <mergeCell ref="W75:X75"/>
    <mergeCell ref="Y75:Z75"/>
    <mergeCell ref="AA75:AB75"/>
    <mergeCell ref="A73:A77"/>
    <mergeCell ref="C74:D74"/>
    <mergeCell ref="E74:F74"/>
    <mergeCell ref="G74:H74"/>
    <mergeCell ref="I74:J74"/>
    <mergeCell ref="K74:L74"/>
    <mergeCell ref="Y74:Z74"/>
    <mergeCell ref="AA74:AB74"/>
    <mergeCell ref="AC74:AD74"/>
    <mergeCell ref="AE74:AF74"/>
    <mergeCell ref="AG74:AH74"/>
    <mergeCell ref="AI74:AJ74"/>
    <mergeCell ref="M74:N74"/>
    <mergeCell ref="O74:P74"/>
    <mergeCell ref="Q74:R74"/>
    <mergeCell ref="S74:T74"/>
    <mergeCell ref="U74:V74"/>
    <mergeCell ref="C76:D76"/>
    <mergeCell ref="E76:F76"/>
    <mergeCell ref="G76:H76"/>
    <mergeCell ref="I76:J76"/>
    <mergeCell ref="K76:L76"/>
    <mergeCell ref="M76:N76"/>
    <mergeCell ref="O76:P76"/>
    <mergeCell ref="Q76:R76"/>
    <mergeCell ref="S76:T76"/>
    <mergeCell ref="U76:V76"/>
    <mergeCell ref="W76:X76"/>
    <mergeCell ref="Y76:Z76"/>
    <mergeCell ref="AA76:AB76"/>
    <mergeCell ref="AC76:AD76"/>
    <mergeCell ref="AE76:AF76"/>
    <mergeCell ref="BO71:BP71"/>
    <mergeCell ref="BQ71:BR71"/>
    <mergeCell ref="BS71:BT71"/>
    <mergeCell ref="AY71:AZ71"/>
    <mergeCell ref="BA71:BB71"/>
    <mergeCell ref="BC71:BD71"/>
    <mergeCell ref="BE71:BF71"/>
    <mergeCell ref="BG71:BH71"/>
    <mergeCell ref="AU72:AV72"/>
    <mergeCell ref="AW72:AX72"/>
    <mergeCell ref="AY72:AZ72"/>
    <mergeCell ref="BA72:BB72"/>
    <mergeCell ref="AE72:AF72"/>
    <mergeCell ref="AG72:AH72"/>
    <mergeCell ref="AI72:AJ72"/>
    <mergeCell ref="AK72:AL72"/>
    <mergeCell ref="AM72:AN72"/>
    <mergeCell ref="AO72:AP72"/>
    <mergeCell ref="BI71:BJ71"/>
    <mergeCell ref="AM71:AN71"/>
    <mergeCell ref="AO71:AP71"/>
    <mergeCell ref="AQ71:AR71"/>
    <mergeCell ref="AS71:AT71"/>
    <mergeCell ref="AU71:AV71"/>
    <mergeCell ref="AW71:AX71"/>
    <mergeCell ref="AE71:AF71"/>
    <mergeCell ref="AG71:AH71"/>
    <mergeCell ref="AI71:AJ71"/>
    <mergeCell ref="AK71:AL71"/>
    <mergeCell ref="BO72:BP72"/>
    <mergeCell ref="BQ72:BR72"/>
    <mergeCell ref="BS72:BT72"/>
    <mergeCell ref="AI70:AJ70"/>
    <mergeCell ref="AK70:AL70"/>
    <mergeCell ref="AM70:AN70"/>
    <mergeCell ref="AO70:AP70"/>
    <mergeCell ref="S70:T70"/>
    <mergeCell ref="U70:V70"/>
    <mergeCell ref="W70:X70"/>
    <mergeCell ref="C72:D72"/>
    <mergeCell ref="E72:F72"/>
    <mergeCell ref="G72:H72"/>
    <mergeCell ref="I72:J72"/>
    <mergeCell ref="K72:L72"/>
    <mergeCell ref="M72:N72"/>
    <mergeCell ref="O72:P72"/>
    <mergeCell ref="Q72:R72"/>
    <mergeCell ref="BK71:BL71"/>
    <mergeCell ref="BM71:BN71"/>
    <mergeCell ref="S72:T72"/>
    <mergeCell ref="U72:V72"/>
    <mergeCell ref="W72:X72"/>
    <mergeCell ref="Y72:Z72"/>
    <mergeCell ref="AA72:AB72"/>
    <mergeCell ref="AC72:AD72"/>
    <mergeCell ref="AA71:AB71"/>
    <mergeCell ref="AC71:AD71"/>
    <mergeCell ref="BC72:BD72"/>
    <mergeCell ref="BE72:BF72"/>
    <mergeCell ref="BG72:BH72"/>
    <mergeCell ref="BI72:BJ72"/>
    <mergeCell ref="BK72:BL72"/>
    <mergeCell ref="BM72:BN72"/>
    <mergeCell ref="AQ72:AR72"/>
    <mergeCell ref="BQ69:BR69"/>
    <mergeCell ref="BS69:BT69"/>
    <mergeCell ref="AY69:AZ69"/>
    <mergeCell ref="BO70:BP70"/>
    <mergeCell ref="BQ70:BR70"/>
    <mergeCell ref="BS70:BT70"/>
    <mergeCell ref="BC70:BD70"/>
    <mergeCell ref="BE70:BF70"/>
    <mergeCell ref="BG70:BH70"/>
    <mergeCell ref="BI70:BJ70"/>
    <mergeCell ref="BK70:BL70"/>
    <mergeCell ref="BM70:BN70"/>
    <mergeCell ref="O71:P71"/>
    <mergeCell ref="Q71:R71"/>
    <mergeCell ref="S71:T71"/>
    <mergeCell ref="U71:V71"/>
    <mergeCell ref="W71:X71"/>
    <mergeCell ref="Y71:Z71"/>
    <mergeCell ref="O69:P69"/>
    <mergeCell ref="Q69:R69"/>
    <mergeCell ref="S69:T69"/>
    <mergeCell ref="U69:V69"/>
    <mergeCell ref="W69:X69"/>
    <mergeCell ref="Y69:Z69"/>
    <mergeCell ref="AQ70:AR70"/>
    <mergeCell ref="AS70:AT70"/>
    <mergeCell ref="AU70:AV70"/>
    <mergeCell ref="AW70:AX70"/>
    <mergeCell ref="AY70:AZ70"/>
    <mergeCell ref="BA70:BB70"/>
    <mergeCell ref="AE70:AF70"/>
    <mergeCell ref="AG70:AH70"/>
    <mergeCell ref="BI67:BJ67"/>
    <mergeCell ref="BK67:BL67"/>
    <mergeCell ref="BM67:BN67"/>
    <mergeCell ref="BO67:BP67"/>
    <mergeCell ref="BA69:BB69"/>
    <mergeCell ref="BC69:BD69"/>
    <mergeCell ref="BE69:BF69"/>
    <mergeCell ref="BG69:BH69"/>
    <mergeCell ref="BI69:BJ69"/>
    <mergeCell ref="AM69:AN69"/>
    <mergeCell ref="AO69:AP69"/>
    <mergeCell ref="AQ69:AR69"/>
    <mergeCell ref="AS69:AT69"/>
    <mergeCell ref="AU69:AV69"/>
    <mergeCell ref="AW69:AX69"/>
    <mergeCell ref="AA69:AB69"/>
    <mergeCell ref="AC69:AD69"/>
    <mergeCell ref="AE69:AF69"/>
    <mergeCell ref="AG69:AH69"/>
    <mergeCell ref="AI69:AJ69"/>
    <mergeCell ref="AK69:AL69"/>
    <mergeCell ref="BK69:BL69"/>
    <mergeCell ref="BM69:BN69"/>
    <mergeCell ref="BO69:BP69"/>
    <mergeCell ref="AA67:AB67"/>
    <mergeCell ref="AC67:AD67"/>
    <mergeCell ref="AE67:AF67"/>
    <mergeCell ref="AG67:AH67"/>
    <mergeCell ref="AI67:AJ67"/>
    <mergeCell ref="A68:A72"/>
    <mergeCell ref="C69:D69"/>
    <mergeCell ref="E69:F69"/>
    <mergeCell ref="G69:H69"/>
    <mergeCell ref="I69:J69"/>
    <mergeCell ref="K69:L69"/>
    <mergeCell ref="M69:N69"/>
    <mergeCell ref="Y70:Z70"/>
    <mergeCell ref="AA70:AB70"/>
    <mergeCell ref="AC70:AD70"/>
    <mergeCell ref="C70:D70"/>
    <mergeCell ref="E70:F70"/>
    <mergeCell ref="G70:H70"/>
    <mergeCell ref="I70:J70"/>
    <mergeCell ref="K70:L70"/>
    <mergeCell ref="M70:N70"/>
    <mergeCell ref="O70:P70"/>
    <mergeCell ref="Q70:R70"/>
    <mergeCell ref="C71:D71"/>
    <mergeCell ref="E71:F71"/>
    <mergeCell ref="G71:H71"/>
    <mergeCell ref="I71:J71"/>
    <mergeCell ref="K71:L71"/>
    <mergeCell ref="M71:N71"/>
    <mergeCell ref="M67:N67"/>
    <mergeCell ref="O67:P67"/>
    <mergeCell ref="Q67:R67"/>
    <mergeCell ref="S67:T67"/>
    <mergeCell ref="U67:V67"/>
    <mergeCell ref="W67:X67"/>
    <mergeCell ref="C67:D67"/>
    <mergeCell ref="E67:F67"/>
    <mergeCell ref="G67:H67"/>
    <mergeCell ref="I67:J67"/>
    <mergeCell ref="K67:L67"/>
    <mergeCell ref="BQ66:BR66"/>
    <mergeCell ref="BS66:BT66"/>
    <mergeCell ref="BE66:BF66"/>
    <mergeCell ref="BG66:BH66"/>
    <mergeCell ref="BI66:BJ66"/>
    <mergeCell ref="BK66:BL66"/>
    <mergeCell ref="BQ67:BR67"/>
    <mergeCell ref="BS67:BT67"/>
    <mergeCell ref="AW67:AX67"/>
    <mergeCell ref="AY67:AZ67"/>
    <mergeCell ref="BA67:BB67"/>
    <mergeCell ref="BC67:BD67"/>
    <mergeCell ref="BE67:BF67"/>
    <mergeCell ref="BG67:BH67"/>
    <mergeCell ref="AK67:AL67"/>
    <mergeCell ref="AM67:AN67"/>
    <mergeCell ref="AO67:AP67"/>
    <mergeCell ref="AQ67:AR67"/>
    <mergeCell ref="AS67:AT67"/>
    <mergeCell ref="AU67:AV67"/>
    <mergeCell ref="Y67:Z67"/>
    <mergeCell ref="BQ65:BR65"/>
    <mergeCell ref="BS65:BT65"/>
    <mergeCell ref="BA65:BB65"/>
    <mergeCell ref="BC65:BD65"/>
    <mergeCell ref="BE65:BF65"/>
    <mergeCell ref="BG65:BH65"/>
    <mergeCell ref="BM66:BN66"/>
    <mergeCell ref="BO66:BP66"/>
    <mergeCell ref="AS66:AT66"/>
    <mergeCell ref="AU66:AV66"/>
    <mergeCell ref="AW66:AX66"/>
    <mergeCell ref="AY66:AZ66"/>
    <mergeCell ref="BA66:BB66"/>
    <mergeCell ref="BC66:BD66"/>
    <mergeCell ref="AG66:AH66"/>
    <mergeCell ref="AI66:AJ66"/>
    <mergeCell ref="AK66:AL66"/>
    <mergeCell ref="AM66:AN66"/>
    <mergeCell ref="AO66:AP66"/>
    <mergeCell ref="AQ66:AR66"/>
    <mergeCell ref="Q65:R65"/>
    <mergeCell ref="S65:T65"/>
    <mergeCell ref="U65:V65"/>
    <mergeCell ref="W65:X65"/>
    <mergeCell ref="Y65:Z65"/>
    <mergeCell ref="AA65:AB65"/>
    <mergeCell ref="C66:D66"/>
    <mergeCell ref="E66:F66"/>
    <mergeCell ref="G66:H66"/>
    <mergeCell ref="I66:J66"/>
    <mergeCell ref="K66:L66"/>
    <mergeCell ref="M66:N66"/>
    <mergeCell ref="O66:P66"/>
    <mergeCell ref="Q66:R66"/>
    <mergeCell ref="S66:T66"/>
    <mergeCell ref="BM65:BN65"/>
    <mergeCell ref="BO65:BP65"/>
    <mergeCell ref="U66:V66"/>
    <mergeCell ref="W66:X66"/>
    <mergeCell ref="Y66:Z66"/>
    <mergeCell ref="AA66:AB66"/>
    <mergeCell ref="AC66:AD66"/>
    <mergeCell ref="AE66:AF66"/>
    <mergeCell ref="W64:X64"/>
    <mergeCell ref="C65:D65"/>
    <mergeCell ref="E65:F65"/>
    <mergeCell ref="G65:H65"/>
    <mergeCell ref="I65:J65"/>
    <mergeCell ref="K65:L65"/>
    <mergeCell ref="M65:N65"/>
    <mergeCell ref="O65:P65"/>
    <mergeCell ref="BI64:BJ64"/>
    <mergeCell ref="BK64:BL64"/>
    <mergeCell ref="BM64:BN64"/>
    <mergeCell ref="BO64:BP64"/>
    <mergeCell ref="BQ64:BR64"/>
    <mergeCell ref="BS64:BT64"/>
    <mergeCell ref="AW64:AX64"/>
    <mergeCell ref="AY64:AZ64"/>
    <mergeCell ref="BA64:BB64"/>
    <mergeCell ref="BC64:BD64"/>
    <mergeCell ref="BI65:BJ65"/>
    <mergeCell ref="BK65:BL65"/>
    <mergeCell ref="AO65:AP65"/>
    <mergeCell ref="AQ65:AR65"/>
    <mergeCell ref="AS65:AT65"/>
    <mergeCell ref="AU65:AV65"/>
    <mergeCell ref="AW65:AX65"/>
    <mergeCell ref="AY65:AZ65"/>
    <mergeCell ref="AC65:AD65"/>
    <mergeCell ref="AE65:AF65"/>
    <mergeCell ref="AG65:AH65"/>
    <mergeCell ref="AI65:AJ65"/>
    <mergeCell ref="AK65:AL65"/>
    <mergeCell ref="AM65:AN65"/>
    <mergeCell ref="BO62:BP62"/>
    <mergeCell ref="BQ62:BR62"/>
    <mergeCell ref="BS62:BT62"/>
    <mergeCell ref="BC62:BD62"/>
    <mergeCell ref="BE62:BF62"/>
    <mergeCell ref="BG62:BH62"/>
    <mergeCell ref="BI62:BJ62"/>
    <mergeCell ref="BK62:BL62"/>
    <mergeCell ref="BM62:BN62"/>
    <mergeCell ref="AQ62:AR62"/>
    <mergeCell ref="AS62:AT62"/>
    <mergeCell ref="BE64:BF64"/>
    <mergeCell ref="BG64:BH64"/>
    <mergeCell ref="AK64:AL64"/>
    <mergeCell ref="AM64:AN64"/>
    <mergeCell ref="AO64:AP64"/>
    <mergeCell ref="AQ64:AR64"/>
    <mergeCell ref="AS64:AT64"/>
    <mergeCell ref="AU64:AV64"/>
    <mergeCell ref="AA62:AB62"/>
    <mergeCell ref="AC62:AD62"/>
    <mergeCell ref="BI61:BJ61"/>
    <mergeCell ref="AM61:AN61"/>
    <mergeCell ref="AO61:AP61"/>
    <mergeCell ref="AQ61:AR61"/>
    <mergeCell ref="AS61:AT61"/>
    <mergeCell ref="AU61:AV61"/>
    <mergeCell ref="AW61:AX61"/>
    <mergeCell ref="AA61:AB61"/>
    <mergeCell ref="AC61:AD61"/>
    <mergeCell ref="AE61:AF61"/>
    <mergeCell ref="AG61:AH61"/>
    <mergeCell ref="AI61:AJ61"/>
    <mergeCell ref="AK61:AL61"/>
    <mergeCell ref="A63:A67"/>
    <mergeCell ref="C64:D64"/>
    <mergeCell ref="E64:F64"/>
    <mergeCell ref="G64:H64"/>
    <mergeCell ref="I64:J64"/>
    <mergeCell ref="K64:L64"/>
    <mergeCell ref="Y64:Z64"/>
    <mergeCell ref="AA64:AB64"/>
    <mergeCell ref="AC64:AD64"/>
    <mergeCell ref="AE64:AF64"/>
    <mergeCell ref="AG64:AH64"/>
    <mergeCell ref="AI64:AJ64"/>
    <mergeCell ref="M64:N64"/>
    <mergeCell ref="O64:P64"/>
    <mergeCell ref="Q64:R64"/>
    <mergeCell ref="S64:T64"/>
    <mergeCell ref="U64:V64"/>
    <mergeCell ref="C62:D62"/>
    <mergeCell ref="E62:F62"/>
    <mergeCell ref="G62:H62"/>
    <mergeCell ref="I62:J62"/>
    <mergeCell ref="K62:L62"/>
    <mergeCell ref="M62:N62"/>
    <mergeCell ref="O62:P62"/>
    <mergeCell ref="Q62:R62"/>
    <mergeCell ref="BK61:BL61"/>
    <mergeCell ref="BM61:BN61"/>
    <mergeCell ref="BO61:BP61"/>
    <mergeCell ref="BQ61:BR61"/>
    <mergeCell ref="BS61:BT61"/>
    <mergeCell ref="AY61:AZ61"/>
    <mergeCell ref="BA61:BB61"/>
    <mergeCell ref="BC61:BD61"/>
    <mergeCell ref="BE61:BF61"/>
    <mergeCell ref="BG61:BH61"/>
    <mergeCell ref="AU62:AV62"/>
    <mergeCell ref="AW62:AX62"/>
    <mergeCell ref="AY62:AZ62"/>
    <mergeCell ref="BA62:BB62"/>
    <mergeCell ref="AE62:AF62"/>
    <mergeCell ref="AG62:AH62"/>
    <mergeCell ref="AI62:AJ62"/>
    <mergeCell ref="AK62:AL62"/>
    <mergeCell ref="AM62:AN62"/>
    <mergeCell ref="AO62:AP62"/>
    <mergeCell ref="S62:T62"/>
    <mergeCell ref="U62:V62"/>
    <mergeCell ref="W62:X62"/>
    <mergeCell ref="Y62:Z62"/>
    <mergeCell ref="Y59:Z59"/>
    <mergeCell ref="I61:J61"/>
    <mergeCell ref="K61:L61"/>
    <mergeCell ref="M61:N61"/>
    <mergeCell ref="AQ60:AR60"/>
    <mergeCell ref="AS60:AT60"/>
    <mergeCell ref="AU60:AV60"/>
    <mergeCell ref="AW60:AX60"/>
    <mergeCell ref="AY60:AZ60"/>
    <mergeCell ref="BA60:BB60"/>
    <mergeCell ref="AE60:AF60"/>
    <mergeCell ref="AG60:AH60"/>
    <mergeCell ref="AI60:AJ60"/>
    <mergeCell ref="AK60:AL60"/>
    <mergeCell ref="AM60:AN60"/>
    <mergeCell ref="AO60:AP60"/>
    <mergeCell ref="S60:T60"/>
    <mergeCell ref="U60:V60"/>
    <mergeCell ref="W60:X60"/>
    <mergeCell ref="AC59:AD59"/>
    <mergeCell ref="AE59:AF59"/>
    <mergeCell ref="AG59:AH59"/>
    <mergeCell ref="AI59:AJ59"/>
    <mergeCell ref="AK59:AL59"/>
    <mergeCell ref="BK59:BL59"/>
    <mergeCell ref="BM59:BN59"/>
    <mergeCell ref="BO59:BP59"/>
    <mergeCell ref="AA57:AB57"/>
    <mergeCell ref="AC57:AD57"/>
    <mergeCell ref="AE57:AF57"/>
    <mergeCell ref="AG57:AH57"/>
    <mergeCell ref="AI57:AJ57"/>
    <mergeCell ref="BQ59:BR59"/>
    <mergeCell ref="BS59:BT59"/>
    <mergeCell ref="AY59:AZ59"/>
    <mergeCell ref="BO60:BP60"/>
    <mergeCell ref="BQ60:BR60"/>
    <mergeCell ref="BS60:BT60"/>
    <mergeCell ref="BC60:BD60"/>
    <mergeCell ref="BE60:BF60"/>
    <mergeCell ref="BG60:BH60"/>
    <mergeCell ref="BI60:BJ60"/>
    <mergeCell ref="BK60:BL60"/>
    <mergeCell ref="BM60:BN60"/>
    <mergeCell ref="BA59:BB59"/>
    <mergeCell ref="BC59:BD59"/>
    <mergeCell ref="BE59:BF59"/>
    <mergeCell ref="BG59:BH59"/>
    <mergeCell ref="BI59:BJ59"/>
    <mergeCell ref="AM59:AN59"/>
    <mergeCell ref="AO59:AP59"/>
    <mergeCell ref="AQ59:AR59"/>
    <mergeCell ref="AS59:AT59"/>
    <mergeCell ref="AU59:AV59"/>
    <mergeCell ref="AW59:AX59"/>
    <mergeCell ref="AA59:AB59"/>
    <mergeCell ref="A58:A62"/>
    <mergeCell ref="C59:D59"/>
    <mergeCell ref="E59:F59"/>
    <mergeCell ref="G59:H59"/>
    <mergeCell ref="I59:J59"/>
    <mergeCell ref="K59:L59"/>
    <mergeCell ref="M59:N59"/>
    <mergeCell ref="Y60:Z60"/>
    <mergeCell ref="AA60:AB60"/>
    <mergeCell ref="AC60:AD60"/>
    <mergeCell ref="C60:D60"/>
    <mergeCell ref="E60:F60"/>
    <mergeCell ref="G60:H60"/>
    <mergeCell ref="I60:J60"/>
    <mergeCell ref="K60:L60"/>
    <mergeCell ref="M60:N60"/>
    <mergeCell ref="O60:P60"/>
    <mergeCell ref="Q60:R60"/>
    <mergeCell ref="C61:D61"/>
    <mergeCell ref="E61:F61"/>
    <mergeCell ref="G61:H61"/>
    <mergeCell ref="O61:P61"/>
    <mergeCell ref="Q61:R61"/>
    <mergeCell ref="S61:T61"/>
    <mergeCell ref="U61:V61"/>
    <mergeCell ref="W61:X61"/>
    <mergeCell ref="Y61:Z61"/>
    <mergeCell ref="O59:P59"/>
    <mergeCell ref="Q59:R59"/>
    <mergeCell ref="S59:T59"/>
    <mergeCell ref="U59:V59"/>
    <mergeCell ref="W59:X59"/>
    <mergeCell ref="C57:D57"/>
    <mergeCell ref="E57:F57"/>
    <mergeCell ref="G57:H57"/>
    <mergeCell ref="I57:J57"/>
    <mergeCell ref="K57:L57"/>
    <mergeCell ref="BQ56:BR56"/>
    <mergeCell ref="BS56:BT56"/>
    <mergeCell ref="BE56:BF56"/>
    <mergeCell ref="BG56:BH56"/>
    <mergeCell ref="BI56:BJ56"/>
    <mergeCell ref="BK56:BL56"/>
    <mergeCell ref="BQ57:BR57"/>
    <mergeCell ref="BS57:BT57"/>
    <mergeCell ref="AW57:AX57"/>
    <mergeCell ref="AY57:AZ57"/>
    <mergeCell ref="BA57:BB57"/>
    <mergeCell ref="BC57:BD57"/>
    <mergeCell ref="BE57:BF57"/>
    <mergeCell ref="BG57:BH57"/>
    <mergeCell ref="AK57:AL57"/>
    <mergeCell ref="AM57:AN57"/>
    <mergeCell ref="AO57:AP57"/>
    <mergeCell ref="AQ57:AR57"/>
    <mergeCell ref="AS57:AT57"/>
    <mergeCell ref="AU57:AV57"/>
    <mergeCell ref="Y57:Z57"/>
    <mergeCell ref="BI57:BJ57"/>
    <mergeCell ref="BK57:BL57"/>
    <mergeCell ref="BM57:BN57"/>
    <mergeCell ref="BO57:BP57"/>
    <mergeCell ref="BM56:BN56"/>
    <mergeCell ref="BO56:BP56"/>
    <mergeCell ref="AS56:AT56"/>
    <mergeCell ref="AU56:AV56"/>
    <mergeCell ref="AW56:AX56"/>
    <mergeCell ref="AY56:AZ56"/>
    <mergeCell ref="BA56:BB56"/>
    <mergeCell ref="BC56:BD56"/>
    <mergeCell ref="AG56:AH56"/>
    <mergeCell ref="AI56:AJ56"/>
    <mergeCell ref="AK56:AL56"/>
    <mergeCell ref="AM56:AN56"/>
    <mergeCell ref="AO56:AP56"/>
    <mergeCell ref="AQ56:AR56"/>
    <mergeCell ref="M57:N57"/>
    <mergeCell ref="O57:P57"/>
    <mergeCell ref="Q57:R57"/>
    <mergeCell ref="S57:T57"/>
    <mergeCell ref="U57:V57"/>
    <mergeCell ref="W57:X57"/>
    <mergeCell ref="BI54:BJ54"/>
    <mergeCell ref="BK54:BL54"/>
    <mergeCell ref="BM54:BN54"/>
    <mergeCell ref="BO54:BP54"/>
    <mergeCell ref="BQ54:BR54"/>
    <mergeCell ref="BS54:BT54"/>
    <mergeCell ref="AW54:AX54"/>
    <mergeCell ref="AY54:AZ54"/>
    <mergeCell ref="BA54:BB54"/>
    <mergeCell ref="BC54:BD54"/>
    <mergeCell ref="BI55:BJ55"/>
    <mergeCell ref="BK55:BL55"/>
    <mergeCell ref="AO55:AP55"/>
    <mergeCell ref="AQ55:AR55"/>
    <mergeCell ref="AS55:AT55"/>
    <mergeCell ref="AU55:AV55"/>
    <mergeCell ref="AW55:AX55"/>
    <mergeCell ref="AY55:AZ55"/>
    <mergeCell ref="BM55:BN55"/>
    <mergeCell ref="BO55:BP55"/>
    <mergeCell ref="BQ55:BR55"/>
    <mergeCell ref="BS55:BT55"/>
    <mergeCell ref="BA55:BB55"/>
    <mergeCell ref="BC55:BD55"/>
    <mergeCell ref="BE55:BF55"/>
    <mergeCell ref="BG55:BH55"/>
    <mergeCell ref="AS52:AT52"/>
    <mergeCell ref="BE54:BF54"/>
    <mergeCell ref="BG54:BH54"/>
    <mergeCell ref="AK54:AL54"/>
    <mergeCell ref="AM54:AN54"/>
    <mergeCell ref="AO54:AP54"/>
    <mergeCell ref="AQ54:AR54"/>
    <mergeCell ref="AS54:AT54"/>
    <mergeCell ref="AU54:AV54"/>
    <mergeCell ref="W54:X54"/>
    <mergeCell ref="C55:D55"/>
    <mergeCell ref="E55:F55"/>
    <mergeCell ref="G55:H55"/>
    <mergeCell ref="I55:J55"/>
    <mergeCell ref="K55:L55"/>
    <mergeCell ref="M55:N55"/>
    <mergeCell ref="O55:P55"/>
    <mergeCell ref="AC55:AD55"/>
    <mergeCell ref="AE55:AF55"/>
    <mergeCell ref="AG55:AH55"/>
    <mergeCell ref="AI55:AJ55"/>
    <mergeCell ref="AK55:AL55"/>
    <mergeCell ref="AM55:AN55"/>
    <mergeCell ref="Q55:R55"/>
    <mergeCell ref="S55:T55"/>
    <mergeCell ref="U55:V55"/>
    <mergeCell ref="W55:X55"/>
    <mergeCell ref="Y55:Z55"/>
    <mergeCell ref="AA55:AB55"/>
    <mergeCell ref="A53:A57"/>
    <mergeCell ref="C54:D54"/>
    <mergeCell ref="E54:F54"/>
    <mergeCell ref="G54:H54"/>
    <mergeCell ref="I54:J54"/>
    <mergeCell ref="K54:L54"/>
    <mergeCell ref="Y54:Z54"/>
    <mergeCell ref="AA54:AB54"/>
    <mergeCell ref="AC54:AD54"/>
    <mergeCell ref="AE54:AF54"/>
    <mergeCell ref="AG54:AH54"/>
    <mergeCell ref="AI54:AJ54"/>
    <mergeCell ref="M54:N54"/>
    <mergeCell ref="O54:P54"/>
    <mergeCell ref="Q54:R54"/>
    <mergeCell ref="S54:T54"/>
    <mergeCell ref="U54:V54"/>
    <mergeCell ref="C56:D56"/>
    <mergeCell ref="E56:F56"/>
    <mergeCell ref="G56:H56"/>
    <mergeCell ref="I56:J56"/>
    <mergeCell ref="K56:L56"/>
    <mergeCell ref="M56:N56"/>
    <mergeCell ref="O56:P56"/>
    <mergeCell ref="Q56:R56"/>
    <mergeCell ref="S56:T56"/>
    <mergeCell ref="U56:V56"/>
    <mergeCell ref="W56:X56"/>
    <mergeCell ref="Y56:Z56"/>
    <mergeCell ref="AA56:AB56"/>
    <mergeCell ref="AC56:AD56"/>
    <mergeCell ref="AE56:AF56"/>
    <mergeCell ref="BO51:BP51"/>
    <mergeCell ref="BQ51:BR51"/>
    <mergeCell ref="BS51:BT51"/>
    <mergeCell ref="AY51:AZ51"/>
    <mergeCell ref="BA51:BB51"/>
    <mergeCell ref="BC51:BD51"/>
    <mergeCell ref="BE51:BF51"/>
    <mergeCell ref="BG51:BH51"/>
    <mergeCell ref="AU52:AV52"/>
    <mergeCell ref="AW52:AX52"/>
    <mergeCell ref="AY52:AZ52"/>
    <mergeCell ref="BA52:BB52"/>
    <mergeCell ref="AE52:AF52"/>
    <mergeCell ref="AG52:AH52"/>
    <mergeCell ref="AI52:AJ52"/>
    <mergeCell ref="AK52:AL52"/>
    <mergeCell ref="AM52:AN52"/>
    <mergeCell ref="AO52:AP52"/>
    <mergeCell ref="BI51:BJ51"/>
    <mergeCell ref="AM51:AN51"/>
    <mergeCell ref="AO51:AP51"/>
    <mergeCell ref="AQ51:AR51"/>
    <mergeCell ref="AS51:AT51"/>
    <mergeCell ref="AU51:AV51"/>
    <mergeCell ref="AW51:AX51"/>
    <mergeCell ref="AE51:AF51"/>
    <mergeCell ref="AG51:AH51"/>
    <mergeCell ref="AI51:AJ51"/>
    <mergeCell ref="AK51:AL51"/>
    <mergeCell ref="BO52:BP52"/>
    <mergeCell ref="BQ52:BR52"/>
    <mergeCell ref="BS52:BT52"/>
    <mergeCell ref="AI50:AJ50"/>
    <mergeCell ref="AK50:AL50"/>
    <mergeCell ref="AM50:AN50"/>
    <mergeCell ref="AO50:AP50"/>
    <mergeCell ref="S50:T50"/>
    <mergeCell ref="U50:V50"/>
    <mergeCell ref="W50:X50"/>
    <mergeCell ref="C52:D52"/>
    <mergeCell ref="E52:F52"/>
    <mergeCell ref="G52:H52"/>
    <mergeCell ref="I52:J52"/>
    <mergeCell ref="K52:L52"/>
    <mergeCell ref="M52:N52"/>
    <mergeCell ref="O52:P52"/>
    <mergeCell ref="Q52:R52"/>
    <mergeCell ref="BK51:BL51"/>
    <mergeCell ref="BM51:BN51"/>
    <mergeCell ref="S52:T52"/>
    <mergeCell ref="U52:V52"/>
    <mergeCell ref="W52:X52"/>
    <mergeCell ref="Y52:Z52"/>
    <mergeCell ref="AA52:AB52"/>
    <mergeCell ref="AC52:AD52"/>
    <mergeCell ref="AA51:AB51"/>
    <mergeCell ref="AC51:AD51"/>
    <mergeCell ref="BC52:BD52"/>
    <mergeCell ref="BE52:BF52"/>
    <mergeCell ref="BG52:BH52"/>
    <mergeCell ref="BI52:BJ52"/>
    <mergeCell ref="BK52:BL52"/>
    <mergeCell ref="BM52:BN52"/>
    <mergeCell ref="AQ52:AR52"/>
    <mergeCell ref="BQ49:BR49"/>
    <mergeCell ref="BS49:BT49"/>
    <mergeCell ref="AY49:AZ49"/>
    <mergeCell ref="BO50:BP50"/>
    <mergeCell ref="BQ50:BR50"/>
    <mergeCell ref="BS50:BT50"/>
    <mergeCell ref="BC50:BD50"/>
    <mergeCell ref="BE50:BF50"/>
    <mergeCell ref="BG50:BH50"/>
    <mergeCell ref="BI50:BJ50"/>
    <mergeCell ref="BK50:BL50"/>
    <mergeCell ref="BM50:BN50"/>
    <mergeCell ref="O51:P51"/>
    <mergeCell ref="Q51:R51"/>
    <mergeCell ref="S51:T51"/>
    <mergeCell ref="U51:V51"/>
    <mergeCell ref="W51:X51"/>
    <mergeCell ref="Y51:Z51"/>
    <mergeCell ref="O49:P49"/>
    <mergeCell ref="Q49:R49"/>
    <mergeCell ref="S49:T49"/>
    <mergeCell ref="U49:V49"/>
    <mergeCell ref="W49:X49"/>
    <mergeCell ref="Y49:Z49"/>
    <mergeCell ref="AQ50:AR50"/>
    <mergeCell ref="AS50:AT50"/>
    <mergeCell ref="AU50:AV50"/>
    <mergeCell ref="AW50:AX50"/>
    <mergeCell ref="AY50:AZ50"/>
    <mergeCell ref="BA50:BB50"/>
    <mergeCell ref="AE50:AF50"/>
    <mergeCell ref="AG50:AH50"/>
    <mergeCell ref="BI47:BJ47"/>
    <mergeCell ref="BK47:BL47"/>
    <mergeCell ref="BM47:BN47"/>
    <mergeCell ref="BO47:BP47"/>
    <mergeCell ref="BA49:BB49"/>
    <mergeCell ref="BC49:BD49"/>
    <mergeCell ref="BE49:BF49"/>
    <mergeCell ref="BG49:BH49"/>
    <mergeCell ref="BI49:BJ49"/>
    <mergeCell ref="AM49:AN49"/>
    <mergeCell ref="AO49:AP49"/>
    <mergeCell ref="AQ49:AR49"/>
    <mergeCell ref="AS49:AT49"/>
    <mergeCell ref="AU49:AV49"/>
    <mergeCell ref="AW49:AX49"/>
    <mergeCell ref="AA49:AB49"/>
    <mergeCell ref="AC49:AD49"/>
    <mergeCell ref="AE49:AF49"/>
    <mergeCell ref="AG49:AH49"/>
    <mergeCell ref="AI49:AJ49"/>
    <mergeCell ref="AK49:AL49"/>
    <mergeCell ref="BK49:BL49"/>
    <mergeCell ref="BM49:BN49"/>
    <mergeCell ref="BO49:BP49"/>
    <mergeCell ref="AA47:AB47"/>
    <mergeCell ref="AC47:AD47"/>
    <mergeCell ref="AE47:AF47"/>
    <mergeCell ref="AG47:AH47"/>
    <mergeCell ref="AI47:AJ47"/>
    <mergeCell ref="A48:A52"/>
    <mergeCell ref="C49:D49"/>
    <mergeCell ref="E49:F49"/>
    <mergeCell ref="G49:H49"/>
    <mergeCell ref="I49:J49"/>
    <mergeCell ref="K49:L49"/>
    <mergeCell ref="M49:N49"/>
    <mergeCell ref="Y50:Z50"/>
    <mergeCell ref="AA50:AB50"/>
    <mergeCell ref="AC50:AD50"/>
    <mergeCell ref="C50:D50"/>
    <mergeCell ref="E50:F50"/>
    <mergeCell ref="G50:H50"/>
    <mergeCell ref="I50:J50"/>
    <mergeCell ref="K50:L50"/>
    <mergeCell ref="M50:N50"/>
    <mergeCell ref="O50:P50"/>
    <mergeCell ref="Q50:R50"/>
    <mergeCell ref="C51:D51"/>
    <mergeCell ref="E51:F51"/>
    <mergeCell ref="G51:H51"/>
    <mergeCell ref="I51:J51"/>
    <mergeCell ref="K51:L51"/>
    <mergeCell ref="M51:N51"/>
    <mergeCell ref="M47:N47"/>
    <mergeCell ref="O47:P47"/>
    <mergeCell ref="Q47:R47"/>
    <mergeCell ref="S47:T47"/>
    <mergeCell ref="U47:V47"/>
    <mergeCell ref="W47:X47"/>
    <mergeCell ref="C47:D47"/>
    <mergeCell ref="E47:F47"/>
    <mergeCell ref="G47:H47"/>
    <mergeCell ref="I47:J47"/>
    <mergeCell ref="K47:L47"/>
    <mergeCell ref="BQ46:BR46"/>
    <mergeCell ref="BS46:BT46"/>
    <mergeCell ref="BE46:BF46"/>
    <mergeCell ref="BG46:BH46"/>
    <mergeCell ref="BI46:BJ46"/>
    <mergeCell ref="BK46:BL46"/>
    <mergeCell ref="BQ47:BR47"/>
    <mergeCell ref="BS47:BT47"/>
    <mergeCell ref="AW47:AX47"/>
    <mergeCell ref="AY47:AZ47"/>
    <mergeCell ref="BA47:BB47"/>
    <mergeCell ref="BC47:BD47"/>
    <mergeCell ref="BE47:BF47"/>
    <mergeCell ref="BG47:BH47"/>
    <mergeCell ref="AK47:AL47"/>
    <mergeCell ref="AM47:AN47"/>
    <mergeCell ref="AO47:AP47"/>
    <mergeCell ref="AQ47:AR47"/>
    <mergeCell ref="AS47:AT47"/>
    <mergeCell ref="AU47:AV47"/>
    <mergeCell ref="Y47:Z47"/>
    <mergeCell ref="BQ45:BR45"/>
    <mergeCell ref="BS45:BT45"/>
    <mergeCell ref="BA45:BB45"/>
    <mergeCell ref="BC45:BD45"/>
    <mergeCell ref="BE45:BF45"/>
    <mergeCell ref="BG45:BH45"/>
    <mergeCell ref="BM46:BN46"/>
    <mergeCell ref="BO46:BP46"/>
    <mergeCell ref="AS46:AT46"/>
    <mergeCell ref="AU46:AV46"/>
    <mergeCell ref="AW46:AX46"/>
    <mergeCell ref="AY46:AZ46"/>
    <mergeCell ref="BA46:BB46"/>
    <mergeCell ref="BC46:BD46"/>
    <mergeCell ref="AG46:AH46"/>
    <mergeCell ref="AI46:AJ46"/>
    <mergeCell ref="AK46:AL46"/>
    <mergeCell ref="AM46:AN46"/>
    <mergeCell ref="AO46:AP46"/>
    <mergeCell ref="AQ46:AR46"/>
    <mergeCell ref="Q45:R45"/>
    <mergeCell ref="S45:T45"/>
    <mergeCell ref="U45:V45"/>
    <mergeCell ref="W45:X45"/>
    <mergeCell ref="Y45:Z45"/>
    <mergeCell ref="AA45:AB45"/>
    <mergeCell ref="C46:D46"/>
    <mergeCell ref="E46:F46"/>
    <mergeCell ref="G46:H46"/>
    <mergeCell ref="I46:J46"/>
    <mergeCell ref="K46:L46"/>
    <mergeCell ref="M46:N46"/>
    <mergeCell ref="O46:P46"/>
    <mergeCell ref="Q46:R46"/>
    <mergeCell ref="S46:T46"/>
    <mergeCell ref="BM45:BN45"/>
    <mergeCell ref="BO45:BP45"/>
    <mergeCell ref="U46:V46"/>
    <mergeCell ref="W46:X46"/>
    <mergeCell ref="Y46:Z46"/>
    <mergeCell ref="AA46:AB46"/>
    <mergeCell ref="AC46:AD46"/>
    <mergeCell ref="AE46:AF46"/>
    <mergeCell ref="W44:X44"/>
    <mergeCell ref="C45:D45"/>
    <mergeCell ref="E45:F45"/>
    <mergeCell ref="G45:H45"/>
    <mergeCell ref="I45:J45"/>
    <mergeCell ref="K45:L45"/>
    <mergeCell ref="M45:N45"/>
    <mergeCell ref="O45:P45"/>
    <mergeCell ref="BI44:BJ44"/>
    <mergeCell ref="BK44:BL44"/>
    <mergeCell ref="BM44:BN44"/>
    <mergeCell ref="BO44:BP44"/>
    <mergeCell ref="BQ44:BR44"/>
    <mergeCell ref="BS44:BT44"/>
    <mergeCell ref="AW44:AX44"/>
    <mergeCell ref="AY44:AZ44"/>
    <mergeCell ref="BA44:BB44"/>
    <mergeCell ref="BC44:BD44"/>
    <mergeCell ref="BI45:BJ45"/>
    <mergeCell ref="BK45:BL45"/>
    <mergeCell ref="AO45:AP45"/>
    <mergeCell ref="AQ45:AR45"/>
    <mergeCell ref="AS45:AT45"/>
    <mergeCell ref="AU45:AV45"/>
    <mergeCell ref="AW45:AX45"/>
    <mergeCell ref="AY45:AZ45"/>
    <mergeCell ref="AC45:AD45"/>
    <mergeCell ref="AE45:AF45"/>
    <mergeCell ref="AG45:AH45"/>
    <mergeCell ref="AI45:AJ45"/>
    <mergeCell ref="AK45:AL45"/>
    <mergeCell ref="AM45:AN45"/>
    <mergeCell ref="BO42:BP42"/>
    <mergeCell ref="BQ42:BR42"/>
    <mergeCell ref="BS42:BT42"/>
    <mergeCell ref="BC42:BD42"/>
    <mergeCell ref="BE42:BF42"/>
    <mergeCell ref="BG42:BH42"/>
    <mergeCell ref="BI42:BJ42"/>
    <mergeCell ref="BK42:BL42"/>
    <mergeCell ref="BM42:BN42"/>
    <mergeCell ref="AQ42:AR42"/>
    <mergeCell ref="AS42:AT42"/>
    <mergeCell ref="BE44:BF44"/>
    <mergeCell ref="BG44:BH44"/>
    <mergeCell ref="AK44:AL44"/>
    <mergeCell ref="AM44:AN44"/>
    <mergeCell ref="AO44:AP44"/>
    <mergeCell ref="AQ44:AR44"/>
    <mergeCell ref="AS44:AT44"/>
    <mergeCell ref="AU44:AV44"/>
    <mergeCell ref="AA42:AB42"/>
    <mergeCell ref="AC42:AD42"/>
    <mergeCell ref="BI41:BJ41"/>
    <mergeCell ref="AM41:AN41"/>
    <mergeCell ref="AO41:AP41"/>
    <mergeCell ref="AQ41:AR41"/>
    <mergeCell ref="AS41:AT41"/>
    <mergeCell ref="AU41:AV41"/>
    <mergeCell ref="AW41:AX41"/>
    <mergeCell ref="AA41:AB41"/>
    <mergeCell ref="AC41:AD41"/>
    <mergeCell ref="AE41:AF41"/>
    <mergeCell ref="AG41:AH41"/>
    <mergeCell ref="AI41:AJ41"/>
    <mergeCell ref="AK41:AL41"/>
    <mergeCell ref="A43:A47"/>
    <mergeCell ref="C44:D44"/>
    <mergeCell ref="E44:F44"/>
    <mergeCell ref="G44:H44"/>
    <mergeCell ref="I44:J44"/>
    <mergeCell ref="K44:L44"/>
    <mergeCell ref="Y44:Z44"/>
    <mergeCell ref="AA44:AB44"/>
    <mergeCell ref="AC44:AD44"/>
    <mergeCell ref="AE44:AF44"/>
    <mergeCell ref="AG44:AH44"/>
    <mergeCell ref="AI44:AJ44"/>
    <mergeCell ref="M44:N44"/>
    <mergeCell ref="O44:P44"/>
    <mergeCell ref="Q44:R44"/>
    <mergeCell ref="S44:T44"/>
    <mergeCell ref="U44:V44"/>
    <mergeCell ref="C42:D42"/>
    <mergeCell ref="E42:F42"/>
    <mergeCell ref="G42:H42"/>
    <mergeCell ref="I42:J42"/>
    <mergeCell ref="K42:L42"/>
    <mergeCell ref="M42:N42"/>
    <mergeCell ref="O42:P42"/>
    <mergeCell ref="Q42:R42"/>
    <mergeCell ref="BK41:BL41"/>
    <mergeCell ref="BM41:BN41"/>
    <mergeCell ref="BO41:BP41"/>
    <mergeCell ref="BQ41:BR41"/>
    <mergeCell ref="BS41:BT41"/>
    <mergeCell ref="AY41:AZ41"/>
    <mergeCell ref="BA41:BB41"/>
    <mergeCell ref="BC41:BD41"/>
    <mergeCell ref="BE41:BF41"/>
    <mergeCell ref="BG41:BH41"/>
    <mergeCell ref="AU42:AV42"/>
    <mergeCell ref="AW42:AX42"/>
    <mergeCell ref="AY42:AZ42"/>
    <mergeCell ref="BA42:BB42"/>
    <mergeCell ref="AE42:AF42"/>
    <mergeCell ref="AG42:AH42"/>
    <mergeCell ref="AI42:AJ42"/>
    <mergeCell ref="AK42:AL42"/>
    <mergeCell ref="AM42:AN42"/>
    <mergeCell ref="AO42:AP42"/>
    <mergeCell ref="S42:T42"/>
    <mergeCell ref="U42:V42"/>
    <mergeCell ref="W42:X42"/>
    <mergeCell ref="Y42:Z42"/>
    <mergeCell ref="Y39:Z39"/>
    <mergeCell ref="I41:J41"/>
    <mergeCell ref="K41:L41"/>
    <mergeCell ref="M41:N41"/>
    <mergeCell ref="AQ40:AR40"/>
    <mergeCell ref="AS40:AT40"/>
    <mergeCell ref="AU40:AV40"/>
    <mergeCell ref="AW40:AX40"/>
    <mergeCell ref="AY40:AZ40"/>
    <mergeCell ref="BA40:BB40"/>
    <mergeCell ref="AE40:AF40"/>
    <mergeCell ref="AG40:AH40"/>
    <mergeCell ref="AI40:AJ40"/>
    <mergeCell ref="AK40:AL40"/>
    <mergeCell ref="AM40:AN40"/>
    <mergeCell ref="AO40:AP40"/>
    <mergeCell ref="S40:T40"/>
    <mergeCell ref="U40:V40"/>
    <mergeCell ref="W40:X40"/>
    <mergeCell ref="AC39:AD39"/>
    <mergeCell ref="AE39:AF39"/>
    <mergeCell ref="AG39:AH39"/>
    <mergeCell ref="AI39:AJ39"/>
    <mergeCell ref="AK39:AL39"/>
    <mergeCell ref="BK39:BL39"/>
    <mergeCell ref="BM39:BN39"/>
    <mergeCell ref="BO39:BP39"/>
    <mergeCell ref="AA37:AB37"/>
    <mergeCell ref="AC37:AD37"/>
    <mergeCell ref="AE37:AF37"/>
    <mergeCell ref="AG37:AH37"/>
    <mergeCell ref="AI37:AJ37"/>
    <mergeCell ref="BQ39:BR39"/>
    <mergeCell ref="BS39:BT39"/>
    <mergeCell ref="AY39:AZ39"/>
    <mergeCell ref="BO40:BP40"/>
    <mergeCell ref="BQ40:BR40"/>
    <mergeCell ref="BS40:BT40"/>
    <mergeCell ref="BC40:BD40"/>
    <mergeCell ref="BE40:BF40"/>
    <mergeCell ref="BG40:BH40"/>
    <mergeCell ref="BI40:BJ40"/>
    <mergeCell ref="BK40:BL40"/>
    <mergeCell ref="BM40:BN40"/>
    <mergeCell ref="BA39:BB39"/>
    <mergeCell ref="BC39:BD39"/>
    <mergeCell ref="BE39:BF39"/>
    <mergeCell ref="BG39:BH39"/>
    <mergeCell ref="BI39:BJ39"/>
    <mergeCell ref="AM39:AN39"/>
    <mergeCell ref="AO39:AP39"/>
    <mergeCell ref="AQ39:AR39"/>
    <mergeCell ref="AS39:AT39"/>
    <mergeCell ref="AU39:AV39"/>
    <mergeCell ref="AW39:AX39"/>
    <mergeCell ref="AA39:AB39"/>
    <mergeCell ref="A38:A42"/>
    <mergeCell ref="C39:D39"/>
    <mergeCell ref="E39:F39"/>
    <mergeCell ref="G39:H39"/>
    <mergeCell ref="I39:J39"/>
    <mergeCell ref="K39:L39"/>
    <mergeCell ref="M39:N39"/>
    <mergeCell ref="Y40:Z40"/>
    <mergeCell ref="AA40:AB40"/>
    <mergeCell ref="AC40:AD40"/>
    <mergeCell ref="C40:D40"/>
    <mergeCell ref="E40:F40"/>
    <mergeCell ref="G40:H40"/>
    <mergeCell ref="I40:J40"/>
    <mergeCell ref="K40:L40"/>
    <mergeCell ref="M40:N40"/>
    <mergeCell ref="O40:P40"/>
    <mergeCell ref="Q40:R40"/>
    <mergeCell ref="C41:D41"/>
    <mergeCell ref="E41:F41"/>
    <mergeCell ref="G41:H41"/>
    <mergeCell ref="O41:P41"/>
    <mergeCell ref="Q41:R41"/>
    <mergeCell ref="S41:T41"/>
    <mergeCell ref="U41:V41"/>
    <mergeCell ref="W41:X41"/>
    <mergeCell ref="Y41:Z41"/>
    <mergeCell ref="O39:P39"/>
    <mergeCell ref="Q39:R39"/>
    <mergeCell ref="S39:T39"/>
    <mergeCell ref="U39:V39"/>
    <mergeCell ref="W39:X39"/>
    <mergeCell ref="C37:D37"/>
    <mergeCell ref="E37:F37"/>
    <mergeCell ref="G37:H37"/>
    <mergeCell ref="I37:J37"/>
    <mergeCell ref="K37:L37"/>
    <mergeCell ref="BQ36:BR36"/>
    <mergeCell ref="BS36:BT36"/>
    <mergeCell ref="BE36:BF36"/>
    <mergeCell ref="BG36:BH36"/>
    <mergeCell ref="BI36:BJ36"/>
    <mergeCell ref="BK36:BL36"/>
    <mergeCell ref="BQ37:BR37"/>
    <mergeCell ref="BS37:BT37"/>
    <mergeCell ref="AW37:AX37"/>
    <mergeCell ref="AY37:AZ37"/>
    <mergeCell ref="BA37:BB37"/>
    <mergeCell ref="BC37:BD37"/>
    <mergeCell ref="BE37:BF37"/>
    <mergeCell ref="BG37:BH37"/>
    <mergeCell ref="AK37:AL37"/>
    <mergeCell ref="AM37:AN37"/>
    <mergeCell ref="AO37:AP37"/>
    <mergeCell ref="AQ37:AR37"/>
    <mergeCell ref="AS37:AT37"/>
    <mergeCell ref="AU37:AV37"/>
    <mergeCell ref="Y37:Z37"/>
    <mergeCell ref="BI37:BJ37"/>
    <mergeCell ref="BK37:BL37"/>
    <mergeCell ref="BM37:BN37"/>
    <mergeCell ref="BO37:BP37"/>
    <mergeCell ref="BM36:BN36"/>
    <mergeCell ref="BO36:BP36"/>
    <mergeCell ref="AS36:AT36"/>
    <mergeCell ref="AU36:AV36"/>
    <mergeCell ref="AW36:AX36"/>
    <mergeCell ref="AY36:AZ36"/>
    <mergeCell ref="BA36:BB36"/>
    <mergeCell ref="BC36:BD36"/>
    <mergeCell ref="AG36:AH36"/>
    <mergeCell ref="AI36:AJ36"/>
    <mergeCell ref="AK36:AL36"/>
    <mergeCell ref="AM36:AN36"/>
    <mergeCell ref="AO36:AP36"/>
    <mergeCell ref="AQ36:AR36"/>
    <mergeCell ref="M37:N37"/>
    <mergeCell ref="O37:P37"/>
    <mergeCell ref="Q37:R37"/>
    <mergeCell ref="S37:T37"/>
    <mergeCell ref="U37:V37"/>
    <mergeCell ref="W37:X37"/>
    <mergeCell ref="BI34:BJ34"/>
    <mergeCell ref="BK34:BL34"/>
    <mergeCell ref="BM34:BN34"/>
    <mergeCell ref="BO34:BP34"/>
    <mergeCell ref="BQ34:BR34"/>
    <mergeCell ref="BS34:BT34"/>
    <mergeCell ref="AW34:AX34"/>
    <mergeCell ref="AY34:AZ34"/>
    <mergeCell ref="BA34:BB34"/>
    <mergeCell ref="BC34:BD34"/>
    <mergeCell ref="BI35:BJ35"/>
    <mergeCell ref="BK35:BL35"/>
    <mergeCell ref="AO35:AP35"/>
    <mergeCell ref="AQ35:AR35"/>
    <mergeCell ref="AS35:AT35"/>
    <mergeCell ref="AU35:AV35"/>
    <mergeCell ref="AW35:AX35"/>
    <mergeCell ref="AY35:AZ35"/>
    <mergeCell ref="BM35:BN35"/>
    <mergeCell ref="BO35:BP35"/>
    <mergeCell ref="BQ35:BR35"/>
    <mergeCell ref="BS35:BT35"/>
    <mergeCell ref="BA35:BB35"/>
    <mergeCell ref="BC35:BD35"/>
    <mergeCell ref="BE35:BF35"/>
    <mergeCell ref="BG35:BH35"/>
    <mergeCell ref="AS32:AT32"/>
    <mergeCell ref="BE34:BF34"/>
    <mergeCell ref="BG34:BH34"/>
    <mergeCell ref="AK34:AL34"/>
    <mergeCell ref="AM34:AN34"/>
    <mergeCell ref="AO34:AP34"/>
    <mergeCell ref="AQ34:AR34"/>
    <mergeCell ref="AS34:AT34"/>
    <mergeCell ref="AU34:AV34"/>
    <mergeCell ref="W34:X34"/>
    <mergeCell ref="C35:D35"/>
    <mergeCell ref="E35:F35"/>
    <mergeCell ref="G35:H35"/>
    <mergeCell ref="I35:J35"/>
    <mergeCell ref="K35:L35"/>
    <mergeCell ref="M35:N35"/>
    <mergeCell ref="O35:P35"/>
    <mergeCell ref="AC35:AD35"/>
    <mergeCell ref="AE35:AF35"/>
    <mergeCell ref="AG35:AH35"/>
    <mergeCell ref="AI35:AJ35"/>
    <mergeCell ref="AK35:AL35"/>
    <mergeCell ref="AM35:AN35"/>
    <mergeCell ref="Q35:R35"/>
    <mergeCell ref="S35:T35"/>
    <mergeCell ref="U35:V35"/>
    <mergeCell ref="W35:X35"/>
    <mergeCell ref="Y35:Z35"/>
    <mergeCell ref="AA35:AB35"/>
    <mergeCell ref="A33:A37"/>
    <mergeCell ref="C34:D34"/>
    <mergeCell ref="E34:F34"/>
    <mergeCell ref="G34:H34"/>
    <mergeCell ref="I34:J34"/>
    <mergeCell ref="K34:L34"/>
    <mergeCell ref="Y34:Z34"/>
    <mergeCell ref="AA34:AB34"/>
    <mergeCell ref="AC34:AD34"/>
    <mergeCell ref="AE34:AF34"/>
    <mergeCell ref="AG34:AH34"/>
    <mergeCell ref="AI34:AJ34"/>
    <mergeCell ref="M34:N34"/>
    <mergeCell ref="O34:P34"/>
    <mergeCell ref="Q34:R34"/>
    <mergeCell ref="S34:T34"/>
    <mergeCell ref="U34:V34"/>
    <mergeCell ref="C36:D36"/>
    <mergeCell ref="E36:F36"/>
    <mergeCell ref="G36:H36"/>
    <mergeCell ref="I36:J36"/>
    <mergeCell ref="K36:L36"/>
    <mergeCell ref="M36:N36"/>
    <mergeCell ref="O36:P36"/>
    <mergeCell ref="Q36:R36"/>
    <mergeCell ref="S36:T36"/>
    <mergeCell ref="U36:V36"/>
    <mergeCell ref="W36:X36"/>
    <mergeCell ref="Y36:Z36"/>
    <mergeCell ref="AA36:AB36"/>
    <mergeCell ref="AC36:AD36"/>
    <mergeCell ref="AE36:AF36"/>
    <mergeCell ref="BO31:BP31"/>
    <mergeCell ref="BQ31:BR31"/>
    <mergeCell ref="BS31:BT31"/>
    <mergeCell ref="AY31:AZ31"/>
    <mergeCell ref="BA31:BB31"/>
    <mergeCell ref="BC31:BD31"/>
    <mergeCell ref="BE31:BF31"/>
    <mergeCell ref="BG31:BH31"/>
    <mergeCell ref="AU32:AV32"/>
    <mergeCell ref="AW32:AX32"/>
    <mergeCell ref="AY32:AZ32"/>
    <mergeCell ref="BA32:BB32"/>
    <mergeCell ref="AE32:AF32"/>
    <mergeCell ref="AG32:AH32"/>
    <mergeCell ref="AI32:AJ32"/>
    <mergeCell ref="AK32:AL32"/>
    <mergeCell ref="AM32:AN32"/>
    <mergeCell ref="AO32:AP32"/>
    <mergeCell ref="BI31:BJ31"/>
    <mergeCell ref="AM31:AN31"/>
    <mergeCell ref="AO31:AP31"/>
    <mergeCell ref="AQ31:AR31"/>
    <mergeCell ref="AS31:AT31"/>
    <mergeCell ref="AU31:AV31"/>
    <mergeCell ref="AW31:AX31"/>
    <mergeCell ref="AE31:AF31"/>
    <mergeCell ref="AG31:AH31"/>
    <mergeCell ref="AI31:AJ31"/>
    <mergeCell ref="AK31:AL31"/>
    <mergeCell ref="BO32:BP32"/>
    <mergeCell ref="BQ32:BR32"/>
    <mergeCell ref="BS32:BT32"/>
    <mergeCell ref="AI30:AJ30"/>
    <mergeCell ref="AK30:AL30"/>
    <mergeCell ref="AM30:AN30"/>
    <mergeCell ref="AO30:AP30"/>
    <mergeCell ref="S30:T30"/>
    <mergeCell ref="U30:V30"/>
    <mergeCell ref="W30:X30"/>
    <mergeCell ref="C32:D32"/>
    <mergeCell ref="E32:F32"/>
    <mergeCell ref="G32:H32"/>
    <mergeCell ref="I32:J32"/>
    <mergeCell ref="K32:L32"/>
    <mergeCell ref="M32:N32"/>
    <mergeCell ref="O32:P32"/>
    <mergeCell ref="Q32:R32"/>
    <mergeCell ref="BK31:BL31"/>
    <mergeCell ref="BM31:BN31"/>
    <mergeCell ref="S32:T32"/>
    <mergeCell ref="U32:V32"/>
    <mergeCell ref="W32:X32"/>
    <mergeCell ref="Y32:Z32"/>
    <mergeCell ref="AA32:AB32"/>
    <mergeCell ref="AC32:AD32"/>
    <mergeCell ref="AA31:AB31"/>
    <mergeCell ref="AC31:AD31"/>
    <mergeCell ref="BC32:BD32"/>
    <mergeCell ref="BE32:BF32"/>
    <mergeCell ref="BG32:BH32"/>
    <mergeCell ref="BI32:BJ32"/>
    <mergeCell ref="BK32:BL32"/>
    <mergeCell ref="BM32:BN32"/>
    <mergeCell ref="AQ32:AR32"/>
    <mergeCell ref="BQ29:BR29"/>
    <mergeCell ref="BS29:BT29"/>
    <mergeCell ref="AY29:AZ29"/>
    <mergeCell ref="BO30:BP30"/>
    <mergeCell ref="BQ30:BR30"/>
    <mergeCell ref="BS30:BT30"/>
    <mergeCell ref="BC30:BD30"/>
    <mergeCell ref="BE30:BF30"/>
    <mergeCell ref="BG30:BH30"/>
    <mergeCell ref="BI30:BJ30"/>
    <mergeCell ref="BK30:BL30"/>
    <mergeCell ref="BM30:BN30"/>
    <mergeCell ref="O31:P31"/>
    <mergeCell ref="Q31:R31"/>
    <mergeCell ref="S31:T31"/>
    <mergeCell ref="U31:V31"/>
    <mergeCell ref="W31:X31"/>
    <mergeCell ref="Y31:Z31"/>
    <mergeCell ref="O29:P29"/>
    <mergeCell ref="Q29:R29"/>
    <mergeCell ref="S29:T29"/>
    <mergeCell ref="U29:V29"/>
    <mergeCell ref="W29:X29"/>
    <mergeCell ref="Y29:Z29"/>
    <mergeCell ref="AQ30:AR30"/>
    <mergeCell ref="AS30:AT30"/>
    <mergeCell ref="AU30:AV30"/>
    <mergeCell ref="AW30:AX30"/>
    <mergeCell ref="AY30:AZ30"/>
    <mergeCell ref="BA30:BB30"/>
    <mergeCell ref="AE30:AF30"/>
    <mergeCell ref="AG30:AH30"/>
    <mergeCell ref="BI27:BJ27"/>
    <mergeCell ref="BK27:BL27"/>
    <mergeCell ref="BM27:BN27"/>
    <mergeCell ref="BO27:BP27"/>
    <mergeCell ref="BA29:BB29"/>
    <mergeCell ref="BC29:BD29"/>
    <mergeCell ref="BE29:BF29"/>
    <mergeCell ref="BG29:BH29"/>
    <mergeCell ref="BI29:BJ29"/>
    <mergeCell ref="AM29:AN29"/>
    <mergeCell ref="AO29:AP29"/>
    <mergeCell ref="AQ29:AR29"/>
    <mergeCell ref="AS29:AT29"/>
    <mergeCell ref="AU29:AV29"/>
    <mergeCell ref="AW29:AX29"/>
    <mergeCell ref="AA29:AB29"/>
    <mergeCell ref="AC29:AD29"/>
    <mergeCell ref="AE29:AF29"/>
    <mergeCell ref="AG29:AH29"/>
    <mergeCell ref="AI29:AJ29"/>
    <mergeCell ref="AK29:AL29"/>
    <mergeCell ref="BK29:BL29"/>
    <mergeCell ref="BM29:BN29"/>
    <mergeCell ref="BO29:BP29"/>
    <mergeCell ref="AA27:AB27"/>
    <mergeCell ref="AC27:AD27"/>
    <mergeCell ref="AE27:AF27"/>
    <mergeCell ref="AG27:AH27"/>
    <mergeCell ref="AI27:AJ27"/>
    <mergeCell ref="A28:A32"/>
    <mergeCell ref="C29:D29"/>
    <mergeCell ref="E29:F29"/>
    <mergeCell ref="G29:H29"/>
    <mergeCell ref="I29:J29"/>
    <mergeCell ref="K29:L29"/>
    <mergeCell ref="M29:N29"/>
    <mergeCell ref="Y30:Z30"/>
    <mergeCell ref="AA30:AB30"/>
    <mergeCell ref="AC30:AD30"/>
    <mergeCell ref="C30:D30"/>
    <mergeCell ref="E30:F30"/>
    <mergeCell ref="G30:H30"/>
    <mergeCell ref="I30:J30"/>
    <mergeCell ref="K30:L30"/>
    <mergeCell ref="M30:N30"/>
    <mergeCell ref="O30:P30"/>
    <mergeCell ref="Q30:R30"/>
    <mergeCell ref="C31:D31"/>
    <mergeCell ref="E31:F31"/>
    <mergeCell ref="G31:H31"/>
    <mergeCell ref="I31:J31"/>
    <mergeCell ref="K31:L31"/>
    <mergeCell ref="M31:N31"/>
    <mergeCell ref="M27:N27"/>
    <mergeCell ref="O27:P27"/>
    <mergeCell ref="Q27:R27"/>
    <mergeCell ref="S27:T27"/>
    <mergeCell ref="U27:V27"/>
    <mergeCell ref="W27:X27"/>
    <mergeCell ref="C27:D27"/>
    <mergeCell ref="E27:F27"/>
    <mergeCell ref="G27:H27"/>
    <mergeCell ref="I27:J27"/>
    <mergeCell ref="K27:L27"/>
    <mergeCell ref="BQ26:BR26"/>
    <mergeCell ref="BS26:BT26"/>
    <mergeCell ref="BE26:BF26"/>
    <mergeCell ref="BG26:BH26"/>
    <mergeCell ref="BI26:BJ26"/>
    <mergeCell ref="BK26:BL26"/>
    <mergeCell ref="BQ27:BR27"/>
    <mergeCell ref="BS27:BT27"/>
    <mergeCell ref="AW27:AX27"/>
    <mergeCell ref="AY27:AZ27"/>
    <mergeCell ref="BA27:BB27"/>
    <mergeCell ref="BC27:BD27"/>
    <mergeCell ref="BE27:BF27"/>
    <mergeCell ref="BG27:BH27"/>
    <mergeCell ref="AK27:AL27"/>
    <mergeCell ref="AM27:AN27"/>
    <mergeCell ref="AO27:AP27"/>
    <mergeCell ref="AQ27:AR27"/>
    <mergeCell ref="AS27:AT27"/>
    <mergeCell ref="AU27:AV27"/>
    <mergeCell ref="Y27:Z27"/>
    <mergeCell ref="BQ25:BR25"/>
    <mergeCell ref="BS25:BT25"/>
    <mergeCell ref="BA25:BB25"/>
    <mergeCell ref="BC25:BD25"/>
    <mergeCell ref="BE25:BF25"/>
    <mergeCell ref="BG25:BH25"/>
    <mergeCell ref="BM26:BN26"/>
    <mergeCell ref="BO26:BP26"/>
    <mergeCell ref="AS26:AT26"/>
    <mergeCell ref="AU26:AV26"/>
    <mergeCell ref="AW26:AX26"/>
    <mergeCell ref="AY26:AZ26"/>
    <mergeCell ref="BA26:BB26"/>
    <mergeCell ref="BC26:BD26"/>
    <mergeCell ref="AG26:AH26"/>
    <mergeCell ref="AI26:AJ26"/>
    <mergeCell ref="AK26:AL26"/>
    <mergeCell ref="AM26:AN26"/>
    <mergeCell ref="AO26:AP26"/>
    <mergeCell ref="AQ26:AR26"/>
    <mergeCell ref="Q25:R25"/>
    <mergeCell ref="S25:T25"/>
    <mergeCell ref="U25:V25"/>
    <mergeCell ref="W25:X25"/>
    <mergeCell ref="Y25:Z25"/>
    <mergeCell ref="AA25:AB25"/>
    <mergeCell ref="C26:D26"/>
    <mergeCell ref="E26:F26"/>
    <mergeCell ref="G26:H26"/>
    <mergeCell ref="I26:J26"/>
    <mergeCell ref="K26:L26"/>
    <mergeCell ref="M26:N26"/>
    <mergeCell ref="O26:P26"/>
    <mergeCell ref="Q26:R26"/>
    <mergeCell ref="S26:T26"/>
    <mergeCell ref="BM25:BN25"/>
    <mergeCell ref="BO25:BP25"/>
    <mergeCell ref="U26:V26"/>
    <mergeCell ref="W26:X26"/>
    <mergeCell ref="Y26:Z26"/>
    <mergeCell ref="AA26:AB26"/>
    <mergeCell ref="AC26:AD26"/>
    <mergeCell ref="AE26:AF26"/>
    <mergeCell ref="W24:X24"/>
    <mergeCell ref="C25:D25"/>
    <mergeCell ref="E25:F25"/>
    <mergeCell ref="G25:H25"/>
    <mergeCell ref="I25:J25"/>
    <mergeCell ref="K25:L25"/>
    <mergeCell ref="M25:N25"/>
    <mergeCell ref="O25:P25"/>
    <mergeCell ref="BI24:BJ24"/>
    <mergeCell ref="BK24:BL24"/>
    <mergeCell ref="BM24:BN24"/>
    <mergeCell ref="BO24:BP24"/>
    <mergeCell ref="BQ24:BR24"/>
    <mergeCell ref="BS24:BT24"/>
    <mergeCell ref="AW24:AX24"/>
    <mergeCell ref="AY24:AZ24"/>
    <mergeCell ref="BA24:BB24"/>
    <mergeCell ref="BC24:BD24"/>
    <mergeCell ref="BI25:BJ25"/>
    <mergeCell ref="BK25:BL25"/>
    <mergeCell ref="AO25:AP25"/>
    <mergeCell ref="AQ25:AR25"/>
    <mergeCell ref="AS25:AT25"/>
    <mergeCell ref="AU25:AV25"/>
    <mergeCell ref="AW25:AX25"/>
    <mergeCell ref="AY25:AZ25"/>
    <mergeCell ref="AC25:AD25"/>
    <mergeCell ref="AE25:AF25"/>
    <mergeCell ref="AG25:AH25"/>
    <mergeCell ref="AI25:AJ25"/>
    <mergeCell ref="AK25:AL25"/>
    <mergeCell ref="AM25:AN25"/>
    <mergeCell ref="BO22:BP22"/>
    <mergeCell ref="BQ22:BR22"/>
    <mergeCell ref="BS22:BT22"/>
    <mergeCell ref="BC22:BD22"/>
    <mergeCell ref="BE22:BF22"/>
    <mergeCell ref="BG22:BH22"/>
    <mergeCell ref="BI22:BJ22"/>
    <mergeCell ref="BK22:BL22"/>
    <mergeCell ref="BM22:BN22"/>
    <mergeCell ref="AQ22:AR22"/>
    <mergeCell ref="AS22:AT22"/>
    <mergeCell ref="BE24:BF24"/>
    <mergeCell ref="BG24:BH24"/>
    <mergeCell ref="AK24:AL24"/>
    <mergeCell ref="AM24:AN24"/>
    <mergeCell ref="AO24:AP24"/>
    <mergeCell ref="AQ24:AR24"/>
    <mergeCell ref="AS24:AT24"/>
    <mergeCell ref="AU24:AV24"/>
    <mergeCell ref="AA22:AB22"/>
    <mergeCell ref="AC22:AD22"/>
    <mergeCell ref="BI21:BJ21"/>
    <mergeCell ref="AM21:AN21"/>
    <mergeCell ref="AO21:AP21"/>
    <mergeCell ref="AQ21:AR21"/>
    <mergeCell ref="AS21:AT21"/>
    <mergeCell ref="AU21:AV21"/>
    <mergeCell ref="AW21:AX21"/>
    <mergeCell ref="AA21:AB21"/>
    <mergeCell ref="AC21:AD21"/>
    <mergeCell ref="AE21:AF21"/>
    <mergeCell ref="AG21:AH21"/>
    <mergeCell ref="AI21:AJ21"/>
    <mergeCell ref="AK21:AL21"/>
    <mergeCell ref="A23:A27"/>
    <mergeCell ref="C24:D24"/>
    <mergeCell ref="E24:F24"/>
    <mergeCell ref="G24:H24"/>
    <mergeCell ref="I24:J24"/>
    <mergeCell ref="K24:L24"/>
    <mergeCell ref="Y24:Z24"/>
    <mergeCell ref="AA24:AB24"/>
    <mergeCell ref="AC24:AD24"/>
    <mergeCell ref="AE24:AF24"/>
    <mergeCell ref="AG24:AH24"/>
    <mergeCell ref="AI24:AJ24"/>
    <mergeCell ref="M24:N24"/>
    <mergeCell ref="O24:P24"/>
    <mergeCell ref="Q24:R24"/>
    <mergeCell ref="S24:T24"/>
    <mergeCell ref="U24:V24"/>
    <mergeCell ref="C22:D22"/>
    <mergeCell ref="E22:F22"/>
    <mergeCell ref="G22:H22"/>
    <mergeCell ref="I22:J22"/>
    <mergeCell ref="K22:L22"/>
    <mergeCell ref="M22:N22"/>
    <mergeCell ref="O22:P22"/>
    <mergeCell ref="Q22:R22"/>
    <mergeCell ref="BK21:BL21"/>
    <mergeCell ref="BM21:BN21"/>
    <mergeCell ref="BO21:BP21"/>
    <mergeCell ref="BQ21:BR21"/>
    <mergeCell ref="BS21:BT21"/>
    <mergeCell ref="AY21:AZ21"/>
    <mergeCell ref="BA21:BB21"/>
    <mergeCell ref="BC21:BD21"/>
    <mergeCell ref="BE21:BF21"/>
    <mergeCell ref="BG21:BH21"/>
    <mergeCell ref="AU22:AV22"/>
    <mergeCell ref="AW22:AX22"/>
    <mergeCell ref="AY22:AZ22"/>
    <mergeCell ref="BA22:BB22"/>
    <mergeCell ref="AE22:AF22"/>
    <mergeCell ref="AG22:AH22"/>
    <mergeCell ref="AI22:AJ22"/>
    <mergeCell ref="AK22:AL22"/>
    <mergeCell ref="AM22:AN22"/>
    <mergeCell ref="AO22:AP22"/>
    <mergeCell ref="S22:T22"/>
    <mergeCell ref="U22:V22"/>
    <mergeCell ref="W22:X22"/>
    <mergeCell ref="Y22:Z22"/>
    <mergeCell ref="Y19:Z19"/>
    <mergeCell ref="I21:J21"/>
    <mergeCell ref="K21:L21"/>
    <mergeCell ref="M21:N21"/>
    <mergeCell ref="AQ20:AR20"/>
    <mergeCell ref="AS20:AT20"/>
    <mergeCell ref="AU20:AV20"/>
    <mergeCell ref="AW20:AX20"/>
    <mergeCell ref="AY20:AZ20"/>
    <mergeCell ref="BA20:BB20"/>
    <mergeCell ref="AE20:AF20"/>
    <mergeCell ref="AG20:AH20"/>
    <mergeCell ref="AI20:AJ20"/>
    <mergeCell ref="AK20:AL20"/>
    <mergeCell ref="AM20:AN20"/>
    <mergeCell ref="AO20:AP20"/>
    <mergeCell ref="S20:T20"/>
    <mergeCell ref="U20:V20"/>
    <mergeCell ref="W20:X20"/>
    <mergeCell ref="AC19:AD19"/>
    <mergeCell ref="AE19:AF19"/>
    <mergeCell ref="AG19:AH19"/>
    <mergeCell ref="AI19:AJ19"/>
    <mergeCell ref="AK19:AL19"/>
    <mergeCell ref="BK19:BL19"/>
    <mergeCell ref="BM19:BN19"/>
    <mergeCell ref="BO19:BP19"/>
    <mergeCell ref="AA17:AB17"/>
    <mergeCell ref="AC17:AD17"/>
    <mergeCell ref="AE17:AF17"/>
    <mergeCell ref="AG17:AH17"/>
    <mergeCell ref="AI17:AJ17"/>
    <mergeCell ref="BQ19:BR19"/>
    <mergeCell ref="BS19:BT19"/>
    <mergeCell ref="AY19:AZ19"/>
    <mergeCell ref="BO20:BP20"/>
    <mergeCell ref="BQ20:BR20"/>
    <mergeCell ref="BS20:BT20"/>
    <mergeCell ref="BC20:BD20"/>
    <mergeCell ref="BE20:BF20"/>
    <mergeCell ref="BG20:BH20"/>
    <mergeCell ref="BI20:BJ20"/>
    <mergeCell ref="BK20:BL20"/>
    <mergeCell ref="BM20:BN20"/>
    <mergeCell ref="BA19:BB19"/>
    <mergeCell ref="BC19:BD19"/>
    <mergeCell ref="BE19:BF19"/>
    <mergeCell ref="BG19:BH19"/>
    <mergeCell ref="BI19:BJ19"/>
    <mergeCell ref="AM19:AN19"/>
    <mergeCell ref="AO19:AP19"/>
    <mergeCell ref="AQ19:AR19"/>
    <mergeCell ref="AS19:AT19"/>
    <mergeCell ref="AU19:AV19"/>
    <mergeCell ref="AW19:AX19"/>
    <mergeCell ref="AA19:AB19"/>
    <mergeCell ref="A18:A22"/>
    <mergeCell ref="C19:D19"/>
    <mergeCell ref="E19:F19"/>
    <mergeCell ref="G19:H19"/>
    <mergeCell ref="I19:J19"/>
    <mergeCell ref="K19:L19"/>
    <mergeCell ref="M19:N19"/>
    <mergeCell ref="Y20:Z20"/>
    <mergeCell ref="AA20:AB20"/>
    <mergeCell ref="AC20:AD20"/>
    <mergeCell ref="C20:D20"/>
    <mergeCell ref="E20:F20"/>
    <mergeCell ref="G20:H20"/>
    <mergeCell ref="I20:J20"/>
    <mergeCell ref="K20:L20"/>
    <mergeCell ref="M20:N20"/>
    <mergeCell ref="O20:P20"/>
    <mergeCell ref="Q20:R20"/>
    <mergeCell ref="C21:D21"/>
    <mergeCell ref="E21:F21"/>
    <mergeCell ref="G21:H21"/>
    <mergeCell ref="O21:P21"/>
    <mergeCell ref="Q21:R21"/>
    <mergeCell ref="S21:T21"/>
    <mergeCell ref="U21:V21"/>
    <mergeCell ref="W21:X21"/>
    <mergeCell ref="Y21:Z21"/>
    <mergeCell ref="O19:P19"/>
    <mergeCell ref="Q19:R19"/>
    <mergeCell ref="S19:T19"/>
    <mergeCell ref="U19:V19"/>
    <mergeCell ref="W19:X19"/>
    <mergeCell ref="C17:D17"/>
    <mergeCell ref="E17:F17"/>
    <mergeCell ref="G17:H17"/>
    <mergeCell ref="I17:J17"/>
    <mergeCell ref="K17:L17"/>
    <mergeCell ref="BQ16:BR16"/>
    <mergeCell ref="BS16:BT16"/>
    <mergeCell ref="BE16:BF16"/>
    <mergeCell ref="BG16:BH16"/>
    <mergeCell ref="BI16:BJ16"/>
    <mergeCell ref="BK16:BL16"/>
    <mergeCell ref="BQ17:BR17"/>
    <mergeCell ref="BS17:BT17"/>
    <mergeCell ref="AW17:AX17"/>
    <mergeCell ref="AY17:AZ17"/>
    <mergeCell ref="BA17:BB17"/>
    <mergeCell ref="BC17:BD17"/>
    <mergeCell ref="BE17:BF17"/>
    <mergeCell ref="BG17:BH17"/>
    <mergeCell ref="AK17:AL17"/>
    <mergeCell ref="AM17:AN17"/>
    <mergeCell ref="AO17:AP17"/>
    <mergeCell ref="AQ17:AR17"/>
    <mergeCell ref="AS17:AT17"/>
    <mergeCell ref="AU17:AV17"/>
    <mergeCell ref="Y17:Z17"/>
    <mergeCell ref="BI17:BJ17"/>
    <mergeCell ref="BK17:BL17"/>
    <mergeCell ref="BM17:BN17"/>
    <mergeCell ref="BO17:BP17"/>
    <mergeCell ref="BM16:BN16"/>
    <mergeCell ref="BO16:BP16"/>
    <mergeCell ref="AS16:AT16"/>
    <mergeCell ref="AU16:AV16"/>
    <mergeCell ref="AW16:AX16"/>
    <mergeCell ref="AY16:AZ16"/>
    <mergeCell ref="BA16:BB16"/>
    <mergeCell ref="BC16:BD16"/>
    <mergeCell ref="AG16:AH16"/>
    <mergeCell ref="AI16:AJ16"/>
    <mergeCell ref="AK16:AL16"/>
    <mergeCell ref="AM16:AN16"/>
    <mergeCell ref="AO16:AP16"/>
    <mergeCell ref="AQ16:AR16"/>
    <mergeCell ref="M17:N17"/>
    <mergeCell ref="O17:P17"/>
    <mergeCell ref="Q17:R17"/>
    <mergeCell ref="S17:T17"/>
    <mergeCell ref="U17:V17"/>
    <mergeCell ref="W17:X17"/>
    <mergeCell ref="BK14:BL14"/>
    <mergeCell ref="BM14:BN14"/>
    <mergeCell ref="BO14:BP14"/>
    <mergeCell ref="BQ14:BR14"/>
    <mergeCell ref="BS14:BT14"/>
    <mergeCell ref="AW14:AX14"/>
    <mergeCell ref="AY14:AZ14"/>
    <mergeCell ref="BA14:BB14"/>
    <mergeCell ref="BC14:BD14"/>
    <mergeCell ref="BI15:BJ15"/>
    <mergeCell ref="BK15:BL15"/>
    <mergeCell ref="AO15:AP15"/>
    <mergeCell ref="AQ15:AR15"/>
    <mergeCell ref="AS15:AT15"/>
    <mergeCell ref="AU15:AV15"/>
    <mergeCell ref="AW15:AX15"/>
    <mergeCell ref="AY15:AZ15"/>
    <mergeCell ref="BM15:BN15"/>
    <mergeCell ref="BO15:BP15"/>
    <mergeCell ref="BQ15:BR15"/>
    <mergeCell ref="BS15:BT15"/>
    <mergeCell ref="BA15:BB15"/>
    <mergeCell ref="BC15:BD15"/>
    <mergeCell ref="BE15:BF15"/>
    <mergeCell ref="BG15:BH15"/>
    <mergeCell ref="BE14:BF14"/>
    <mergeCell ref="BG14:BH14"/>
    <mergeCell ref="AK14:AL14"/>
    <mergeCell ref="AM14:AN14"/>
    <mergeCell ref="AO14:AP14"/>
    <mergeCell ref="AQ14:AR14"/>
    <mergeCell ref="AS14:AT14"/>
    <mergeCell ref="AU14:AV14"/>
    <mergeCell ref="W14:X14"/>
    <mergeCell ref="C15:D15"/>
    <mergeCell ref="E15:F15"/>
    <mergeCell ref="G15:H15"/>
    <mergeCell ref="I15:J15"/>
    <mergeCell ref="K15:L15"/>
    <mergeCell ref="M15:N15"/>
    <mergeCell ref="O15:P15"/>
    <mergeCell ref="BI14:BJ14"/>
    <mergeCell ref="AC15:AD15"/>
    <mergeCell ref="AE15:AF15"/>
    <mergeCell ref="AG15:AH15"/>
    <mergeCell ref="AI15:AJ15"/>
    <mergeCell ref="AK15:AL15"/>
    <mergeCell ref="AM15:AN15"/>
    <mergeCell ref="Q15:R15"/>
    <mergeCell ref="S15:T15"/>
    <mergeCell ref="U15:V15"/>
    <mergeCell ref="W15:X15"/>
    <mergeCell ref="Y15:Z15"/>
    <mergeCell ref="AA15:AB15"/>
    <mergeCell ref="A13:A17"/>
    <mergeCell ref="C14:D14"/>
    <mergeCell ref="E14:F14"/>
    <mergeCell ref="G14:H14"/>
    <mergeCell ref="I14:J14"/>
    <mergeCell ref="K14:L14"/>
    <mergeCell ref="Y14:Z14"/>
    <mergeCell ref="AA14:AB14"/>
    <mergeCell ref="AC14:AD14"/>
    <mergeCell ref="AE14:AF14"/>
    <mergeCell ref="AG14:AH14"/>
    <mergeCell ref="AI14:AJ14"/>
    <mergeCell ref="M14:N14"/>
    <mergeCell ref="O14:P14"/>
    <mergeCell ref="Q14:R14"/>
    <mergeCell ref="S14:T14"/>
    <mergeCell ref="U14:V14"/>
    <mergeCell ref="C16:D16"/>
    <mergeCell ref="E16:F16"/>
    <mergeCell ref="G16:H16"/>
    <mergeCell ref="I16:J16"/>
    <mergeCell ref="K16:L16"/>
    <mergeCell ref="M16:N16"/>
    <mergeCell ref="O16:P16"/>
    <mergeCell ref="Q16:R16"/>
    <mergeCell ref="S16:T16"/>
    <mergeCell ref="U16:V16"/>
    <mergeCell ref="W16:X16"/>
    <mergeCell ref="Y16:Z16"/>
    <mergeCell ref="AA16:AB16"/>
    <mergeCell ref="AC16:AD16"/>
    <mergeCell ref="AE16:AF16"/>
    <mergeCell ref="BQ11:BR11"/>
    <mergeCell ref="BS11:BT11"/>
    <mergeCell ref="AY11:AZ11"/>
    <mergeCell ref="BA11:BB11"/>
    <mergeCell ref="BC11:BD11"/>
    <mergeCell ref="BE11:BF11"/>
    <mergeCell ref="BG11:BH11"/>
    <mergeCell ref="AU12:AV12"/>
    <mergeCell ref="AW12:AX12"/>
    <mergeCell ref="AY12:AZ12"/>
    <mergeCell ref="BA12:BB12"/>
    <mergeCell ref="AE12:AF12"/>
    <mergeCell ref="AG12:AH12"/>
    <mergeCell ref="AI12:AJ12"/>
    <mergeCell ref="AK12:AL12"/>
    <mergeCell ref="AM12:AN12"/>
    <mergeCell ref="AO12:AP12"/>
    <mergeCell ref="BI11:BJ11"/>
    <mergeCell ref="AM11:AN11"/>
    <mergeCell ref="AO11:AP11"/>
    <mergeCell ref="AQ11:AR11"/>
    <mergeCell ref="AS11:AT11"/>
    <mergeCell ref="AU11:AV11"/>
    <mergeCell ref="AW11:AX11"/>
    <mergeCell ref="AE11:AF11"/>
    <mergeCell ref="AG11:AH11"/>
    <mergeCell ref="AI11:AJ11"/>
    <mergeCell ref="AK11:AL11"/>
    <mergeCell ref="BO12:BP12"/>
    <mergeCell ref="BQ12:BR12"/>
    <mergeCell ref="BS12:BT12"/>
    <mergeCell ref="BC12:BD12"/>
    <mergeCell ref="C10:D10"/>
    <mergeCell ref="E10:F10"/>
    <mergeCell ref="G10:H10"/>
    <mergeCell ref="I10:J10"/>
    <mergeCell ref="K10:L10"/>
    <mergeCell ref="M10:N10"/>
    <mergeCell ref="C12:D12"/>
    <mergeCell ref="E12:F12"/>
    <mergeCell ref="G12:H12"/>
    <mergeCell ref="I12:J12"/>
    <mergeCell ref="K12:L12"/>
    <mergeCell ref="M12:N12"/>
    <mergeCell ref="O12:P12"/>
    <mergeCell ref="Q12:R12"/>
    <mergeCell ref="BK11:BL11"/>
    <mergeCell ref="BM11:BN11"/>
    <mergeCell ref="BO11:BP11"/>
    <mergeCell ref="S12:T12"/>
    <mergeCell ref="U12:V12"/>
    <mergeCell ref="W12:X12"/>
    <mergeCell ref="Y12:Z12"/>
    <mergeCell ref="AA12:AB12"/>
    <mergeCell ref="AC12:AD12"/>
    <mergeCell ref="AA11:AB11"/>
    <mergeCell ref="AC11:AD11"/>
    <mergeCell ref="BE12:BF12"/>
    <mergeCell ref="BG12:BH12"/>
    <mergeCell ref="BI12:BJ12"/>
    <mergeCell ref="BK12:BL12"/>
    <mergeCell ref="BM12:BN12"/>
    <mergeCell ref="AQ12:AR12"/>
    <mergeCell ref="AS12:AT12"/>
    <mergeCell ref="G11:H11"/>
    <mergeCell ref="I11:J11"/>
    <mergeCell ref="K11:L11"/>
    <mergeCell ref="M11:N11"/>
    <mergeCell ref="AQ10:AR10"/>
    <mergeCell ref="AS10:AT10"/>
    <mergeCell ref="AU10:AV10"/>
    <mergeCell ref="AW10:AX10"/>
    <mergeCell ref="AY10:AZ10"/>
    <mergeCell ref="BA10:BB10"/>
    <mergeCell ref="AE10:AF10"/>
    <mergeCell ref="AG10:AH10"/>
    <mergeCell ref="AI10:AJ10"/>
    <mergeCell ref="AK10:AL10"/>
    <mergeCell ref="AM10:AN10"/>
    <mergeCell ref="AO10:AP10"/>
    <mergeCell ref="S10:T10"/>
    <mergeCell ref="U10:V10"/>
    <mergeCell ref="W10:X10"/>
    <mergeCell ref="BS9:BT9"/>
    <mergeCell ref="AY9:AZ9"/>
    <mergeCell ref="BO10:BP10"/>
    <mergeCell ref="BQ10:BR10"/>
    <mergeCell ref="BS10:BT10"/>
    <mergeCell ref="BC10:BD10"/>
    <mergeCell ref="BE10:BF10"/>
    <mergeCell ref="BG10:BH10"/>
    <mergeCell ref="BI10:BJ10"/>
    <mergeCell ref="BK10:BL10"/>
    <mergeCell ref="BM10:BN10"/>
    <mergeCell ref="O11:P11"/>
    <mergeCell ref="Q11:R11"/>
    <mergeCell ref="S11:T11"/>
    <mergeCell ref="U11:V11"/>
    <mergeCell ref="W11:X11"/>
    <mergeCell ref="Y11:Z11"/>
    <mergeCell ref="AI9:AJ9"/>
    <mergeCell ref="AK9:AL9"/>
    <mergeCell ref="Y10:Z10"/>
    <mergeCell ref="AA10:AB10"/>
    <mergeCell ref="AC10:AD10"/>
    <mergeCell ref="O10:P10"/>
    <mergeCell ref="Q10:R10"/>
    <mergeCell ref="BK9:BL9"/>
    <mergeCell ref="BM9:BN9"/>
    <mergeCell ref="BO9:BP9"/>
    <mergeCell ref="BQ9:BR9"/>
    <mergeCell ref="O9:P9"/>
    <mergeCell ref="Q9:R9"/>
    <mergeCell ref="S9:T9"/>
    <mergeCell ref="U9:V9"/>
    <mergeCell ref="W9:X9"/>
    <mergeCell ref="Y9:Z9"/>
    <mergeCell ref="A8:A12"/>
    <mergeCell ref="C9:D9"/>
    <mergeCell ref="E9:F9"/>
    <mergeCell ref="G9:H9"/>
    <mergeCell ref="I9:J9"/>
    <mergeCell ref="K9:L9"/>
    <mergeCell ref="M9:N9"/>
    <mergeCell ref="BI7:BJ7"/>
    <mergeCell ref="BK7:BL7"/>
    <mergeCell ref="BM7:BN7"/>
    <mergeCell ref="BO7:BP7"/>
    <mergeCell ref="BA9:BB9"/>
    <mergeCell ref="BC9:BD9"/>
    <mergeCell ref="BE9:BF9"/>
    <mergeCell ref="BG9:BH9"/>
    <mergeCell ref="BI9:BJ9"/>
    <mergeCell ref="AM9:AN9"/>
    <mergeCell ref="AO9:AP9"/>
    <mergeCell ref="AQ9:AR9"/>
    <mergeCell ref="AS9:AT9"/>
    <mergeCell ref="AU9:AV9"/>
    <mergeCell ref="AW9:AX9"/>
    <mergeCell ref="AA9:AB9"/>
    <mergeCell ref="AC9:AD9"/>
    <mergeCell ref="AE9:AF9"/>
    <mergeCell ref="AG9:AH9"/>
    <mergeCell ref="A3:A7"/>
    <mergeCell ref="M4:N4"/>
    <mergeCell ref="C11:D11"/>
    <mergeCell ref="E11:F11"/>
    <mergeCell ref="BQ7:BR7"/>
    <mergeCell ref="BS7:BT7"/>
    <mergeCell ref="AW7:AX7"/>
    <mergeCell ref="AY7:AZ7"/>
    <mergeCell ref="BA7:BB7"/>
    <mergeCell ref="BC7:BD7"/>
    <mergeCell ref="BE7:BF7"/>
    <mergeCell ref="BG7:BH7"/>
    <mergeCell ref="AK7:AL7"/>
    <mergeCell ref="AM7:AN7"/>
    <mergeCell ref="AO7:AP7"/>
    <mergeCell ref="AQ7:AR7"/>
    <mergeCell ref="AS7:AT7"/>
    <mergeCell ref="AU7:AV7"/>
    <mergeCell ref="BC6:BD6"/>
    <mergeCell ref="AK6:AL6"/>
    <mergeCell ref="AM6:AN6"/>
    <mergeCell ref="AO6:AP6"/>
    <mergeCell ref="AQ6:AR6"/>
    <mergeCell ref="M7:N7"/>
    <mergeCell ref="O7:P7"/>
    <mergeCell ref="Q7:R7"/>
    <mergeCell ref="S7:T7"/>
    <mergeCell ref="U7:V7"/>
    <mergeCell ref="W7:X7"/>
    <mergeCell ref="C7:D7"/>
    <mergeCell ref="E7:F7"/>
    <mergeCell ref="G7:H7"/>
    <mergeCell ref="I7:J7"/>
    <mergeCell ref="K7:L7"/>
    <mergeCell ref="BQ6:BR6"/>
    <mergeCell ref="Y7:Z7"/>
    <mergeCell ref="AA7:AB7"/>
    <mergeCell ref="AC7:AD7"/>
    <mergeCell ref="AE7:AF7"/>
    <mergeCell ref="AG7:AH7"/>
    <mergeCell ref="AI7:AJ7"/>
    <mergeCell ref="C6:D6"/>
    <mergeCell ref="E6:F6"/>
    <mergeCell ref="G6:H6"/>
    <mergeCell ref="I6:J6"/>
    <mergeCell ref="K6:L6"/>
    <mergeCell ref="M6:N6"/>
    <mergeCell ref="O6:P6"/>
    <mergeCell ref="Q6:R6"/>
    <mergeCell ref="S6:T6"/>
    <mergeCell ref="AS6:AT6"/>
    <mergeCell ref="AU6:AV6"/>
    <mergeCell ref="AW6:AX6"/>
    <mergeCell ref="AY6:AZ6"/>
    <mergeCell ref="BA6:BB6"/>
    <mergeCell ref="BI5:BJ5"/>
    <mergeCell ref="BK5:BL5"/>
    <mergeCell ref="AO5:AP5"/>
    <mergeCell ref="AQ5:AR5"/>
    <mergeCell ref="AS5:AT5"/>
    <mergeCell ref="AU5:AV5"/>
    <mergeCell ref="AW5:AX5"/>
    <mergeCell ref="AY5:AZ5"/>
    <mergeCell ref="AC5:AD5"/>
    <mergeCell ref="AE5:AF5"/>
    <mergeCell ref="AG5:AH5"/>
    <mergeCell ref="AI5:AJ5"/>
    <mergeCell ref="AK5:AL5"/>
    <mergeCell ref="AM5:AN5"/>
    <mergeCell ref="AG4:AH4"/>
    <mergeCell ref="BS6:BT6"/>
    <mergeCell ref="BE6:BF6"/>
    <mergeCell ref="BO5:BP5"/>
    <mergeCell ref="BQ5:BR5"/>
    <mergeCell ref="BS5:BT5"/>
    <mergeCell ref="BA5:BB5"/>
    <mergeCell ref="BG6:BH6"/>
    <mergeCell ref="BI6:BJ6"/>
    <mergeCell ref="BK6:BL6"/>
    <mergeCell ref="BM5:BN5"/>
    <mergeCell ref="BC5:BD5"/>
    <mergeCell ref="BE5:BF5"/>
    <mergeCell ref="BG5:BH5"/>
    <mergeCell ref="BM6:BN6"/>
    <mergeCell ref="BO6:BP6"/>
    <mergeCell ref="BS4:BT4"/>
    <mergeCell ref="O4:P4"/>
    <mergeCell ref="Q4:R4"/>
    <mergeCell ref="S4:T4"/>
    <mergeCell ref="U4:V4"/>
    <mergeCell ref="W4:X4"/>
    <mergeCell ref="C5:D5"/>
    <mergeCell ref="E5:F5"/>
    <mergeCell ref="G5:H5"/>
    <mergeCell ref="I5:J5"/>
    <mergeCell ref="K5:L5"/>
    <mergeCell ref="M5:N5"/>
    <mergeCell ref="O5:P5"/>
    <mergeCell ref="BI4:BJ4"/>
    <mergeCell ref="BK4:BL4"/>
    <mergeCell ref="BM4:BN4"/>
    <mergeCell ref="BO4:BP4"/>
    <mergeCell ref="W6:X6"/>
    <mergeCell ref="Y6:Z6"/>
    <mergeCell ref="AA6:AB6"/>
    <mergeCell ref="AC6:AD6"/>
    <mergeCell ref="AE6:AF6"/>
    <mergeCell ref="U6:V6"/>
    <mergeCell ref="AW4:AX4"/>
    <mergeCell ref="AY4:AZ4"/>
    <mergeCell ref="BA4:BB4"/>
    <mergeCell ref="BC4:BD4"/>
    <mergeCell ref="Q5:R5"/>
    <mergeCell ref="S5:T5"/>
    <mergeCell ref="U5:V5"/>
    <mergeCell ref="W5:X5"/>
    <mergeCell ref="AG6:AH6"/>
    <mergeCell ref="AI6:AJ6"/>
    <mergeCell ref="Y5:Z5"/>
    <mergeCell ref="AA5:AB5"/>
    <mergeCell ref="C4:D4"/>
    <mergeCell ref="E4:F4"/>
    <mergeCell ref="G4:H4"/>
    <mergeCell ref="I4:J4"/>
    <mergeCell ref="K4:L4"/>
    <mergeCell ref="Y4:Z4"/>
    <mergeCell ref="AA4:AB4"/>
    <mergeCell ref="AC4:AD4"/>
    <mergeCell ref="AE4:AF4"/>
    <mergeCell ref="AI4:AJ4"/>
    <mergeCell ref="BU1:BV1"/>
    <mergeCell ref="BW1:BW2"/>
    <mergeCell ref="BS1:BT1"/>
    <mergeCell ref="BG1:BH1"/>
    <mergeCell ref="BI1:BJ1"/>
    <mergeCell ref="BK1:BL1"/>
    <mergeCell ref="BM1:BN1"/>
    <mergeCell ref="BO1:BP1"/>
    <mergeCell ref="BQ1:BR1"/>
    <mergeCell ref="AU1:AV1"/>
    <mergeCell ref="AW1:AX1"/>
    <mergeCell ref="BE4:BF4"/>
    <mergeCell ref="BG4:BH4"/>
    <mergeCell ref="AK4:AL4"/>
    <mergeCell ref="AM4:AN4"/>
    <mergeCell ref="AO4:AP4"/>
    <mergeCell ref="AQ4:AR4"/>
    <mergeCell ref="AS4:AT4"/>
    <mergeCell ref="AU4:AV4"/>
    <mergeCell ref="BQ4:BR4"/>
    <mergeCell ref="A1:A2"/>
    <mergeCell ref="B1:B2"/>
    <mergeCell ref="C1:D1"/>
    <mergeCell ref="E1:F1"/>
    <mergeCell ref="G1:H1"/>
    <mergeCell ref="I1:J1"/>
    <mergeCell ref="AY1:AZ1"/>
    <mergeCell ref="BA1:BB1"/>
    <mergeCell ref="BC1:BD1"/>
    <mergeCell ref="BE1:BF1"/>
    <mergeCell ref="AI1:AJ1"/>
    <mergeCell ref="AK1:AL1"/>
    <mergeCell ref="AM1:AN1"/>
    <mergeCell ref="AO1:AP1"/>
    <mergeCell ref="AQ1:AR1"/>
    <mergeCell ref="AS1:AT1"/>
    <mergeCell ref="W1:X1"/>
    <mergeCell ref="Y1:Z1"/>
    <mergeCell ref="AA1:AB1"/>
    <mergeCell ref="AC1:AD1"/>
    <mergeCell ref="AE1:AF1"/>
    <mergeCell ref="AG1:AH1"/>
    <mergeCell ref="K1:L1"/>
    <mergeCell ref="M1:N1"/>
    <mergeCell ref="O1:P1"/>
    <mergeCell ref="Q1:R1"/>
    <mergeCell ref="S1:T1"/>
    <mergeCell ref="U1:V1"/>
  </mergeCells>
  <conditionalFormatting sqref="C7 E7 G7 I7 K7 M7 O7 Q7 S7 U7 W7 Y7 AA7 AC7 AE7 AG7 AI7 AK7 AM7 AO7 AQ7 AS7 AU7 AW7 AY7 BA7 BC7 BE7 BG7 BI7 BK7 BM7 BO7 BQ7 BS7 BU7:BV7 C12 E12 G12 I12 K12 M12 O12 Q12 S12 U12 W12 Y12 AA12 AC12 AE12 AG12 AI12 AK12 AM12 AO12 AQ12 AS12 AU12 AW12 AY12 BA12 BC12 BE12 BG12 BI12 BK12 BM12 BO12 BQ12 BS12 BU12:BV12 C17 E17 G17 I17 K17 M17 O17 Q17 S17 U17 W17 Y17 AA17 AC17 AE17 AG17 AI17 AK17 AM17 AO17 AQ17 AS17 AU17 AW17 AY17 BA17 BC17 BE17 BG17 BI17 BK17 BM17 BO17 BQ17 BS17 BU17:BV17 C22 E22 G22 I22 K22 M22 O22 Q22 S22 U22 W22 Y22 AA22 AC22 AE22 AG22 AI22 AK22 AM22 AO22 AQ22 AS22 AU22 AW22 AY22 BA22 BC22 BE22 BG22 BI22 BK22 BM22 BO22 BQ22 BS22 BU22:BV22 C27 E27 G27 I27 K27 M27 O27 Q27 S27 U27 W27 Y27 AA27 AC27 AE27 AG27 AI27 AK27 AM27 AO27 AQ27 AS27 AU27 AW27 AY27 BA27 BC27 BE27 BG27 BI27 BK27 BM27 BO27 BQ27 BS27 BU27:BV27 C32 E32 G32 I32 K32 M32 O32 Q32 S32 U32 W32 Y32 AA32 AC32 AE32 AG32 AI32 AK32 AM32 AO32 AQ32 AS32 AU32 AW32 AY32 BA32 BC32 BE32 BG32 BI32 BK32 BM32 BO32 BQ32 BS32 BU32:BV32 C37 E37 G37 I37 K37 M37 O37 Q37 S37 U37 W37 Y37 AA37 AC37 AE37 AG37 AI37 AK37 AM37 AO37 AQ37 AS37 AU37 AW37 AY37 BA37 BC37 BE37 BG37 BI37 BK37 BM37 BO37 BQ37 BS37 BU37:BV37 C42 E42 G42 I42 K42 M42 O42 Q42 S42 U42 W42 Y42 AA42 AC42 AE42 AG42 AI42 AK42 AM42 AO42 AQ42 AS42 AU42 AW42 AY42 BA42 BC42 BE42 BG42 BI42 BK42 BM42 BO42 BQ42 BS42 BU42:BV42 C47 E47 G47 I47 K47 M47 O47 Q47 S47 U47 W47 Y47 AA47 AC47 AE47 AG47 AI47 AK47 AM47 AO47 AQ47 AS47 AU47 AW47 AY47 BA47 BC47 BE47 BG47 BI47 BK47 BM47 BO47 BQ47 BS47 BU47:BV47 C52 E52 G52 I52 K52 M52 O52 Q52 S52 U52 W52 Y52 AA52 AC52 AE52 AG52 AI52 AK52 AM52 AO52 AQ52 AS52 AU52 AW52 AY52 BA52 BC52 BE52 BG52 BI52 BK52 BM52 BO52 BQ52 BS52 BU52:BV52 C57 E57 G57 I57 K57 M57 O57 Q57 S57 U57 W57 Y57 AA57 AC57 AE57 AG57 AI57 AK57 AM57 AO57 AQ57 AS57 AU57 AW57 AY57 BA57 BC57 BE57 BG57 BI57 BK57 BM57 BO57 BQ57 BS57 BU57:BV57 C62 E62 G62 I62 K62 M62 O62 Q62 S62 U62 W62 Y62 AA62 AC62 AE62 AG62 AI62 AK62 AM62 AO62 AQ62 AS62 AU62 AW62 AY62 BA62 BC62 BE62 BG62 BI62 BK62 BM62 BO62 BQ62 BS62 BU62:BV62 C67 E67 G67 I67 K67 M67 O67 Q67 S67 U67 W67 Y67 AA67 AC67 AE67 AG67 AI67 AK67 AM67 AO67 AQ67 AS67 AU67 AW67 AY67 BA67 BC67 BE67 BG67 BI67 BK67 BM67 BO67 BQ67 BS67 BU67:BV67 C72 E72 G72 I72 K72 M72 O72 Q72 S72 U72 W72 Y72 AA72 AC72 AE72 AG72 AI72 AK72 AM72 AO72 AQ72 AS72 AU72 AW72 AY72 BA72 BC72 BE72 BG72 BI72 BK72 BM72 BO72 BQ72 BS72 BU72:BV72 C77 E77 G77 I77 K77 M77 O77 Q77 S77 U77 W77 Y77 AA77 AC77 AE77 AG77 AI77 AK77 AM77 AO77 AQ77 AS77 AU77 AW77 AY77 BA77 BC77 BE77 BG77 BI77 BK77 BM77 BO77 BQ77 BS77 BU77:BV77 C82 E82 G82 I82 K82 M82 O82 Q82 S82 U82 W82 Y82 AA82 AC82 AE82 AG82 AI82 AK82 AM82 AO82 AQ82 AS82 AU82 AW82 AY82 BA82 BC82 BE82 BG82 BI82 BK82 BM82 BO82 BQ82 BS82 BU82:BV82 C87 E87 G87 I87 K87 M87 O87 Q87 S87 U87 W87 Y87 AA87 AC87 AE87 AG87 AI87 AK87 AM87 AO87 AQ87 AS87 AU87 AW87 AY87 BA87 BC87 BE87 BG87 BI87 BK87 BM87 BO87 BQ87 BS87 BU87:BV87 C92 E92 G92 I92 K92 M92 O92 Q92 S92 U92 W92 Y92 AA92 AC92 AE92 AG92 AI92 AK92 AM92 AO92 AQ92 AS92 AU92 AW92 AY92 BA92 BC92 BE92 BG92 BI92 BK92 BM92 BO92 BQ92 BS92 BU92:BV92 C97 E97 G97 I97 K97 M97 O97 Q97 S97 U97 W97 Y97 AA97 AC97 AE97 AG97 AI97 AK97 AM97 AO97 AQ97 AS97 AU97 AW97 AY97 BA97 BC97 BE97 BG97 BI97 BK97 BM97 BO97 BQ97 BS97 BU97:BV97 C102 E102 G102 I102 K102 M102 O102 Q102 S102 U102 W102 Y102 AA102 AC102 AE102 AG102 AI102 AK102 AM102 AO102 AQ102 AS102 AU102 AW102 AY102 BA102 BC102 BE102 BG102 BI102 BK102 BM102 BO102 BQ102 BS102 BU102:BV102 C107 E107 G107 I107 K107 M107 O107 Q107 S107 U107 W107 Y107 AA107 AC107 AE107 AG107 AI107 AK107 AM107 AO107 AQ107 AS107 AU107 AW107 AY107 BA107 BC107 BE107 BG107 BI107 BK107 BM107 BO107 BQ107 BS107 BU107:BV107 C112 E112 G112 I112 K112 M112 O112 Q112 S112 U112 W112 Y112 AA112 AC112 AE112 AG112 AI112 AK112 AM112 AO112 AQ112 AS112 AU112 AW112 AY112 BA112 BC112 BE112 BG112 BI112 BK112 BM112 BO112 BQ112 BS112 BU112:BV112 C117 E117 G117 I117 K117 M117 O117 Q117 S117 U117 W117 Y117 AA117 AC117 AE117 AG117 AI117 AK117 AM117 AO117 AQ117 AS117 AU117 AW117 AY117 BA117 BC117 BE117 BG117 BI117 BK117 BM117 BO117 BQ117 BS117 BU117:BV117 C122 E122 G122 I122 K122 M122 O122 Q122 S122 U122 W122 Y122 AA122 AC122 AE122 AG122 AI122 AK122 AM122 AO122 AQ122 AS122 AU122 AW122 AY122 BA122 BC122 BE122 BG122 BI122 BK122 BM122 BO122 BQ122 BS122 BU122:BV122 C127 E127 G127 I127 K127 M127 O127 Q127 S127 U127 W127 Y127 AA127 AC127 AE127 AG127 AI127 AK127 AM127 AO127 AQ127 AS127 AU127 AW127 AY127 BA127 BC127 BE127 BG127 BI127 BK127 BM127 BO127 BQ127 BS127 BU127:BV127 C132 E132 G132 I132 K132 M132 O132 Q132 S132 U132 W132 Y132 AA132 AC132 AE132 AG132 AI132 AK132 AM132 AO132 AQ132 AS132 AU132 AW132 AY132 BA132 BC132 BE132 BG132 BI132 BK132 BM132 BO132 BQ132 BS132 BU132:BV132 C137 E137 G137 I137 K137 M137 O137 Q137 S137 U137 W137 Y137 AA137 AC137 AE137 AG137 AI137 AK137 AM137 AO137 AQ137 AS137 AU137 AW137 AY137 BA137 BC137 BE137 BG137 BI137 BK137 BM137 BO137 BQ137 BS137 BU137:BV137 C142 E142 G142 I142 K142 M142 O142 Q142 S142 U142 W142 Y142 AA142 AC142 AE142 AG142 AI142 AK142 AM142 AO142 AQ142 AS142 AU142 AW142 AY142 BA142 BC142 BE142 BG142 BI142 BK142 BM142 BO142 BQ142 BS142 BU142:BV142 C147 E147 G147 I147 K147 M147 O147 Q147 S147 U147 W147 Y147 AA147 AC147 AE147 AG147 AI147 AK147 AM147 AO147 AQ147 AS147 AU147 AW147 AY147 BA147 BC147 BE147 BG147 BI147 BK147 BM147 BO147 BQ147 BS147 BU147:BV147 C152 E152 G152 I152 K152 M152 O152 Q152 S152 U152 W152 Y152 AA152 AC152 AE152 AG152 AI152 AK152 AM152 AO152 AQ152 AS152 AU152 AW152 AY152 BA152 BC152 BE152 BG152 BI152 BK152 BM152 BO152 BQ152 BS152 BU152:BV152 C157 E157 G157 I157 K157 M157 O157 Q157 S157 U157 W157 Y157 AA157 AC157 AE157 AG157 AI157 AK157 AM157 AO157 AQ157 AS157 AU157 AW157 AY157 BA157 BC157 BE157 BG157 BI157 BK157 BM157 BO157 BQ157 BS157 BU157:BV157">
    <cfRule type="cellIs" dxfId="338" priority="1" operator="equal">
      <formula>"UNDER STANDART"</formula>
    </cfRule>
    <cfRule type="cellIs" dxfId="337" priority="2" operator="equal">
      <formula>"GOOD"</formula>
    </cfRule>
    <cfRule type="cellIs" dxfId="336" priority="3" operator="equal">
      <formula>"OVER STANDART"</formula>
    </cfRule>
  </conditionalFormatting>
  <conditionalFormatting sqref="C169:AG169">
    <cfRule type="cellIs" dxfId="335" priority="7" operator="equal">
      <formula>"GOOD"</formula>
    </cfRule>
    <cfRule type="cellIs" dxfId="334" priority="8" operator="equal">
      <formula>"UNDER"</formula>
    </cfRule>
    <cfRule type="cellIs" dxfId="333" priority="9" operator="equal">
      <formula>"OVER"</formula>
    </cfRule>
  </conditionalFormatting>
  <conditionalFormatting sqref="C172:AG172">
    <cfRule type="cellIs" dxfId="332" priority="4" operator="equal">
      <formula>"GOOD"</formula>
    </cfRule>
    <cfRule type="cellIs" dxfId="331" priority="5" operator="equal">
      <formula>"UNDER CONSUME"</formula>
    </cfRule>
    <cfRule type="cellIs" dxfId="330" priority="6" operator="equal">
      <formula>"OVER CONSUME"</formula>
    </cfRule>
  </conditionalFormatting>
  <dataValidations count="1">
    <dataValidation type="decimal" operator="greaterThan" allowBlank="1" showInputMessage="1" showErrorMessage="1" error="Hanya Boleh Input Angka!" sqref="C3:BT157" xr:uid="{E9F155B5-1535-411B-A938-2181742C5B1C}">
      <formula1>0</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40707-44F6-4AA9-80F7-2218118B8D2B}">
  <sheetPr codeName="Sheet29"/>
  <dimension ref="A1:G7"/>
  <sheetViews>
    <sheetView workbookViewId="0">
      <selection activeCell="D8" sqref="D8"/>
    </sheetView>
  </sheetViews>
  <sheetFormatPr defaultRowHeight="14.5" x14ac:dyDescent="0.35"/>
  <cols>
    <col min="1" max="1" width="24.7265625" customWidth="1"/>
    <col min="2" max="2" width="31.453125" bestFit="1" customWidth="1"/>
    <col min="3" max="3" width="10.7265625" customWidth="1"/>
    <col min="4" max="4" width="21.453125" customWidth="1"/>
    <col min="5" max="5" width="33.54296875" customWidth="1"/>
    <col min="6" max="6" width="21.26953125" customWidth="1"/>
    <col min="7" max="7" width="30.7265625" customWidth="1"/>
  </cols>
  <sheetData>
    <row r="1" spans="1:7" x14ac:dyDescent="0.35">
      <c r="A1" t="s">
        <v>464</v>
      </c>
      <c r="B1" t="s">
        <v>172</v>
      </c>
      <c r="C1" t="s">
        <v>465</v>
      </c>
      <c r="D1" t="s">
        <v>467</v>
      </c>
      <c r="E1" t="s">
        <v>468</v>
      </c>
      <c r="F1" t="s">
        <v>469</v>
      </c>
      <c r="G1" t="s">
        <v>470</v>
      </c>
    </row>
    <row r="2" spans="1:7" x14ac:dyDescent="0.35">
      <c r="A2" t="s">
        <v>1102</v>
      </c>
      <c r="B2" t="s">
        <v>555</v>
      </c>
      <c r="C2">
        <v>1</v>
      </c>
      <c r="D2" t="b">
        <v>0</v>
      </c>
      <c r="E2" t="b">
        <v>0</v>
      </c>
      <c r="F2" t="b">
        <v>1</v>
      </c>
      <c r="G2" t="b">
        <v>0</v>
      </c>
    </row>
    <row r="3" spans="1:7" x14ac:dyDescent="0.35">
      <c r="A3" t="s">
        <v>1103</v>
      </c>
      <c r="B3" t="s">
        <v>484</v>
      </c>
      <c r="C3">
        <v>1</v>
      </c>
      <c r="D3" t="b">
        <v>0</v>
      </c>
      <c r="E3" t="b">
        <v>0</v>
      </c>
      <c r="F3" t="b">
        <v>1</v>
      </c>
      <c r="G3" t="b">
        <v>0</v>
      </c>
    </row>
    <row r="4" spans="1:7" x14ac:dyDescent="0.35">
      <c r="A4" t="s">
        <v>1104</v>
      </c>
      <c r="B4" t="s">
        <v>507</v>
      </c>
      <c r="C4">
        <v>1</v>
      </c>
      <c r="D4" t="b">
        <v>0</v>
      </c>
      <c r="E4" t="b">
        <v>0</v>
      </c>
      <c r="F4" t="b">
        <v>1</v>
      </c>
      <c r="G4" t="b">
        <v>0</v>
      </c>
    </row>
    <row r="5" spans="1:7" x14ac:dyDescent="0.35">
      <c r="A5" t="s">
        <v>1105</v>
      </c>
      <c r="B5" t="s">
        <v>918</v>
      </c>
      <c r="C5">
        <v>1</v>
      </c>
      <c r="D5" s="113" t="b">
        <v>0</v>
      </c>
      <c r="E5" s="113" t="b">
        <v>0</v>
      </c>
      <c r="F5" s="113" t="b">
        <v>1</v>
      </c>
      <c r="G5" s="114" t="b">
        <v>0</v>
      </c>
    </row>
    <row r="6" spans="1:7" x14ac:dyDescent="0.35">
      <c r="A6" t="s">
        <v>1106</v>
      </c>
      <c r="B6" t="s">
        <v>540</v>
      </c>
      <c r="C6">
        <v>1</v>
      </c>
      <c r="D6" s="113" t="b">
        <v>0</v>
      </c>
      <c r="E6" s="113" t="b">
        <v>0</v>
      </c>
      <c r="F6" s="113" t="b">
        <v>1</v>
      </c>
      <c r="G6" s="114" t="b">
        <v>0</v>
      </c>
    </row>
    <row r="7" spans="1:7" x14ac:dyDescent="0.35">
      <c r="A7" t="s">
        <v>1469</v>
      </c>
      <c r="B7" t="s">
        <v>1318</v>
      </c>
      <c r="C7" s="113">
        <v>1</v>
      </c>
      <c r="D7" s="113" t="b">
        <v>0</v>
      </c>
      <c r="E7" s="113" t="b">
        <v>0</v>
      </c>
      <c r="F7" s="113" t="b">
        <v>1</v>
      </c>
      <c r="G7" s="114" t="b">
        <v>0</v>
      </c>
    </row>
  </sheetData>
  <sheetProtection algorithmName="SHA-512" hashValue="8aHJmfoxSPtBuGy29T6BJG6QnXQwQRYtdKTExXuwZZdRctMmvuiYXcU65kz7G+NFQEau9t5ecjMQqXUp6gH8iQ==" saltValue="3q1OGNuecci4RI/IOmagZw==" spinCount="100000" sheet="1" objects="1" scenarios="1"/>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2AF6A-8F8B-4A83-93B9-0F5FB0E88B17}">
  <sheetPr codeName="Sheet30"/>
  <dimension ref="A1:H97"/>
  <sheetViews>
    <sheetView workbookViewId="0">
      <selection activeCell="F6" sqref="F6"/>
    </sheetView>
  </sheetViews>
  <sheetFormatPr defaultRowHeight="14.5" x14ac:dyDescent="0.35"/>
  <cols>
    <col min="1" max="1" width="6.54296875" bestFit="1" customWidth="1"/>
    <col min="2" max="2" width="42.26953125" bestFit="1" customWidth="1"/>
    <col min="3" max="3" width="20.54296875" bestFit="1" customWidth="1"/>
    <col min="4" max="4" width="13.26953125" bestFit="1" customWidth="1"/>
    <col min="5" max="5" width="7.26953125" bestFit="1" customWidth="1"/>
  </cols>
  <sheetData>
    <row r="1" spans="1:8" x14ac:dyDescent="0.35">
      <c r="A1" t="s">
        <v>471</v>
      </c>
      <c r="B1" t="s">
        <v>386</v>
      </c>
      <c r="C1" t="s">
        <v>472</v>
      </c>
      <c r="D1" t="s">
        <v>473</v>
      </c>
      <c r="E1" t="s">
        <v>474</v>
      </c>
    </row>
    <row r="2" spans="1:8" x14ac:dyDescent="0.35">
      <c r="A2">
        <v>1</v>
      </c>
      <c r="B2" s="70" t="s">
        <v>510</v>
      </c>
      <c r="C2" t="s">
        <v>478</v>
      </c>
      <c r="D2" t="s">
        <v>513</v>
      </c>
      <c r="E2" t="s">
        <v>341</v>
      </c>
    </row>
    <row r="3" spans="1:8" x14ac:dyDescent="0.35">
      <c r="A3">
        <v>2</v>
      </c>
      <c r="E3" t="s">
        <v>341</v>
      </c>
    </row>
    <row r="4" spans="1:8" x14ac:dyDescent="0.35">
      <c r="A4">
        <v>3</v>
      </c>
      <c r="B4" t="s">
        <v>514</v>
      </c>
      <c r="C4" t="s">
        <v>475</v>
      </c>
      <c r="D4" t="s">
        <v>513</v>
      </c>
      <c r="E4" t="s">
        <v>342</v>
      </c>
    </row>
    <row r="5" spans="1:8" x14ac:dyDescent="0.35">
      <c r="A5">
        <v>4</v>
      </c>
      <c r="B5" t="s">
        <v>483</v>
      </c>
      <c r="C5" t="s">
        <v>475</v>
      </c>
      <c r="D5" t="s">
        <v>513</v>
      </c>
      <c r="E5" t="s">
        <v>342</v>
      </c>
    </row>
    <row r="6" spans="1:8" x14ac:dyDescent="0.35">
      <c r="A6">
        <v>5</v>
      </c>
      <c r="B6" t="s">
        <v>489</v>
      </c>
      <c r="C6" t="s">
        <v>475</v>
      </c>
      <c r="D6" t="s">
        <v>513</v>
      </c>
      <c r="E6" t="s">
        <v>342</v>
      </c>
    </row>
    <row r="7" spans="1:8" x14ac:dyDescent="0.35">
      <c r="A7">
        <v>6</v>
      </c>
      <c r="B7" t="s">
        <v>491</v>
      </c>
      <c r="C7" t="s">
        <v>475</v>
      </c>
      <c r="D7" t="s">
        <v>513</v>
      </c>
      <c r="E7" t="s">
        <v>342</v>
      </c>
    </row>
    <row r="8" spans="1:8" x14ac:dyDescent="0.35">
      <c r="A8">
        <v>7</v>
      </c>
      <c r="B8" t="s">
        <v>493</v>
      </c>
      <c r="C8" t="s">
        <v>475</v>
      </c>
      <c r="D8" t="s">
        <v>513</v>
      </c>
      <c r="E8" t="s">
        <v>342</v>
      </c>
    </row>
    <row r="9" spans="1:8" x14ac:dyDescent="0.35">
      <c r="A9">
        <v>8</v>
      </c>
      <c r="E9" t="s">
        <v>342</v>
      </c>
    </row>
    <row r="10" spans="1:8" x14ac:dyDescent="0.35">
      <c r="A10">
        <v>9</v>
      </c>
      <c r="B10" t="s">
        <v>1467</v>
      </c>
      <c r="C10" t="s">
        <v>475</v>
      </c>
      <c r="D10" t="s">
        <v>513</v>
      </c>
      <c r="E10" t="s">
        <v>342</v>
      </c>
    </row>
    <row r="11" spans="1:8" x14ac:dyDescent="0.35">
      <c r="A11">
        <v>10</v>
      </c>
      <c r="B11" t="s">
        <v>495</v>
      </c>
      <c r="C11" t="s">
        <v>475</v>
      </c>
      <c r="D11" t="s">
        <v>513</v>
      </c>
      <c r="E11" t="s">
        <v>342</v>
      </c>
      <c r="H11" s="70"/>
    </row>
    <row r="12" spans="1:8" x14ac:dyDescent="0.35">
      <c r="A12">
        <v>11</v>
      </c>
      <c r="B12" t="s">
        <v>506</v>
      </c>
      <c r="C12" t="s">
        <v>475</v>
      </c>
      <c r="D12" t="s">
        <v>513</v>
      </c>
      <c r="E12" t="s">
        <v>342</v>
      </c>
      <c r="H12" s="70"/>
    </row>
    <row r="13" spans="1:8" x14ac:dyDescent="0.35">
      <c r="A13">
        <v>12</v>
      </c>
      <c r="B13" t="s">
        <v>1337</v>
      </c>
      <c r="C13" t="s">
        <v>475</v>
      </c>
      <c r="D13" t="s">
        <v>513</v>
      </c>
      <c r="E13" t="s">
        <v>342</v>
      </c>
    </row>
    <row r="14" spans="1:8" x14ac:dyDescent="0.35">
      <c r="A14">
        <v>13</v>
      </c>
      <c r="E14" t="s">
        <v>342</v>
      </c>
    </row>
    <row r="15" spans="1:8" x14ac:dyDescent="0.35">
      <c r="A15">
        <v>14</v>
      </c>
      <c r="B15" t="s">
        <v>624</v>
      </c>
      <c r="C15" t="s">
        <v>475</v>
      </c>
      <c r="D15" t="s">
        <v>513</v>
      </c>
      <c r="E15" t="s">
        <v>342</v>
      </c>
    </row>
    <row r="16" spans="1:8" x14ac:dyDescent="0.35">
      <c r="A16">
        <v>15</v>
      </c>
      <c r="B16" s="70" t="s">
        <v>539</v>
      </c>
      <c r="C16" t="s">
        <v>475</v>
      </c>
      <c r="D16" t="s">
        <v>513</v>
      </c>
      <c r="E16" t="s">
        <v>342</v>
      </c>
    </row>
    <row r="17" spans="1:5" x14ac:dyDescent="0.35">
      <c r="A17">
        <v>16</v>
      </c>
      <c r="E17" t="s">
        <v>341</v>
      </c>
    </row>
    <row r="18" spans="1:5" x14ac:dyDescent="0.35">
      <c r="A18">
        <v>17</v>
      </c>
      <c r="B18" t="s">
        <v>625</v>
      </c>
      <c r="C18" t="s">
        <v>475</v>
      </c>
      <c r="D18" t="s">
        <v>513</v>
      </c>
      <c r="E18" t="s">
        <v>341</v>
      </c>
    </row>
    <row r="19" spans="1:5" x14ac:dyDescent="0.35">
      <c r="A19">
        <v>18</v>
      </c>
      <c r="B19" s="70" t="s">
        <v>552</v>
      </c>
      <c r="C19" t="s">
        <v>475</v>
      </c>
      <c r="D19" t="s">
        <v>513</v>
      </c>
      <c r="E19" t="s">
        <v>341</v>
      </c>
    </row>
    <row r="20" spans="1:5" x14ac:dyDescent="0.35">
      <c r="A20">
        <v>19</v>
      </c>
      <c r="E20" t="s">
        <v>341</v>
      </c>
    </row>
    <row r="21" spans="1:5" x14ac:dyDescent="0.35">
      <c r="A21">
        <v>20</v>
      </c>
      <c r="B21" t="s">
        <v>397</v>
      </c>
      <c r="C21" t="s">
        <v>475</v>
      </c>
      <c r="D21" t="s">
        <v>476</v>
      </c>
      <c r="E21" t="s">
        <v>341</v>
      </c>
    </row>
    <row r="22" spans="1:5" x14ac:dyDescent="0.35">
      <c r="A22">
        <v>21</v>
      </c>
      <c r="B22" t="s">
        <v>83</v>
      </c>
      <c r="C22" t="s">
        <v>475</v>
      </c>
      <c r="D22" t="s">
        <v>476</v>
      </c>
      <c r="E22" t="s">
        <v>341</v>
      </c>
    </row>
    <row r="23" spans="1:5" x14ac:dyDescent="0.35">
      <c r="A23">
        <v>22</v>
      </c>
      <c r="B23" t="s">
        <v>77</v>
      </c>
      <c r="C23" t="s">
        <v>475</v>
      </c>
      <c r="D23" t="s">
        <v>476</v>
      </c>
      <c r="E23" t="s">
        <v>341</v>
      </c>
    </row>
    <row r="24" spans="1:5" x14ac:dyDescent="0.35">
      <c r="A24">
        <v>23</v>
      </c>
      <c r="B24" t="s">
        <v>85</v>
      </c>
      <c r="C24" t="s">
        <v>475</v>
      </c>
      <c r="D24" t="s">
        <v>476</v>
      </c>
      <c r="E24" t="s">
        <v>341</v>
      </c>
    </row>
    <row r="25" spans="1:5" x14ac:dyDescent="0.35">
      <c r="A25">
        <v>24</v>
      </c>
      <c r="B25" t="s">
        <v>80</v>
      </c>
      <c r="C25" t="s">
        <v>475</v>
      </c>
      <c r="D25" t="s">
        <v>476</v>
      </c>
      <c r="E25" t="s">
        <v>341</v>
      </c>
    </row>
    <row r="26" spans="1:5" x14ac:dyDescent="0.35">
      <c r="A26">
        <v>25</v>
      </c>
      <c r="E26" t="s">
        <v>341</v>
      </c>
    </row>
    <row r="27" spans="1:5" x14ac:dyDescent="0.35">
      <c r="A27">
        <v>26</v>
      </c>
      <c r="B27" t="s">
        <v>398</v>
      </c>
      <c r="C27" t="s">
        <v>475</v>
      </c>
      <c r="D27" t="s">
        <v>476</v>
      </c>
      <c r="E27" t="s">
        <v>341</v>
      </c>
    </row>
    <row r="28" spans="1:5" x14ac:dyDescent="0.35">
      <c r="A28">
        <v>27</v>
      </c>
      <c r="B28" t="s">
        <v>94</v>
      </c>
      <c r="C28" t="s">
        <v>475</v>
      </c>
      <c r="D28" t="s">
        <v>476</v>
      </c>
      <c r="E28" t="s">
        <v>341</v>
      </c>
    </row>
    <row r="29" spans="1:5" x14ac:dyDescent="0.35">
      <c r="A29">
        <v>28</v>
      </c>
      <c r="B29" t="s">
        <v>90</v>
      </c>
      <c r="C29" t="s">
        <v>475</v>
      </c>
      <c r="D29" t="s">
        <v>476</v>
      </c>
      <c r="E29" t="s">
        <v>341</v>
      </c>
    </row>
    <row r="30" spans="1:5" x14ac:dyDescent="0.35">
      <c r="A30">
        <v>29</v>
      </c>
      <c r="B30" t="s">
        <v>92</v>
      </c>
      <c r="C30" t="s">
        <v>475</v>
      </c>
      <c r="D30" t="s">
        <v>476</v>
      </c>
      <c r="E30" t="s">
        <v>341</v>
      </c>
    </row>
    <row r="31" spans="1:5" x14ac:dyDescent="0.35">
      <c r="A31">
        <v>30</v>
      </c>
      <c r="B31" t="s">
        <v>87</v>
      </c>
      <c r="C31" t="s">
        <v>475</v>
      </c>
      <c r="D31" t="s">
        <v>476</v>
      </c>
      <c r="E31" t="s">
        <v>341</v>
      </c>
    </row>
    <row r="32" spans="1:5" x14ac:dyDescent="0.35">
      <c r="A32">
        <v>31</v>
      </c>
      <c r="E32" t="s">
        <v>342</v>
      </c>
    </row>
    <row r="33" spans="1:5" x14ac:dyDescent="0.35">
      <c r="A33">
        <v>32</v>
      </c>
      <c r="B33" t="s">
        <v>399</v>
      </c>
      <c r="C33" t="s">
        <v>475</v>
      </c>
      <c r="D33" t="s">
        <v>476</v>
      </c>
      <c r="E33" t="s">
        <v>342</v>
      </c>
    </row>
    <row r="34" spans="1:5" x14ac:dyDescent="0.35">
      <c r="A34">
        <v>33</v>
      </c>
      <c r="B34" t="s">
        <v>1153</v>
      </c>
      <c r="C34" t="s">
        <v>475</v>
      </c>
      <c r="D34" t="s">
        <v>476</v>
      </c>
      <c r="E34" t="s">
        <v>342</v>
      </c>
    </row>
    <row r="35" spans="1:5" x14ac:dyDescent="0.35">
      <c r="A35">
        <v>34</v>
      </c>
      <c r="B35" t="s">
        <v>1151</v>
      </c>
      <c r="C35" t="s">
        <v>475</v>
      </c>
      <c r="D35" t="s">
        <v>476</v>
      </c>
      <c r="E35" t="s">
        <v>342</v>
      </c>
    </row>
    <row r="36" spans="1:5" x14ac:dyDescent="0.35">
      <c r="A36">
        <v>35</v>
      </c>
      <c r="B36" t="s">
        <v>1149</v>
      </c>
      <c r="C36" t="s">
        <v>475</v>
      </c>
      <c r="D36" t="s">
        <v>476</v>
      </c>
      <c r="E36" t="s">
        <v>342</v>
      </c>
    </row>
    <row r="37" spans="1:5" x14ac:dyDescent="0.35">
      <c r="A37">
        <v>36</v>
      </c>
      <c r="E37" t="s">
        <v>342</v>
      </c>
    </row>
    <row r="38" spans="1:5" x14ac:dyDescent="0.35">
      <c r="A38">
        <v>37</v>
      </c>
      <c r="B38" t="s">
        <v>515</v>
      </c>
      <c r="C38" t="s">
        <v>477</v>
      </c>
      <c r="D38" t="s">
        <v>513</v>
      </c>
      <c r="E38" t="s">
        <v>342</v>
      </c>
    </row>
    <row r="39" spans="1:5" x14ac:dyDescent="0.35">
      <c r="A39">
        <v>38</v>
      </c>
      <c r="B39" t="s">
        <v>487</v>
      </c>
      <c r="C39" t="s">
        <v>477</v>
      </c>
      <c r="D39" t="s">
        <v>513</v>
      </c>
      <c r="E39" t="s">
        <v>342</v>
      </c>
    </row>
    <row r="40" spans="1:5" x14ac:dyDescent="0.35">
      <c r="A40">
        <v>39</v>
      </c>
      <c r="B40" t="s">
        <v>490</v>
      </c>
      <c r="C40" t="s">
        <v>477</v>
      </c>
      <c r="D40" t="s">
        <v>513</v>
      </c>
      <c r="E40" t="s">
        <v>342</v>
      </c>
    </row>
    <row r="41" spans="1:5" x14ac:dyDescent="0.35">
      <c r="A41">
        <v>40</v>
      </c>
      <c r="B41" t="s">
        <v>492</v>
      </c>
      <c r="C41" t="s">
        <v>477</v>
      </c>
      <c r="D41" t="s">
        <v>513</v>
      </c>
      <c r="E41" t="s">
        <v>342</v>
      </c>
    </row>
    <row r="42" spans="1:5" x14ac:dyDescent="0.35">
      <c r="A42">
        <v>41</v>
      </c>
      <c r="B42" t="s">
        <v>494</v>
      </c>
      <c r="C42" t="s">
        <v>477</v>
      </c>
      <c r="D42" t="s">
        <v>513</v>
      </c>
      <c r="E42" t="s">
        <v>342</v>
      </c>
    </row>
    <row r="43" spans="1:5" x14ac:dyDescent="0.35">
      <c r="A43">
        <v>42</v>
      </c>
      <c r="E43" t="s">
        <v>342</v>
      </c>
    </row>
    <row r="44" spans="1:5" x14ac:dyDescent="0.35">
      <c r="A44">
        <v>43</v>
      </c>
      <c r="B44" t="s">
        <v>1468</v>
      </c>
      <c r="C44" t="s">
        <v>477</v>
      </c>
      <c r="D44" t="s">
        <v>513</v>
      </c>
      <c r="E44" t="s">
        <v>342</v>
      </c>
    </row>
    <row r="45" spans="1:5" x14ac:dyDescent="0.35">
      <c r="A45">
        <v>44</v>
      </c>
      <c r="B45" t="s">
        <v>502</v>
      </c>
      <c r="C45" t="s">
        <v>477</v>
      </c>
      <c r="D45" t="s">
        <v>513</v>
      </c>
      <c r="E45" t="s">
        <v>342</v>
      </c>
    </row>
    <row r="46" spans="1:5" x14ac:dyDescent="0.35">
      <c r="A46">
        <v>45</v>
      </c>
      <c r="B46" t="s">
        <v>508</v>
      </c>
      <c r="C46" t="s">
        <v>477</v>
      </c>
      <c r="D46" t="s">
        <v>513</v>
      </c>
      <c r="E46" t="s">
        <v>342</v>
      </c>
    </row>
    <row r="47" spans="1:5" x14ac:dyDescent="0.35">
      <c r="A47">
        <v>46</v>
      </c>
      <c r="B47" t="s">
        <v>1338</v>
      </c>
      <c r="C47" t="s">
        <v>477</v>
      </c>
      <c r="D47" t="s">
        <v>513</v>
      </c>
      <c r="E47" t="s">
        <v>342</v>
      </c>
    </row>
    <row r="48" spans="1:5" x14ac:dyDescent="0.35">
      <c r="A48">
        <v>47</v>
      </c>
      <c r="E48" t="s">
        <v>342</v>
      </c>
    </row>
    <row r="49" spans="1:5" x14ac:dyDescent="0.35">
      <c r="A49">
        <v>48</v>
      </c>
      <c r="B49" t="s">
        <v>750</v>
      </c>
      <c r="C49" t="s">
        <v>477</v>
      </c>
      <c r="D49" t="s">
        <v>513</v>
      </c>
      <c r="E49" t="s">
        <v>342</v>
      </c>
    </row>
    <row r="50" spans="1:5" x14ac:dyDescent="0.35">
      <c r="A50">
        <v>49</v>
      </c>
      <c r="B50" t="s">
        <v>543</v>
      </c>
      <c r="C50" t="s">
        <v>477</v>
      </c>
      <c r="D50" t="s">
        <v>513</v>
      </c>
      <c r="E50" t="s">
        <v>342</v>
      </c>
    </row>
    <row r="51" spans="1:5" x14ac:dyDescent="0.35">
      <c r="A51">
        <v>50</v>
      </c>
      <c r="E51" t="s">
        <v>342</v>
      </c>
    </row>
    <row r="52" spans="1:5" x14ac:dyDescent="0.35">
      <c r="A52">
        <v>51</v>
      </c>
      <c r="B52" t="s">
        <v>626</v>
      </c>
      <c r="C52" t="s">
        <v>477</v>
      </c>
      <c r="D52" t="s">
        <v>513</v>
      </c>
      <c r="E52" t="s">
        <v>341</v>
      </c>
    </row>
    <row r="53" spans="1:5" x14ac:dyDescent="0.35">
      <c r="A53">
        <v>52</v>
      </c>
      <c r="B53" s="70" t="s">
        <v>553</v>
      </c>
      <c r="C53" t="s">
        <v>477</v>
      </c>
      <c r="D53" t="s">
        <v>513</v>
      </c>
      <c r="E53" t="s">
        <v>341</v>
      </c>
    </row>
    <row r="54" spans="1:5" x14ac:dyDescent="0.35">
      <c r="A54">
        <v>53</v>
      </c>
      <c r="E54" t="s">
        <v>341</v>
      </c>
    </row>
    <row r="55" spans="1:5" x14ac:dyDescent="0.35">
      <c r="A55">
        <v>54</v>
      </c>
      <c r="B55" t="s">
        <v>400</v>
      </c>
      <c r="C55" t="s">
        <v>477</v>
      </c>
      <c r="D55" t="s">
        <v>476</v>
      </c>
      <c r="E55" t="s">
        <v>341</v>
      </c>
    </row>
    <row r="56" spans="1:5" x14ac:dyDescent="0.35">
      <c r="A56">
        <v>55</v>
      </c>
      <c r="B56" t="s">
        <v>84</v>
      </c>
      <c r="C56" t="s">
        <v>477</v>
      </c>
      <c r="D56" t="s">
        <v>476</v>
      </c>
      <c r="E56" t="s">
        <v>341</v>
      </c>
    </row>
    <row r="57" spans="1:5" x14ac:dyDescent="0.35">
      <c r="A57">
        <v>56</v>
      </c>
      <c r="B57" t="s">
        <v>79</v>
      </c>
      <c r="C57" t="s">
        <v>477</v>
      </c>
      <c r="D57" t="s">
        <v>476</v>
      </c>
      <c r="E57" t="s">
        <v>341</v>
      </c>
    </row>
    <row r="58" spans="1:5" x14ac:dyDescent="0.35">
      <c r="A58">
        <v>57</v>
      </c>
      <c r="B58" t="s">
        <v>86</v>
      </c>
      <c r="C58" t="s">
        <v>477</v>
      </c>
      <c r="D58" t="s">
        <v>476</v>
      </c>
      <c r="E58" t="s">
        <v>341</v>
      </c>
    </row>
    <row r="59" spans="1:5" x14ac:dyDescent="0.35">
      <c r="A59">
        <v>58</v>
      </c>
      <c r="B59" t="s">
        <v>82</v>
      </c>
      <c r="C59" t="s">
        <v>477</v>
      </c>
      <c r="D59" t="s">
        <v>476</v>
      </c>
      <c r="E59" t="s">
        <v>341</v>
      </c>
    </row>
    <row r="60" spans="1:5" x14ac:dyDescent="0.35">
      <c r="A60">
        <v>59</v>
      </c>
      <c r="E60" t="s">
        <v>341</v>
      </c>
    </row>
    <row r="61" spans="1:5" x14ac:dyDescent="0.35">
      <c r="A61">
        <v>60</v>
      </c>
      <c r="B61" t="s">
        <v>401</v>
      </c>
      <c r="C61" t="s">
        <v>477</v>
      </c>
      <c r="D61" t="s">
        <v>476</v>
      </c>
      <c r="E61" t="s">
        <v>341</v>
      </c>
    </row>
    <row r="62" spans="1:5" x14ac:dyDescent="0.35">
      <c r="A62">
        <v>61</v>
      </c>
      <c r="B62" t="s">
        <v>95</v>
      </c>
      <c r="C62" t="s">
        <v>477</v>
      </c>
      <c r="D62" t="s">
        <v>476</v>
      </c>
      <c r="E62" t="s">
        <v>341</v>
      </c>
    </row>
    <row r="63" spans="1:5" x14ac:dyDescent="0.35">
      <c r="A63">
        <v>62</v>
      </c>
      <c r="B63" t="s">
        <v>91</v>
      </c>
      <c r="C63" t="s">
        <v>477</v>
      </c>
      <c r="D63" t="s">
        <v>476</v>
      </c>
      <c r="E63" t="s">
        <v>341</v>
      </c>
    </row>
    <row r="64" spans="1:5" x14ac:dyDescent="0.35">
      <c r="A64">
        <v>63</v>
      </c>
      <c r="B64" t="s">
        <v>93</v>
      </c>
      <c r="C64" t="s">
        <v>477</v>
      </c>
      <c r="D64" t="s">
        <v>476</v>
      </c>
      <c r="E64" t="s">
        <v>341</v>
      </c>
    </row>
    <row r="65" spans="1:8" x14ac:dyDescent="0.35">
      <c r="A65">
        <v>64</v>
      </c>
      <c r="B65" t="s">
        <v>89</v>
      </c>
      <c r="C65" t="s">
        <v>477</v>
      </c>
      <c r="D65" t="s">
        <v>476</v>
      </c>
      <c r="E65" t="s">
        <v>341</v>
      </c>
    </row>
    <row r="66" spans="1:8" x14ac:dyDescent="0.35">
      <c r="A66">
        <v>65</v>
      </c>
      <c r="E66" t="s">
        <v>341</v>
      </c>
    </row>
    <row r="67" spans="1:8" x14ac:dyDescent="0.35">
      <c r="A67">
        <v>66</v>
      </c>
      <c r="B67" t="s">
        <v>402</v>
      </c>
      <c r="C67" t="s">
        <v>477</v>
      </c>
      <c r="D67" t="s">
        <v>476</v>
      </c>
      <c r="E67" t="s">
        <v>342</v>
      </c>
    </row>
    <row r="68" spans="1:8" x14ac:dyDescent="0.35">
      <c r="A68">
        <v>67</v>
      </c>
      <c r="B68" t="s">
        <v>1152</v>
      </c>
      <c r="C68" t="s">
        <v>477</v>
      </c>
      <c r="D68" t="s">
        <v>476</v>
      </c>
      <c r="E68" t="s">
        <v>342</v>
      </c>
    </row>
    <row r="69" spans="1:8" x14ac:dyDescent="0.35">
      <c r="A69">
        <v>68</v>
      </c>
      <c r="B69" t="s">
        <v>1150</v>
      </c>
      <c r="C69" t="s">
        <v>477</v>
      </c>
      <c r="D69" t="s">
        <v>476</v>
      </c>
      <c r="E69" t="s">
        <v>342</v>
      </c>
    </row>
    <row r="70" spans="1:8" x14ac:dyDescent="0.35">
      <c r="A70">
        <v>69</v>
      </c>
      <c r="B70" t="s">
        <v>1148</v>
      </c>
      <c r="C70" t="s">
        <v>477</v>
      </c>
      <c r="D70" t="s">
        <v>476</v>
      </c>
      <c r="E70" t="s">
        <v>342</v>
      </c>
    </row>
    <row r="71" spans="1:8" x14ac:dyDescent="0.35">
      <c r="A71">
        <v>70</v>
      </c>
      <c r="E71" t="s">
        <v>342</v>
      </c>
    </row>
    <row r="72" spans="1:8" x14ac:dyDescent="0.35">
      <c r="A72">
        <v>71</v>
      </c>
      <c r="B72" t="s">
        <v>403</v>
      </c>
      <c r="C72" t="s">
        <v>478</v>
      </c>
      <c r="D72" t="s">
        <v>476</v>
      </c>
      <c r="E72" t="s">
        <v>342</v>
      </c>
    </row>
    <row r="73" spans="1:8" x14ac:dyDescent="0.35">
      <c r="A73">
        <v>72</v>
      </c>
      <c r="B73" t="s">
        <v>836</v>
      </c>
      <c r="C73" t="s">
        <v>478</v>
      </c>
      <c r="D73" t="s">
        <v>476</v>
      </c>
      <c r="E73" t="s">
        <v>342</v>
      </c>
    </row>
    <row r="74" spans="1:8" x14ac:dyDescent="0.35">
      <c r="A74">
        <v>73</v>
      </c>
      <c r="B74" t="s">
        <v>1147</v>
      </c>
      <c r="C74" t="s">
        <v>478</v>
      </c>
      <c r="D74" t="s">
        <v>476</v>
      </c>
      <c r="E74" t="s">
        <v>341</v>
      </c>
    </row>
    <row r="75" spans="1:8" x14ac:dyDescent="0.35">
      <c r="A75">
        <v>74</v>
      </c>
      <c r="B75" t="s">
        <v>1144</v>
      </c>
      <c r="C75" t="s">
        <v>478</v>
      </c>
      <c r="D75" t="s">
        <v>476</v>
      </c>
      <c r="E75" t="s">
        <v>342</v>
      </c>
    </row>
    <row r="76" spans="1:8" x14ac:dyDescent="0.35">
      <c r="A76">
        <v>75</v>
      </c>
      <c r="B76" t="s">
        <v>1145</v>
      </c>
      <c r="C76" t="s">
        <v>478</v>
      </c>
      <c r="D76" t="s">
        <v>476</v>
      </c>
      <c r="E76" t="s">
        <v>342</v>
      </c>
    </row>
    <row r="77" spans="1:8" x14ac:dyDescent="0.35">
      <c r="A77">
        <v>76</v>
      </c>
      <c r="B77" t="s">
        <v>1192</v>
      </c>
      <c r="C77" t="s">
        <v>478</v>
      </c>
      <c r="D77" t="s">
        <v>476</v>
      </c>
      <c r="E77" t="s">
        <v>342</v>
      </c>
      <c r="H77" s="70"/>
    </row>
    <row r="78" spans="1:8" x14ac:dyDescent="0.35">
      <c r="A78">
        <v>77</v>
      </c>
      <c r="B78" t="s">
        <v>1146</v>
      </c>
      <c r="C78" t="s">
        <v>478</v>
      </c>
      <c r="D78" t="s">
        <v>476</v>
      </c>
      <c r="E78" t="s">
        <v>341</v>
      </c>
    </row>
    <row r="79" spans="1:8" x14ac:dyDescent="0.35">
      <c r="A79">
        <v>78</v>
      </c>
      <c r="B79" t="s">
        <v>1154</v>
      </c>
      <c r="C79" t="s">
        <v>478</v>
      </c>
      <c r="D79" t="s">
        <v>476</v>
      </c>
      <c r="E79" t="s">
        <v>342</v>
      </c>
    </row>
    <row r="80" spans="1:8" x14ac:dyDescent="0.35">
      <c r="A80">
        <v>79</v>
      </c>
      <c r="B80" t="s">
        <v>1334</v>
      </c>
      <c r="C80" t="s">
        <v>478</v>
      </c>
      <c r="D80" t="s">
        <v>476</v>
      </c>
      <c r="E80" t="s">
        <v>342</v>
      </c>
    </row>
    <row r="81" spans="1:5" x14ac:dyDescent="0.35">
      <c r="A81">
        <v>80</v>
      </c>
      <c r="B81" t="s">
        <v>1335</v>
      </c>
      <c r="C81" t="s">
        <v>478</v>
      </c>
      <c r="D81" t="s">
        <v>476</v>
      </c>
      <c r="E81" t="s">
        <v>342</v>
      </c>
    </row>
    <row r="82" spans="1:5" x14ac:dyDescent="0.35">
      <c r="A82">
        <v>81</v>
      </c>
      <c r="B82" t="s">
        <v>1336</v>
      </c>
      <c r="C82" t="s">
        <v>478</v>
      </c>
      <c r="D82" t="s">
        <v>476</v>
      </c>
      <c r="E82" t="s">
        <v>342</v>
      </c>
    </row>
    <row r="83" spans="1:5" x14ac:dyDescent="0.35">
      <c r="A83">
        <v>82</v>
      </c>
      <c r="E83" t="s">
        <v>342</v>
      </c>
    </row>
    <row r="84" spans="1:5" x14ac:dyDescent="0.35">
      <c r="A84">
        <v>83</v>
      </c>
      <c r="B84" t="s">
        <v>405</v>
      </c>
      <c r="C84" t="s">
        <v>478</v>
      </c>
      <c r="D84" t="s">
        <v>479</v>
      </c>
      <c r="E84" t="s">
        <v>342</v>
      </c>
    </row>
    <row r="85" spans="1:5" x14ac:dyDescent="0.35">
      <c r="A85">
        <v>84</v>
      </c>
      <c r="B85" t="s">
        <v>1466</v>
      </c>
      <c r="C85" t="s">
        <v>478</v>
      </c>
      <c r="D85" t="s">
        <v>479</v>
      </c>
      <c r="E85" t="s">
        <v>342</v>
      </c>
    </row>
    <row r="86" spans="1:5" x14ac:dyDescent="0.35">
      <c r="A86">
        <v>85</v>
      </c>
      <c r="B86" t="s">
        <v>1469</v>
      </c>
      <c r="C86" t="s">
        <v>478</v>
      </c>
      <c r="D86" t="s">
        <v>479</v>
      </c>
      <c r="E86" t="s">
        <v>342</v>
      </c>
    </row>
    <row r="87" spans="1:5" x14ac:dyDescent="0.35">
      <c r="A87">
        <v>86</v>
      </c>
      <c r="B87" t="s">
        <v>1106</v>
      </c>
      <c r="C87" t="s">
        <v>478</v>
      </c>
      <c r="D87" t="s">
        <v>479</v>
      </c>
      <c r="E87" t="s">
        <v>342</v>
      </c>
    </row>
    <row r="88" spans="1:5" x14ac:dyDescent="0.35">
      <c r="A88">
        <v>87</v>
      </c>
      <c r="B88" t="s">
        <v>1103</v>
      </c>
      <c r="C88" t="s">
        <v>478</v>
      </c>
      <c r="D88" t="s">
        <v>479</v>
      </c>
      <c r="E88" t="s">
        <v>342</v>
      </c>
    </row>
    <row r="89" spans="1:5" x14ac:dyDescent="0.35">
      <c r="A89">
        <v>88</v>
      </c>
      <c r="B89" t="s">
        <v>1104</v>
      </c>
      <c r="C89" t="s">
        <v>478</v>
      </c>
      <c r="D89" t="s">
        <v>479</v>
      </c>
      <c r="E89" t="s">
        <v>342</v>
      </c>
    </row>
    <row r="90" spans="1:5" x14ac:dyDescent="0.35">
      <c r="A90">
        <v>89</v>
      </c>
      <c r="B90" t="s">
        <v>1102</v>
      </c>
      <c r="C90" t="s">
        <v>478</v>
      </c>
      <c r="D90" t="s">
        <v>479</v>
      </c>
      <c r="E90" t="s">
        <v>341</v>
      </c>
    </row>
    <row r="91" spans="1:5" x14ac:dyDescent="0.35">
      <c r="A91">
        <v>90</v>
      </c>
      <c r="B91" t="s">
        <v>1105</v>
      </c>
      <c r="C91" t="s">
        <v>478</v>
      </c>
      <c r="D91" t="s">
        <v>479</v>
      </c>
      <c r="E91" t="s">
        <v>342</v>
      </c>
    </row>
    <row r="92" spans="1:5" x14ac:dyDescent="0.35">
      <c r="A92">
        <v>91</v>
      </c>
      <c r="E92" t="s">
        <v>342</v>
      </c>
    </row>
    <row r="93" spans="1:5" x14ac:dyDescent="0.35">
      <c r="A93">
        <v>92</v>
      </c>
      <c r="B93" t="s">
        <v>404</v>
      </c>
      <c r="C93" t="s">
        <v>478</v>
      </c>
      <c r="D93" t="s">
        <v>476</v>
      </c>
      <c r="E93" t="s">
        <v>342</v>
      </c>
    </row>
    <row r="94" spans="1:5" x14ac:dyDescent="0.35">
      <c r="A94">
        <v>93</v>
      </c>
      <c r="B94" t="s">
        <v>488</v>
      </c>
      <c r="C94" t="s">
        <v>478</v>
      </c>
      <c r="D94" t="s">
        <v>476</v>
      </c>
      <c r="E94" t="s">
        <v>342</v>
      </c>
    </row>
    <row r="95" spans="1:5" x14ac:dyDescent="0.35">
      <c r="A95">
        <v>94</v>
      </c>
      <c r="B95" t="s">
        <v>986</v>
      </c>
      <c r="C95" t="s">
        <v>478</v>
      </c>
      <c r="D95" t="s">
        <v>476</v>
      </c>
      <c r="E95" t="s">
        <v>342</v>
      </c>
    </row>
    <row r="96" spans="1:5" x14ac:dyDescent="0.35">
      <c r="A96">
        <v>95</v>
      </c>
      <c r="B96" t="s">
        <v>485</v>
      </c>
      <c r="C96" t="s">
        <v>478</v>
      </c>
      <c r="D96" t="s">
        <v>476</v>
      </c>
      <c r="E96" t="s">
        <v>342</v>
      </c>
    </row>
    <row r="97" spans="1:5" x14ac:dyDescent="0.35">
      <c r="A97">
        <v>96</v>
      </c>
      <c r="B97" t="s">
        <v>922</v>
      </c>
      <c r="C97" t="s">
        <v>478</v>
      </c>
      <c r="D97" t="s">
        <v>476</v>
      </c>
      <c r="E97" t="s">
        <v>342</v>
      </c>
    </row>
  </sheetData>
  <sheetProtection algorithmName="SHA-512" hashValue="QnoIJMQkOpEQlwU+RlIF5jF8bkUyNtVrtmXu8gOu+cpKEWwaL1YbBBOt4KmjlTfUD4l72kuUSDu9Qf3Hpk397A==" saltValue="WA9SzTw3e0iCwBwmCRatjA==" spinCount="100000" sheet="1" objects="1" scenarios="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4BD9089F-CA71-4D31-8ADC-A2156CE851AE}">
  <ds:schemaRefs/>
</ds:datastoreItem>
</file>

<file path=customXml/itemProps2.xml><?xml version="1.0" encoding="utf-8"?>
<ds:datastoreItem xmlns:ds="http://schemas.openxmlformats.org/officeDocument/2006/customXml" ds:itemID="{6C373E28-8EF7-4E70-B81A-77FBA6B75E24}">
  <ds:schemaRefs/>
</ds:datastoreItem>
</file>

<file path=customXml/itemProps3.xml><?xml version="1.0" encoding="utf-8"?>
<ds:datastoreItem xmlns:ds="http://schemas.openxmlformats.org/officeDocument/2006/customXml" ds:itemID="{CA61DFF8-2DBB-4590-A360-73DC199525B4}">
  <ds:schemaRefs/>
</ds:datastoreItem>
</file>

<file path=customXml/itemProps4.xml><?xml version="1.0" encoding="utf-8"?>
<ds:datastoreItem xmlns:ds="http://schemas.openxmlformats.org/officeDocument/2006/customXml" ds:itemID="{AD2FA7C9-7FDB-4671-95C6-4CDF3644D003}">
  <ds:schemaRefs/>
</ds:datastoreItem>
</file>

<file path=customXml/itemProps5.xml><?xml version="1.0" encoding="utf-8"?>
<ds:datastoreItem xmlns:ds="http://schemas.openxmlformats.org/officeDocument/2006/customXml" ds:itemID="{FAEE62A6-576F-4A99-9C89-EDA8E7A92D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vt:i4>
      </vt:variant>
    </vt:vector>
  </HeadingPairs>
  <TitlesOfParts>
    <vt:vector size="29" baseType="lpstr">
      <vt:lpstr>DATA BASE pastikan sesuai riil</vt:lpstr>
      <vt:lpstr>DBS_BOM</vt:lpstr>
      <vt:lpstr>DBS_TRIALdanSUSUT</vt:lpstr>
      <vt:lpstr>DBS_Waste_Bnp</vt:lpstr>
      <vt:lpstr>Detail1</vt:lpstr>
      <vt:lpstr>AKUMULASI DEVIASI ATAU TOTAL</vt:lpstr>
      <vt:lpstr>CEK DEVIASI HARIAN</vt:lpstr>
      <vt:lpstr>INPUT SO HARIAN</vt:lpstr>
      <vt:lpstr>INPUT BARANG MASUK</vt:lpstr>
      <vt:lpstr>INPUT PENJUALAN 00</vt:lpstr>
      <vt:lpstr>REKAP MENTAH</vt:lpstr>
      <vt:lpstr>WASTE BAHAN dan PACKAGING</vt:lpstr>
      <vt:lpstr>PIVOT HASIL SO (2)</vt:lpstr>
      <vt:lpstr>CEK STATUS INPUT</vt:lpstr>
      <vt:lpstr>STOK AWAL</vt:lpstr>
      <vt:lpstr>_TRACKING</vt:lpstr>
      <vt:lpstr>_PERIODE</vt:lpstr>
      <vt:lpstr>INPUT BARANG KELUAR</vt:lpstr>
      <vt:lpstr>INPUT PROMIX 04</vt:lpstr>
      <vt:lpstr>WASTE DINE IN KARNA HANDLING</vt:lpstr>
      <vt:lpstr>WASTE PORSI CANCELNOTA</vt:lpstr>
      <vt:lpstr>TRIAL BAHAN</vt:lpstr>
      <vt:lpstr>TRIAL PORSI</vt:lpstr>
      <vt:lpstr>SUSUT</vt:lpstr>
      <vt:lpstr>CABE PER RESEP</vt:lpstr>
      <vt:lpstr>DBS_BARANG_TRIAL</vt:lpstr>
      <vt:lpstr>DBS_MENU</vt:lpstr>
      <vt:lpstr>Tabel_SUSUT_CABE</vt:lpstr>
      <vt:lpstr>TanggalMulai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2026-09-20T16:47:39Z</cp:lastPrinted>
  <dcterms:created xsi:type="dcterms:W3CDTF">2026-05-03T08:28:58Z</dcterms:created>
  <dcterms:modified xsi:type="dcterms:W3CDTF">2026-10-16T01:28:40Z</dcterms:modified>
</cp:coreProperties>
</file>